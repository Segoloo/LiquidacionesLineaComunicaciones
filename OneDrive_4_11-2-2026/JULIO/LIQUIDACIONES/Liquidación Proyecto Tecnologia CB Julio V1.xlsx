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0"/>
  <workbookPr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 REDEBAN/FACTURACION/2025/JULIO/"/>
    </mc:Choice>
  </mc:AlternateContent>
  <xr:revisionPtr revIDLastSave="1859" documentId="13_ncr:1_{8A38B4BC-F766-4F7A-B12B-566466AF142C}" xr6:coauthVersionLast="47" xr6:coauthVersionMax="47" xr10:uidLastSave="{4C18EA21-608C-469F-80FE-38FFC9DAD251}"/>
  <bookViews>
    <workbookView xWindow="28680" yWindow="-120" windowWidth="29040" windowHeight="15720" tabRatio="896" xr2:uid="{00000000-000D-0000-FFFF-FFFF00000000}"/>
  </bookViews>
  <sheets>
    <sheet name="RESUMEN" sheetId="14" r:id="rId1"/>
    <sheet name="BASE LIQUIDACION" sheetId="23" state="hidden" r:id="rId2"/>
    <sheet name="Tablas dinámicas" sheetId="203" state="hidden" r:id="rId3"/>
    <sheet name="ADECUACIONES" sheetId="200" r:id="rId4"/>
    <sheet name="TIPOLOGIAS" sheetId="202" state="hidden" r:id="rId5"/>
    <sheet name="INCIDENTES" sheetId="199" r:id="rId6"/>
    <sheet name="OC" sheetId="198" r:id="rId7"/>
    <sheet name="CENTRO DE COSTOS" sheetId="201"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xlnm._FilterDatabase" localSheetId="3" hidden="1">ADECUACIONES!$A$1:$AE$71</definedName>
    <definedName name="_xlnm._FilterDatabase" localSheetId="7" hidden="1">'CENTRO DE COSTOS'!$A$1:$D$23</definedName>
    <definedName name="_xlnm._FilterDatabase" localSheetId="5" hidden="1">INCIDENTES!$A$1:$AG$210</definedName>
    <definedName name="_xlnm._FilterDatabase" localSheetId="6" hidden="1">OC!$A$1:$AG$7</definedName>
    <definedName name="A">#REF!</definedName>
    <definedName name="ACTIVIDAD" localSheetId="7">[1]Hoja2!$P$2:$P$30</definedName>
    <definedName name="Actividad">[2]Formulas!$H$2:$H$5000</definedName>
    <definedName name="arearesponsable">'[3]Listas desplegables'!$BB$2:$BB$100</definedName>
    <definedName name="Clientes" localSheetId="7">[4]Clientes!$A$2:$A$100</definedName>
    <definedName name="Clientes">[2]Clientes!$A$2:$A$100</definedName>
    <definedName name="COORDINADOR">[1]Hoja2!$D$2:$D$30</definedName>
    <definedName name="Coordinadores" localSheetId="7">[5]Coordinadores!$A$2:$A$1000</definedName>
    <definedName name="Coordinadores">[2]Coordinadores!$A$2:$A$1000</definedName>
    <definedName name="DOCUMENTADOR">[1]Hoja2!$A$2:$A$30</definedName>
    <definedName name="ES">[1]Hoja2!$K$2:$K$30</definedName>
    <definedName name="ESS">[1]Hoja2!$K$2:$K$30</definedName>
    <definedName name="Estado" localSheetId="7">[4]Formulas!$K$2:$K$5000</definedName>
    <definedName name="Estado">[2]Formulas!$K$2:$K$5000</definedName>
    <definedName name="ESTADOACTIVIDAD">[1]Hoja2!$M$2:$M$30</definedName>
    <definedName name="ESTADOS">'[6]Listas desplegables'!$B$1:$D$1</definedName>
    <definedName name="ESTADOSCIERRES">'[7]lista desplegable'!$CX$1:$DA$1</definedName>
    <definedName name="Facturacion">'[8]Listas desplegables'!$AO$1:$AR$1</definedName>
    <definedName name="FACTURACIÓN">'[6]Listas desplegables'!$Y$1:$AB$1</definedName>
    <definedName name="falla">#REF!</definedName>
    <definedName name="Fallas">'[9]Listas desplegables'!$F$2:$L$2</definedName>
    <definedName name="Grupo_Falla">'[10]Listas Desplegables'!$CH$2:$CH$5</definedName>
    <definedName name="inconservmanager">'[11]Listas desplegables'!$BC$2:$BC$100</definedName>
    <definedName name="INCUMPLIMIENTO">'[3]Listas desplegables'!$AK$1:$AN$1</definedName>
    <definedName name="LISTA">[12]Dptos!$A$1139:$A$1171</definedName>
    <definedName name="LISTA2">#REF!</definedName>
    <definedName name="LOLO">[13]Coordinadores!$A$2:$A$1000</definedName>
    <definedName name="solicitudes" localSheetId="7">'[8]Listas desplegables'!$U$1:$AF$1</definedName>
    <definedName name="solicitudes">'[14]Listas desplegables'!$AF$1:$AQ$1</definedName>
    <definedName name="Tecnicos" localSheetId="7">[4]Tecnicos!$A$2:$A$1000</definedName>
    <definedName name="Tecnicos">[2]Tecnicos!$A$2:$A$1000</definedName>
    <definedName name="Version">[2]Formulas!$I$2:$I$3</definedName>
  </definedNames>
  <calcPr calcId="191028"/>
  <pivotCaches>
    <pivotCache cacheId="221" r:id="rId23"/>
    <pivotCache cacheId="222" r:id="rId24"/>
    <pivotCache cacheId="223" r:id="rId25"/>
    <pivotCache cacheId="224" r:id="rId2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203" l="1"/>
  <c r="F32" i="203"/>
  <c r="E33" i="203"/>
  <c r="F33" i="203"/>
  <c r="E34" i="203"/>
  <c r="F34" i="203"/>
  <c r="E35" i="203"/>
  <c r="F35" i="203"/>
  <c r="E36" i="203"/>
  <c r="F36" i="203"/>
  <c r="B3" i="198"/>
  <c r="C3" i="198"/>
  <c r="B4" i="198"/>
  <c r="C4" i="198"/>
  <c r="B5" i="198"/>
  <c r="C5" i="198"/>
  <c r="B6" i="198"/>
  <c r="C6" i="198"/>
  <c r="B7" i="198"/>
  <c r="C7" i="198"/>
  <c r="B8" i="198"/>
  <c r="C8" i="198"/>
  <c r="B9" i="198"/>
  <c r="C9" i="198"/>
  <c r="B187" i="199"/>
  <c r="C187" i="199"/>
  <c r="B188" i="199"/>
  <c r="C188" i="199"/>
  <c r="B189" i="199"/>
  <c r="C189" i="199"/>
  <c r="B190" i="199"/>
  <c r="C190" i="199"/>
  <c r="B191" i="199"/>
  <c r="C191" i="199"/>
  <c r="B192" i="199"/>
  <c r="C192" i="199"/>
  <c r="B193" i="199"/>
  <c r="C193" i="199"/>
  <c r="B194" i="199"/>
  <c r="C194" i="199"/>
  <c r="B195" i="199"/>
  <c r="C195" i="199"/>
  <c r="B196" i="199"/>
  <c r="C196" i="199"/>
  <c r="B197" i="199"/>
  <c r="C197" i="199"/>
  <c r="B198" i="199"/>
  <c r="C198" i="199"/>
  <c r="B199" i="199"/>
  <c r="C199" i="199"/>
  <c r="B200" i="199"/>
  <c r="C200" i="199"/>
  <c r="B201" i="199"/>
  <c r="C201" i="199"/>
  <c r="B202" i="199"/>
  <c r="C202" i="199"/>
  <c r="B203" i="199"/>
  <c r="C203" i="199"/>
  <c r="B204" i="199"/>
  <c r="C204" i="199"/>
  <c r="B205" i="199"/>
  <c r="C205" i="199"/>
  <c r="B206" i="199"/>
  <c r="C206" i="199"/>
  <c r="B207" i="199"/>
  <c r="C207" i="199"/>
  <c r="B208" i="199"/>
  <c r="C208" i="199"/>
  <c r="B209" i="199"/>
  <c r="C209" i="199"/>
  <c r="B3" i="199"/>
  <c r="C3" i="199"/>
  <c r="B4" i="199"/>
  <c r="C4" i="199"/>
  <c r="B5" i="199"/>
  <c r="C5" i="199"/>
  <c r="B6" i="199"/>
  <c r="C6" i="199"/>
  <c r="B7" i="199"/>
  <c r="C7" i="199"/>
  <c r="B8" i="199"/>
  <c r="C8" i="199"/>
  <c r="B9" i="199"/>
  <c r="C9" i="199"/>
  <c r="B10" i="199"/>
  <c r="C10" i="199"/>
  <c r="B11" i="199"/>
  <c r="C11" i="199"/>
  <c r="B12" i="199"/>
  <c r="C12" i="199"/>
  <c r="B13" i="199"/>
  <c r="C13" i="199"/>
  <c r="B14" i="199"/>
  <c r="C14" i="199"/>
  <c r="B15" i="199"/>
  <c r="C15" i="199"/>
  <c r="B16" i="199"/>
  <c r="C16" i="199"/>
  <c r="B17" i="199"/>
  <c r="C17" i="199"/>
  <c r="B18" i="199"/>
  <c r="C18" i="199"/>
  <c r="B19" i="199"/>
  <c r="C19" i="199"/>
  <c r="B20" i="199"/>
  <c r="C20" i="199"/>
  <c r="B21" i="199"/>
  <c r="C21" i="199"/>
  <c r="B22" i="199"/>
  <c r="C22" i="199"/>
  <c r="B23" i="199"/>
  <c r="C23" i="199"/>
  <c r="B24" i="199"/>
  <c r="C24" i="199"/>
  <c r="B25" i="199"/>
  <c r="C25" i="199"/>
  <c r="B26" i="199"/>
  <c r="C26" i="199"/>
  <c r="B27" i="199"/>
  <c r="C27" i="199"/>
  <c r="B28" i="199"/>
  <c r="C28" i="199"/>
  <c r="B29" i="199"/>
  <c r="C29" i="199"/>
  <c r="B30" i="199"/>
  <c r="C30" i="199"/>
  <c r="B31" i="199"/>
  <c r="C31" i="199"/>
  <c r="B32" i="199"/>
  <c r="C32" i="199"/>
  <c r="B33" i="199"/>
  <c r="C33" i="199"/>
  <c r="B34" i="199"/>
  <c r="C34" i="199"/>
  <c r="B35" i="199"/>
  <c r="C35" i="199"/>
  <c r="B36" i="199"/>
  <c r="C36" i="199"/>
  <c r="B37" i="199"/>
  <c r="C37" i="199"/>
  <c r="B38" i="199"/>
  <c r="C38" i="199"/>
  <c r="B39" i="199"/>
  <c r="C39" i="199"/>
  <c r="B40" i="199"/>
  <c r="C40" i="199"/>
  <c r="B41" i="199"/>
  <c r="C41" i="199"/>
  <c r="B42" i="199"/>
  <c r="C42" i="199"/>
  <c r="B43" i="199"/>
  <c r="C43" i="199"/>
  <c r="B44" i="199"/>
  <c r="C44" i="199"/>
  <c r="B45" i="199"/>
  <c r="C45" i="199"/>
  <c r="B46" i="199"/>
  <c r="C46" i="199"/>
  <c r="B47" i="199"/>
  <c r="C47" i="199"/>
  <c r="B48" i="199"/>
  <c r="C48" i="199"/>
  <c r="B49" i="199"/>
  <c r="C49" i="199"/>
  <c r="B50" i="199"/>
  <c r="C50" i="199"/>
  <c r="B51" i="199"/>
  <c r="C51" i="199"/>
  <c r="B52" i="199"/>
  <c r="C52" i="199"/>
  <c r="B53" i="199"/>
  <c r="C53" i="199"/>
  <c r="B54" i="199"/>
  <c r="C54" i="199"/>
  <c r="B55" i="199"/>
  <c r="C55" i="199"/>
  <c r="B56" i="199"/>
  <c r="C56" i="199"/>
  <c r="B57" i="199"/>
  <c r="C57" i="199"/>
  <c r="B58" i="199"/>
  <c r="C58" i="199"/>
  <c r="B59" i="199"/>
  <c r="C59" i="199"/>
  <c r="B60" i="199"/>
  <c r="C60" i="199"/>
  <c r="B61" i="199"/>
  <c r="C61" i="199"/>
  <c r="B62" i="199"/>
  <c r="C62" i="199"/>
  <c r="B63" i="199"/>
  <c r="C63" i="199"/>
  <c r="B64" i="199"/>
  <c r="C64" i="199"/>
  <c r="B65" i="199"/>
  <c r="C65" i="199"/>
  <c r="B66" i="199"/>
  <c r="C66" i="199"/>
  <c r="B67" i="199"/>
  <c r="C67" i="199"/>
  <c r="B68" i="199"/>
  <c r="C68" i="199"/>
  <c r="B69" i="199"/>
  <c r="C69" i="199"/>
  <c r="B70" i="199"/>
  <c r="C70" i="199"/>
  <c r="B71" i="199"/>
  <c r="C71" i="199"/>
  <c r="B72" i="199"/>
  <c r="C72" i="199"/>
  <c r="B73" i="199"/>
  <c r="C73" i="199"/>
  <c r="B74" i="199"/>
  <c r="C74" i="199"/>
  <c r="B75" i="199"/>
  <c r="C75" i="199"/>
  <c r="B76" i="199"/>
  <c r="C76" i="199"/>
  <c r="B77" i="199"/>
  <c r="C77" i="199"/>
  <c r="B78" i="199"/>
  <c r="C78" i="199"/>
  <c r="B79" i="199"/>
  <c r="C79" i="199"/>
  <c r="B80" i="199"/>
  <c r="C80" i="199"/>
  <c r="B81" i="199"/>
  <c r="C81" i="199"/>
  <c r="B82" i="199"/>
  <c r="C82" i="199"/>
  <c r="B83" i="199"/>
  <c r="C83" i="199"/>
  <c r="B84" i="199"/>
  <c r="C84" i="199"/>
  <c r="B85" i="199"/>
  <c r="C85" i="199"/>
  <c r="B86" i="199"/>
  <c r="C86" i="199"/>
  <c r="B87" i="199"/>
  <c r="C87" i="199"/>
  <c r="B88" i="199"/>
  <c r="C88" i="199"/>
  <c r="B89" i="199"/>
  <c r="C89" i="199"/>
  <c r="B90" i="199"/>
  <c r="C90" i="199"/>
  <c r="B91" i="199"/>
  <c r="C91" i="199"/>
  <c r="B92" i="199"/>
  <c r="C92" i="199"/>
  <c r="B93" i="199"/>
  <c r="C93" i="199"/>
  <c r="B94" i="199"/>
  <c r="C94" i="199"/>
  <c r="B95" i="199"/>
  <c r="C95" i="199"/>
  <c r="B96" i="199"/>
  <c r="C96" i="199"/>
  <c r="B97" i="199"/>
  <c r="C97" i="199"/>
  <c r="B98" i="199"/>
  <c r="C98" i="199"/>
  <c r="B99" i="199"/>
  <c r="C99" i="199"/>
  <c r="B100" i="199"/>
  <c r="C100" i="199"/>
  <c r="B101" i="199"/>
  <c r="C101" i="199"/>
  <c r="B102" i="199"/>
  <c r="C102" i="199"/>
  <c r="B103" i="199"/>
  <c r="C103" i="199"/>
  <c r="B104" i="199"/>
  <c r="C104" i="199"/>
  <c r="B105" i="199"/>
  <c r="C105" i="199"/>
  <c r="B106" i="199"/>
  <c r="C106" i="199"/>
  <c r="B107" i="199"/>
  <c r="C107" i="199"/>
  <c r="B108" i="199"/>
  <c r="C108" i="199"/>
  <c r="B109" i="199"/>
  <c r="C109" i="199"/>
  <c r="B110" i="199"/>
  <c r="C110" i="199"/>
  <c r="B111" i="199"/>
  <c r="C111" i="199"/>
  <c r="B112" i="199"/>
  <c r="C112" i="199"/>
  <c r="B113" i="199"/>
  <c r="C113" i="199"/>
  <c r="B114" i="199"/>
  <c r="C114" i="199"/>
  <c r="B115" i="199"/>
  <c r="C115" i="199"/>
  <c r="B116" i="199"/>
  <c r="C116" i="199"/>
  <c r="B117" i="199"/>
  <c r="C117" i="199"/>
  <c r="B118" i="199"/>
  <c r="C118" i="199"/>
  <c r="B119" i="199"/>
  <c r="C119" i="199"/>
  <c r="B120" i="199"/>
  <c r="C120" i="199"/>
  <c r="B121" i="199"/>
  <c r="C121" i="199"/>
  <c r="B122" i="199"/>
  <c r="C122" i="199"/>
  <c r="B123" i="199"/>
  <c r="C123" i="199"/>
  <c r="B124" i="199"/>
  <c r="C124" i="199"/>
  <c r="B125" i="199"/>
  <c r="C125" i="199"/>
  <c r="B126" i="199"/>
  <c r="C126" i="199"/>
  <c r="B127" i="199"/>
  <c r="C127" i="199"/>
  <c r="B128" i="199"/>
  <c r="C128" i="199"/>
  <c r="B129" i="199"/>
  <c r="C129" i="199"/>
  <c r="B130" i="199"/>
  <c r="C130" i="199"/>
  <c r="B131" i="199"/>
  <c r="C131" i="199"/>
  <c r="B132" i="199"/>
  <c r="C132" i="199"/>
  <c r="B133" i="199"/>
  <c r="C133" i="199"/>
  <c r="B134" i="199"/>
  <c r="C134" i="199"/>
  <c r="B135" i="199"/>
  <c r="C135" i="199"/>
  <c r="B136" i="199"/>
  <c r="C136" i="199"/>
  <c r="B137" i="199"/>
  <c r="C137" i="199"/>
  <c r="B138" i="199"/>
  <c r="C138" i="199"/>
  <c r="B139" i="199"/>
  <c r="C139" i="199"/>
  <c r="B140" i="199"/>
  <c r="C140" i="199"/>
  <c r="B141" i="199"/>
  <c r="C141" i="199"/>
  <c r="B142" i="199"/>
  <c r="C142" i="199"/>
  <c r="B143" i="199"/>
  <c r="C143" i="199"/>
  <c r="B144" i="199"/>
  <c r="C144" i="199"/>
  <c r="B145" i="199"/>
  <c r="C145" i="199"/>
  <c r="B146" i="199"/>
  <c r="C146" i="199"/>
  <c r="B147" i="199"/>
  <c r="C147" i="199"/>
  <c r="B148" i="199"/>
  <c r="C148" i="199"/>
  <c r="B149" i="199"/>
  <c r="C149" i="199"/>
  <c r="B150" i="199"/>
  <c r="C150" i="199"/>
  <c r="B151" i="199"/>
  <c r="C151" i="199"/>
  <c r="B152" i="199"/>
  <c r="C152" i="199"/>
  <c r="B153" i="199"/>
  <c r="C153" i="199"/>
  <c r="B154" i="199"/>
  <c r="C154" i="199"/>
  <c r="B155" i="199"/>
  <c r="C155" i="199"/>
  <c r="B156" i="199"/>
  <c r="C156" i="199"/>
  <c r="B157" i="199"/>
  <c r="C157" i="199"/>
  <c r="B158" i="199"/>
  <c r="C158" i="199"/>
  <c r="B159" i="199"/>
  <c r="C159" i="199"/>
  <c r="B160" i="199"/>
  <c r="C160" i="199"/>
  <c r="B161" i="199"/>
  <c r="C161" i="199"/>
  <c r="B162" i="199"/>
  <c r="C162" i="199"/>
  <c r="B163" i="199"/>
  <c r="C163" i="199"/>
  <c r="B164" i="199"/>
  <c r="C164" i="199"/>
  <c r="B165" i="199"/>
  <c r="C165" i="199"/>
  <c r="B166" i="199"/>
  <c r="C166" i="199"/>
  <c r="B167" i="199"/>
  <c r="C167" i="199"/>
  <c r="B168" i="199"/>
  <c r="C168" i="199"/>
  <c r="B169" i="199"/>
  <c r="C169" i="199"/>
  <c r="B170" i="199"/>
  <c r="C170" i="199"/>
  <c r="B171" i="199"/>
  <c r="C171" i="199"/>
  <c r="B172" i="199"/>
  <c r="C172" i="199"/>
  <c r="B173" i="199"/>
  <c r="C173" i="199"/>
  <c r="B174" i="199"/>
  <c r="C174" i="199"/>
  <c r="B175" i="199"/>
  <c r="C175" i="199"/>
  <c r="B176" i="199"/>
  <c r="C176" i="199"/>
  <c r="B177" i="199"/>
  <c r="C177" i="199"/>
  <c r="B178" i="199"/>
  <c r="C178" i="199"/>
  <c r="B179" i="199"/>
  <c r="C179" i="199"/>
  <c r="B180" i="199"/>
  <c r="C180" i="199"/>
  <c r="B181" i="199"/>
  <c r="C181" i="199"/>
  <c r="B182" i="199"/>
  <c r="C182" i="199"/>
  <c r="B183" i="199"/>
  <c r="C183" i="199"/>
  <c r="B184" i="199"/>
  <c r="C184" i="199"/>
  <c r="B185" i="199"/>
  <c r="C185" i="199"/>
  <c r="B186" i="199"/>
  <c r="C186" i="199"/>
  <c r="B66" i="200"/>
  <c r="C66" i="200"/>
  <c r="B67" i="200"/>
  <c r="C67" i="200"/>
  <c r="B68" i="200"/>
  <c r="C68" i="200"/>
  <c r="B69" i="200"/>
  <c r="C69" i="200"/>
  <c r="B70" i="200"/>
  <c r="C70" i="200"/>
  <c r="B63" i="200"/>
  <c r="C63" i="200"/>
  <c r="B64" i="200"/>
  <c r="C64" i="200"/>
  <c r="B65" i="200"/>
  <c r="C65" i="200"/>
  <c r="B40" i="200"/>
  <c r="C40" i="200"/>
  <c r="B41" i="200"/>
  <c r="C41" i="200"/>
  <c r="B42" i="200"/>
  <c r="C42" i="200"/>
  <c r="B43" i="200"/>
  <c r="C43" i="200"/>
  <c r="B44" i="200"/>
  <c r="C44" i="200"/>
  <c r="B45" i="200"/>
  <c r="C45" i="200"/>
  <c r="B46" i="200"/>
  <c r="C46" i="200"/>
  <c r="B47" i="200"/>
  <c r="C47" i="200"/>
  <c r="B48" i="200"/>
  <c r="C48" i="200"/>
  <c r="B49" i="200"/>
  <c r="C49" i="200"/>
  <c r="B50" i="200"/>
  <c r="C50" i="200"/>
  <c r="B51" i="200"/>
  <c r="C51" i="200"/>
  <c r="B52" i="200"/>
  <c r="C52" i="200"/>
  <c r="B53" i="200"/>
  <c r="C53" i="200"/>
  <c r="B54" i="200"/>
  <c r="C54" i="200"/>
  <c r="B55" i="200"/>
  <c r="C55" i="200"/>
  <c r="B56" i="200"/>
  <c r="C56" i="200"/>
  <c r="B57" i="200"/>
  <c r="C57" i="200"/>
  <c r="B58" i="200"/>
  <c r="C58" i="200"/>
  <c r="B59" i="200"/>
  <c r="C59" i="200"/>
  <c r="B60" i="200"/>
  <c r="C60" i="200"/>
  <c r="B61" i="200"/>
  <c r="C61" i="200"/>
  <c r="B62" i="200"/>
  <c r="C62" i="200"/>
  <c r="I6" i="14"/>
  <c r="J6" i="14" s="1"/>
  <c r="B27" i="200"/>
  <c r="C27" i="200"/>
  <c r="B28" i="200"/>
  <c r="C28" i="200"/>
  <c r="B29" i="200"/>
  <c r="C29" i="200"/>
  <c r="B30" i="200"/>
  <c r="C30" i="200"/>
  <c r="B31" i="200"/>
  <c r="C31" i="200"/>
  <c r="B32" i="200"/>
  <c r="C32" i="200"/>
  <c r="B33" i="200"/>
  <c r="C33" i="200"/>
  <c r="B34" i="200"/>
  <c r="C34" i="200"/>
  <c r="B35" i="200"/>
  <c r="C35" i="200"/>
  <c r="B36" i="200"/>
  <c r="C36" i="200"/>
  <c r="B37" i="200"/>
  <c r="C37" i="200"/>
  <c r="B38" i="200"/>
  <c r="C38" i="200"/>
  <c r="B39" i="200"/>
  <c r="C39" i="200"/>
  <c r="B25" i="200"/>
  <c r="C25" i="200"/>
  <c r="B26" i="200"/>
  <c r="C26" i="200"/>
  <c r="B23" i="200"/>
  <c r="C23" i="200"/>
  <c r="B24" i="200"/>
  <c r="C24" i="200"/>
  <c r="E8" i="203"/>
  <c r="F8" i="203"/>
  <c r="E9" i="203"/>
  <c r="F9" i="203"/>
  <c r="E10" i="203"/>
  <c r="F10" i="203"/>
  <c r="B19" i="200"/>
  <c r="C19" i="200"/>
  <c r="B20" i="200"/>
  <c r="C20" i="200"/>
  <c r="B21" i="200"/>
  <c r="C21" i="200"/>
  <c r="B22" i="200"/>
  <c r="C22" i="200"/>
  <c r="I5" i="14"/>
  <c r="I7" i="14"/>
  <c r="J7" i="14" s="1"/>
  <c r="B15" i="23"/>
  <c r="B14" i="23"/>
  <c r="B13" i="23"/>
  <c r="B12" i="23"/>
  <c r="B11" i="23"/>
  <c r="B10" i="23"/>
  <c r="D7" i="23"/>
  <c r="D6" i="23"/>
  <c r="D5" i="23"/>
  <c r="D4" i="23"/>
  <c r="D3" i="23"/>
  <c r="C7" i="23"/>
  <c r="AF202" i="199" s="1"/>
  <c r="AG202" i="199" s="1"/>
  <c r="C6" i="23"/>
  <c r="C5" i="23"/>
  <c r="AF9" i="198" s="1"/>
  <c r="AG9" i="198" s="1"/>
  <c r="C4" i="23"/>
  <c r="AF193" i="199" s="1"/>
  <c r="AG193" i="199" s="1"/>
  <c r="C3" i="23"/>
  <c r="B17" i="200"/>
  <c r="C17" i="200"/>
  <c r="B18" i="200"/>
  <c r="C18" i="200"/>
  <c r="B3" i="200"/>
  <c r="C3" i="200"/>
  <c r="B4" i="200"/>
  <c r="C4" i="200"/>
  <c r="B5" i="200"/>
  <c r="C5" i="200"/>
  <c r="B6" i="200"/>
  <c r="C6" i="200"/>
  <c r="B7" i="200"/>
  <c r="C7" i="200"/>
  <c r="B8" i="200"/>
  <c r="C8" i="200"/>
  <c r="B9" i="200"/>
  <c r="C9" i="200"/>
  <c r="B10" i="200"/>
  <c r="C10" i="200"/>
  <c r="B11" i="200"/>
  <c r="C11" i="200"/>
  <c r="B12" i="200"/>
  <c r="C12" i="200"/>
  <c r="B13" i="200"/>
  <c r="C13" i="200"/>
  <c r="B14" i="200"/>
  <c r="C14" i="200"/>
  <c r="B15" i="200"/>
  <c r="C15" i="200"/>
  <c r="B16" i="200"/>
  <c r="C16" i="200"/>
  <c r="F31" i="203"/>
  <c r="E31" i="203"/>
  <c r="F23" i="203"/>
  <c r="E23" i="203"/>
  <c r="F22" i="203"/>
  <c r="E22" i="203"/>
  <c r="F21" i="203"/>
  <c r="E21" i="203"/>
  <c r="F20" i="203"/>
  <c r="E20" i="203"/>
  <c r="F19" i="203"/>
  <c r="E19" i="203"/>
  <c r="F18" i="203"/>
  <c r="E18" i="203"/>
  <c r="F17" i="203"/>
  <c r="E17" i="203"/>
  <c r="F5" i="203"/>
  <c r="F6" i="203"/>
  <c r="F7" i="203"/>
  <c r="F4" i="203"/>
  <c r="E5" i="203"/>
  <c r="E6" i="203"/>
  <c r="E7" i="203"/>
  <c r="E4" i="203"/>
  <c r="AF4" i="198"/>
  <c r="AG4" i="198" s="1"/>
  <c r="I9" i="14"/>
  <c r="J9" i="14" s="1"/>
  <c r="AF7" i="198" l="1"/>
  <c r="AG7" i="198" s="1"/>
  <c r="AF187" i="199"/>
  <c r="AG187" i="199" s="1"/>
  <c r="AF190" i="199"/>
  <c r="AG190" i="199" s="1"/>
  <c r="AF191" i="199"/>
  <c r="AG191" i="199" s="1"/>
  <c r="AF194" i="199"/>
  <c r="AG194" i="199" s="1"/>
  <c r="AF195" i="199"/>
  <c r="AG195" i="199" s="1"/>
  <c r="AF196" i="199"/>
  <c r="AG196" i="199" s="1"/>
  <c r="AF197" i="199"/>
  <c r="AG197" i="199" s="1"/>
  <c r="AF198" i="199"/>
  <c r="AG198" i="199" s="1"/>
  <c r="AF199" i="199"/>
  <c r="AG199" i="199" s="1"/>
  <c r="AF200" i="199"/>
  <c r="AG200" i="199" s="1"/>
  <c r="AF201" i="199"/>
  <c r="AG201" i="199" s="1"/>
  <c r="AF204" i="199"/>
  <c r="AG204" i="199" s="1"/>
  <c r="AF205" i="199"/>
  <c r="AG205" i="199" s="1"/>
  <c r="AF206" i="199"/>
  <c r="AG206" i="199" s="1"/>
  <c r="AF208" i="199"/>
  <c r="AG208" i="199" s="1"/>
  <c r="AF209" i="199"/>
  <c r="AG209" i="199" s="1"/>
  <c r="AD48" i="200"/>
  <c r="AD50" i="200"/>
  <c r="AD52" i="200"/>
  <c r="AD54" i="200"/>
  <c r="AD56" i="200"/>
  <c r="AD57" i="200"/>
  <c r="AD58" i="200"/>
  <c r="AD59" i="200"/>
  <c r="AE59" i="200" s="1"/>
  <c r="AD61" i="200"/>
  <c r="AD62" i="200"/>
  <c r="AD63" i="200"/>
  <c r="AD64" i="200"/>
  <c r="AD45" i="200"/>
  <c r="AE45" i="200" s="1"/>
  <c r="AD47" i="200"/>
  <c r="AE47" i="200" s="1"/>
  <c r="AD49" i="200"/>
  <c r="AD53" i="200"/>
  <c r="AE53" i="200" s="1"/>
  <c r="AD55" i="200"/>
  <c r="AD60" i="200"/>
  <c r="AD65" i="200"/>
  <c r="AE65" i="200" s="1"/>
  <c r="AD67" i="200"/>
  <c r="AD68" i="200"/>
  <c r="AD70" i="200"/>
  <c r="AD44" i="200"/>
  <c r="AE44" i="200" s="1"/>
  <c r="AD46" i="200"/>
  <c r="AE46" i="200" s="1"/>
  <c r="AD51" i="200"/>
  <c r="AD66" i="200"/>
  <c r="AD69" i="200"/>
  <c r="AF8" i="198"/>
  <c r="AG8" i="198"/>
  <c r="AF188" i="199"/>
  <c r="AG188" i="199"/>
  <c r="AF189" i="199"/>
  <c r="AG189" i="199"/>
  <c r="AF192" i="199"/>
  <c r="AG192" i="199"/>
  <c r="AF203" i="199"/>
  <c r="AG203" i="199"/>
  <c r="AF207" i="199"/>
  <c r="AG207" i="199"/>
  <c r="AE48" i="200"/>
  <c r="AE49" i="200"/>
  <c r="AE50" i="200"/>
  <c r="AE51" i="200"/>
  <c r="AE52" i="200"/>
  <c r="AE54" i="200"/>
  <c r="AE55" i="200"/>
  <c r="AE56" i="200"/>
  <c r="AE57" i="200"/>
  <c r="AE58" i="200"/>
  <c r="AE60" i="200"/>
  <c r="AE61" i="200"/>
  <c r="AE62" i="200"/>
  <c r="AE63" i="200"/>
  <c r="AE64" i="200"/>
  <c r="AE66" i="200"/>
  <c r="AE67" i="200"/>
  <c r="AE68" i="200"/>
  <c r="AE69" i="200"/>
  <c r="AE70" i="200"/>
  <c r="AF6" i="198"/>
  <c r="AG6" i="198" s="1"/>
  <c r="AF5" i="198"/>
  <c r="AG5" i="198" s="1"/>
  <c r="AD24" i="200"/>
  <c r="AE24" i="200" s="1"/>
  <c r="AD23" i="200"/>
  <c r="AE23" i="200" s="1"/>
  <c r="AD26" i="200"/>
  <c r="AE26" i="200" s="1"/>
  <c r="AD25" i="200"/>
  <c r="AE25" i="200" s="1"/>
  <c r="AD43" i="200"/>
  <c r="AE43" i="200" s="1"/>
  <c r="AD42" i="200"/>
  <c r="AE42" i="200" s="1"/>
  <c r="AD41" i="200"/>
  <c r="AE41" i="200" s="1"/>
  <c r="AD40" i="200"/>
  <c r="AE40" i="200" s="1"/>
  <c r="AD39" i="200"/>
  <c r="AE39" i="200" s="1"/>
  <c r="AD38" i="200"/>
  <c r="AE38" i="200" s="1"/>
  <c r="AD37" i="200"/>
  <c r="AE37" i="200" s="1"/>
  <c r="AD36" i="200"/>
  <c r="AE36" i="200" s="1"/>
  <c r="AD35" i="200"/>
  <c r="AE35" i="200" s="1"/>
  <c r="AD34" i="200"/>
  <c r="AE34" i="200" s="1"/>
  <c r="AD33" i="200"/>
  <c r="AE33" i="200" s="1"/>
  <c r="AD32" i="200"/>
  <c r="AE32" i="200" s="1"/>
  <c r="AD31" i="200"/>
  <c r="AE31" i="200" s="1"/>
  <c r="AD30" i="200"/>
  <c r="AE30" i="200" s="1"/>
  <c r="AD29" i="200"/>
  <c r="AE29" i="200" s="1"/>
  <c r="AD28" i="200"/>
  <c r="AE28" i="200" s="1"/>
  <c r="AD27" i="200"/>
  <c r="AE27" i="200" s="1"/>
  <c r="H12" i="14"/>
  <c r="AF186" i="199"/>
  <c r="AG186" i="199" s="1"/>
  <c r="AD6" i="200"/>
  <c r="AE6" i="200" s="1"/>
  <c r="AD5" i="200"/>
  <c r="AE5" i="200" s="1"/>
  <c r="AD4" i="200"/>
  <c r="AE4" i="200" s="1"/>
  <c r="AD3" i="200"/>
  <c r="AE3" i="200" s="1"/>
  <c r="AD10" i="200"/>
  <c r="AE10" i="200" s="1"/>
  <c r="AD9" i="200"/>
  <c r="AE9" i="200" s="1"/>
  <c r="AD8" i="200"/>
  <c r="AE8" i="200" s="1"/>
  <c r="AD7" i="200"/>
  <c r="AE7" i="200" s="1"/>
  <c r="AD13" i="200"/>
  <c r="AE13" i="200" s="1"/>
  <c r="AD12" i="200"/>
  <c r="AE12" i="200" s="1"/>
  <c r="AD11" i="200"/>
  <c r="AE11" i="200" s="1"/>
  <c r="AD18" i="200"/>
  <c r="AE18" i="200" s="1"/>
  <c r="AD17" i="200"/>
  <c r="AE17" i="200" s="1"/>
  <c r="AD16" i="200"/>
  <c r="AE16" i="200" s="1"/>
  <c r="AD15" i="200"/>
  <c r="AE15" i="200" s="1"/>
  <c r="AD14" i="200"/>
  <c r="AE14" i="200" s="1"/>
  <c r="AD22" i="200"/>
  <c r="AE22" i="200" s="1"/>
  <c r="AD21" i="200"/>
  <c r="AE21" i="200" s="1"/>
  <c r="AD20" i="200"/>
  <c r="AE20" i="200" s="1"/>
  <c r="AD19" i="200"/>
  <c r="AE19" i="200" s="1"/>
  <c r="AF3" i="198"/>
  <c r="AG3" i="198" s="1"/>
  <c r="AF3" i="199"/>
  <c r="AG3" i="199" s="1"/>
  <c r="AF4" i="199"/>
  <c r="AG4" i="199" s="1"/>
  <c r="AF6" i="199"/>
  <c r="AG6" i="199" s="1"/>
  <c r="AF11" i="199"/>
  <c r="AG11" i="199" s="1"/>
  <c r="AF12" i="199"/>
  <c r="AG12" i="199" s="1"/>
  <c r="AF13" i="199"/>
  <c r="AG13" i="199" s="1"/>
  <c r="AF14" i="199"/>
  <c r="AG14" i="199" s="1"/>
  <c r="AF15" i="199"/>
  <c r="AG15" i="199" s="1"/>
  <c r="AF16" i="199"/>
  <c r="AG16" i="199" s="1"/>
  <c r="AF17" i="199"/>
  <c r="AG17" i="199" s="1"/>
  <c r="AF18" i="199"/>
  <c r="AG18" i="199" s="1"/>
  <c r="AF19" i="199"/>
  <c r="AG19" i="199" s="1"/>
  <c r="AF24" i="199"/>
  <c r="AG24" i="199" s="1"/>
  <c r="AF25" i="199"/>
  <c r="AG25" i="199" s="1"/>
  <c r="AF27" i="199"/>
  <c r="AG27" i="199" s="1"/>
  <c r="AF29" i="199"/>
  <c r="AG29" i="199" s="1"/>
  <c r="AF30" i="199"/>
  <c r="AG30" i="199" s="1"/>
  <c r="AF31" i="199"/>
  <c r="AG31" i="199" s="1"/>
  <c r="AF32" i="199"/>
  <c r="AG32" i="199" s="1"/>
  <c r="AF34" i="199"/>
  <c r="AG34" i="199" s="1"/>
  <c r="AF35" i="199"/>
  <c r="AG35" i="199" s="1"/>
  <c r="AF36" i="199"/>
  <c r="AG36" i="199" s="1"/>
  <c r="AF37" i="199"/>
  <c r="AG37" i="199" s="1"/>
  <c r="AF39" i="199"/>
  <c r="AG39" i="199" s="1"/>
  <c r="AF40" i="199"/>
  <c r="AG40" i="199" s="1"/>
  <c r="AF43" i="199"/>
  <c r="AG43" i="199" s="1"/>
  <c r="AF45" i="199"/>
  <c r="AG45" i="199" s="1"/>
  <c r="AF49" i="199"/>
  <c r="AG49" i="199" s="1"/>
  <c r="AF52" i="199"/>
  <c r="AG52" i="199" s="1"/>
  <c r="AF56" i="199"/>
  <c r="AG56" i="199" s="1"/>
  <c r="AF58" i="199"/>
  <c r="AG58" i="199" s="1"/>
  <c r="AF59" i="199"/>
  <c r="AG59" i="199" s="1"/>
  <c r="AF61" i="199"/>
  <c r="AG61" i="199" s="1"/>
  <c r="AF65" i="199"/>
  <c r="AG65" i="199" s="1"/>
  <c r="AF69" i="199"/>
  <c r="AG69" i="199" s="1"/>
  <c r="AF70" i="199"/>
  <c r="AG70" i="199" s="1"/>
  <c r="AF73" i="199"/>
  <c r="AG73" i="199" s="1"/>
  <c r="AF74" i="199"/>
  <c r="AG74" i="199" s="1"/>
  <c r="AF76" i="199"/>
  <c r="AG76" i="199" s="1"/>
  <c r="AF78" i="199"/>
  <c r="AG78" i="199" s="1"/>
  <c r="AF84" i="199"/>
  <c r="AG84" i="199" s="1"/>
  <c r="AF85" i="199"/>
  <c r="AG85" i="199" s="1"/>
  <c r="AF87" i="199"/>
  <c r="AG87" i="199" s="1"/>
  <c r="AF88" i="199"/>
  <c r="AG88" i="199" s="1"/>
  <c r="AF89" i="199"/>
  <c r="AG89" i="199" s="1"/>
  <c r="AF90" i="199"/>
  <c r="AG90" i="199" s="1"/>
  <c r="AF92" i="199"/>
  <c r="AG92" i="199" s="1"/>
  <c r="AF93" i="199"/>
  <c r="AG93" i="199" s="1"/>
  <c r="AF95" i="199"/>
  <c r="AG95" i="199" s="1"/>
  <c r="AF96" i="199"/>
  <c r="AG96" i="199" s="1"/>
  <c r="AF98" i="199"/>
  <c r="AG98" i="199" s="1"/>
  <c r="AF100" i="199"/>
  <c r="AG100" i="199" s="1"/>
  <c r="AF102" i="199"/>
  <c r="AG102" i="199" s="1"/>
  <c r="AF105" i="199"/>
  <c r="AG105" i="199" s="1"/>
  <c r="AF108" i="199"/>
  <c r="AG108" i="199" s="1"/>
  <c r="AF109" i="199"/>
  <c r="AG109" i="199" s="1"/>
  <c r="AF110" i="199"/>
  <c r="AG110" i="199" s="1"/>
  <c r="AF112" i="199"/>
  <c r="AG112" i="199" s="1"/>
  <c r="AF114" i="199"/>
  <c r="AG114" i="199" s="1"/>
  <c r="AF115" i="199"/>
  <c r="AG115" i="199" s="1"/>
  <c r="AF117" i="199"/>
  <c r="AG117" i="199" s="1"/>
  <c r="AF118" i="199"/>
  <c r="AG118" i="199" s="1"/>
  <c r="AF119" i="199"/>
  <c r="AG119" i="199" s="1"/>
  <c r="AF122" i="199"/>
  <c r="AG122" i="199" s="1"/>
  <c r="AF124" i="199"/>
  <c r="AG124" i="199" s="1"/>
  <c r="AF126" i="199"/>
  <c r="AG126" i="199" s="1"/>
  <c r="AF129" i="199"/>
  <c r="AG129" i="199" s="1"/>
  <c r="AF130" i="199"/>
  <c r="AG130" i="199" s="1"/>
  <c r="AF132" i="199"/>
  <c r="AG132" i="199" s="1"/>
  <c r="AF136" i="199"/>
  <c r="AG136" i="199" s="1"/>
  <c r="AF137" i="199"/>
  <c r="AG137" i="199" s="1"/>
  <c r="AF141" i="199"/>
  <c r="AG141" i="199" s="1"/>
  <c r="AF149" i="199"/>
  <c r="AG149" i="199" s="1"/>
  <c r="AF150" i="199"/>
  <c r="AG150" i="199" s="1"/>
  <c r="AF151" i="199"/>
  <c r="AG151" i="199" s="1"/>
  <c r="AF153" i="199"/>
  <c r="AG153" i="199" s="1"/>
  <c r="AF156" i="199"/>
  <c r="AG156" i="199" s="1"/>
  <c r="AF161" i="199"/>
  <c r="AG161" i="199" s="1"/>
  <c r="AF167" i="199"/>
  <c r="AG167" i="199" s="1"/>
  <c r="AF168" i="199"/>
  <c r="AG168" i="199" s="1"/>
  <c r="AF169" i="199"/>
  <c r="AG169" i="199" s="1"/>
  <c r="AF173" i="199"/>
  <c r="AG173" i="199" s="1"/>
  <c r="AF181" i="199"/>
  <c r="AG181" i="199" s="1"/>
  <c r="AF185" i="199"/>
  <c r="AG185" i="199" s="1"/>
  <c r="AF5" i="199"/>
  <c r="AG5" i="199" s="1"/>
  <c r="AF7" i="199"/>
  <c r="AG7" i="199" s="1"/>
  <c r="AF22" i="199"/>
  <c r="AG22" i="199" s="1"/>
  <c r="AF33" i="199"/>
  <c r="AG33" i="199" s="1"/>
  <c r="AF53" i="199"/>
  <c r="AG53" i="199" s="1"/>
  <c r="AF57" i="199"/>
  <c r="AG57" i="199" s="1"/>
  <c r="AF63" i="199"/>
  <c r="AG63" i="199" s="1"/>
  <c r="AF79" i="199"/>
  <c r="AG79" i="199" s="1"/>
  <c r="AF80" i="199"/>
  <c r="AG80" i="199" s="1"/>
  <c r="AF97" i="199"/>
  <c r="AG97" i="199" s="1"/>
  <c r="AF127" i="199"/>
  <c r="AG127" i="199" s="1"/>
  <c r="AF128" i="199"/>
  <c r="AG128" i="199" s="1"/>
  <c r="AF134" i="199"/>
  <c r="AG134" i="199" s="1"/>
  <c r="AF138" i="199"/>
  <c r="AG138" i="199" s="1"/>
  <c r="AF140" i="199"/>
  <c r="AG140" i="199" s="1"/>
  <c r="AF144" i="199"/>
  <c r="AG144" i="199" s="1"/>
  <c r="AF145" i="199"/>
  <c r="AG145" i="199" s="1"/>
  <c r="AF146" i="199"/>
  <c r="AG146" i="199" s="1"/>
  <c r="AF164" i="199"/>
  <c r="AG164" i="199" s="1"/>
  <c r="AF179" i="199"/>
  <c r="AG179" i="199" s="1"/>
  <c r="AF8" i="199"/>
  <c r="AG8" i="199" s="1"/>
  <c r="AF152" i="199"/>
  <c r="AG152" i="199" s="1"/>
  <c r="AF171" i="199"/>
  <c r="AG171" i="199" s="1"/>
  <c r="AF72" i="199"/>
  <c r="AG72" i="199" s="1"/>
  <c r="AF75" i="199"/>
  <c r="AG75" i="199" s="1"/>
  <c r="AF111" i="199"/>
  <c r="AG111" i="199" s="1"/>
  <c r="AF135" i="199"/>
  <c r="AG135" i="199" s="1"/>
  <c r="AF143" i="199"/>
  <c r="AG143" i="199" s="1"/>
  <c r="AF9" i="199"/>
  <c r="AG9" i="199" s="1"/>
  <c r="AF10" i="199"/>
  <c r="AG10" i="199" s="1"/>
  <c r="AF20" i="199"/>
  <c r="AG20" i="199" s="1"/>
  <c r="AF21" i="199"/>
  <c r="AG21" i="199" s="1"/>
  <c r="AF23" i="199"/>
  <c r="AG23" i="199"/>
  <c r="AF26" i="199"/>
  <c r="AG26" i="199"/>
  <c r="AF28" i="199"/>
  <c r="AG28" i="199" s="1"/>
  <c r="AF38" i="199"/>
  <c r="AG38" i="199" s="1"/>
  <c r="AF41" i="199"/>
  <c r="AG41" i="199" s="1"/>
  <c r="AF42" i="199"/>
  <c r="AG42" i="199" s="1"/>
  <c r="AF44" i="199"/>
  <c r="AG44" i="199" s="1"/>
  <c r="AF46" i="199"/>
  <c r="AG46" i="199" s="1"/>
  <c r="AF47" i="199"/>
  <c r="AG47" i="199" s="1"/>
  <c r="AF48" i="199"/>
  <c r="AG48" i="199" s="1"/>
  <c r="AF50" i="199"/>
  <c r="AG50" i="199"/>
  <c r="AF51" i="199"/>
  <c r="AG51" i="199"/>
  <c r="AF54" i="199"/>
  <c r="AG54" i="199" s="1"/>
  <c r="AF55" i="199"/>
  <c r="AG55" i="199"/>
  <c r="AF60" i="199"/>
  <c r="AG60" i="199" s="1"/>
  <c r="AF62" i="199"/>
  <c r="AG62" i="199" s="1"/>
  <c r="AF64" i="199"/>
  <c r="AG64" i="199" s="1"/>
  <c r="AF66" i="199"/>
  <c r="AG66" i="199" s="1"/>
  <c r="AF67" i="199"/>
  <c r="AG67" i="199"/>
  <c r="AF68" i="199"/>
  <c r="AG68" i="199" s="1"/>
  <c r="AF71" i="199"/>
  <c r="AG71" i="199" s="1"/>
  <c r="AF77" i="199"/>
  <c r="AG77" i="199" s="1"/>
  <c r="AF81" i="199"/>
  <c r="AG81" i="199" s="1"/>
  <c r="AF82" i="199"/>
  <c r="AG82" i="199" s="1"/>
  <c r="AF83" i="199"/>
  <c r="AG83" i="199" s="1"/>
  <c r="AF86" i="199"/>
  <c r="AG86" i="199" s="1"/>
  <c r="AF91" i="199"/>
  <c r="AG91" i="199" s="1"/>
  <c r="AF94" i="199"/>
  <c r="AG94" i="199" s="1"/>
  <c r="AF99" i="199"/>
  <c r="AG99" i="199"/>
  <c r="AF101" i="199"/>
  <c r="AG101" i="199"/>
  <c r="AF103" i="199"/>
  <c r="AG103" i="199" s="1"/>
  <c r="AF104" i="199"/>
  <c r="AG104" i="199" s="1"/>
  <c r="AF106" i="199"/>
  <c r="AG106" i="199" s="1"/>
  <c r="AF107" i="199"/>
  <c r="AG107" i="199" s="1"/>
  <c r="AF113" i="199"/>
  <c r="AG113" i="199" s="1"/>
  <c r="AF116" i="199"/>
  <c r="AG116" i="199"/>
  <c r="AF120" i="199"/>
  <c r="AG120" i="199" s="1"/>
  <c r="AF121" i="199"/>
  <c r="AG121" i="199" s="1"/>
  <c r="AF123" i="199"/>
  <c r="AG123" i="199" s="1"/>
  <c r="AF125" i="199"/>
  <c r="AG125" i="199"/>
  <c r="AF131" i="199"/>
  <c r="AG131" i="199" s="1"/>
  <c r="AF133" i="199"/>
  <c r="AG133" i="199" s="1"/>
  <c r="AF139" i="199"/>
  <c r="AG139" i="199"/>
  <c r="AF142" i="199"/>
  <c r="AG142" i="199" s="1"/>
  <c r="AF147" i="199"/>
  <c r="AG147" i="199" s="1"/>
  <c r="AF148" i="199"/>
  <c r="AG148" i="199" s="1"/>
  <c r="AF154" i="199"/>
  <c r="AG154" i="199" s="1"/>
  <c r="AF155" i="199"/>
  <c r="AG155" i="199"/>
  <c r="AF157" i="199"/>
  <c r="AG157" i="199" s="1"/>
  <c r="AF158" i="199"/>
  <c r="AG158" i="199" s="1"/>
  <c r="AF159" i="199"/>
  <c r="AG159" i="199" s="1"/>
  <c r="AF160" i="199"/>
  <c r="AG160" i="199" s="1"/>
  <c r="AF162" i="199"/>
  <c r="AG162" i="199" s="1"/>
  <c r="AF163" i="199"/>
  <c r="AG163" i="199" s="1"/>
  <c r="AF165" i="199"/>
  <c r="AG165" i="199" s="1"/>
  <c r="AF166" i="199"/>
  <c r="AG166" i="199" s="1"/>
  <c r="AF170" i="199"/>
  <c r="AG170" i="199" s="1"/>
  <c r="AF172" i="199"/>
  <c r="AG172" i="199" s="1"/>
  <c r="AF174" i="199"/>
  <c r="AG174" i="199" s="1"/>
  <c r="AF175" i="199"/>
  <c r="AG175" i="199" s="1"/>
  <c r="AF176" i="199"/>
  <c r="AG176" i="199" s="1"/>
  <c r="AF177" i="199"/>
  <c r="AG177" i="199" s="1"/>
  <c r="AF178" i="199"/>
  <c r="AG178" i="199" s="1"/>
  <c r="AF180" i="199"/>
  <c r="AG180" i="199" s="1"/>
  <c r="AF182" i="199"/>
  <c r="AG182" i="199" s="1"/>
  <c r="AF183" i="199"/>
  <c r="AG183" i="199" s="1"/>
  <c r="AF184" i="199"/>
  <c r="AG184" i="199" s="1"/>
  <c r="J5" i="14"/>
  <c r="AD2" i="200"/>
  <c r="AE2" i="200" s="1"/>
  <c r="AE71" i="200" s="1"/>
  <c r="I11" i="14" l="1"/>
  <c r="J11" i="14" s="1"/>
  <c r="I10" i="14"/>
  <c r="J10" i="14" s="1"/>
  <c r="AF2" i="198" l="1"/>
  <c r="AG2" i="198" s="1"/>
  <c r="AG10" i="198" s="1"/>
  <c r="C2" i="198"/>
  <c r="B2" i="198"/>
  <c r="AF2" i="199"/>
  <c r="AG2" i="199" s="1"/>
  <c r="AG210" i="199" s="1"/>
  <c r="C2" i="199"/>
  <c r="B2" i="199"/>
  <c r="D8" i="14" l="1"/>
  <c r="D7" i="14"/>
  <c r="C2" i="200"/>
  <c r="B2" i="200"/>
  <c r="D6" i="14" l="1"/>
  <c r="B8" i="14" l="1"/>
  <c r="B7" i="14" l="1"/>
  <c r="B6" i="14" l="1"/>
  <c r="F2" i="14" l="1"/>
  <c r="I8" i="14"/>
  <c r="I12" i="14" s="1"/>
  <c r="J8" i="14" l="1"/>
  <c r="J12" i="14" s="1"/>
  <c r="D9" i="14" l="1"/>
  <c r="D10" i="14" s="1"/>
  <c r="D11" i="14" l="1"/>
  <c r="D12" i="14" s="1"/>
</calcChain>
</file>

<file path=xl/sharedStrings.xml><?xml version="1.0" encoding="utf-8"?>
<sst xmlns="http://schemas.openxmlformats.org/spreadsheetml/2006/main" count="11174" uniqueCount="2449">
  <si>
    <t>LÍNEA COMUNICACIONES S.A.S</t>
  </si>
  <si>
    <t>FACTURACIÓN CORRESPONSALES BANCARIOS TIQUIETES AEREOS</t>
  </si>
  <si>
    <t>FACTURACIÓN PROYECTO CB BANCOLOMBIA</t>
  </si>
  <si>
    <t>CONCEPTOS</t>
  </si>
  <si>
    <t>TRAYECTOS</t>
  </si>
  <si>
    <t>TOTAL</t>
  </si>
  <si>
    <t xml:space="preserve">% Administración </t>
  </si>
  <si>
    <t>CANTIDAD</t>
  </si>
  <si>
    <t>VALOR UNITARIO</t>
  </si>
  <si>
    <t>VALOR TOTAL</t>
  </si>
  <si>
    <t>Adecuaciones CB</t>
  </si>
  <si>
    <t>Incidentes</t>
  </si>
  <si>
    <t>Ordenes de Cambio</t>
  </si>
  <si>
    <t>Tiquetes</t>
  </si>
  <si>
    <t>SUBTOTAL</t>
  </si>
  <si>
    <t>Iva</t>
  </si>
  <si>
    <t>TARIFAS 2025</t>
  </si>
  <si>
    <t>Incremento 2025</t>
  </si>
  <si>
    <t xml:space="preserve">Tipificación </t>
  </si>
  <si>
    <t>Descripción</t>
  </si>
  <si>
    <t>Dia actividad Exitosa</t>
  </si>
  <si>
    <t>Dia actividad Fallida</t>
  </si>
  <si>
    <t>Tipo I</t>
  </si>
  <si>
    <t>Metropolitano</t>
  </si>
  <si>
    <t>Tipo II</t>
  </si>
  <si>
    <t>Hasta 3 horas</t>
  </si>
  <si>
    <t>Tipo III</t>
  </si>
  <si>
    <t>De 3 a 5 horas</t>
  </si>
  <si>
    <t>Tipo IV</t>
  </si>
  <si>
    <t>Más de 5 horas</t>
  </si>
  <si>
    <t>Destino aereo</t>
  </si>
  <si>
    <t>No incluye valor del Tiquete</t>
  </si>
  <si>
    <t>*Donde se requiera transporte aéreo o fluvial se factura adicional a tarifa TIPO IV el valor del tiquete + el 12% de admon.</t>
  </si>
  <si>
    <t>Gestión Telefónica</t>
  </si>
  <si>
    <t>Mts Acometida electrica</t>
  </si>
  <si>
    <t>Mts Acometida datos</t>
  </si>
  <si>
    <t>switche</t>
  </si>
  <si>
    <t>Router</t>
  </si>
  <si>
    <t>Envio operador Logistico</t>
  </si>
  <si>
    <t>ADECUACIONES</t>
  </si>
  <si>
    <t>NOMBRE CC</t>
  </si>
  <si>
    <t>Suma de VALOR</t>
  </si>
  <si>
    <t>Suma de VALOR2</t>
  </si>
  <si>
    <t>COORDINADOR</t>
  </si>
  <si>
    <t>CENTRO DE COSTOS LÍNEACOM</t>
  </si>
  <si>
    <t>%</t>
  </si>
  <si>
    <t>$</t>
  </si>
  <si>
    <t>VALOR</t>
  </si>
  <si>
    <t>Redeban Centro ( Bogotá)</t>
  </si>
  <si>
    <t>DIEGO FERNANDO HENAO CARDONA</t>
  </si>
  <si>
    <t>0004-0002</t>
  </si>
  <si>
    <t>Redeban Costa (Barranqullla)</t>
  </si>
  <si>
    <t>0004-0003</t>
  </si>
  <si>
    <t>Redeban Eje Cafetero (Pereira)</t>
  </si>
  <si>
    <t>JOSE MAURICIO HERNANDEZ ROJAS</t>
  </si>
  <si>
    <t>0004-0001</t>
  </si>
  <si>
    <t>Redeban Noroccidente (Medellín)</t>
  </si>
  <si>
    <t>JUAN SEBASTIÁN RÍOS CASTRILLÓN</t>
  </si>
  <si>
    <t>0004-0005</t>
  </si>
  <si>
    <t>Redeban Oriente (Otros)</t>
  </si>
  <si>
    <t>KEVIN ALEXIS CORZO BUSTOS</t>
  </si>
  <si>
    <t>0004-0007</t>
  </si>
  <si>
    <t>Redeban Santander</t>
  </si>
  <si>
    <t>MIGUEL JULIÁN HERNÁNDEZ GUARÍN</t>
  </si>
  <si>
    <t>0004-0008</t>
  </si>
  <si>
    <t>Redeban Suroccidente (Cali)</t>
  </si>
  <si>
    <t>WILLIAM ASDRUBAL ROZO ROZO</t>
  </si>
  <si>
    <t>0004-0004</t>
  </si>
  <si>
    <t>Total general</t>
  </si>
  <si>
    <t>INCIDENTES</t>
  </si>
  <si>
    <t>OC</t>
  </si>
  <si>
    <t>CIUDAD SEDE</t>
  </si>
  <si>
    <t>CÓDIGO DANE</t>
  </si>
  <si>
    <t>TA/CODIGO ACTIVIDAD</t>
  </si>
  <si>
    <t>CODIGO CB</t>
  </si>
  <si>
    <t>ACTIVIDAD</t>
  </si>
  <si>
    <t>TIPO DE APERTURA</t>
  </si>
  <si>
    <t>DEPARTAMENTO</t>
  </si>
  <si>
    <t>CIUDAD</t>
  </si>
  <si>
    <t xml:space="preserve">NOMBRE  DEL CB </t>
  </si>
  <si>
    <t>RED</t>
  </si>
  <si>
    <t>FO</t>
  </si>
  <si>
    <t>FECHA LISTA</t>
  </si>
  <si>
    <t>FECHA ULTIMA ACTUALIZACION</t>
  </si>
  <si>
    <t>FORMATO</t>
  </si>
  <si>
    <t>CADENA</t>
  </si>
  <si>
    <t>ESTADO</t>
  </si>
  <si>
    <t>OBSERVACIONES CLIENTE</t>
  </si>
  <si>
    <t>FORMA DE ATENCIÓN</t>
  </si>
  <si>
    <t>TERMINALES</t>
  </si>
  <si>
    <t>TIPIFICACION</t>
  </si>
  <si>
    <t>TIPO DE TRAYECTO</t>
  </si>
  <si>
    <t xml:space="preserve">NOMBRE DEL TECNICO </t>
  </si>
  <si>
    <t xml:space="preserve">ACOMETIDA DATOS
</t>
  </si>
  <si>
    <t xml:space="preserve">ACOMETIDA ELECTRICA </t>
  </si>
  <si>
    <t>SWITCH</t>
  </si>
  <si>
    <t>ROUTER</t>
  </si>
  <si>
    <t>VALOR DIAS ACTIVIDAD FACTURABLES</t>
  </si>
  <si>
    <t>DIAS ACTIVIDAD FACTURABLES</t>
  </si>
  <si>
    <t>VALOR TOTAL INSTALACION DE PUBLICIDAD</t>
  </si>
  <si>
    <t>MEDELLIN</t>
  </si>
  <si>
    <t>TA-25-792913</t>
  </si>
  <si>
    <t>APERTURA</t>
  </si>
  <si>
    <t>CB CRECIMIENTO - OTRAS LISTAS</t>
  </si>
  <si>
    <t>ANTIOQUIA</t>
  </si>
  <si>
    <t>BETANIA</t>
  </si>
  <si>
    <t>BARRIO BETANIA ANTIOQUIA BETANIA</t>
  </si>
  <si>
    <t>REDEBAN</t>
  </si>
  <si>
    <t>FO-25-1167345</t>
  </si>
  <si>
    <t>UNO A UNO</t>
  </si>
  <si>
    <t>EJECUTADO</t>
  </si>
  <si>
    <t>13-06 SE ESTABLECE COMUNICACIÓN CON EL USUARIO EL CUAL IDNICA QUE EL NECESITA ES UN CORRESPONSAL CON UN CUPO BASTANTES GRANDE, QUE SI EL CORRESPONSAL ES SOLO POR 10 MILLONES NO LE INTERESA - COMUNICACIÓN POR WPP 13/6/2025 ESTE PUNTO FUE ENVIADO EN LA LISTA DE AYER, ME APOYAN POR FAVOR DEJÁNDOLO PENDIENTE HASTA LAS HORAS DE LA TARDE, ES DECIR, NO PROCESEN LA PROGRAMACIÓN, PERO TAMPOCO LO CANCELEN. 19/6/2025 POR FAVOR PROCEDER CON LA IMPLEMENTACIÓN, AGRADEZCO NOS CONFIRMEN CUANDO SE PROGRAME EL PUNTO. 26/6/2025 SE REALIZÓ VISITA NO SE LOGRA INSTALAR YA QUE EL CUPO ASIGNADO ES DE 10 MILLONES EL CB SOLICITO QUE FUERA MÁS ALTO, SE ESCALO TEMA A BANCO Y NO BRINDAN INFORMACIÓN OPORTUNA ADICIONAL NOS INDICA QUE SE DEBE CORREGIR EL CORREO ELECTRÓNICO RDESCOBARARANGO@YAHOO.ES SE POSPONE ACTIVIDAD 4/7/2025 SE REALIZA INSTALACIÓN DE CORRESPONSAL, SE INSTALAN EQUIPOS CON PRUEBAS EXITOSAS, SE CAPACITA Y SE EVALÚA AL CLIENTE, SE INSTALA PUBLICIDAD COMPLETA, CB QUEDA OPERATIVO. USUARIO SOMOS BANCOLOMBIA ACTIVO</t>
  </si>
  <si>
    <t>VISITA _TECNICA</t>
  </si>
  <si>
    <t>SASZZ633</t>
  </si>
  <si>
    <t>TIPO III</t>
  </si>
  <si>
    <t>TERRESTRE</t>
  </si>
  <si>
    <t>QUINTERO SANCHEZ JUAN SEBASTIAN</t>
  </si>
  <si>
    <t>SANTA MARTA</t>
  </si>
  <si>
    <t>TA-25-790987</t>
  </si>
  <si>
    <t>CB CRECIMIENTO ALIANZA - NUEVO</t>
  </si>
  <si>
    <t>LA GUAJIRA</t>
  </si>
  <si>
    <t>MAICAO</t>
  </si>
  <si>
    <t>DISTRICOL COMERCIALIZADORA</t>
  </si>
  <si>
    <t>FO-25-1186686</t>
  </si>
  <si>
    <t>AGREGADOR</t>
  </si>
  <si>
    <t>DISTRICOL</t>
  </si>
  <si>
    <t>18-06 PROGRAMACIÓN REALIZADA POR LA ALIANZA 21/6/2025 EN COMUNICACIÓN CON EL SEÑOR FRANCISCO VELÁZQUEZ AL NÚMERO 3003299172, ME INFORMA QUE EL PEAJE ENTRE MAICAO Y RIOHACHA FUE VOLADO POR EL ELN, Y QUE EL SECTOR ESTÁ EN ZONA ROJA POR PROBLEMAS DE ORDEN PÚBLICO , SE REPROGRAMA LA VISITA PARA LA PRÓXIMA SEMANA QUE SE RESTABLEZCA EL ORDEN EN EL SECTOR  26/6/2025 LA ALTERACIÓN AUN CONTINUA POR ESTE MOTIVO NO SE HA PODIDO REALIZAR IMPLEMENTACIÓN 2/7/2025 SE PROGRAMA VISITA PARA EL 04-07  04-07 NO SE LOGRA COMPLETAR LA APERTURA YA QUE EL CLIENTE MANIFIESTA NO TENER DISPOSICIÓN POR COMPROMISO FAMILIAR, QUEDA PENDIENTE LA CAPACITACIÓN ESTÁ QUEDA APLAZADA PARA EL DÍA SÁBADO 5 DE JULIO 5/7/2025 SE REALIZA INSTALACIÓN DE CORRESPONSAL, SE INSTALAN EQUIPOS CON PRUEBAS EXITOSAS, SE CAPACITA Y SE EVALÚA AL CLIENTE, SE INSTALA PUBLICIDAD COMPLETA, CB QUEDA OPERATIVO. USUARIO SOMOS BANCOLOMBIA ACTIVO</t>
  </si>
  <si>
    <t>SAUZZ961</t>
  </si>
  <si>
    <t>TIPO IV</t>
  </si>
  <si>
    <t>THOMAS  CAMPO SIGIFREDO SEGUNDO</t>
  </si>
  <si>
    <t>PEREIRA</t>
  </si>
  <si>
    <t>TA-25-799134</t>
  </si>
  <si>
    <t>CB CRECIMIENTO - NUEVO</t>
  </si>
  <si>
    <t>RISARALDA</t>
  </si>
  <si>
    <t>GUATICA</t>
  </si>
  <si>
    <t>BARRIO CENTRO GUATICA  4</t>
  </si>
  <si>
    <t>FO-25-1158501</t>
  </si>
  <si>
    <t>24-06-2025 SE REALIZA LLAMADA AL CLIENTE, SE HABLA CON LA SRA ZHARICK QUINTERO TABARES  SE VALIDA DIRECCIÓN OK, CANAL OK, DISPONIBILIDAD TOTAL, LLAMAR EL DÍA LA INSTALACIÓN PARA CONFIRMAR VISITA, AVISO EXTERIOR ALTURA APROX 3 METROS; TOMACORRIENTE CERCANO: SI; TIENE CABINA DE SEGURIDAD: SI // CONTACTO REALIZADO POR LA APP 27/6/2025 SE REALIZA VISITA DE APERTURA AL CB UNO A UNO CON CÓDIGO 3007080021 BARRIO CENTRO GUATICA 44, DIRECCIÓN  CR 5 12 32   , COORDENADAS  5.315427, -75.798033, PERO SE ENCUENTRA CERCANÍA CON  CORRESPONSAL DISTRICOL INSTALADO CON CÓDIGO 3007070765 DISTRICOL UNIVERSO ESCOLAR , DIRECCIÓN CL 13  12 66,  COORDENADAS 5.315486, -75.797833, QUEDANDO A MENOS DE 25 MTS DE DISTANCIA UNO DEL OTRO A DOS CASAS EN LA MISMA CUADRA,  SE REALIZA ESCALAMIENTO POR CERCANÍA EN ESPERA DE  COMO PROCEDER. / ENTIDAD APRUEBA INSTALACIÓN 9/7/2025 SE REALIZA INSTALACIÓN DE CORRESPONSAL, SE INSTALAN EQUIPOS CON PRUEBAS EXITOSAS, SE CAPACITA Y SE EVALÚA AL CLIENTE, SE INSTALA PUBLICIDAD COMPLETA, CB QUEDA OPERATIVO. USUARIO SOMOS BANCOLOMBIA ACTIVO</t>
  </si>
  <si>
    <t>SAXZZ471</t>
  </si>
  <si>
    <t>TIPO II</t>
  </si>
  <si>
    <t>ARROYAVE CANO MANUEL GUILLERMO</t>
  </si>
  <si>
    <t>TA-25-803999</t>
  </si>
  <si>
    <t>DATAFONO ADICIONAL - ALIANZA</t>
  </si>
  <si>
    <t>MULTIPAGAS  PLAZA DE BOLIVAR PEREIRA</t>
  </si>
  <si>
    <t>FO-25-1138992</t>
  </si>
  <si>
    <t>ROBUSTO</t>
  </si>
  <si>
    <t>MULTIPAGAS</t>
  </si>
  <si>
    <t>EJECUTADO/CANCELADO</t>
  </si>
  <si>
    <t>26-06 SE REALIZA LLAMADA AL CLIENTE, SE HABLA CON LA SRA CLAUDIA OSORIO  SE VALIDA DIRECCIÓN OK, CANAL OK, DISPONIBILIDAD TOTAL, LLAMAR EL DÍA LA INSTALACIÓN PARA CONFIRMAR VISITA, 1/7/2025 SE REALIZA VISITA, EL CLIENTE INDICA QUE NO SE PUEDE DAR INGRESO YA QUE DE CENTRO DE GESTIÓN DE MULTIPAGAS SOLICITAN UN ERRADICADO PARA EL INGRESO, SE LE INDICA AL CLIENTE QUE SE VA A REALIZAR UNA INSTALACIÓN DE DATÁFONO ADICIONAL POR PETICIÓN DE MULTIPAGAS, PERO INDICA QUE UNA VEZ VALIDEN CON EL CENTRO DE GESTIÓN LLAMAN NUEVAMENTE A SOLICITAR LA INSTALACIÓN.</t>
  </si>
  <si>
    <t>V1ZZZ965</t>
  </si>
  <si>
    <t>TIPO I</t>
  </si>
  <si>
    <t>FRANCO CAÑAVERAL YAMID RAUL</t>
  </si>
  <si>
    <t>SINCELEJO</t>
  </si>
  <si>
    <t>TA-25-820441</t>
  </si>
  <si>
    <t>SUCRE</t>
  </si>
  <si>
    <t>SAN LUIS DE SINCE</t>
  </si>
  <si>
    <t>BARRIO EL TREBOL SAN LUIS DE SINCE</t>
  </si>
  <si>
    <t>FO-25-1161762</t>
  </si>
  <si>
    <t>28-06 SE REALIZA LLAMADA AL CLIENTE, SE HABLA CON EL SR  HECTOR MAURICIO HERAZO GALVAN, SE VALIDA DIRECCIÓN OK, CANAL OK, DISPONIBILIDAD TOTAL, LLAMAR EL DÍA LA INSTALACIÓN PARA CONFIRMAR VISITA, AVISO EXTERIOR ALTURA APROX 3 METROS; TOMACORRIENTE CERCANO: SI; TIENE CABINA DE SEGURIDAD: NO 3/7/2025 SE LLEGA A LA DIRECCIÓN RELACIONADA EN LA LISTA DE CHEQUEO CRA 14 12 5,EL TRÉBOL, PERO SE EVIDENCIA QUE EN ESA DIRECCIÓN NO ESTÁ EL COMERCIO, EL COMERCIO ESTA UBICADO EN LA CRA 13 12 03. POR TAL MOTIVO SE CANCELA.</t>
  </si>
  <si>
    <t>F1ZZZ689</t>
  </si>
  <si>
    <t>SANTOS GUZMAN CHRISTIAN FELIPE</t>
  </si>
  <si>
    <t>CALI</t>
  </si>
  <si>
    <t>TA-25-820966</t>
  </si>
  <si>
    <t>CAUCA</t>
  </si>
  <si>
    <t>POPAYAN</t>
  </si>
  <si>
    <t>BARRIO ESMERALDA POPAYAN 5</t>
  </si>
  <si>
    <t>FO-25-1174585</t>
  </si>
  <si>
    <t>01-07-2025 SE REALIZA LLAMADA AL CLIENTE, SE HABLA CON LA SRA SANDRA LORENA PAMPLONA DORADO SE VALIDA DIRECCIÓN OK, CANAL OK, DISPONIBILIDAD TOTAL, LLAMAR EL DÍA LA INSTALACIÓN PARA CONFIRMAR VISITA, AVISO EXTERIOR ALTURA APROX CLIENTE NO TIENE CONOCIMIENTO DE MEDIDAS; TOMACORRIENTE CERCANO: SI; TIENE CABINA DE SEGURIDAD: SI // CONTACTO REALIZADO POR LA APP 2/7/2025 SE REALIZA VISITA DE APERTURA AL CB UNO A UNO CON CÓDIGO 3007080021 BARRIO ESMERALDA POPAYAN 5  , DIRECCIÓN  CR 18 7 B 11 LC 1 , COORDENADAS  2.442165, -76.616340, PERO SE ENCUENTRA CERCANÍA CON  CORRESPONSAL PTM INSTALADO CON CÓDIGO 3007072845 PTM POPAYAN VARIEDADES , DIRECCIÓN CR 18 7 A 15,  COORDENADAS 2.442495, -76.616620, QUEDANDO A MENOS DE 30 MTS DE DISTANCIA UNO DEL OTRO ,  SE REALIZA ESCALAMIENTO POR CERCANÍA EN ESPERA DE  COMO PROCEDER. 2/7/2025 ENTIDAD APRUEBA INSTALACIÓN 02-07 SE REALIZÓ LLAMADA DE VALIDACIÓN Y EL CLIENTE, EL SEÑOR JONATHAN MORA ME COMENTÓ QUE NO PUEDE ATENDERNOS EL DÍA DE HOY PORQUE NO LE HABÍAN INFORMADO NADA, QUE PORFA PARA EL DÍA VIERNES POR LA TARDE O PARA LA OTRA SEMANA PERO QUE SE LE INFORME ANTES PARA ÉL ESTAR PREPARADO. 11/7/2025 EN NUEVA COMUNICACIÓN CON EL USUARIO INDICA QUE NOS ATIENDE EL DIA DE MAÑANA  12-07 SE REALIZA INSTALACIÓN DE CORRESPONSAL, SE INSTALAN EQUIPOS CON PRUEBAS EXITOSAS, SE CAPACITA Y SE EVALÚA AL CLIENTE, SE INSTALA PUBLICIDAD COMPLETA, CB QUEDA OPERATIVO. USUARIO SOMOS BANCOLOMBIA ACTIVO</t>
  </si>
  <si>
    <t>F1ZZZ726</t>
  </si>
  <si>
    <t>GIMBUEL LASSO LUIS GERMAN</t>
  </si>
  <si>
    <t>BOGOTA</t>
  </si>
  <si>
    <t>TA-25-821243</t>
  </si>
  <si>
    <t>CUNDINAMARCA</t>
  </si>
  <si>
    <t>GUADUAS</t>
  </si>
  <si>
    <t>BARRIO CENTRO GUADUAS 5</t>
  </si>
  <si>
    <t>FO-25-1180211</t>
  </si>
  <si>
    <t>1-07-2025 SE REALIZA COMUNICACION CON CLIENTE, SE HABLA CON LA SRA ARAMINTA GALINDO ROJAS SE VALIDA DIRECCIÓN OK, CANAL OK, DISPONIBILIDAD TOTAL, LLAMAR EL DÍA DE LA INSTALACIÓN PARA CONFIRMAR VISITA, ALTURA APROX 2 METROS; TOMACORRIENTE CERCANO: SI; TIENE CABINA DE SEGURIDAD: NO // CONTACTO REALIZADO POR WHATSAPP 10:49 a. m. 3/7/2025 SE VISITA COMERCIO, SE EVIDENCIA QUE EL CLIENTE NO TIENE UN PUNTO DE RED LISTO PARA CONECTAR EL EQUIPO CB BANCOLOMBIA A INSTALAR, EL CLIENTE INDICA QUE SI PODEMOS REPROGRAMAR LA VISITA PARA EL DÍA MIERCOLES 9 DE JULIO QUE YA TENDRÍA EL PUNTO DE INTERNET, SE INFORMA AL COORDINADOR QUIEN INDICA REPROGRAMAR VISITA PARA DICHA FECHA. 09-07 SE REALIZA INSTALACIÓN DE CORRESPONSAL, SE INSTALAN EQUIPOS CON PRUEBAS EXITOSAS, SE CAPACITA Y SE EVALÚA AL CLIENTE, SE INSTALA PUBLICIDAD COMPLETA, CB QUEDA OPERATIVO. USUARIO SOMOS BANCOLOMBIA ACTIVO</t>
  </si>
  <si>
    <t>F1ZZZ749</t>
  </si>
  <si>
    <t>BUSTOS MORA DIEGO MANUEL</t>
  </si>
  <si>
    <t>NEIVA</t>
  </si>
  <si>
    <t>TA-25-821658</t>
  </si>
  <si>
    <t>CAQUETA</t>
  </si>
  <si>
    <t>FLORENCIA</t>
  </si>
  <si>
    <t>BARRIO CENTRO FLORENCIA 38</t>
  </si>
  <si>
    <t>FO-25-1163140</t>
  </si>
  <si>
    <t>01-07 SE REALIZA LLAMADA AL CLIENTE, SE HABLA CON LA SR JUAN CAMILO SANCHEZ SILVASE VALIDA DIRECCIÓN OK, CANAL OK, DISPONIBILIDAD TOTAL, LLAMAR EL DÍA LA INSTALACIÓN PARA CONFIRMAR VISITA, AVISO EXTERIOR ALTURA APROX 2.50 METROS; TOMACORRIENTE CERCANO: SI; TIENE CABINA DE SEGURIDAD: NO 2/7/2025 SALIÓ NUEVAMENTE ESTA APERTURA, SE REALIZÓ VISITA PARA IMPLEMENTACIÓN DEL CB 79863, PERO SE EVIDENCIA QUE EL COMERCIO ESTÁ UBICADO EN LA CARRERA 16 # 15 – 37 EN UN LOCAL DE ESA DIRECCIÓN, SIN EMBARGO EL USUARIO INDICA QUE AHÍ LA DIRECCIÓN ES CARRERA 16 # 15 – 36, NOS INDICA QUE  CÁMARA DE COMERCIO Y RECIBO DE SERVICIOS PÚBLICOS APARECEN DE ESA FORMA, SE VALIDA  LA ACERA DONDE EL USUARIO INDICA Y ESTA ES LA ACERA  DONDE VAN LAS DIRECCIONES DE NÚMEROS IMPARES, ADICIONAL SE EVIDENCIA QUE PARA ESTA VISITA PEGARON UNA NOMENCLATURA CON LA DIRECCIÓN CARRERA 16 # 15 – 36 DONDE ESTA DEBE IR EN LA ACERA DEL FRENTE, PUES LA DEL FRENTE VAN LAS DIRECCIONES PARES TAMBIÉN SE VALIDAN EN LOS LOCALES QUE ESTÁN EN LA DIRECCIÓN Y SE EVIDENCIA QUE HAY UNO DICE QUE CARRERA 16 # 15 – 37 LOCAL 4,  ADEMÁS DONDE EL USUARIO DICE INSTALAR TIENE OTRO NOMBRE DE COMERCIO DIFERENTE AL QUE SE RELACIONA EN LISTA DE CHEQUEO. SEGÚN LO CONVERSADO SE PROCEDE CON LA CANCELACIÓN DE LA APERTURA</t>
  </si>
  <si>
    <t>F1ZZZ594</t>
  </si>
  <si>
    <t>BERMUDEZ SANCHEZ JOSE NEYBER</t>
  </si>
  <si>
    <t>TA-25-821800</t>
  </si>
  <si>
    <t>DATAFONO ADICIONAL</t>
  </si>
  <si>
    <t>HUILA</t>
  </si>
  <si>
    <t>BARRIO IPANEMA NEIVA 2</t>
  </si>
  <si>
    <t>FO-25-1163305</t>
  </si>
  <si>
    <t>01-07 SE REALIZA LLAMADA AL CLIENTE, SE HABLA CON LA SR ERIK JESCE PERDOMO RODRIGUEZ  SE VALIDA DIRECCIÓN OK, CANAL OK, DISPONIBILIDAD TOTAL, LLAMAR EL DÍA LA INSTALACIÓN PARA CONFIRMAR VISITA 3/7/2025 SE LLEGA A SITIO, SE ENCUENTRA LOCAL DESOCUPADO, SE LLAMA A CLIENTE E INDICA QUE YA NO NECESITA EL DATAFONO ADICIONAL.</t>
  </si>
  <si>
    <t>F1ZZZ785</t>
  </si>
  <si>
    <t>DIAZ VARGAS JONATHAN MIGUEL</t>
  </si>
  <si>
    <t>TA-25-831668</t>
  </si>
  <si>
    <t>PTM PEREIRA SUPER SERVICIOS PU</t>
  </si>
  <si>
    <t>FO-25-1195655</t>
  </si>
  <si>
    <t>COMCARD - PTM</t>
  </si>
  <si>
    <t>03-07 PROGRAMACIÓN REALIZADA POR LA ALIANZA 7/7/2025 SE REALIZA VISITA DE APERTURA AL CB PTM CON CÓDIGO 3007080221 PTM PEREIRA SUPERSERVICIOS  , DIRECCIÓN  CR 8 NO 15-20 LC 74 , COORDENADAS  4.813491, -75.691164, PERO SE ENCUENTRA CERCANÍA CON  CORRESPONSAL UNO A UNO INSTALADO CON CÓDIGO 3007075477 BARRIO CENTRO PEREIRA 49  , DIRECCIÓN CR 8 14 73,  COORDENADAS 4.813375,-75.690848, QUEDANDO A MENOS DE 30 MTS DE DISTANCIA UNO DEL OTRO , Y SE ENCUENTRA CERCANIA CON CORRESPONSAL DISTRICOL INSTALADO  CON CODIGO 3007079902 DISTRICOL MULTICENTER, DIRECCION  CR 8 15 62, CORDENADAS 4.813540,-75.691522, QUEDANDO A MENOS DE 40 MTS,   SE REALIZA ESCALAMIENTO POR DOBLE CERCANÍA EN ESPERA DE  COMO PROCEDER. / ENTIDAD APRUEBA INSTALACIÓN 8/7/2025 SE REALIZA INSTALACIÓN DE CORRESPONSAL, SE INSTALAN EQUIPOS CON PRUEBAS EXITOSAS, SE CAPACITA Y SE EVALÚA AL CLIENTE, SE INSTALA PUBLICIDAD COMPLETA, CB QUEDA OPERATIVO. USUARIO SOMOS BANCOLOMBIA ACTIVO</t>
  </si>
  <si>
    <t>F4ZZZ852</t>
  </si>
  <si>
    <t>TA-25-837839</t>
  </si>
  <si>
    <t>BARRIO LA FE SINCELEJO 1</t>
  </si>
  <si>
    <t>FO-25-1193644</t>
  </si>
  <si>
    <t>5-07 SE REALIZA LLAMADA AL CLIENTE, SE HABLA CON  EL  FABIAN LIEVANO ROJAS,  SE VALIDA DIRECCIÓN OK, CANAL OK, DISPONIBILIDAD TOTAL, LLAMAR EL DÍA LA INSTALACIÓN PARA CONFIRMAR VISITA, AVISO EXTERIOR ALTURA APROX  DONDE EL TECNICO LO VEA CONVENIENTE, TOMACORRIENTE CERCANO: SI; TIENE CABINA DE SEGURIDAD: SI 8/7/2025 SE REALIZA VISITA PARA IMPLEMENTACIÓN DEL CB, PERO SE EVIDENCIA QUE EL PUNTO ESTÁ UBICADO EN LA DIRECCIÓN CRA 24 # 5 – 53, AUNQUE EL USUARIO MUESTRA CÁMARA DE COMERCIO Y RECIBO DE ENERGÍA ESTOS NO CORRESPONDEN A LA RELACIONADA EN LA LISTA DE CHEQUEO CR 24 24C 11,LA FE, POR TAL RAZÓN SE CANCELA ACTIVIDAD</t>
  </si>
  <si>
    <t>FAZZZ513</t>
  </si>
  <si>
    <t>TA-25-837933</t>
  </si>
  <si>
    <t>VALLE DEL CAUCA</t>
  </si>
  <si>
    <t>SAN PEDRO</t>
  </si>
  <si>
    <t>BARRIO JARDIN SAN PEDRO</t>
  </si>
  <si>
    <t>FO-25-1193861</t>
  </si>
  <si>
    <t>07-07-2025 SE REALIZA LLAMADA AL CLIENTE, SE HABLA CON LA SRA ANDREA VILLALOBOS VAZQUEZOROZCO SE VALIDA DIRECCIÓN OK, CANAL OK, DISPONIBILIDAD TOTAL, LLAMAR EL DÍA LA INSTALACIÓN PARA CONFIRMAR VISITA, AVISO EXTERIOR ALTURA APROX 2 METROS; TOMACORRIENTE CERCANO: SI; TIENE CABINA DE SEGURIDAD: SI // CONTACTO REALIZADO POR LA APP 9/7/2025 SE VISITÓ COMERCIO, CLIENTE SIN ADECUACIÓN PARA INSTALACIÓN; NO HAY PUERTOS DE RED  DISPONIBLES PARA INSTALACION DEL EQUIPO EN UBICACIÓN ASIGNADA. EN OFICINA PRINCIPAL NO ES POSIBLE INSTALAR DEBIDO A QUE NO PUEDE ATENDER A CLIENTES ALLÁ PORQUE ES RIESGOSO PARA EL COMERCIO A DEMÁS ES ZONA ADMINISTRATIVA NO ADECUADA PARA PARA ATENCIÓN. A DEMÁS TAMPOCO SE PUDO DEJAR PARCIALMENTE EQUIPO ALLÁ DEBIDO QUE TAMPOCO HAY PUERTOS DISPONIBLE. CLIENTE TOMA LA DECISIÓN DE RE PROGRAMAR E INDICA QUE VA REALIZAR LA ADECUACIÓN PARA QUE QUEDE OPERATIVO DE LA FORMA CORRECTA.</t>
  </si>
  <si>
    <t>FAZZZ539</t>
  </si>
  <si>
    <t>BOLAÑOS TABORDA JORGE ENRIQUE</t>
  </si>
  <si>
    <t>TA-25-847178</t>
  </si>
  <si>
    <t>REDY MEDELLIN MORAVIA</t>
  </si>
  <si>
    <t>FO-25-1206808</t>
  </si>
  <si>
    <t>REDY</t>
  </si>
  <si>
    <t>09-07 SE REALIZA LLAMADA AL CLIENTE, SE HABLA CON LA SRA CAMILA DAVID CASAS SE VALIDA DIRECCIÓN OK, CANAL OK, DISPONIBILIDAD TOTAL, LLAMAR EL DÍA LA INSTALACIÓN PARA CONFIRMAR VISITA 11/7/2025 SE LLEGA AL SITIO Y EL USUARIO NO TIENE CONOCIMIENTO DE LA INSTALACIÓN DEL DATAFONO ADICIONAL, SE ESCALA CON EL SUPERVISIÓN Y EL INDICA QUE NO SE PUEDE INSTALAR YA QUE NO HAY ESPACIO PARA PONER EL EQUIPO , SE CANCELA INSTALACIÓN</t>
  </si>
  <si>
    <t>FFZZZ050</t>
  </si>
  <si>
    <t>ZAPATA LOPEZ EDWARD ASDRUBAL</t>
  </si>
  <si>
    <t>CUCUTA</t>
  </si>
  <si>
    <t>TA-25-853056</t>
  </si>
  <si>
    <t>NORTE DE SANTANDER</t>
  </si>
  <si>
    <t>BARRIO TASAJERO CUCUTA 1</t>
  </si>
  <si>
    <t>FO-25-1228438</t>
  </si>
  <si>
    <t>11-07-2025 SE REALIZA LLAMADA AL CLIENTE, SE HABLA CON EL SR LUIS FERNANDO MEDINA TAVERA SE VALIDA DIRECCIÓN OK, CANAL OK, DISPONIBILIDAD TOTAL, LLAMAR EL DÍA LA INSTALACIÓN PARA CONFIRMAR VISITA, AVISO EXTERIOR ALTURA APROX 1 METRO, TOMACORRIENTE CERCANO: SI; TIENE CABINA DE SEGURIDAD: SI// CONTACTO REALIZADO POR LA APP  14/7/2025 SE LLEGA AL SITIO   DE LA ORDEN, DONDE SE IDENTIFICA QUE A POCOS METROS SE ENCUENTRA YA UN CORRESPONSAL EN LA   NOA GALP  N BLC 301 Y CB:58266 DISTRICOL CALDERON SUM SE ESCALA APERTURA PARA CONFIRMAR SI PODEMOS PROCEDER CON LA ORDEN O SI CANCELARNOS. / ENTIDAD APRUEBA INSTALACIÓN 15/7/2025 SE REALIZA INSTALACIÓN DE CORRESPONSAL, SE INSTALAN EQUIPOS CON PRUEBAS EXITOSAS, SE CAPACITA Y SE EVALÚA AL CLIENTE, SE INSTALA PUBLICIDAD COMPLETA, CB QUEDA OPERATIVO. USUARIO SOMOS BANCOLOMBIA ACTIVO</t>
  </si>
  <si>
    <t>LBZZZ624</t>
  </si>
  <si>
    <t>DURAN ACOSTA FRANK YONNY</t>
  </si>
  <si>
    <t>TA-25-853089</t>
  </si>
  <si>
    <t>PALMIRA</t>
  </si>
  <si>
    <t>BARRIO CIUDAD DEL CAMPO PALMIRA 2</t>
  </si>
  <si>
    <t>FO-25-1217928</t>
  </si>
  <si>
    <t>11-07 SE REALIZA LLAMADA AL CLIENTE, SE HABLA CON LA SR DIEGO ALEXANDER CERVERA PAZ SE VALIDA DIRECCIÓN OK, CANAL OK, DISPONIBILIDAD TOTAL, LLAMAR EL DÍA LA INSTALACIÓN PARA CONFIRMAR VISITA, AVISO EXTERIOR ALTURA APROX 2 METROS; TOMACORRIENTE CERCANO: SI; TIENE CABINA DE SEGURIDAD: NO - COMUNICACIÓN POR WPP 14-07 SE REALIZA INSTALACIÓN DE CORRESPONSAL, SE INSTALAN EQUIPOS CON PRUEBAS EXITOSAS, SE CAPACITA Y SE EVALÚA AL CLIENTE, SE INSTALA PUBLICIDAD COMPLETA, CB QUEDA OPERATIVO. USUARIO SOMOS BANCOLOMBIA ACTIVO. SE REALIZA INSTALACIÓN DE 12 MT DE CABLE UTP</t>
  </si>
  <si>
    <t>LBZZZ644</t>
  </si>
  <si>
    <t>TA-25-853187</t>
  </si>
  <si>
    <t>BARRIO LOMITAS BOGOTA 1</t>
  </si>
  <si>
    <t>FO-25-1218094</t>
  </si>
  <si>
    <t>11-07 SE REALIZA LLAMADA AL CLIENTE, SE HABLA CON LA SRA CARMEN MELCIDA CASTILLO ORTIZ SE VALIDA DIRECCIÓN OK, CANAL OK, DISPONIBILIDAD TOTAL, LLAMAR EL DÍA LA INSTALACIÓN PARA CONFIRMAR VISITA, AVISO EXTERIOR ALTURA APROX 2 METROS; TOMACORRIENTE CERCANO: SI; TIENE CABINA DE SEGURIDAD: NO 15/7/2025 SE REALIZA VISITA A CB PARA REALIZAR IMPLEMENTACIÓN SE REPORTA CON ENTIDAD SOBRE LA DIRECCIÓN YA QUE NO CUENTA CON LA DIRECCIÓN COMPLETA  Y INDICAN CANCELACIÓN DE LA INSTALACIÓN</t>
  </si>
  <si>
    <t>FAZZZ214</t>
  </si>
  <si>
    <t>GALINDO ROJAS LUIS FELIPE</t>
  </si>
  <si>
    <t>TA-25-853193</t>
  </si>
  <si>
    <t>SANTIAGO DE TOLU</t>
  </si>
  <si>
    <t>BARRIO ARROYITO SANTIAGO DE TOLU</t>
  </si>
  <si>
    <t>FO-25-1218103</t>
  </si>
  <si>
    <t>11-07 SE REALIZA LLAMADA AL CLIENTE, SE HABLA CON LA SRA JESSICA JULIETH BETIN VERGARA SE VALIDA DIRECCIÓN OK, CANAL OK, DISPONIBILIDAD TOTAL, LLAMAR EL DÍA LA INSTALACIÓN PARA CONFIRMAR VISITA, AVISO EXTERIOR ALTURA APROX 2.5 METROS; TOMACORRIENTE CERCANO: SI; TIENE CABINA DE SEGURIDAD: SI 14/7/2025 SE REALIZA VISITA PARA LA INSTALACIÓN APERTURA, Y SE EVIDENCIA QUE EL COMERCIO ESTA UBICADO EN LA CRA 2 # 18 – 27, LA CUAL NO CORRESPONDE A LA RELACIONADA EN LA LISTA DE CHEQUEO, CR 2 CL 2 8 P 2 AP 02,ARROYITO, POR TAL RAZÓN SE CANCELA</t>
  </si>
  <si>
    <t>FAZZZ274</t>
  </si>
  <si>
    <t>VILLAVICENCIO</t>
  </si>
  <si>
    <t>TA-25-853215</t>
  </si>
  <si>
    <t>META</t>
  </si>
  <si>
    <t>BARRIO ESMERALDA VILLAVICENCIO</t>
  </si>
  <si>
    <t>FO-25-1218137</t>
  </si>
  <si>
    <t>11-07 SE REALIZA LLAMADA AL CLIENTE, SE HABLA CON LA SRA CLAUDIA MILENA GUTIERREZ HERNANDEZ  SE VALIDA DIRECCIÓN OK, CANAL OK, DISPONIBILIDAD TOTAL, LLAMAR EL DÍA LA INSTALACIÓN PARA CONFIRMAR VISITA 14/7/2025 SE REALIZA VISITA PARA LA IMPLEMENTACIÓN DE DATAFONO ADICIONAL, PERO EL COMERCIO ESTÁ UBICADO EN CALLE 44 38-08, LA CUAL NO CORRESPONDE A LA RELACIONADA EN LA LISTA DE CHEQUEO CR 38 N. 44 - 54 LC 1 ESMERALDA . POR TAL MOTIVO SE CANCELA.</t>
  </si>
  <si>
    <t>LBZZZ681</t>
  </si>
  <si>
    <t>CASTRILLON URREA LONDIER LEANDRO</t>
  </si>
  <si>
    <t>BUCARAMANGA</t>
  </si>
  <si>
    <t>TA-25-856103</t>
  </si>
  <si>
    <t>SANTANDER</t>
  </si>
  <si>
    <t>BARRIO LAS AMERICAS BUCARAMANGA</t>
  </si>
  <si>
    <t>FO-25-1247114</t>
  </si>
  <si>
    <t>14-07 SE REALIZA LLAMADA AL CLIENTE, SE HABLA CON LA SRA LOTTY JAIDIN BRACHO MUÑOZ SE VALIDA DIRECCIÓN OK, CANAL OK, DISPONIBILIDAD TOTAL, LLAMAR EL DÍA LA INSTALACIÓN PARA CONFIRMAR VISITA, AVISO EXTERIOR ALTURA APROX  DONDE EL TECNICO LO VEA CONVENIENTE; TOMACORRIENTE CERCANO: SI; TIENE CABINA DE SEGURIDAD: SI 16-07 EN COMUNICACIÓN CON LA SEÑORA LOTTI AL NUMERO 3006705118, NOS INFORMA POR FAVOR Q LA VISITEMOS MAÑANA 17 DE JULIO DESPUES DE LAS 9AM QUE SE ENCONTRARA DISPONIBLE  17/7/2025 ACTIVIDAD PENDIENTE POR ESCALAMIENTO DE CERCANÍA, SE REALIZA RETIRO DE SITIO CON AUTORIZACIÓN DE COORDINACIÓN. / ENTIDAD APRUEBA INSTALACIÓN 18/7/2025 SE REALIZA INSTALACIÓN DE CORRESPONSAL, SE INSTALAN EQUIPOS CON PRUEBAS EXITOSAS, SE CAPACITA Y SE EVALÚA AL CLIENTE, SE INSTALA PUBLICIDAD COMPLETA, CB QUEDA OPERATIVO. USUARIO SOMOS BANCOLOMBIA ACTIVO</t>
  </si>
  <si>
    <t>LDZZZ368</t>
  </si>
  <si>
    <t>SANTOS GONZALEZ JOHAN FABIAN</t>
  </si>
  <si>
    <t>TA-25-870446</t>
  </si>
  <si>
    <t>DISTRICOL MONARCA</t>
  </si>
  <si>
    <t>FO-25-1264569</t>
  </si>
  <si>
    <t>18-07 PROGRAMACIÓN REALIZADA POR LA ALIANZA 21/7/2025 VISITAMOS PUNTO ENCONTRANDO CB EXISTENTE 26786 COMCARD MED ROBLON. SE ESCALA POR CERCANÍA. EXISTENTE: 6.208720, -75.587986 NUEVO: 6.208521, -75.588074  / ENTIDAD APRUEBA INSTALACIÓN 23/07/2025 SE REALIZA INSTALACIÓN DE CORRESPONSAL, SE INSTALAN EQUIPOS CON PRUEBAS EXITOSAS, SE CAPACITA Y SE EVALÚA AL CLIENTE, SE INSTALA PUBLICIDAD COMPLETA, CB QUEDA OPERATIVO. USUARIO SOMOS BANCOLOMBIA ACTIVO</t>
  </si>
  <si>
    <t>SDZZZ900</t>
  </si>
  <si>
    <t>PAREJA ECHAVARRIA JHON DAVID</t>
  </si>
  <si>
    <t>TA-25-870452</t>
  </si>
  <si>
    <t>CACERES</t>
  </si>
  <si>
    <t>DISTRICOL DROGUERIA MAGDALENA</t>
  </si>
  <si>
    <t>FO-25-1250904</t>
  </si>
  <si>
    <t>18-07 PROGRAMACIÓN REALIZADA POR LA ALIANZA 22/7/2025 VISITAMOS PUNTO ENCONTRANDO INCONSISTENCIA CON LA DIRECCIÓN. COMERCIO ESTÁ SOBRE LA CARRERA 52 NO SOBRE LA CALLE 47.</t>
  </si>
  <si>
    <t>SDZZZ903</t>
  </si>
  <si>
    <t>BARRIENTOS HERNANDEZ CRISTIAN HORACIO</t>
  </si>
  <si>
    <t>TA-25-870463</t>
  </si>
  <si>
    <t>DISTRICOL LA BARRA DE LEIDY</t>
  </si>
  <si>
    <t>FO-25-1250940</t>
  </si>
  <si>
    <t>18-07 PROGRAMACIÓN REALIZADA POR LA ALIANZA 21/7/2025 SE REALIZA VISITA PARA IMPLEMENTACIÓN DEL CB 80487, PERO SE EVIDENCIA QUE EL COMERCIO ESTA UBICADO EN LA DIRECCIÓN CALLE 17 # 3 -42, LA CUAL NO CORRESPONDE A LA RELACIONADA EN LA LISTA DE CHEQUEO CL 17 # 21 – 66, POR TAL RAZÓN SE CANCELA</t>
  </si>
  <si>
    <t>SDZZZ914</t>
  </si>
  <si>
    <t>VALLEDUPAR</t>
  </si>
  <si>
    <t>TA-25-870465</t>
  </si>
  <si>
    <t>CESAR</t>
  </si>
  <si>
    <t>DISTRICOL SOLUCIONES Y SERVICI</t>
  </si>
  <si>
    <t>FO-25-1250945</t>
  </si>
  <si>
    <t>18-07 PROGRAMACIÓN REALIZADA POR LA ALIANZA 21-07 SE REALIZA VISITA PARA IMPLEMENTACIÓN DEL CB 80503, PERO SE EVIDENCIA QUE EL COMERCIO ESTÁ UBICADO EN LA DIRECCIÓN CLL 16#17A-89 LA CUAL NO CORRESPONDE A LA RELACIONADA EN LA LISTA DE CHEQUEO CLL 16 # 18 – 89. POR TAL RAZÓN SE CANCELA ACTIVIDAD.</t>
  </si>
  <si>
    <t>SDZZZ916</t>
  </si>
  <si>
    <t>BENITEZ CARVAJAL ALVARO JAVIER</t>
  </si>
  <si>
    <t>MONTERIA</t>
  </si>
  <si>
    <t>TA-25-870471</t>
  </si>
  <si>
    <t>CORDOBA</t>
  </si>
  <si>
    <t>PLANETA RICA</t>
  </si>
  <si>
    <t>DISTRICOL VARIEDADES Y MISCELA</t>
  </si>
  <si>
    <t>FO-25-1274072</t>
  </si>
  <si>
    <t>18-07 PROGRAMACIÓN REALIZADA POR LA ALIANZA 22-07 SE ENCUENTRA BLOQUEO EN LA VIA A LA ALTURA DEL KILÓMETRO 12 ENTRE MONTERÍA Y PLANETA RICA, BLOQUEADO DE INDÍGENAS 23/07/2025 SE LLEGA A SITIO PARA HACER INSTALACIÓN DEL CB, NO SE PUEDE REALIZAR INSTALACIÓN YA QUE EN EL PUNTO ESTÁN SIN INTERNET, FALLA DEL PROVEEDOR A NIVEL GENERAL EN EL CORREGIMIENTO, FECHA 25/07/2025 25-07 EN COMUNICACIÓN CON EL CLIENTE INFORMA QUE PERSISTE LA FALLA DEL INTERNET, POR ESE MOTIVO SOLICITA QUE LA INSTALACIÓN SE LA REALICEN EL DÍA 28-07-2025 28/07/2025 SE REALIZA INSTALACIÓN DE CORRESPONSAL, SE INSTALAN EQUIPOS CON PRUEBAS EXITOSAS, SE CAPACITA Y SE EVALÚA AL CLIENTE, SE INSTALA PUBLICIDAD COMPLETA, CB QUEDA OPERATIVO. USUARIO SOMOS BANCOLOMBIA ACTIVO</t>
  </si>
  <si>
    <t>SDZZZ920</t>
  </si>
  <si>
    <t>COGOLLO ROSSO CAMILO ANDRES</t>
  </si>
  <si>
    <t>TA-25-870474</t>
  </si>
  <si>
    <t>RIOHACHA</t>
  </si>
  <si>
    <t>DISTRICOL TIENDA LA CENTRAL N1</t>
  </si>
  <si>
    <t>FO-25-1250969</t>
  </si>
  <si>
    <t>18-07 PROGRAMACIÓN REALIZADA POR LA ALIANZA 22/7/2025 VISITAMOS PUNTO ENCONTRANDO ERROR EN LA DIRECCIÓN. LA RELACIONADA EN LISTA DE CHEQUEO ES CL 28 A # 22 – 10. PERO LA DIRECCIÓN REAL DE DONDE ESTÁ UBICADO EL COMERCIO ES: CALLE 28A CRA 22 01.</t>
  </si>
  <si>
    <t>SDZZZ922</t>
  </si>
  <si>
    <t>TA-25-870492</t>
  </si>
  <si>
    <t>DISTRICOL ADRIANA Y JUNIOR</t>
  </si>
  <si>
    <t>FO-25-1251023</t>
  </si>
  <si>
    <t>18-07 PROGRAMACIÓN REALIZADA POR LA ALIANZA 21/7/2025 SE LLEGA AL PUNTO BANCOLOMBIA Y SE IDENTIFICA QUE EL CORRESPONSAL COMPARTE EN LA MISMA DIRECCIÓN CON UN PUNTO EFECTY SE PROCEDE CON LA CANCELACIÓN DE LA ORDEN</t>
  </si>
  <si>
    <t>SDZZZ935</t>
  </si>
  <si>
    <t>MARIÑO PABON JORGE ENRIQUE</t>
  </si>
  <si>
    <t>TA-25-870499</t>
  </si>
  <si>
    <t>DISTRICOL BRYART ARTE DIGITAL</t>
  </si>
  <si>
    <t>FO-25-1251039</t>
  </si>
  <si>
    <t>18-07 PROGRAMACIÓN REALIZADA POR LA ALIANZA 22/7/2025 SE REALIZA LLAMADA AL CORRESPONSAL Y ESTE CONFIRMA DIRECCIÓN DE LA INSTALACIÓN CR 80 A # 22 - 136, SE VISITA DIRECCIÓN PERO ESTA NO COINCIDE CON LA ORDEN DE TRABAJO. SE LE PREGUNTA AL COMERCIO E INDICA QUE LA DIRECCIÓN ASOCIADA AL OT LA ESPOSA TIENE UN CORRESPONSAL PERO LA DIRECCIÓN CORRECTA ES LA VISITADA CR 80 A # 22 -136. SE ESCALA CON EL COORDINADOR E INDICA QUE NO SE PUEDE INSTALAR EN DIRECCIÓN CR 80 A # 22 -136 NO COINCIDE CON LA DE LA OT. SE CIERRE POR DIRECCIÓN ERRADA</t>
  </si>
  <si>
    <t>SDZZZ938</t>
  </si>
  <si>
    <t>APARTADO</t>
  </si>
  <si>
    <t>TA-25-870521</t>
  </si>
  <si>
    <t>DISTRICOL SWISS LUXURY</t>
  </si>
  <si>
    <t>FO-25-1251061</t>
  </si>
  <si>
    <t>18-07 PROGRAMACIÓN REALIZADA POR LA ALIANZA 22/7/2025 COMERCIO SE ENCUENTRA EN REMODELACION TOTAL. COMERCIO NO CUENTA CON ADECUACION DE VENTANAL NI PUNTO DE RED.</t>
  </si>
  <si>
    <t>SDZZZ941</t>
  </si>
  <si>
    <t>SALDARRIAGA MIRANDA SANTIAGO</t>
  </si>
  <si>
    <t>TA-25-870522</t>
  </si>
  <si>
    <t>DISTRICOL FERRELECTRICOS</t>
  </si>
  <si>
    <t>FO-25-1251064</t>
  </si>
  <si>
    <t>18-07 PROGRAMACIÓN REALIZADA POR LA ALIANZA 22/7/2025 NO SE HACE APERTURA YA QUE EL CB NO CUENTA CON ADECUACIÓN CABINA Y PREFIERE ESPERAR A INSTALAR LA CABINA POR TEMA DE SEGURIDAD.</t>
  </si>
  <si>
    <t>SDZZZ942</t>
  </si>
  <si>
    <t>TA-25-870027</t>
  </si>
  <si>
    <t>FUENTE DE ORO</t>
  </si>
  <si>
    <t>BARRIO CENTRO FUENTE DE ORO 6</t>
  </si>
  <si>
    <t>FO-25-1249776</t>
  </si>
  <si>
    <t>18-07-2025 SE REALIZA LLAMADA AL CLIENTE, SE HABLA CON LA SRA BLANCA MARGARITA QUIROGA SE VALIDA DIRECCIÓN OK, CANAL OK, DISPONIBILIDAD TOTAL, LLAMAR EL DÍA LA INSTALACIÓN PARA CONFIRMAR VISITA, AVISO EXTERIOR ALTURA APROX 2 - 2,50 METROS; TOMACORRIENTE CERCANO: SI; TIENE CABINA DE SEGURIDAD: SI // CONTACTO REALIZADO POR LA APP 22/7/2025 SE REALIZA VISITA LA SITIO, PERO EN ESA DIRECCIÓN EL MES PASADO SE INSTALÓ UN CB AVAL CON CU 89261977, NO SE EVIDENCIA PUBLICIDAD, SIN EMBARGO ANEXO TIRILLAS DE LAS  PRUEBAS REALIZADAS EL DÍA DE LA INSTALACIÓN DEL AVAL. POR FAVOR NOS INDICA COMO PROCEDER.  / POR FAVOR CANCELAR ACTIVIDAD PORQUE EN MISMO COMERCIO (MISMA DIRECCIÓN) EXISTE CB DE OTROS BANCOS, EN ESTE CASO AVAL.</t>
  </si>
  <si>
    <t>SEZZZ135</t>
  </si>
  <si>
    <t>PEDREROS CONTRERAS MICHAEL STEVENS</t>
  </si>
  <si>
    <t>TA-25-870066</t>
  </si>
  <si>
    <t>TARAZA</t>
  </si>
  <si>
    <t>BARRIO CENTRO TARAZA 1</t>
  </si>
  <si>
    <t>FO-25-1249919</t>
  </si>
  <si>
    <t>18-07 SE REALIZA LLAMADA AL CLIENTE, SE HABLA CON  EL SR FERNEY ANTONIO CASTILLO PASTRANA, SE VALIDA DIRECCIÓN OK, CANAL OK, DISPONIBILIDAD TOTAL, LLAMAR EL DÍA LA INSTALACIÓN PARA CONFIRMAR VISITA, AVISO EXTERIOR ALTURA APROX 2 METROS; TOMACORRIENTE CERCANO: SI; TIENE CABINA DE SEGURIDAD: NO 22/7/2025 LLEGAMOS A PUNTO DONDE ESTÁ UBICADO EL COMERCIO, Y SEGÚN VALIDACIONES DE TÉCNICO EL PUNTO ARROJA QUE ESTÁ EN OTRA DIRECCIÓN DISTINTA, SOBRE LA 30. TÉCNICO BUSCA DIRECCIÓN QUE TRAE LA LISTA DE CHEQUEO (CR 29 A 34 – 03) Y NO ENCUENTRA ESTA ESPECÍFICAMENTE PERO SI UNA MUY SIMILAR, Y EFECTIVAMENTE ESTÁ EN OTRA CUADRA DISTINTA A LA DE DONDE ESTÁ UBICADO COMERCIO. COMERCIO ESTÁ EN DIRECCIÓN Y NOMENCLATURA ERRADA. SE CANCELA INSTALACIÓN POR DIRECCIÓN ERRADA.</t>
  </si>
  <si>
    <t>SEZZZ157</t>
  </si>
  <si>
    <t>CARTAGENA</t>
  </si>
  <si>
    <t>TA-25-870084</t>
  </si>
  <si>
    <t>BOLIVAR</t>
  </si>
  <si>
    <t>MAGANGUE</t>
  </si>
  <si>
    <t>BARRIO VEREDA JUAN ARIAS MAGANGUE</t>
  </si>
  <si>
    <t>FO-25-1276652</t>
  </si>
  <si>
    <t>18-07 SE REALIZA LLAMADA AL CLIENTE, SE HABLA CON LA SR MAURO JOSE CHAVEZ MERCADO SE VALIDA DIRECCIÓN OK, CANAL OK, DISPONIBILIDAD TOTAL, LLAMAR EL DÍA LA INSTALACIÓN PARA CONFIRMAR VISITA, AVISO EXTERIOR ALTURA: NO INDICA ALTURA; TOMACORRIENTE CERCANO: SI; TIENE CABINA DE SEGURIDAD: NO - EL MODEM ESTA A 8 MT  21-07 EN COMUNICACIÓN CON EL SEÑOR MAURO JOSE CHAVEZ, ME INFORMA QUE NO ES POSIBLE RECIBIRME EL DÍA DE HOY YA QUE NO SE ENCUENTRA EN EL PUNTO, SE REPROGRAMA PARA EL DÍA MIÉRCOLES A PETICIÓN DEL CLIENTE. 23-07 SE VISITA EL COMERCIO PARA LA INSTALACIÓN DEL CB, PERO NO ES POSIBLE REALIZAR LA INSTALACIÓN YA QUE HABÍA UNA NOVEDAD CON LA DIRECCIÓN Y LOS DOCUMENTOS, SE ESCALA EL CASO CON RBM Y APRUEBAN LA IMPLEMENTACIÓN PERO DEBIDO A QUE LA RESPUESTA FUE TARDÍA, SE REPROGRAMA PARA EL DÍA DE MAÑANA. 24-07 SE REALIZA INSTALACIÓN DE CORRESPONSAL, SE INSTALAN EQUIPOS CON PRUEBAS EXITOSAS, SE CAPACITA Y SE EVALÚA AL CLIENTE, SE INSTALA PUBLICIDAD COMPLETA, CB QUEDA OPERATIVO. USUARIO SOMOS BANCOLOMBIA ACTIVO</t>
  </si>
  <si>
    <t>SEZZZ171</t>
  </si>
  <si>
    <t>CACERES HERNANDEZ ANDRES</t>
  </si>
  <si>
    <t>TA-25-876900</t>
  </si>
  <si>
    <t>BARRIO SIETE DE AGOSTO FLORENCIA 6</t>
  </si>
  <si>
    <t>FO-25-1259515</t>
  </si>
  <si>
    <t>19-07 SE REALIZA LLAMADA AL CLIENTE, SE HABLA CON LA SRA CLARIBED MENDIETA PINILLA, SE VALIDA DIRECCIÓN OK, CANAL OK, DISPONIBILIDAD TOTAL, LLAMAR EL DÍA LA INSTALACIÓN PARA CONFIRMAR VISITA, AVISO EXTERIOR ALTURA APROX DONDE EL TECNICO LO VEA CONVENIENTE; TOMACORRIENTE CERCANO: SI; TIENE CABINA DE SEGURIDAD: NO 23-07 EN COMUNICACIÓN CON LA CLIENTA CLARIBED MENDIETA PINILLA AL NÚMERO 3202330996 MANIFESTÓ QUE EL DÍA DE HOY NO ME PUEDE ATENDER YA QUE SE ENCUENTRA EN LA CIUDAD DE NEIVA EN UNOS EXÁMENES MÉDICOS Y NO ALCANZA A LLEGAR A FLORENCIA PARA ATENDER LA VISITA, MANIFIESTA QUE EL DÍA DE MAÑANA PUEDE ATENER LA VISITA, PARA QUE LE HAGA LA INSTALACIÓN 24/07/2025 SE REALIZA VISITA PARA IMPLEMENTACIÓN DEL CB , PERO SE EVIDENCIA QUE EL COMERCIO ESTA UBICADO EN LA DIRECCIÓN CRA 5 #14 – 75, LA CUAL NO CORRESPONDE A LA RELACIONADA EN LA LISTA DE CHEQUEO CR 5 # 17 77 75,SIETE DE AGOSTO, POR TAL RAZÓN SE CANCELA ACTIVIDAD.</t>
  </si>
  <si>
    <t>SEZZZ704</t>
  </si>
  <si>
    <t>TA-25-885305</t>
  </si>
  <si>
    <t>BARRIO LA ESTANCIA POPAYAN 2</t>
  </si>
  <si>
    <t>FO-25-1273050</t>
  </si>
  <si>
    <t>23-07 SE REALIZA LLAMADA AL CLIENTE, SE HABLA CON LA SR JESUS ALBERTO ARTEAGA PALACIO SE VALIDA DIRECCIÓN OK, CANAL OK, DISPONIBILIDAD TOTAL, LLAMAR EL DÍA LA INSTALACIÓN PARA CONFIRMAR VISITA 25/07/2025 SE INGRESA SE ENCUENTRA NOVEDAD CLIENTE NO RECIBE EL DATÁFONO ADICIONAL YA QUE INFORMA QUE NO LE ASESORARON EN LA LÍNEA INDICÁNDOLE QUE CON ESTE DATÁFONO EL CUPO NO SE LO AGRANDABAN EL CUPO SIGUE SIENDO IGUAL POR TANTO NO DESEA LA IMPLEMENTACIÓN DEL NUEVO DATÁFONO</t>
  </si>
  <si>
    <t>V6ZZZ849</t>
  </si>
  <si>
    <t>IBAGUE</t>
  </si>
  <si>
    <t>TA-25-897285</t>
  </si>
  <si>
    <t>TOLIMA</t>
  </si>
  <si>
    <t>BARRIO COLINAS DEL SUR  1  ETAPA</t>
  </si>
  <si>
    <t>FO-25-1293652</t>
  </si>
  <si>
    <t>28-07-2025 SE REALIZA LLAMADA AL CLIENTE, SE HABLA CON CON LA SRA ANGIEE LIZETH RODRÍGUEZ TRASLAVIÑA SE VALIDA DIRECCIÓN OK, CANAL OK, DISPONIBILIDAD TOTAL, LLAMAR EL DÍA LA INSTALACIÓN PARA CONFIRMAR VISITA, AVISO EXTERIOR ALTURA APROX A LA MEDIDA QUE UNO PROPONGA O SE PUEDA; TOMACORRIENTE CERCANO: SI; TIENE CABINA DE SEGURIDAD: SI // CONTACTO REALIZADO POR LA APP 29/07/2025 SE REALIZA VISITA PARA IMPLEMENTACIÓN DEL CB, PERO SE EVIDENCIA QUE ESTÁ EN ADECUACIÓN, EL USUARIO ESTA SE TRASLADÓ AL LOCAL QUE ESTÁ AL FRENTE, SE LE INDICA QUE NO SE PUEDE INSTALAR EN UNA DIRECCIÓN DIFERENTE A LA RELACIONADA EN LA ORDEN, TAMBIÉN SE LE INFORME QUE SE COMUNIQUE CON LA ENTIDAD UNA VEZ TENGA EL LOCAL LISTO PARA QUE SE RETOME LA GESTIÓN DEL PUNTO. POR TAL RAZÓN SE CANCELA.</t>
  </si>
  <si>
    <t>V8ZZZ350</t>
  </si>
  <si>
    <t>BARRAGAN TAFUR EDWIN ESTEBAN</t>
  </si>
  <si>
    <t>TA-25-897422</t>
  </si>
  <si>
    <t>BARRIO CAICEDO VII MEDELLIN</t>
  </si>
  <si>
    <t>FO-25-1293923</t>
  </si>
  <si>
    <t xml:space="preserve">26-07 SE REALIZA LLAMADA AL CLIENTE, SE HABLA CON LA SR arley de jesus lopez betancur  SE VALIDA DIRECCIÓN OK, CANAL OK, DISPONIBILIDAD TOTAL, LLAMAR EL DÍA LA INSTALACIÓN PARA CONFIRMAR VISITA 29/07/2025 SE CANCELA ACTIVIDAD YA QUE CLIENTE NO RECIBE TECNOLOGÍA, CLIENTE INDICA QUE YA TIENE 2 EQUIPOS Y PIDIO CON NUEVA TECNOLOGÍA QUE PUEDA ENTREGAR BAUCHER FISICO YA QUE ESTÁ TENIENDO INCONVENIENTE CON LOS CLIENTES. </t>
  </si>
  <si>
    <t>V8ZZZ412</t>
  </si>
  <si>
    <t>BADEL ACUÑA LUIS ALBERTO</t>
  </si>
  <si>
    <t>TA-25-904099</t>
  </si>
  <si>
    <t>BARRIO VILLA ROCIO MONTERIA 1</t>
  </si>
  <si>
    <t>FO-25-1305089</t>
  </si>
  <si>
    <t>30-07-2025 SE REALIZA LLAMADA AL CLIENTE, SE HABLA CON EL SR EXNEIDER ANTONIO HERRERA NARVAEZ, VALIDA DIRECCIÓN OK, CANAL OK, DISPONIBILIDAD TOTAL, LLAMAR EL DÍA LA INSTALACIÓN PARA CONFIRMAR VISITA, AVISO EXTERIOR ALTURA APROX  2 METROS; TOMACORRIENTE CERCANO: SI; TIENE CABINA DE SEGURIDAD: NO 31/07/2025 INSTALACIÓN FALLIDA, SE LLEGÓ HASTA LA DIRECCIÓN Y EL LOCAL COMERCIAL TIENE UN NOMBRE DIFERENTE AL QUE SE RELACIONA EN LA LISTA DE CHEQUEO, SE ESCALÓ EL CASO A RBM Y SE LE INFORMA AL CLIENTE QUE DEBE ACTUALIZAR LA CÁMARA DE COMERCIO CON EL NOMBRE ACTUAL Y ESTE INFORMA QUE NO VA A REALIZAR EL PROCESO PORQUE LE GENERA GASTOS, ADICIONAL INFORMA QUE NO TIENE LA PERSONA PARA QUE LE ATIENDA EL CB Y DEBE CONTRATAR INTERNET Y ES COSTOSO.</t>
  </si>
  <si>
    <t>VAZZZ387</t>
  </si>
  <si>
    <t>CALDERA SALCEDO CARLOS JULIO</t>
  </si>
  <si>
    <t>TA-25-799127</t>
  </si>
  <si>
    <t>GUAVIARE</t>
  </si>
  <si>
    <t>SAN JOSE DEL GUAVIARE</t>
  </si>
  <si>
    <t>BARRIO EL PORVENIR SAN JOSE DEL GUAVIARE 4</t>
  </si>
  <si>
    <t>FO-25-1128664</t>
  </si>
  <si>
    <t>21-06 SE REALIZA LLAMADA AL CLIENTE, SE HABLA CON LA SRA CLAUDIA FERNANDA PERDOMO GONZALEZ, SE VALIDA DIRECCIÓN OK, CANAL OK, DISPONIBILIDAD TOTAL, LLAMAR EL DÍA LA INSTALACIÓN PARA CONFIRMAR VISITA, AVISO EXTERIOR ALTURA APROX DONDE EL TECNICO LO VEA CONVENIENTE; TOMACORRIENTE CERCANO:SI; TIENE CABINA DE SEGURIDAD:NO//  MODEM NO TIENE PUERTOS DISPONIBLES 26-6 EN COMUNICACIÓN CON EL USUARIO INDICA QUE NOS ATIENDE EL DIA MARTES POR QUE AUN ESTA ADECUANDO EL LOCAL 1/7/2025 SE REALIZA INSTALACIÓN DE CORRESPONSAL, SE INSTALAN EQUIPOS CON PRUEBAS EXITOSAS, SE CAPACITA Y SE EVALÚA AL CLIENTE, SE INSTALA PUBLICIDAD COMPLETA, CB QUEDA OPERATIVO. USUARIO SOMOS BANCOLOMBIA ACTIVO. SE INSTAAN 15 MT DE CABLE UTP</t>
  </si>
  <si>
    <t>SAXZZ468</t>
  </si>
  <si>
    <t>TA-25-820718</t>
  </si>
  <si>
    <t>CANDELARIA</t>
  </si>
  <si>
    <t>BARRIO MOLINOS 2 CANDELARIA</t>
  </si>
  <si>
    <t>FO-25-1162061</t>
  </si>
  <si>
    <t>01-07-2025 SE REALIZA LLAMADA AL CLIENTE, SE HABLA CON EL SR DAVID FERNANDO PEREZ CERON SE VALIDA DIRECCIÓN OK, CANAL OK, DISPONIBILIDAD TOTAL, LLAMAR EL DÍA LA INSTALACIÓN PARA CONFIRMAR VISITA, AVISO EXTERIOR ALTURA APROX 2,50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SE INSTALAN 10 MT DE CABLE UTP</t>
  </si>
  <si>
    <t>F1ZZZ708</t>
  </si>
  <si>
    <t>TORRES GARCIA JENDRY JOSE</t>
  </si>
  <si>
    <t>TA-25-821140</t>
  </si>
  <si>
    <t>BARRIO POBLADO 1 CALI 2</t>
  </si>
  <si>
    <t>FO-25-1162562</t>
  </si>
  <si>
    <t>1-07-2025 SE REALIZA COMUNICACION CON CLIENTE, SE HABLA CON LA SRA KAROLL VIVIANA SALAZAR VARGAS SE VALIDA DIRECCIÓN OK, CANAL OK, DISPONIBILIDAD TOTAL, LLAMAR EL DÍA DE LA INSTALACIÓN PARA CONFIRMAR VISITA, ALTURA APROX 3 METROS; TOMACORRIENTE CERCANO: SI; TIENE CABINA DE SEGURIDAD: SI // CONTACTO REALIZADO POR WHATSAPP 9:12 a. m. 2/7/2025 SE REALIZA INSTALACIÓN DE CORRESPONSAL, SE INSTALAN EQUIPOS CON PRUEBAS EXITOSAS, SE CAPACITA Y SE EVALÚA AL CLIENTE, SE INSTALA PUBLICIDAD COMPLETA, CB QUEDA OPERATIVO. USUARIO SOMOS BANCOLOMBIA ACTIVO. SE INSTALAN 10 MT DE CABLE UTP</t>
  </si>
  <si>
    <t>F1ZZZ742</t>
  </si>
  <si>
    <t>TUNJA</t>
  </si>
  <si>
    <t>TA-25-821770</t>
  </si>
  <si>
    <t>BOYACA</t>
  </si>
  <si>
    <t>TOCA</t>
  </si>
  <si>
    <t>BARRIO CENTRO TOCA 2</t>
  </si>
  <si>
    <t>FO-25-1163268</t>
  </si>
  <si>
    <t>01-07 SE REALIZA LLAMADA AL CLIENTE, SE HABLA CON LA SRA LIA PATRICIA MORALES ALZATE SE VALIDA DIRECCIÓN OK, CANAL OK, DISPONIBILIDAD TOTAL, LLAMAR EL DÍA LA INSTALACIÓN PARA CONFIRMAR VISITA, 3/7/2025 SE REALIZA INSTALACIÓN DE DAT ADICIONAL, PRUEBAS EXITOSAS, CB QUEDA OPERATIVO. SE INSTALAN 15 MT DE CABLE UTP</t>
  </si>
  <si>
    <t>F1ZZZ783</t>
  </si>
  <si>
    <t>RODRIGUEZ MURCIA YERSON IVAN</t>
  </si>
  <si>
    <t>TA-25-837749</t>
  </si>
  <si>
    <t>AMAGA</t>
  </si>
  <si>
    <t>BARRIO VRD VILLA DIANA AMAGA</t>
  </si>
  <si>
    <t>FO-25-1193526</t>
  </si>
  <si>
    <t>05-07 SE REALIZA LLAMADA AL CLIENTE, SE HABLA CON LA SR JUAN CAMILO MONCADA GOMEZ SE VALIDA DIRECCIÓN OK, CANAL OK, DISPONIBILIDAD TOTAL, LLAMAR EL DÍA LA INSTALACIÓN PARA CONFIRMAR VISITA, AVISO EXTERIOR ALTURA APROX 2.5 METROS; TOMACORRIENTE CERCANO: SI; TIENE CABINA DE SEGURIDAD: NO - EL MODEM ESTA A 10 MT / PROGRAMADO PARA DICHA FECHA POR SOLICITUD DEL USUARIO 10/7/2025 SE REALIZA INSTALACIÓN DE CORRESPONSAL, SE INSTALAN EQUIPOS CON PRUEBAS EXITOSAS, SE CAPACITA Y SE EVALÚA AL CLIENTE, SE INSTALA PUBLICIDAD COMPLETA, CB QUEDA OPERATIVO. USUARIO SOMOS BANCOLOMBIA ACTIVO. SE INSTALAN 15 MT DE CABLE UTP</t>
  </si>
  <si>
    <t>FAZZZ495</t>
  </si>
  <si>
    <t>TA-25-837819</t>
  </si>
  <si>
    <t>GUADALAJARA DE BUGA</t>
  </si>
  <si>
    <t>BARRIO DIVINO NIÑO GUADALAJARA DE BUGA 1</t>
  </si>
  <si>
    <t>FO-25-1193576</t>
  </si>
  <si>
    <t xml:space="preserve">07-07-2025 SE REALIZA LLAMADA AL CLIENTE, SE HABLA CON LA SRA ALBA NUBIA CARMONA DUQUE SE VALIDA DIRECCIÓN OK, CANAL OK, DISPONIBILIDAD TOTAL, LLAMAR EL DÍA LA INSTALACIÓN PARA CONFIRMAR VISITA, AVISO EXTERIOR ALTURA APROX 2 METROS; TOMACORRIENTE CERCANO: SI; TIENE CABINA DE SEGURIDAD: SI // CONTACTO REALIZADO POR LA APP 08-07 SE REALIZA INSTALACIÓN DE CORRESPONSAL, SE INSTALAN EQUIPOS CON PRUEBAS EXITOSAS, SE CAPACITA Y SE EVALÚA AL CLIENTE, SE INSTALA PUBLICIDAD COMPLETA, CB QUEDA OPERATIVO. USUARIO SOMOS BANCOLOMBIA ACTIVO. SE  INSTALANB 15 MT DE CABLE UPT </t>
  </si>
  <si>
    <t>FAZZZ502</t>
  </si>
  <si>
    <t>TA-25-837942</t>
  </si>
  <si>
    <t>BARRIO GUAYACANES BUCARAMANGA</t>
  </si>
  <si>
    <t>FO-25-1193916</t>
  </si>
  <si>
    <t>07-07-2025 SE REALIZA LLAMADA AL CLIENTE, SE HABLA CON  LA SRA NIDIA SANABRIA LEON, SE VALIDA DIRECCIÓN OK, CANAL OK, DISPONIBILIDAD TOTAL, LLAMAR EL DÍA LA INSTALACIÓN PARA CONFIRMAR VISITA, AVISO EXTERIOR ALTURA APROX 3 METROS; TOMACORRIENTE CERCANO: SI; TIENE CABINA DE SEGURIDAD:NO 8/7/2025 SE REALIZA INSTALACIÓN DE CORRESPONSAL, SE INSTALAN EQUIPOS CON PRUEBAS EXITOSAS, SE CAPACITA Y SE EVALÚA AL CLIENTE, SE INSTALA PUBLICIDAD COMPLETA, CB QUEDA OPERATIVO. USUARIO SOMOS BANCOLOMBIA ACTIVO. SE INSTALAN 10 MT DE CABLE UTP</t>
  </si>
  <si>
    <t>FAZZZ545</t>
  </si>
  <si>
    <t>GELVEZ MOGOLLON JOSE ELISEO</t>
  </si>
  <si>
    <t>TA-25-853038</t>
  </si>
  <si>
    <t>TOTA</t>
  </si>
  <si>
    <t>BARRIO CENTRO TOTA 3</t>
  </si>
  <si>
    <t>FO-25-1217820</t>
  </si>
  <si>
    <t>11-07-2025 SE REALIZA LLAMADA AL CLIENTE, SE HABLA CON LA SRA MARÍA CAMILA QUEMBA TENJO SE VALIDA DIRECCIÓN OK, CANAL OK, DISPONIBILIDAD TOTAL, LLAMAR EL DÍA LA INSTALACIÓN PARA CONFIRMAR VISITA, AVISO EXTERIOR ALTURA APROX 2,60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SE INSTALAN 15 MT DE CABLE UTP</t>
  </si>
  <si>
    <t>LBZZZ616</t>
  </si>
  <si>
    <t>YOPAL</t>
  </si>
  <si>
    <t>TA-25-856105</t>
  </si>
  <si>
    <t>CASANARE</t>
  </si>
  <si>
    <t>AGUAZUL</t>
  </si>
  <si>
    <t>BARRIO SAN AGUSTIN AGUAZUL</t>
  </si>
  <si>
    <t>FO-25-1226541</t>
  </si>
  <si>
    <t>14-07 SE REALIZA LLAMADA AL CLIENTE, SE HABLA CON LA SRA MARIA ALICIA RODRIGUEZ PERILLA, SE VALIDA DIRECCIÓN OK, CANAL OK, DISPONIBILIDAD TOTAL, LLAMAR EL DÍA LA INSTALACIÓN PARA CONFIRMAR VISITA, AVISO EXTERIOR ALTURA APROX  2 METROS; TOMACORRIENTE CERCANO: SI; TIENE CABINA DE SEGURIDAD: SI 16/7/2025 SE REALIZA INSTALACIÓN DE CORRESPONSAL, SE INSTALAN EQUIPOS CON PRUEBAS EXITOSAS, SE CAPACITA Y SE EVALÚA AL CLIENTE, SE INSTALA PUBLICIDAD COMPLETA, CB QUEDA OPERATIVO. USUARIO SOMOS BANCOLOMBIA ACTIVO. SE INSTALAN 10 MT DE CABLE UTP</t>
  </si>
  <si>
    <t>LDZZZ370</t>
  </si>
  <si>
    <t>BERNAL ELAICA EDGAR ALEXIS</t>
  </si>
  <si>
    <t>TA-25-863546</t>
  </si>
  <si>
    <t>BARRIO SANTA ROSA CALI 5</t>
  </si>
  <si>
    <t>FO-25-1239417</t>
  </si>
  <si>
    <t>16-07-2025 SE REALIZA LLAMADA AL CLIENTE, SE HABLA CON LA SRA MARISOL BRAND MONTEHERMOSO  SE VALIDA DIRECCIÓN OK, CANAL OK, DISPONIBILIDAD TOTAL, LLAMAR EL DÍA LA INSTALACIÓN PARA CONFIRMAR VISITA, AVISO EXTERIOR ALTURA APROX 2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 SE INSTALAN 8 MT DE CABLE UTP</t>
  </si>
  <si>
    <t>SAZZZ785</t>
  </si>
  <si>
    <t>TA-25-863579</t>
  </si>
  <si>
    <t>SAN GIL</t>
  </si>
  <si>
    <t>BARRIO CARACOL DE LAS 12 SAN GIL  SAN GIL</t>
  </si>
  <si>
    <t>FO-25-1239492</t>
  </si>
  <si>
    <t>16-07 SE REALIZA LLAMADA AL CLIENTE, SE HABLA CON  EL SR WILSON DARIO MONSALVE LEON, SE VALIDA DIRECCIÓN OK, CANAL OK, DISPONIBILIDAD TOTAL, LLAMAR EL DÍA LA INSTALACIÓN PARA CONFIRMAR VISITA, AVISO EXTERIOR ALTURA APROX  2,50 METROS; TOMACORRIENTE CERCANO: SI; TIENE CABINA DE SEGURIDAD: SI 18/7/2025 SE REALIZA INSTALACIÓN DE CORRESPONSAL, SE INSTALAN EQUIPOS CON PRUEBAS EXITOSAS, SE CAPACITA Y SE EVALÚA AL CLIENTE, SE INSTALA PUBLICIDAD COMPLETA, CB QUEDA OPERATIVO. USUARIO SOMOS BANCOLOMBIA ACTI.VO. SE INSTALAN 15 MT DE CABLE UTP</t>
  </si>
  <si>
    <t>SAZZZ772</t>
  </si>
  <si>
    <t>TA-25-863583</t>
  </si>
  <si>
    <t>BARRIO MARROQUIN II CALI 1</t>
  </si>
  <si>
    <t>FO-25-1239505</t>
  </si>
  <si>
    <t>16-07 SE REALIZA LLAMADA AL CLIENTE, SE HABLA CON LA SR CLAUDIA LORENA GIL CIFUENTES  SE VALIDA DIRECCIÓN OK, CANAL OK, DISPONIBILIDAD TOTAL, LLAMAR EL DÍA LA INSTALACIÓN PARA CONFIRMAR VISITA, AVISO EXTERIOR ALTURA APROX 2.40 METROS; TOMACORRIENTE CERCANO: SI; TIENE CABINA DE SEGURIDAD: NO 18/7/2025 SE REALIZA INSTALACIÓN DE CORRESPONSAL, SE INSTALAN EQUIPOS CON PRUEBAS EXITOSAS, SE CAPACITA Y SE EVALÚA AL CLIENTE, SE INSTALA PUBLICIDAD COMPLETA, CB QUEDA OPERATIVO. USUARIO SOMOS BANCOLOMBIA ACTIVO. SE INSTALAN 7 MT DE CABLE UTP</t>
  </si>
  <si>
    <t>SAZZZ795</t>
  </si>
  <si>
    <t>MONTERO MUESES GIAN CARLO</t>
  </si>
  <si>
    <t>TA-25-863587</t>
  </si>
  <si>
    <t>JARDIN</t>
  </si>
  <si>
    <t>BARRIO LA AVENIDA SECTOR ESTADIO JARDIN</t>
  </si>
  <si>
    <t>FO-25-1239528</t>
  </si>
  <si>
    <t>16-07 SE REALIZA LLAMADA AL CLIENTE, SE HABLA CON LA SRA NATALIA GOMEZ MEJIA SE VALIDA DIRECCIÓN OK, CANAL OK, DISPONIBILIDAD TOTAL, LLAMAR EL DÍA LA INSTALACIÓN PARA CONFIRMAR VISITA, AVISO EXTERIOR ALTURA : NO INDICA ALTURA; TOMACORRIENTE CERCANO: SI; TIENE CABINA DE SEGURIDAD: NO 18/7/2025 SE REALIZA INSTALACIÓN DE CORRESPONSAL, SE INSTALAN EQUIPOS CON PRUEBAS EXITOSAS, SE CAPACITA Y SE EVALÚA AL CLIENTE, SE INSTALA PUBLICIDAD COMPLETA, CB QUEDA OPERATIVO. USUARIO SOMOS BANCOLOMBIA ACTIVO. SE INSTALAN 8 MT DE CABLE UTP</t>
  </si>
  <si>
    <t>SAZZZ797</t>
  </si>
  <si>
    <t>TA-25-870061</t>
  </si>
  <si>
    <t>BARRIO BICENTENARIO CARTAGENA DE INDIAS 4</t>
  </si>
  <si>
    <t>FO-25-1249905</t>
  </si>
  <si>
    <t>18-07 SE REALIZA LLAMADA AL CLIENTE, SE HABLA CON LA SRA ADA LUZ ESPINOSA CAMARGO, SE VALIDA DIRECCIÓN OK, CANAL OK, DISPONIBILIDAD TOTAL, LLAMAR EL DÍA LA INSTALACIÓN PARA CONFIRMAR VISITA, AVISO EXTERIOR ALTURA APROX DONDE EL TECNICO LO VEA CONVENIENTE; TOMACORRIENTE CERCANO: SI; TIENE CABINA DE SEGURIDAD: SI 22/7/2025 SE REALIZA INSTALACIÓN DE CORRESPONSAL, SE INSTALAN EQUIPOS CON PRUEBAS EXITOSAS, SE CAPACITA Y SE EVALÚA AL CLIENTE, SE INSTALA PUBLICIDAD COMPLETA, CB QUEDA OPERATIVO. USUARIO SOMOS BANCOLOMBIA ACTIVO. SE INSTALAN 10 MT DE CABLE UTP</t>
  </si>
  <si>
    <t>SEZZZ154</t>
  </si>
  <si>
    <t>CANEDO HERRERA ALEXANDER</t>
  </si>
  <si>
    <t>TA-25-870064</t>
  </si>
  <si>
    <t>FUSAGASUGA</t>
  </si>
  <si>
    <t>BARRIO URBANIZACION CADIZ FUSAGASUGA</t>
  </si>
  <si>
    <t>FO-25-1249912</t>
  </si>
  <si>
    <t>18-07 SE REALIZA LLAMADA AL CLIENTE, SE HABLA CON  EL SR FELIX ANDRES MUÑOZ FLOREZ, SE VALIDA DIRECCIÓN OK, CANAL OK, DISPONIBILIDAD TOTAL, LLAMAR EL DÍA LA INSTALACIÓN PARA CONFIRMAR VISITA, AVISO EXTERIOR ALTURA APROX 2,5 METROS; TOMACORRIENTE CERCANO: SI; TIENE CABINA DE SEGURIDAD: SI// MODEM A 10 METROS 22/7/2025 SE REALIZA INSTALACIÓN DE CORRESPONSAL, SE INSTALAN EQUIPOS CON PRUEBAS EXITOSAS, SE CAPACITA Y SE EVALÚA AL CLIENTE, SE INSTALA PUBLICIDAD COMPLETA, CB QUEDA OPERATIVO. USUARIO SOMOS BANCOLOMBIA ACTIVO. SE INSTALAN 10 MT DE CABLE UTP</t>
  </si>
  <si>
    <t>SEZZZ156</t>
  </si>
  <si>
    <t>GOMEZ VEGA DAVID SNEYDER</t>
  </si>
  <si>
    <t>TA-25-876899</t>
  </si>
  <si>
    <t>BARRIO BELLO HORIZONTE IBAGUE</t>
  </si>
  <si>
    <t>FO-25-1259509</t>
  </si>
  <si>
    <t>19-07 SE REALIZA LLAMADA AL CLIENTE, SE HABLA CON LA SRA ZULLY VANESSA LUGO GUTIÉRREZ, SE VALIDA DIRECCIÓN OK, CANAL OK, DISPONIBILIDAD TOTAL, LLAMAR EL DÍA LA INSTALACIÓN PARA CONFIRMAR VISITA, AVISO EXTERIOR ALTURA APROX 3 METROS; TOMACORRIENTE CERCANO: SI; TIENE CABINA DE SEGURIDAD: SI 23-07 SE COMUNICA AL NÚMERO 3164244748, LA SEÑORA ZULLY VANESSA LUGO GUTIÉRREZ NOS INDICA QUE POR FAVOR SE REPROGRAME ACTIVIDAD PARA EL DÍA 24/7/2025 EN HORAS DE LA MAÑANA POR DISPONIBILIDAD DE TIEMPO. 24/07/2025 SE REALIZA INSTALACIÓN DE CORRESPONSAL, SE INSTALAN EQUIPOS CON PRUEBAS EXITOSAS, SE CAPACITA Y SE EVALÚA AL CLIENTE, SE INSTALA PUBLICIDAD COMPLETA, CB QUEDA OPERATIVO. USUARIO SOMOS BANCOLOMBIA ACTIVO. SE INSTALAN 15 MT DE CABLE UTP</t>
  </si>
  <si>
    <t>SEZZZ703</t>
  </si>
  <si>
    <t>TA-25-885194</t>
  </si>
  <si>
    <t>TORO</t>
  </si>
  <si>
    <t>BARRIO PALERMO TORO</t>
  </si>
  <si>
    <t>FO-25-1272818</t>
  </si>
  <si>
    <t>23-07-2025 SE REALIZA LLAMADA AL CLIENTE, SE HABLA CON EL SR ANDRES MAURICIO MEDINA CALDERON, SE VALIDA DIRECCIÓN OK, CANAL OK, DISPONIBILIDAD TOTAL, LLAMAR EL DÍA LA INSTALACIÓN PARA CONFIRMAR VISITA, AVISO EXTERIOR ALTURA APROX  DONDE EL TECNICO LO VEA CONVENIENTE; TOMACORRIENTE CERCANO: SI; TIENE CABINA DE SEGURIDAD: SI// SI NO CONTESTA LA LLAMADA FAVOR ESCRIBIR AL WHATSAPP  25/07/2025 SE REALIZA INSTALACIÓN DE CORRESPONSAL, SE INSTALAN EQUIPOS CON PRUEBAS EXITOSAS, SE CAPACITA Y SE EVALÚA AL CLIENTE, SE INSTALA PUBLICIDAD COMPLETA, CB QUEDA OPERATIVO. USUARIO SOMOS BANCOLOMBIA ACTIVO. SE INSTALAN 8 MT DE CABLE UTP</t>
  </si>
  <si>
    <t>V6ZZZ803</t>
  </si>
  <si>
    <t>TA-25-885247</t>
  </si>
  <si>
    <t>BARRIO SALOMIA CALI 8</t>
  </si>
  <si>
    <t>FO-25-1272929</t>
  </si>
  <si>
    <t>23-07-2025 SE REALIZA LLAMADA AL CLIENTE, SE HABLA CON  EL SR DANIEL ALEJANDRO RODRIGUEZ MUÑOZ, SE VALIDA DIRECCIÓN OK, CANAL OK, DISPONIBILIDAD TOTAL, LLAMAR EL DÍA LA INSTALACIÓN PARA CONFIRMAR VISITA, AVISO EXTERIOR ALTURA APROX  2 METROS; TOMACORRIENTE CERCANO: SI; TIENE CABINA DE SEGURIDAD: SI// MODEM A 5 METROS- SI NO CONTESTA LA LLAMADA FAVOR CONUMICARSE VA WHATSAPP 24/07/2025 SE REALIZA INSTALACIÓN DE CORRESPONSAL, SE INSTALAN EQUIPOS CON PRUEBAS EXITOSAS, SE CAPACITA Y SE EVALÚA AL CLIENTE, SE INSTALA PUBLICIDAD COMPLETA, CB QUEDA OPERATIVO. USUARIO SOMOS BANCOLOMBIA ACTIVO. SE INSTALAN 16 MT DE CABLE UTP, SE INSTALA SWITCH</t>
  </si>
  <si>
    <t>V6ZZZ821</t>
  </si>
  <si>
    <t>TA-25-885278</t>
  </si>
  <si>
    <t>BARRIO LA VICTORIA BUCARAMANGA 2</t>
  </si>
  <si>
    <t>FO-25-1272978</t>
  </si>
  <si>
    <t>23-07 SE REALIZA LLAMADA AL CLIENTE, SE HABLA CON LA SRA KATERINE PLATA SOLANO  SE VALIDA DIRECCIÓN OK, CANAL OK, DISPONIBILIDAD TOTAL, LLAMAR EL DÍA LA INSTALACIÓN PARA CONFIRMAR VISITA, AVISO EXTERIOR ALTURA APROX 6 METROS; TOMACORRIENTE CERCANO: SI; TIENE CABINA DE SEGURIDAD: NO  24/07/2025 SE REALIZA INSTALACIÓN DE CORRESPONSAL, SE INSTALAN EQUIPOS CON PRUEBAS EXITOSAS, SE CAPACITA Y SE EVALÚA AL CLIENTE, SE INSTALA PUBLICIDAD COMPLETA, CB QUEDA OPERATIVO. USUARIO SOMOS BANCOLOMBIA ACTIVO. SE INSTALAN 14 MT DE CABLE UTP</t>
  </si>
  <si>
    <t>V6ZZZ831</t>
  </si>
  <si>
    <t>TA-25-885294</t>
  </si>
  <si>
    <t>BARRIO  EL SENA CALI</t>
  </si>
  <si>
    <t>FO-25-1273026</t>
  </si>
  <si>
    <t>23-07 SE REALIZA LLAMADA AL CLIENTE, SE HABLA CON LA SRA CAROLINA ROJAS BRAVO  SE VALIDA DIRECCIÓN OK, CANAL OK, DISPONIBILIDAD TOTAL, LLAMAR EL DÍA LA INSTALACIÓN PARA CONFIRMAR VISITA, AVISO EXTERIOR ALTURA APROX 2 METROS; TOMACORRIENTE CERCANO: SI; TIENE CABINA DE SEGURIDAD: NO - ELMODEM ESTA A 6 MT  24-07 SE REALIZA INSTALACIÓN DE CORRESPONSAL, SE INSTALAN EQUIPOS CON PRUEBAS EXITOSAS, SE CAPACITA Y SE EVALÚA AL CLIENTE, SE INSTALA PUBLICIDAD COMPLETA, CB QUEDA OPERATIVO. USUARIO SOMOS BANCOLOMBIA ACTIVO. SE INSTALAN 10 MT DE CABLE UTP</t>
  </si>
  <si>
    <t>V6ZZZ843</t>
  </si>
  <si>
    <t>TA-25-897312</t>
  </si>
  <si>
    <t>SOACHA</t>
  </si>
  <si>
    <t>BARRIO SAN HUMBERTO SOACHA 3</t>
  </si>
  <si>
    <t>FO-25-1293711</t>
  </si>
  <si>
    <t>26-07-2025 SE REALIZA LLAMADA AL CLIENTE, SE HABLA CON LA MAMA DEL SR DAVID ALEXANDER BENITEZ SUAREZ,  SE VALIDA DIRECCIÓN OK, CANAL OK, DISPONIBILIDAD TOTAL, LLAMAR EL DÍA LA INSTALACIÓN PARA CONFIRMAR VISITA, AVISO EXTERIOR ALTURA APROX 2 METROS; TOMACORRIENTE CERCANO: SI; TIENE CABINA DE SEGURIDAD: SI// MODEM A 5 METROS DE DISTANCIA 29/07/2025 SE REALIZA INSTALACIÓN DE CORRESPONSAL, SE INSTALAN EQUIPOS CON PRUEBAS EXITOSAS, SE CAPACITA Y SE EVALÚA AL CLIENTE, SE INSTALA PUBLICIDAD COMPLETA, CB QUEDA OPERATIVO. USUARIO SOMOS BANCOLOMBIA ACTIVO. SE INSTALAN 8 MT DE CABLE UTP</t>
  </si>
  <si>
    <t>V8ZZZ365</t>
  </si>
  <si>
    <t>GALEANO SORIANO JUAN DAVID</t>
  </si>
  <si>
    <t>TA-25-897314</t>
  </si>
  <si>
    <t>SANTANDER DE QUILICHAO</t>
  </si>
  <si>
    <t>BARRIO CENTENARIO SANTANDER DE QUILICHAO 6</t>
  </si>
  <si>
    <t>FO-25-1293720</t>
  </si>
  <si>
    <t>28-07-2025 SE REALIZA LLAMADA AL CLIENTE, SE HABLA CON CON EL SR LEONARDO LEAL RODRIGUEZ SE VALIDA DIRECCIÓN OK, CANAL OK, DISPONIBILIDAD TOTAL, LLAMAR EL DÍA LA INSTALACIÓN PARA CONFIRMAR VISITA, AVISO EXTERIOR ALTURA APROX 1,80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 SE INSTALAN 10 MT DE CABLE UTP</t>
  </si>
  <si>
    <t>V8ZZZ367</t>
  </si>
  <si>
    <t>HERRERA MONAR GEOVANNY</t>
  </si>
  <si>
    <t>TA-25-897322</t>
  </si>
  <si>
    <t>DOSQUEBRADAS</t>
  </si>
  <si>
    <t>BARRIO SANTIAGO LONDOÑO DOSQUEBRADAS  1</t>
  </si>
  <si>
    <t>FO-25-1293748</t>
  </si>
  <si>
    <t>28-07-2025 SE REALIZA LLAMADA AL CLIENTE, SE HABLA CON CON LA SRA MARIA GLORIA ACEVEDO BEDOYA, SE VALIDA DIRECCIÓN OK, CANAL OK, DISPONIBILIDAD TOTAL, LLAMAR EL DÍA LA INSTALACIÓN PARA CONFIRMAR VISITA, AVISO EXTERIOR ALTURA APROX 2 METROS; TOMACORRIENTE CERCANO: SI; TIENE CABINA DE SEGURIDAD: SI// CONTACTO REALIZADO POR LA APP 29/07/2025 SE REALIZA INSTALACIÓN DE CORRESPONSAL, SE INSTALAN EQUIPOS CON PRUEBAS EXITOSAS, SE CAPACITA Y SE EVALÚA AL CLIENTE, SE INSTALA PUBLICIDAD COMPLETA, CB QUEDA OPERATIVO. USUARIO SOMOS BANCOLOMBIA ACTIVO. SE INSTALAN 10 MT DE CABLE UTP</t>
  </si>
  <si>
    <t>V8ZZZ372</t>
  </si>
  <si>
    <t>TA-25-897324</t>
  </si>
  <si>
    <t>BARRIO CUIDAD VERDE SOACHA</t>
  </si>
  <si>
    <t>FO-25-1293756</t>
  </si>
  <si>
    <t>26-07-2025 SE REALIZA LLAMADA AL CLIENTE, SE HABLA CON CON EL SR DANNY STIVEN PORTILLO VARGAS, COMUNICARSE VIA WHATSAPP YA QUE LA SEÑAL ES MUY MALA Y SE CORTA LA LLAMADA   29-07 SE REALIZA INSTALACIÓN DE CORRESPONSAL, SE INSTALAN EQUIPOS CON PRUEBAS EXITOSAS, SE CAPACITA Y SE EVALÚA AL CLIENTE, SE INSTALA PUBLICIDAD COMPLETA, CB QUEDA OPERATIVO. USUARIO SOMOS BANCOLOMBIA ACTIVO. SE INSTALAN 8 MT DE CABLE UTP</t>
  </si>
  <si>
    <t>V8ZZZ374</t>
  </si>
  <si>
    <t>TA-25-821444</t>
  </si>
  <si>
    <t>FLORIDABLANCA</t>
  </si>
  <si>
    <t>BARRIO CAÑAVERAL PANAMERICANO FLORIDABLANCA</t>
  </si>
  <si>
    <t>FO-25-1162890</t>
  </si>
  <si>
    <t>01-07 SE REALIZA LLAMADA AL CLIENTE, SE HABLA CON LA SR ALEX YERFREDY NEIRA GIL SE VALIDA DIRECCIÓN OK, CANAL OK, DISPONIBILIDAD TOTAL, LLAMAR EL DÍA LA INSTALACIÓN PARA CONFIRMAR VISITA, AVISO EXTERIOR ALTURA APROX 2 METROS; TOMACORRIENTE CERCANO: SI; TIENE CABINA DE SEGURIDAD: NO - EL MODEM ESTA A 5 MT   2/7/2025 SE REALIZA INSTALACIÓN DE CORRESPONSAL, SE INSTALAN EQUIPOS CON PRUEBAS EXITOSAS, SE CAPACITA Y SE EVALÚA AL CLIENTE, SE INSTALA PUBLICIDAD COMPLETA, CB QUEDA OPERATIVO. USUARIO SOMOS BANCOLOMBIA ACTIVO. SE INSTALA SWITCH 223C4S6013120</t>
  </si>
  <si>
    <t>F1ZZZ763</t>
  </si>
  <si>
    <t>TA-25-853030</t>
  </si>
  <si>
    <t>BARRIO DIAMANTE 2 BUCARAMANGA 2</t>
  </si>
  <si>
    <t>FO-25-1217802</t>
  </si>
  <si>
    <t>11-07-2025 SE REALIZA LLAMADA AL CLIENTE, SE HABLA CON LA ESPOSA DEL SR CRISTIAN RAMÍREZ SE VALIDA DIRECCIÓN OK, CANAL OK, DISPONIBILIDAD TOTAL, LLAMAR EL DÍA LA INSTALACIÓN PARA CONFIRMAR VISITA, AVISO EXTERIOR ALTURA APROX 2,50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SE INSTALA SWITCH 223C4S6013168</t>
  </si>
  <si>
    <t>LBZZZ612</t>
  </si>
  <si>
    <t>TA-25-897373</t>
  </si>
  <si>
    <t>BARRIO EL CENTRO SANTANDER DE QUILICHAO 5</t>
  </si>
  <si>
    <t>FO-25-1293864</t>
  </si>
  <si>
    <t>28-07 SE REALIZA COMUNICACION CON EL SR CARLOS EDUARDO MENDOZA OLAYA, SE VALIDA DIRECCIÓN OK, CANAL OK, DISPONIBILIDAD TOTAL, LLAMAR EL DÍA LA INSTALACIÓN PARA CONFIRMAR VISITA, AVISO EXTERIOR ALTURA APROX 2 METROS; TOMACORRIENTE CERCANO: SI; TIENE CABINA DE SEGURIDAD: SI//MODEM A 4 METROS  30-07 SE REALIZA INSTALACIÓN DE CORRESPONSAL, SE INSTALAN EQUIPOS CON PRUEBAS EXITOSAS, SE CAPACITA Y SE EVALÚA AL CLIENTE, SE INSTALA PUBLICIDAD COMPLETA, CB QUEDA OPERATIVO. USUARIO SOMOS BANCOLOMBIA ACTIVO. SE INSTALA SWITCH</t>
  </si>
  <si>
    <t>V8ZZZ400</t>
  </si>
  <si>
    <t>TA-25-821074</t>
  </si>
  <si>
    <t>SOCORRO</t>
  </si>
  <si>
    <t>BARRIO SOCORRO SOCORRO 1</t>
  </si>
  <si>
    <t>FO-25-1162484</t>
  </si>
  <si>
    <t>28-06 SE REALIZA LLAMADA AL CLIENTE, SE HABLA CON EL SR ANDRES FELIPE CALA CALA, SE VALIDA DIRECCIÓN OK, CANAL OK, DISPONIBILIDAD TOTAL, LLAMAR EL DÍA LA INSTALACIÓN PARA CONFIRMAR VISITA, AVISO EXTERIOR ALTURA APROX  DONDE EL TECNICO LO VEA CONVENIENTE; TOMACORRIENTE CERCANO: SI; TIENE CABINA DE SEGURIDAD: SI// MODEM A 10 METROS 3/7/2025 SE REALIZA INSTALACIÓN DE CORRESPONSAL, SE INSTALAN EQUIPOS CON PRUEBAS EXITOSAS, SE CAPACITA Y SE EVALÚA AL CLIENTE, SE INSTALA PUBLICIDAD COMPLETA, CB QUEDA OPERATIVO. USUARIO SOMOS BANCOLOMBIA ACTIVO. SE INSTALA ROUTER 2251311012697</t>
  </si>
  <si>
    <t>F1ZZZ734</t>
  </si>
  <si>
    <t>GONZALEZ ESTUPIÑAN YEISON WALTER ANTONIO</t>
  </si>
  <si>
    <t>TA-25-837696</t>
  </si>
  <si>
    <t>SAMACA</t>
  </si>
  <si>
    <t>BARRIO VEREDA CHURUVITA SAMACA</t>
  </si>
  <si>
    <t>FO-25-1193446</t>
  </si>
  <si>
    <t>07-07-2025 SE REALIZA LLAMADA AL CLIENTE, SE HABLA CON LA SRA YENNY CAROLINA PARRA TORRES SE VALIDA DIRECCIÓN OK, CANAL OK, DISPONIBILIDAD TOTAL, LLAMAR EL DÍA LA INSTALACIÓN PARA CONFIRMAR VISITA, AVISO EXTERIOR ALTURA APROX 2 METROS; TOMACORRIENTE CERCANO: SI; TIENE CABINA DE SEGURIDAD: NO // CONTACTO REALIZADO POR LA WHATSAPP 8/7/2025 SE REALIZA INSTALACIÓN DE CORRESPONSAL, SE INSTALAN EQUIPOS CON PRUEBAS EXITOSAS, SE CAPACITA Y SE EVALÚA AL CLIENTE, SE INSTALA PUBLICIDAD COMPLETA, CB QUEDA OPERATIVO. USUARIO SOMOS BANCOLOMBIA ACTIVO. SE INSTALO ROUTER E6333022503000795</t>
  </si>
  <si>
    <t>FAZZZ477</t>
  </si>
  <si>
    <t>GONZALEZ GONZALEZ MARIO ALBERTO</t>
  </si>
  <si>
    <t>TA-25-837940</t>
  </si>
  <si>
    <t>SANTA ROSA DE VITERBO</t>
  </si>
  <si>
    <t>BARRIO CENTRO SANTA ROSA DE VITERBO 10</t>
  </si>
  <si>
    <t>FO-25-1193896</t>
  </si>
  <si>
    <t>07-07-2025 SE REALIZA LLAMADA AL CLIENTE, SE HABLA CON  LA SRA CARMENZA RINCON ALVAREZ, SE VALIDA DIRECCIÓN OK, CANAL OK, DISPONIBILIDAD TOTAL, LLAMAR EL DÍA LA INSTALACIÓN PARA CONFIRMAR VISITA, AVISO EXTERIOR ALTURA APROX 2,50 METROS; TOMACORRIENTE CERCANO: SI; TIENE CABINA DE SEGURIDAD: NO 8/7/2025 SE REALIZA INSTALACIÓN DE CORRESPONSAL, SE INSTALAN EQUIPOS CON PRUEBAS EXITOSAS, SE CAPACITA Y SE EVALÚA AL CLIENTE, SE INSTALA PUBLICIDAD COMPLETA, CB QUEDA OPERATIVO. USUARIO SOMOS BANCOLOMBIA ACTIVO. SE INSTALA ROUTER E06850110340057550</t>
  </si>
  <si>
    <t>FAZZZ543</t>
  </si>
  <si>
    <t>SOLER HOYOS CRISTIAN LEONARDO</t>
  </si>
  <si>
    <t>TA-25-870038</t>
  </si>
  <si>
    <t>GARAGOA</t>
  </si>
  <si>
    <t>BARRIO VILLA DE LOS ALPES GARAGOA</t>
  </si>
  <si>
    <t>FO-25-1249788</t>
  </si>
  <si>
    <t>18-07-2025 SE REALIZA LLAMADA AL CLIENTE, SE HABLA CON EL SR JUAN FELIPE GALVIS VELOSA SE VALIDA DIRECCIÓN OK, CANAL OK, DISPONIBILIDAD TOTAL, LLAMAR EL DÍA LA INSTALACIÓN PARA CONFIRMAR VISITA, AVISO EXTERIOR ALTURA APROX 2 METROS; TOMACORRIENTE CERCANO: SI; TIENE CABINA DE SEGURIDAD: SI // CONTACTO REALIZADO POR WHATSAPP // CLIENTE INFORMA QUE EL CELULAR TIENE FALLAS CON LAS LLAMADAS 22/7/2025 SE REALIZA INSTALACIÓN DE CORRESPONSAL, SE INSTALAN EQUIPOS CON PRUEBAS EXITOSAS, SE CAPACITA Y SE EVALÚA AL CLIENTE, SE INSTALA PUBLICIDAD COMPLETA, CB QUEDA OPERATIVO. USUARIO SOMOS BANCOLOMBIA ACTIVO.  SE INSTALAN ROUTER E0682017429000322</t>
  </si>
  <si>
    <t>SEZZZ137</t>
  </si>
  <si>
    <t>TA-25-904103</t>
  </si>
  <si>
    <t>DUITAMA</t>
  </si>
  <si>
    <t>BARRIO LA GRUTA DUITAMA 1</t>
  </si>
  <si>
    <t>FO-25-1305107</t>
  </si>
  <si>
    <t xml:space="preserve">30-07 SE REALIZA LLAMADA AL CLIENTE, SE HABLA CON LA SR RUBEN ARMANDO LEAL SUAREZ SE VALIDA DIRECCIÓN OK, CANAL OK, DISPONIBILIDAD TOTAL, LLAMAR EL DÍA LA INSTALACIÓN PARA CONFIRMAR VISITA, AVISO EXTERIOR ALTURA APROX 2.5 METROS; TOMACORRIENTE CERCANO: SI; TIENE CABINA DE SEGURIDAD: NO  - EL MODEM ESTA A 10 MT  31-07 SE REALIZA INSTALACIÓN DE CORRESPONSAL, SE INSTALAN EQUIPOS CON PRUEBAS EXITOSAS, SE CAPACITA Y SE EVALÚA AL CLIENTE, SE INSTALA PUBLICIDAD COMPLETA, CB QUEDA OPERATIVO. USUARIO SOMOS BANCOLOMBIA ACTIVO. SE INSTALA ROUTER </t>
  </si>
  <si>
    <t>VAZZZ391</t>
  </si>
  <si>
    <t>COD. CIUDAD</t>
  </si>
  <si>
    <t>DESDE DONDE SE ATIENDE</t>
  </si>
  <si>
    <t>TIPO DE TRAYECTO NUEVO</t>
  </si>
  <si>
    <t>TIPOLOGIA NUEVA</t>
  </si>
  <si>
    <t>LA VICTORIA</t>
  </si>
  <si>
    <t>AMAZONAS</t>
  </si>
  <si>
    <t>AEREO</t>
  </si>
  <si>
    <t>TIPO IV ESPECIAL</t>
  </si>
  <si>
    <t>PUERTO SANTANDER</t>
  </si>
  <si>
    <t>EL ENCANTO</t>
  </si>
  <si>
    <t>LA CHORRERA</t>
  </si>
  <si>
    <t>LA PEDRERA</t>
  </si>
  <si>
    <t>LETICIA</t>
  </si>
  <si>
    <t>MIRITI - PARANA</t>
  </si>
  <si>
    <t>PUERTO ALEGRIA</t>
  </si>
  <si>
    <t>PUERTO ARICA</t>
  </si>
  <si>
    <t>PUERTO NARIÑO</t>
  </si>
  <si>
    <t>TARAPACA</t>
  </si>
  <si>
    <t>ARGELIA</t>
  </si>
  <si>
    <t>ARMENIA</t>
  </si>
  <si>
    <t>BARBOSA</t>
  </si>
  <si>
    <t>BETULIA</t>
  </si>
  <si>
    <t>BRICEÑO</t>
  </si>
  <si>
    <t>CALDAS</t>
  </si>
  <si>
    <t>CONCEPCION</t>
  </si>
  <si>
    <t>CONCORDIA</t>
  </si>
  <si>
    <t>GRANADA</t>
  </si>
  <si>
    <t>GUADALUPE</t>
  </si>
  <si>
    <t>JERICO</t>
  </si>
  <si>
    <t>LA UNION</t>
  </si>
  <si>
    <t>NARIÑO</t>
  </si>
  <si>
    <t>RIONEGRO</t>
  </si>
  <si>
    <t>SABANALARGA</t>
  </si>
  <si>
    <t>SAN CARLOS</t>
  </si>
  <si>
    <t>SAN FRANCISCO</t>
  </si>
  <si>
    <t>SAN LUIS</t>
  </si>
  <si>
    <t>SAN PEDRO DE LOS MILAGROS</t>
  </si>
  <si>
    <t>SANTA BARBARA</t>
  </si>
  <si>
    <t>TOLEDO</t>
  </si>
  <si>
    <t>VALPARAISO</t>
  </si>
  <si>
    <t>VENECIA</t>
  </si>
  <si>
    <t>ABEJORRAL</t>
  </si>
  <si>
    <t>ABRIAQUI</t>
  </si>
  <si>
    <t>ALEJANDRIA</t>
  </si>
  <si>
    <t>AMALFI</t>
  </si>
  <si>
    <t>ANDES</t>
  </si>
  <si>
    <t>ANGELOPOLIS</t>
  </si>
  <si>
    <t>ANGOSTURA</t>
  </si>
  <si>
    <t>ANORI</t>
  </si>
  <si>
    <t>ANZA</t>
  </si>
  <si>
    <t>ARBOLETES</t>
  </si>
  <si>
    <t>BELLO</t>
  </si>
  <si>
    <t>BELMIRA</t>
  </si>
  <si>
    <t>BURITICA</t>
  </si>
  <si>
    <t>CAICEDO</t>
  </si>
  <si>
    <t>CAMPAMENTO</t>
  </si>
  <si>
    <t>CAÑASGORDAS</t>
  </si>
  <si>
    <t>CARACOLI</t>
  </si>
  <si>
    <t>CARAMANTA</t>
  </si>
  <si>
    <t>CAREPA</t>
  </si>
  <si>
    <t>CAROLINA</t>
  </si>
  <si>
    <t>CAUCASIA</t>
  </si>
  <si>
    <t>CHIGORODO</t>
  </si>
  <si>
    <t>CISNEROS</t>
  </si>
  <si>
    <t>CIUDAD BOLIVAR</t>
  </si>
  <si>
    <t>COCORNA</t>
  </si>
  <si>
    <t>COPACABANA</t>
  </si>
  <si>
    <t>DABEIBA</t>
  </si>
  <si>
    <t>DON MATIAS</t>
  </si>
  <si>
    <t>EBEJICO</t>
  </si>
  <si>
    <t>EL BAGRE</t>
  </si>
  <si>
    <t>EL CARMEN DE VIBORAL</t>
  </si>
  <si>
    <t>EL SANTUARIO</t>
  </si>
  <si>
    <t>ENTRERRIOS</t>
  </si>
  <si>
    <t>ENVIGADO</t>
  </si>
  <si>
    <t>FREDONIA</t>
  </si>
  <si>
    <t>FRONTINO</t>
  </si>
  <si>
    <t>GIRALDO</t>
  </si>
  <si>
    <t>GIRARDOTA</t>
  </si>
  <si>
    <t>GOMEZ PLATA</t>
  </si>
  <si>
    <t>GUARNE</t>
  </si>
  <si>
    <t>GUATAPE</t>
  </si>
  <si>
    <t>HELICONIA</t>
  </si>
  <si>
    <t>HISPANIA</t>
  </si>
  <si>
    <t>ITAGUI</t>
  </si>
  <si>
    <t>ITUANGO</t>
  </si>
  <si>
    <t>LA CEJA</t>
  </si>
  <si>
    <t>LA ESTRELLA</t>
  </si>
  <si>
    <t>LA PINTADA</t>
  </si>
  <si>
    <t>LIBORINA</t>
  </si>
  <si>
    <t>MACEO</t>
  </si>
  <si>
    <t>MARINILLA</t>
  </si>
  <si>
    <t>MONTEBELLO</t>
  </si>
  <si>
    <t>MURINDO</t>
  </si>
  <si>
    <t>FLUVIAL</t>
  </si>
  <si>
    <t>MUTATA</t>
  </si>
  <si>
    <t>NECHI</t>
  </si>
  <si>
    <t>NECOCLI</t>
  </si>
  <si>
    <t>OLAYA</t>
  </si>
  <si>
    <t>PEÑOL</t>
  </si>
  <si>
    <t>PEQUE</t>
  </si>
  <si>
    <t>PUEBLORRICO</t>
  </si>
  <si>
    <t>PUERTO BERRIO</t>
  </si>
  <si>
    <t>PUERTO NARE</t>
  </si>
  <si>
    <t>PUERTO TRIUNFO</t>
  </si>
  <si>
    <t>REMEDIOS</t>
  </si>
  <si>
    <t>RETIRO</t>
  </si>
  <si>
    <t>SABANETA</t>
  </si>
  <si>
    <t>SALGAR</t>
  </si>
  <si>
    <t>SAN ANDRES DE CUERQUIA</t>
  </si>
  <si>
    <t>SAN JERONIMO</t>
  </si>
  <si>
    <t>SAN JOSE DE LA MONTAÑA</t>
  </si>
  <si>
    <t>SAN JUAN DE URABA</t>
  </si>
  <si>
    <t>SAN PEDRO DE URABA</t>
  </si>
  <si>
    <t>SAN RAFAEL</t>
  </si>
  <si>
    <t>SAN ROQUE</t>
  </si>
  <si>
    <t>SAN VICENTE</t>
  </si>
  <si>
    <t>SANTA FE DE ANTIOQUIA</t>
  </si>
  <si>
    <t>SANTA ROSA DE OSOS</t>
  </si>
  <si>
    <t>SANTO DOMINGO</t>
  </si>
  <si>
    <t>SEGOVIA</t>
  </si>
  <si>
    <t>SONSON</t>
  </si>
  <si>
    <t>SOPETRAN</t>
  </si>
  <si>
    <t>TAMESIS</t>
  </si>
  <si>
    <t>TARSO</t>
  </si>
  <si>
    <t>TITIRIBI</t>
  </si>
  <si>
    <t>TURBO</t>
  </si>
  <si>
    <t>URAMITA</t>
  </si>
  <si>
    <t>URRAO</t>
  </si>
  <si>
    <t>VALDIVIA</t>
  </si>
  <si>
    <t>VEGACHI</t>
  </si>
  <si>
    <t>VIGIA DEL FUERTE</t>
  </si>
  <si>
    <t>YALI</t>
  </si>
  <si>
    <t>YARUMAL</t>
  </si>
  <si>
    <t>YOLOMBO</t>
  </si>
  <si>
    <t>YONDO</t>
  </si>
  <si>
    <t>ZARAGOZA</t>
  </si>
  <si>
    <t>ARAUCA</t>
  </si>
  <si>
    <t>ARAUQUITA</t>
  </si>
  <si>
    <t>CRAVO NORTE</t>
  </si>
  <si>
    <t>FORTUL</t>
  </si>
  <si>
    <t>PUERTO RONDON</t>
  </si>
  <si>
    <t>SARAVENA</t>
  </si>
  <si>
    <t>TAME</t>
  </si>
  <si>
    <t>ATLANTICO</t>
  </si>
  <si>
    <t>BARRANQUILLA</t>
  </si>
  <si>
    <t>PUERTO COLOMBIA</t>
  </si>
  <si>
    <t>BARANOA</t>
  </si>
  <si>
    <t>CAMPO DE LA CRUZ</t>
  </si>
  <si>
    <t>GALAPA</t>
  </si>
  <si>
    <t>JUAN DE ACOSTA</t>
  </si>
  <si>
    <t>LURUACO</t>
  </si>
  <si>
    <t>MALAMBO</t>
  </si>
  <si>
    <t>MANATI</t>
  </si>
  <si>
    <t>PALMAR DE VARELA</t>
  </si>
  <si>
    <t>PIOJO</t>
  </si>
  <si>
    <t>POLONUEVO</t>
  </si>
  <si>
    <t>PONEDERA</t>
  </si>
  <si>
    <t>REPELON</t>
  </si>
  <si>
    <t>SABANAGRANDE</t>
  </si>
  <si>
    <t>SANTA LUCIA</t>
  </si>
  <si>
    <t>SANTO TOMAS</t>
  </si>
  <si>
    <t>SOLEDAD</t>
  </si>
  <si>
    <t>SUAN</t>
  </si>
  <si>
    <t>TUBARA</t>
  </si>
  <si>
    <t>USIACURI</t>
  </si>
  <si>
    <t>CALAMAR</t>
  </si>
  <si>
    <t>EL PEÑON</t>
  </si>
  <si>
    <t>MORALES</t>
  </si>
  <si>
    <t>SAN PABLO</t>
  </si>
  <si>
    <t>TERRESTRE/FLUVIAL</t>
  </si>
  <si>
    <t>SANTA ROSA</t>
  </si>
  <si>
    <t>VILLANUEVA</t>
  </si>
  <si>
    <t>ACHI</t>
  </si>
  <si>
    <t>ALTOS DEL ROSARIO</t>
  </si>
  <si>
    <t>ARENAL</t>
  </si>
  <si>
    <t>ARJONA</t>
  </si>
  <si>
    <t>ARROYOHONDO</t>
  </si>
  <si>
    <t>BARRANCO DE LOBA</t>
  </si>
  <si>
    <t>CANTAGALLO</t>
  </si>
  <si>
    <t>CICUCO</t>
  </si>
  <si>
    <t>CLEMENCIA</t>
  </si>
  <si>
    <t>EL CARMEN DE BOLIVAR</t>
  </si>
  <si>
    <t>EL GUAMO</t>
  </si>
  <si>
    <t>HATILLO DE LOBA</t>
  </si>
  <si>
    <t>MAHATES</t>
  </si>
  <si>
    <t>MARGARITA</t>
  </si>
  <si>
    <t>MARIA LA BAJA</t>
  </si>
  <si>
    <t>MOMPOS</t>
  </si>
  <si>
    <t>MONTECRISTO</t>
  </si>
  <si>
    <t>NOROSI</t>
  </si>
  <si>
    <t>PINILLOS</t>
  </si>
  <si>
    <t>REGIDOR</t>
  </si>
  <si>
    <t>RIO VIEJO</t>
  </si>
  <si>
    <t>SAN CRISTOBAL</t>
  </si>
  <si>
    <t>SAN ESTANISLAO</t>
  </si>
  <si>
    <t>SAN FERNANDO</t>
  </si>
  <si>
    <t>SAN JACINTO</t>
  </si>
  <si>
    <t>SAN JACINTO DEL CAUCA</t>
  </si>
  <si>
    <t>SAN JUAN NEPOMUCENO</t>
  </si>
  <si>
    <t>SAN MARTIN DE LOBA</t>
  </si>
  <si>
    <t>SANTA CATALINA</t>
  </si>
  <si>
    <t>SANTA ROSA DEL SUR</t>
  </si>
  <si>
    <t>SIMITI</t>
  </si>
  <si>
    <t>SOPLAVIENTO</t>
  </si>
  <si>
    <t>TALAIGUA NUEVO</t>
  </si>
  <si>
    <t>TIQUISIO</t>
  </si>
  <si>
    <t>TURBACO</t>
  </si>
  <si>
    <t>TURBANA</t>
  </si>
  <si>
    <t>ZAMBRANO</t>
  </si>
  <si>
    <t>BELEN</t>
  </si>
  <si>
    <t>BUENAVISTA</t>
  </si>
  <si>
    <t>CIENAGA</t>
  </si>
  <si>
    <t>MIRAFLORES</t>
  </si>
  <si>
    <t>PAEZ</t>
  </si>
  <si>
    <t>SANTA MARIA</t>
  </si>
  <si>
    <t>ALMEIDA</t>
  </si>
  <si>
    <t>AQUITANIA</t>
  </si>
  <si>
    <t>ARCABUCO</t>
  </si>
  <si>
    <t>BERBEO</t>
  </si>
  <si>
    <t>BETEITIVA</t>
  </si>
  <si>
    <t>BOAVITA</t>
  </si>
  <si>
    <t>BUSBANZA</t>
  </si>
  <si>
    <t>CAMPOHERMOSO</t>
  </si>
  <si>
    <t>CERINZA</t>
  </si>
  <si>
    <t>CHINAVITA</t>
  </si>
  <si>
    <t>CHIQUINQUIRA</t>
  </si>
  <si>
    <t>CHIQUIZA</t>
  </si>
  <si>
    <t>CHISCAS</t>
  </si>
  <si>
    <t>CHITA</t>
  </si>
  <si>
    <t>CHITARAQUE</t>
  </si>
  <si>
    <t>CHIVATA</t>
  </si>
  <si>
    <t>CHIVOR</t>
  </si>
  <si>
    <t>COMBITA</t>
  </si>
  <si>
    <t>COPER</t>
  </si>
  <si>
    <t>CORRALES</t>
  </si>
  <si>
    <t>COVARACHIA</t>
  </si>
  <si>
    <t>CUBARA</t>
  </si>
  <si>
    <t>CUCAITA</t>
  </si>
  <si>
    <t>CUITIVA</t>
  </si>
  <si>
    <t>EL COCUY</t>
  </si>
  <si>
    <t>EL ESPINO</t>
  </si>
  <si>
    <t>FIRAVITOBA</t>
  </si>
  <si>
    <t>FLORESTA</t>
  </si>
  <si>
    <t>GACHANTIVA</t>
  </si>
  <si>
    <t>GAMEZA</t>
  </si>
  <si>
    <t>GUACAMAYAS</t>
  </si>
  <si>
    <t>GUATEQUE</t>
  </si>
  <si>
    <t>GUAYATA</t>
  </si>
  <si>
    <t>GUICAN</t>
  </si>
  <si>
    <t>IZA</t>
  </si>
  <si>
    <t>JENESANO</t>
  </si>
  <si>
    <t>LA CAPILLA</t>
  </si>
  <si>
    <t>LA UVITA</t>
  </si>
  <si>
    <t>LABRANZAGRANDE</t>
  </si>
  <si>
    <t>MACANAL</t>
  </si>
  <si>
    <t>MARIPI</t>
  </si>
  <si>
    <t>MONGUA</t>
  </si>
  <si>
    <t>MONGUI</t>
  </si>
  <si>
    <t>MONIQUIRA</t>
  </si>
  <si>
    <t>MOTAVITA</t>
  </si>
  <si>
    <t>MUZO</t>
  </si>
  <si>
    <t>NOBSA</t>
  </si>
  <si>
    <t>NUEVO COLON</t>
  </si>
  <si>
    <t>OICATA</t>
  </si>
  <si>
    <t>OTANCHE</t>
  </si>
  <si>
    <t>PACHAVITA</t>
  </si>
  <si>
    <t>PAIPA</t>
  </si>
  <si>
    <t>PAJARITO</t>
  </si>
  <si>
    <t>PANQUEBA</t>
  </si>
  <si>
    <t>PAUNA</t>
  </si>
  <si>
    <t>PAYA</t>
  </si>
  <si>
    <t>PAZ DE RIO</t>
  </si>
  <si>
    <t>PESCA</t>
  </si>
  <si>
    <t>PISBA</t>
  </si>
  <si>
    <t>PUERTO BOYACA</t>
  </si>
  <si>
    <t>QUIPAMA</t>
  </si>
  <si>
    <t>RAMIRIQUI</t>
  </si>
  <si>
    <t>RAQUIRA</t>
  </si>
  <si>
    <t>RONDON</t>
  </si>
  <si>
    <t>SABOYA</t>
  </si>
  <si>
    <t>SACHICA</t>
  </si>
  <si>
    <t>SAN EDUARDO</t>
  </si>
  <si>
    <t>SAN JOSE DE PARE</t>
  </si>
  <si>
    <t>SAN LUIS DE GACENO</t>
  </si>
  <si>
    <t>SAN MATEO</t>
  </si>
  <si>
    <t>SAN MIGUEL DE SEMA</t>
  </si>
  <si>
    <t>SAN PABLO DE BORBUR</t>
  </si>
  <si>
    <t>SANTA SOFIA</t>
  </si>
  <si>
    <t>SANTANA</t>
  </si>
  <si>
    <t>SATIVANORTE</t>
  </si>
  <si>
    <t>SATIVASUR</t>
  </si>
  <si>
    <t>SIACHOQUE</t>
  </si>
  <si>
    <t>SOATA</t>
  </si>
  <si>
    <t>SOCHA</t>
  </si>
  <si>
    <t>SOCOTA</t>
  </si>
  <si>
    <t>SOGAMOSO</t>
  </si>
  <si>
    <t>SOMONDOCO</t>
  </si>
  <si>
    <t>SORA</t>
  </si>
  <si>
    <t>SORACA</t>
  </si>
  <si>
    <t>SOTAQUIRA</t>
  </si>
  <si>
    <t>SUSACON</t>
  </si>
  <si>
    <t>SUTAMARCHAN</t>
  </si>
  <si>
    <t>SUTATENZA</t>
  </si>
  <si>
    <t>TASCO</t>
  </si>
  <si>
    <t>TENZA</t>
  </si>
  <si>
    <t>TIBANA</t>
  </si>
  <si>
    <t>TIBASOSA</t>
  </si>
  <si>
    <t>TINJACA</t>
  </si>
  <si>
    <t>TIPACOQUE</t>
  </si>
  <si>
    <t>TOGÜI</t>
  </si>
  <si>
    <t>TOPAGA</t>
  </si>
  <si>
    <t>TUNUNGUA</t>
  </si>
  <si>
    <t>TURMEQUE</t>
  </si>
  <si>
    <t>TUTA</t>
  </si>
  <si>
    <t>TUTAZA</t>
  </si>
  <si>
    <t>UMBITA</t>
  </si>
  <si>
    <t>VENTAQUEMADA</t>
  </si>
  <si>
    <t>VILLA DE LEYVA</t>
  </si>
  <si>
    <t>VIRACACHA</t>
  </si>
  <si>
    <t>ZETAQUIRA</t>
  </si>
  <si>
    <t>PALESTINA</t>
  </si>
  <si>
    <t>MANIZALES</t>
  </si>
  <si>
    <t>RIOSUCIO</t>
  </si>
  <si>
    <t>SALAMINA</t>
  </si>
  <si>
    <t>AGUADAS</t>
  </si>
  <si>
    <t>ANSERMA</t>
  </si>
  <si>
    <t>ARANZAZU</t>
  </si>
  <si>
    <t>BELALCAZAR</t>
  </si>
  <si>
    <t>CHINCHINA</t>
  </si>
  <si>
    <t>FILADELFIA</t>
  </si>
  <si>
    <t>LA DORADA</t>
  </si>
  <si>
    <t>LA MERCED</t>
  </si>
  <si>
    <t>MANZANARES</t>
  </si>
  <si>
    <t>MARMATO</t>
  </si>
  <si>
    <t>MARQUETALIA</t>
  </si>
  <si>
    <t>MARULANDA</t>
  </si>
  <si>
    <t>NEIRA</t>
  </si>
  <si>
    <t>NORCASIA</t>
  </si>
  <si>
    <t>PACORA</t>
  </si>
  <si>
    <t>PENSILVANIA</t>
  </si>
  <si>
    <t>SAMANA</t>
  </si>
  <si>
    <t>SAN JOSE</t>
  </si>
  <si>
    <t>SUPIA</t>
  </si>
  <si>
    <t>VICTORIA</t>
  </si>
  <si>
    <t>VILLAMARIA</t>
  </si>
  <si>
    <t>VITERBO</t>
  </si>
  <si>
    <t>ALBANIA</t>
  </si>
  <si>
    <t>PUERTO RICO</t>
  </si>
  <si>
    <t>BELEN DE LOS ANDAQUIES</t>
  </si>
  <si>
    <t>CARTAGENA DEL CHAIRA</t>
  </si>
  <si>
    <t>CURILLO</t>
  </si>
  <si>
    <t>EL DONCELLO</t>
  </si>
  <si>
    <t>EL PAUJIL</t>
  </si>
  <si>
    <t>LA MONTAÑITA</t>
  </si>
  <si>
    <t>MILAN</t>
  </si>
  <si>
    <t>MORELIA</t>
  </si>
  <si>
    <t>SAN JOSE DEL FRAGUA</t>
  </si>
  <si>
    <t>SAN VICENTE DEL CAGUAN</t>
  </si>
  <si>
    <t>TERRESTRE / AEREO</t>
  </si>
  <si>
    <t>SOLANO</t>
  </si>
  <si>
    <t>SOLITA</t>
  </si>
  <si>
    <t>CHAMEZA</t>
  </si>
  <si>
    <t>HATO COROZAL</t>
  </si>
  <si>
    <t>LA SALINA</t>
  </si>
  <si>
    <t>MANI</t>
  </si>
  <si>
    <t>MONTERREY</t>
  </si>
  <si>
    <t>NUNCHIA</t>
  </si>
  <si>
    <t>OROCUE</t>
  </si>
  <si>
    <t>PAZ DE ARIPORO</t>
  </si>
  <si>
    <t>PORE</t>
  </si>
  <si>
    <t>RECETOR</t>
  </si>
  <si>
    <t>SACAMA</t>
  </si>
  <si>
    <t>SAN LUIS DE PALENQUE</t>
  </si>
  <si>
    <t>TAMARA</t>
  </si>
  <si>
    <t>TAURAMENA</t>
  </si>
  <si>
    <t>TRINIDAD</t>
  </si>
  <si>
    <t>BALBOA</t>
  </si>
  <si>
    <t>EL TAMBO</t>
  </si>
  <si>
    <t>LA VEGA</t>
  </si>
  <si>
    <t>SUAREZ</t>
  </si>
  <si>
    <t>ALMAGUER</t>
  </si>
  <si>
    <t>BUENOS AIRES</t>
  </si>
  <si>
    <t>CAJIBIO</t>
  </si>
  <si>
    <t>CALDONO</t>
  </si>
  <si>
    <t>CALOTO</t>
  </si>
  <si>
    <t>CORINTO</t>
  </si>
  <si>
    <t>GUACHENE</t>
  </si>
  <si>
    <t>GUAPI</t>
  </si>
  <si>
    <t>INZA</t>
  </si>
  <si>
    <t>JAMBALO</t>
  </si>
  <si>
    <t>LA SIERRA</t>
  </si>
  <si>
    <t>LOPEZ</t>
  </si>
  <si>
    <t>MERCADERES</t>
  </si>
  <si>
    <t>MIRANDA</t>
  </si>
  <si>
    <t>PADILLA</t>
  </si>
  <si>
    <t>PATIA</t>
  </si>
  <si>
    <t>PIAMONTE</t>
  </si>
  <si>
    <t>PASTO</t>
  </si>
  <si>
    <t>PIENDAMO</t>
  </si>
  <si>
    <t>PUERTO TEJADA</t>
  </si>
  <si>
    <t>PURACE</t>
  </si>
  <si>
    <t>ROSAS</t>
  </si>
  <si>
    <t>SAN SEBASTIAN</t>
  </si>
  <si>
    <t>SILVIA</t>
  </si>
  <si>
    <t>SOTARA</t>
  </si>
  <si>
    <t>TIMBIO</t>
  </si>
  <si>
    <t>TIMBIQUI</t>
  </si>
  <si>
    <t>TORIBIO</t>
  </si>
  <si>
    <t>TOTORO</t>
  </si>
  <si>
    <t>VILLA RICA</t>
  </si>
  <si>
    <t>LA PAZ</t>
  </si>
  <si>
    <t>MANAURE</t>
  </si>
  <si>
    <t>SAN MARTIN</t>
  </si>
  <si>
    <t>AGUACHICA</t>
  </si>
  <si>
    <t>AGUSTIN CODAZZI</t>
  </si>
  <si>
    <t>ASTREA</t>
  </si>
  <si>
    <t>BECERRIL</t>
  </si>
  <si>
    <t>BOSCONIA</t>
  </si>
  <si>
    <t>CHIMICHAGUA</t>
  </si>
  <si>
    <t>CHIRIGUANA</t>
  </si>
  <si>
    <t>CURUMANI</t>
  </si>
  <si>
    <t>EL COPEY</t>
  </si>
  <si>
    <t>EL PASO</t>
  </si>
  <si>
    <t>GAMARRA</t>
  </si>
  <si>
    <t>GONZALEZ</t>
  </si>
  <si>
    <t>LA GLORIA</t>
  </si>
  <si>
    <t>LA JAGUA DE IBIRICO</t>
  </si>
  <si>
    <t>PAILITAS</t>
  </si>
  <si>
    <t>PELAYA</t>
  </si>
  <si>
    <t>PUEBLO BELLO</t>
  </si>
  <si>
    <t>RIO DE ORO</t>
  </si>
  <si>
    <t>SAN ALBERTO</t>
  </si>
  <si>
    <t>SAN DIEGO</t>
  </si>
  <si>
    <t>TAMALAMEQUE</t>
  </si>
  <si>
    <t>CHOCO</t>
  </si>
  <si>
    <t>ACANDI</t>
  </si>
  <si>
    <t>ALTO BAUDO</t>
  </si>
  <si>
    <t>ATRATO</t>
  </si>
  <si>
    <t>BAGADO</t>
  </si>
  <si>
    <t>BAHIA SOLANO</t>
  </si>
  <si>
    <t>BAJO BAUDO</t>
  </si>
  <si>
    <t>BELEN DE BAJIRA</t>
  </si>
  <si>
    <t>BOJAYA</t>
  </si>
  <si>
    <t>CARMEN DEL DARIEN</t>
  </si>
  <si>
    <t>CERTEGUI</t>
  </si>
  <si>
    <t>CONDOTO</t>
  </si>
  <si>
    <t>EL CANTON DEL SAN PABLO</t>
  </si>
  <si>
    <t>EL CARMEN DE ATRATO</t>
  </si>
  <si>
    <t>EL LITORAL DEL SAN JUAN</t>
  </si>
  <si>
    <t>TERRESTRE / FLUVIAL</t>
  </si>
  <si>
    <t>ISTMINA</t>
  </si>
  <si>
    <t>JURADO</t>
  </si>
  <si>
    <t>LLORO</t>
  </si>
  <si>
    <t>MEDIO ATRATO</t>
  </si>
  <si>
    <t>MEDIO BAUDO</t>
  </si>
  <si>
    <t>MEDIO SAN JUAN</t>
  </si>
  <si>
    <t>NOVITA</t>
  </si>
  <si>
    <t>NUQUI</t>
  </si>
  <si>
    <t>QUIBDO</t>
  </si>
  <si>
    <t>RIO IRO</t>
  </si>
  <si>
    <t>RIO QUITO</t>
  </si>
  <si>
    <t>SAN JOSE DEL PALMAR</t>
  </si>
  <si>
    <t>SIPI</t>
  </si>
  <si>
    <t>TADO</t>
  </si>
  <si>
    <t>UNGUIA</t>
  </si>
  <si>
    <t>UNION PANAMERICANA</t>
  </si>
  <si>
    <t>CHIMA</t>
  </si>
  <si>
    <t>AYAPEL</t>
  </si>
  <si>
    <t>CANALETE</t>
  </si>
  <si>
    <t>CERETE</t>
  </si>
  <si>
    <t>CHINU</t>
  </si>
  <si>
    <t>CIENAGA DE ORO</t>
  </si>
  <si>
    <t>COTORRA</t>
  </si>
  <si>
    <t>LA APARTADA</t>
  </si>
  <si>
    <t>LORICA</t>
  </si>
  <si>
    <t>LOS CORDOBAS</t>
  </si>
  <si>
    <t>MOMIL</t>
  </si>
  <si>
    <t>MONTELIBANO</t>
  </si>
  <si>
    <t>MOÑITOS</t>
  </si>
  <si>
    <t>PUEBLO NUEVO</t>
  </si>
  <si>
    <t>PUERTO ESCONDIDO</t>
  </si>
  <si>
    <t>PUERTO LIBERTADOR</t>
  </si>
  <si>
    <t>PURISIMA</t>
  </si>
  <si>
    <t>SAHAGUN</t>
  </si>
  <si>
    <t>SAN ANDRES SOTAVENTO</t>
  </si>
  <si>
    <t>SAN ANTERO</t>
  </si>
  <si>
    <t>SAN BERNARDO DEL VIENTO</t>
  </si>
  <si>
    <t>SAN PELAYO</t>
  </si>
  <si>
    <t>TIERRALTA</t>
  </si>
  <si>
    <t>VALENCIA</t>
  </si>
  <si>
    <t>ALBAN</t>
  </si>
  <si>
    <t>CABRERA</t>
  </si>
  <si>
    <t>MOSQUERA</t>
  </si>
  <si>
    <t>RICAURTE</t>
  </si>
  <si>
    <t>SAN BERNARDO</t>
  </si>
  <si>
    <t>SAN CAYETANO</t>
  </si>
  <si>
    <t>AGUA DE DIOS</t>
  </si>
  <si>
    <t>ANAPOIMA</t>
  </si>
  <si>
    <t>ANOLAIMA</t>
  </si>
  <si>
    <t>APULO</t>
  </si>
  <si>
    <t>ARBELAEZ</t>
  </si>
  <si>
    <t>BELTRAN</t>
  </si>
  <si>
    <t>BITUIMA</t>
  </si>
  <si>
    <t>BOJACA</t>
  </si>
  <si>
    <t>CACHIPAY</t>
  </si>
  <si>
    <t>CAJICA</t>
  </si>
  <si>
    <t>CAPARRAPI</t>
  </si>
  <si>
    <t>CAQUEZA</t>
  </si>
  <si>
    <t>CARMEN DE CARUPA</t>
  </si>
  <si>
    <t>CHAGUANI</t>
  </si>
  <si>
    <t>CHIA</t>
  </si>
  <si>
    <t>CHIPAQUE</t>
  </si>
  <si>
    <t>CHOACHI</t>
  </si>
  <si>
    <t>CHOCONTA</t>
  </si>
  <si>
    <t>COGUA</t>
  </si>
  <si>
    <t>COTA</t>
  </si>
  <si>
    <t>CUCUNUBA</t>
  </si>
  <si>
    <t>EL COLEGIO</t>
  </si>
  <si>
    <t>EL ROSAL</t>
  </si>
  <si>
    <t>FACATATIVA</t>
  </si>
  <si>
    <t>FOMEQUE</t>
  </si>
  <si>
    <t>FOSCA</t>
  </si>
  <si>
    <t>FUNZA</t>
  </si>
  <si>
    <t>FUQUENE</t>
  </si>
  <si>
    <t>GACHALA</t>
  </si>
  <si>
    <t>GACHANCIPA</t>
  </si>
  <si>
    <t>GACHETA</t>
  </si>
  <si>
    <t>GAMA</t>
  </si>
  <si>
    <t>GIRARDOT</t>
  </si>
  <si>
    <t>GUACHETA</t>
  </si>
  <si>
    <t>GUASCA</t>
  </si>
  <si>
    <t>GUATAQUI</t>
  </si>
  <si>
    <t>GUATAVITA</t>
  </si>
  <si>
    <t>GUAYABAL DE SIQUIMA</t>
  </si>
  <si>
    <t>GUAYABETAL</t>
  </si>
  <si>
    <t>GUTIERREZ</t>
  </si>
  <si>
    <t>JERUSALEN</t>
  </si>
  <si>
    <t>JUNIN</t>
  </si>
  <si>
    <t>LA CALERA</t>
  </si>
  <si>
    <t>LA MESA</t>
  </si>
  <si>
    <t>LA PALMA</t>
  </si>
  <si>
    <t>LA PEÑA</t>
  </si>
  <si>
    <t>LENGUAZAQUE</t>
  </si>
  <si>
    <t>MACHETA</t>
  </si>
  <si>
    <t>MADRID</t>
  </si>
  <si>
    <t>MANTA</t>
  </si>
  <si>
    <t>MEDINA</t>
  </si>
  <si>
    <t>NEMOCON</t>
  </si>
  <si>
    <t>NILO</t>
  </si>
  <si>
    <t>NIMAIMA</t>
  </si>
  <si>
    <t>NOCAIMA</t>
  </si>
  <si>
    <t>PACHO</t>
  </si>
  <si>
    <t>PAIME</t>
  </si>
  <si>
    <t>PANDI</t>
  </si>
  <si>
    <t>PARATEBUENO</t>
  </si>
  <si>
    <t>PASCA</t>
  </si>
  <si>
    <t>PUERTO SALGAR</t>
  </si>
  <si>
    <t>PULI</t>
  </si>
  <si>
    <t>QUEBRADANEGRA</t>
  </si>
  <si>
    <t>QUETAME</t>
  </si>
  <si>
    <t>QUIPILE</t>
  </si>
  <si>
    <t>SAN ANTONIO DEL TEQUENDAMA</t>
  </si>
  <si>
    <t>SAN JUAN DE RIO SECO</t>
  </si>
  <si>
    <t>SASAIMA</t>
  </si>
  <si>
    <t>SESQUILE</t>
  </si>
  <si>
    <t>SIBATE</t>
  </si>
  <si>
    <t>SILVANIA</t>
  </si>
  <si>
    <t>SIMIJACA</t>
  </si>
  <si>
    <t>SOPO</t>
  </si>
  <si>
    <t>SUBACHOQUE</t>
  </si>
  <si>
    <t>SUESCA</t>
  </si>
  <si>
    <t>SUPATA</t>
  </si>
  <si>
    <t>SUSA</t>
  </si>
  <si>
    <t>SUTATAUSA</t>
  </si>
  <si>
    <t>TABIO</t>
  </si>
  <si>
    <t>TAUSA</t>
  </si>
  <si>
    <t>TENA</t>
  </si>
  <si>
    <t>TENJO</t>
  </si>
  <si>
    <t>TIBACUY</t>
  </si>
  <si>
    <t>TIBIRITA</t>
  </si>
  <si>
    <t>TOCAIMA</t>
  </si>
  <si>
    <t>TOCANCIPA</t>
  </si>
  <si>
    <t>TOPAIPI</t>
  </si>
  <si>
    <t>UBALA</t>
  </si>
  <si>
    <t>UBAQUE</t>
  </si>
  <si>
    <t>UNE</t>
  </si>
  <si>
    <t>UTICA</t>
  </si>
  <si>
    <t>VERGARA</t>
  </si>
  <si>
    <t>VIANI</t>
  </si>
  <si>
    <t>VILLA DE SAN DIEGO DE UBATE</t>
  </si>
  <si>
    <t>VILLAGOMEZ</t>
  </si>
  <si>
    <t>VILLAPINZON</t>
  </si>
  <si>
    <t>VILLETA</t>
  </si>
  <si>
    <t>VIOTA</t>
  </si>
  <si>
    <t>YACOPI</t>
  </si>
  <si>
    <t>ZIPACON</t>
  </si>
  <si>
    <t>ZIPAQUIRA</t>
  </si>
  <si>
    <t>GUAINIA</t>
  </si>
  <si>
    <t>BARRANCO MINAS</t>
  </si>
  <si>
    <t>CACAHUAL</t>
  </si>
  <si>
    <t>INIRIDA</t>
  </si>
  <si>
    <t>LA GUADALUPE</t>
  </si>
  <si>
    <t>MAPIRIPANA</t>
  </si>
  <si>
    <t>MORICHAL</t>
  </si>
  <si>
    <t>PANA PANA</t>
  </si>
  <si>
    <t>SAN FELIPE</t>
  </si>
  <si>
    <t>EL RETORNO</t>
  </si>
  <si>
    <t>ACEVEDO</t>
  </si>
  <si>
    <t>AGRADO</t>
  </si>
  <si>
    <t>AIPE</t>
  </si>
  <si>
    <t>ALGECIRAS</t>
  </si>
  <si>
    <t>ALTAMIRA</t>
  </si>
  <si>
    <t>BARAYA</t>
  </si>
  <si>
    <t>CAMPOALEGRE</t>
  </si>
  <si>
    <t>COLOMBIA</t>
  </si>
  <si>
    <t>ELIAS</t>
  </si>
  <si>
    <t>GARZON</t>
  </si>
  <si>
    <t>GIGANTE</t>
  </si>
  <si>
    <t>HOBO</t>
  </si>
  <si>
    <t>IQUIRA</t>
  </si>
  <si>
    <t>ISNOS</t>
  </si>
  <si>
    <t>LA ARGENTINA</t>
  </si>
  <si>
    <t>LA PLATA</t>
  </si>
  <si>
    <t>NATAGA</t>
  </si>
  <si>
    <t>OPORAPA</t>
  </si>
  <si>
    <t>PAICOL</t>
  </si>
  <si>
    <t>PALERMO</t>
  </si>
  <si>
    <t>PITAL</t>
  </si>
  <si>
    <t>PITALITO</t>
  </si>
  <si>
    <t>RIVERA</t>
  </si>
  <si>
    <t>SALADOBLANCO</t>
  </si>
  <si>
    <t>SAN AGUSTIN</t>
  </si>
  <si>
    <t>SUAZA</t>
  </si>
  <si>
    <t>TARQUI</t>
  </si>
  <si>
    <t>TELLO</t>
  </si>
  <si>
    <t>TERUEL</t>
  </si>
  <si>
    <t>TESALIA</t>
  </si>
  <si>
    <t>TIMANA</t>
  </si>
  <si>
    <t>VILLAVIEJA</t>
  </si>
  <si>
    <t>YAGUARA</t>
  </si>
  <si>
    <t>BARRANCAS</t>
  </si>
  <si>
    <t>DIBULLA</t>
  </si>
  <si>
    <t>DISTRACCION</t>
  </si>
  <si>
    <t>EL MOLINO</t>
  </si>
  <si>
    <t>FONSECA</t>
  </si>
  <si>
    <t>HATONUEVO</t>
  </si>
  <si>
    <t>LA JAGUA DEL PILAR</t>
  </si>
  <si>
    <t>SAN JUAN DEL CESAR</t>
  </si>
  <si>
    <t>URIBIA</t>
  </si>
  <si>
    <t>URUMITA</t>
  </si>
  <si>
    <t>MAGDALENA</t>
  </si>
  <si>
    <t>GUAMAL</t>
  </si>
  <si>
    <t>ALGARROBO</t>
  </si>
  <si>
    <t>ARACATACA</t>
  </si>
  <si>
    <t>ARIGUANI</t>
  </si>
  <si>
    <t>CERRO SAN ANTONIO</t>
  </si>
  <si>
    <t>CHIBOLO</t>
  </si>
  <si>
    <t>EL BANCO</t>
  </si>
  <si>
    <t>EL PIÑON</t>
  </si>
  <si>
    <t>EL RETEN</t>
  </si>
  <si>
    <t>FUNDACION</t>
  </si>
  <si>
    <t>NUEVA GRANADA</t>
  </si>
  <si>
    <t>PEDRAZA</t>
  </si>
  <si>
    <t>PIJIÑO DEL CARMEN</t>
  </si>
  <si>
    <t>PIVIJAY</t>
  </si>
  <si>
    <t>PLATO</t>
  </si>
  <si>
    <t>PUEBLOVIEJO</t>
  </si>
  <si>
    <t>REMOLINO</t>
  </si>
  <si>
    <t>SABANAS DE SAN ANGEL</t>
  </si>
  <si>
    <t>SAN SEBASTIAN DE BUENAVISTA</t>
  </si>
  <si>
    <t>SAN ZENON</t>
  </si>
  <si>
    <t>SANTA ANA</t>
  </si>
  <si>
    <t>SANTA BARBARA DE PINTO</t>
  </si>
  <si>
    <t>SITIONUEVO</t>
  </si>
  <si>
    <t>TENERIFE</t>
  </si>
  <si>
    <t>ZAPAYAN</t>
  </si>
  <si>
    <t>ZONA BANANERA</t>
  </si>
  <si>
    <t>RESTREPO</t>
  </si>
  <si>
    <t>ACACIAS</t>
  </si>
  <si>
    <t>BARRANCA DE UPIA</t>
  </si>
  <si>
    <t>CABUYARO</t>
  </si>
  <si>
    <t>CASTILLA LA NUEVA</t>
  </si>
  <si>
    <t>CUBARRAL</t>
  </si>
  <si>
    <t>CUMARAL</t>
  </si>
  <si>
    <t>EL CALVARIO</t>
  </si>
  <si>
    <t>EL CASTILLO</t>
  </si>
  <si>
    <t>EL DORADO</t>
  </si>
  <si>
    <t>LA MACARENA</t>
  </si>
  <si>
    <t>LEJANIAS</t>
  </si>
  <si>
    <t>MAPIRIPAN</t>
  </si>
  <si>
    <t>MESETAS</t>
  </si>
  <si>
    <t>PUERTO CONCORDIA</t>
  </si>
  <si>
    <t>PUERTO GAITAN</t>
  </si>
  <si>
    <t>PUERTO LLERAS</t>
  </si>
  <si>
    <t>PUERTO LOPEZ</t>
  </si>
  <si>
    <t>SAN CARLOS DE GUAROA</t>
  </si>
  <si>
    <t>SAN JUAN DE ARAMA</t>
  </si>
  <si>
    <t>SAN JUANITO</t>
  </si>
  <si>
    <t>URIBE</t>
  </si>
  <si>
    <t>VISTAHERMOSA</t>
  </si>
  <si>
    <t>COLON</t>
  </si>
  <si>
    <t>PROVIDENCIA</t>
  </si>
  <si>
    <t>ALDANA</t>
  </si>
  <si>
    <t>ANCUYA</t>
  </si>
  <si>
    <t>ARBOLEDA</t>
  </si>
  <si>
    <t>BARBACOAS</t>
  </si>
  <si>
    <t>BUESACO</t>
  </si>
  <si>
    <t>CHACHAGUI</t>
  </si>
  <si>
    <t>CONSACA</t>
  </si>
  <si>
    <t>CONTADERO</t>
  </si>
  <si>
    <t>CUASPUD</t>
  </si>
  <si>
    <t>CUMBAL</t>
  </si>
  <si>
    <t>CUMBITARA</t>
  </si>
  <si>
    <t>EL CHARCO</t>
  </si>
  <si>
    <t>EL PEÑOL</t>
  </si>
  <si>
    <t>EL ROSARIO</t>
  </si>
  <si>
    <t>EL TABLON DE GOMEZ</t>
  </si>
  <si>
    <t>FRANCISCO PIZARRO</t>
  </si>
  <si>
    <t>FUNES</t>
  </si>
  <si>
    <t>GUACHUCAL</t>
  </si>
  <si>
    <t>GUAITARILLA</t>
  </si>
  <si>
    <t>GUALMATAN</t>
  </si>
  <si>
    <t>ILES</t>
  </si>
  <si>
    <t>IMUES</t>
  </si>
  <si>
    <t>IPIALES</t>
  </si>
  <si>
    <t>LA CRUZ</t>
  </si>
  <si>
    <t>LA FLORIDA</t>
  </si>
  <si>
    <t>LA LLANADA</t>
  </si>
  <si>
    <t>LA TOLA</t>
  </si>
  <si>
    <t>LEIVA</t>
  </si>
  <si>
    <t>LINARES</t>
  </si>
  <si>
    <t>LOS ANDES</t>
  </si>
  <si>
    <t>MAGUI</t>
  </si>
  <si>
    <t>MALLAMA</t>
  </si>
  <si>
    <t>OLAYA HERRERA</t>
  </si>
  <si>
    <t>OSPINA</t>
  </si>
  <si>
    <t>POLICARPA</t>
  </si>
  <si>
    <t>POTOSI</t>
  </si>
  <si>
    <t>PUERRES</t>
  </si>
  <si>
    <t>PUPIALES</t>
  </si>
  <si>
    <t>ROBERTO PAYAN</t>
  </si>
  <si>
    <t>SAMANIEGO</t>
  </si>
  <si>
    <t>SAN ANDRES DE TUMACO</t>
  </si>
  <si>
    <t>SAN LORENZO</t>
  </si>
  <si>
    <t>SAN PEDRO DE CARTAGO</t>
  </si>
  <si>
    <t>SANDONA</t>
  </si>
  <si>
    <t>SANTACRUZ</t>
  </si>
  <si>
    <t>SAPUYES</t>
  </si>
  <si>
    <t>TAMINANGO</t>
  </si>
  <si>
    <t>TANGUA</t>
  </si>
  <si>
    <t>TUQUERRES</t>
  </si>
  <si>
    <t>YACUANQUER</t>
  </si>
  <si>
    <t>SANTIAGO</t>
  </si>
  <si>
    <t>ABREGO</t>
  </si>
  <si>
    <t>ARBOLEDAS</t>
  </si>
  <si>
    <t>BOCHALEMA</t>
  </si>
  <si>
    <t>BUCARASICA</t>
  </si>
  <si>
    <t>CACHIRA</t>
  </si>
  <si>
    <t>CACOTA</t>
  </si>
  <si>
    <t>CHINACOTA</t>
  </si>
  <si>
    <t>CHITAGA</t>
  </si>
  <si>
    <t>CONVENCION</t>
  </si>
  <si>
    <t>CUCUTILLA</t>
  </si>
  <si>
    <t>DURANIA</t>
  </si>
  <si>
    <t>EL CARMEN</t>
  </si>
  <si>
    <t>EL TARRA</t>
  </si>
  <si>
    <t>EL ZULIA</t>
  </si>
  <si>
    <t>GRAMALOTE</t>
  </si>
  <si>
    <t>HACARI</t>
  </si>
  <si>
    <t>HERRAN</t>
  </si>
  <si>
    <t>LA ESPERANZA</t>
  </si>
  <si>
    <t>LA PLAYA</t>
  </si>
  <si>
    <t>LABATECA</t>
  </si>
  <si>
    <t>LOS PATIOS</t>
  </si>
  <si>
    <t>LOURDES</t>
  </si>
  <si>
    <t>MUTISCUA</t>
  </si>
  <si>
    <t>OCAÑA</t>
  </si>
  <si>
    <t>PAMPLONA</t>
  </si>
  <si>
    <t>PAMPLONITA</t>
  </si>
  <si>
    <t>RAGONVALIA</t>
  </si>
  <si>
    <t>SALAZAR</t>
  </si>
  <si>
    <t>SAN CALIXTO</t>
  </si>
  <si>
    <t>SARDINATA</t>
  </si>
  <si>
    <t>SILOS</t>
  </si>
  <si>
    <t>TEORAMA</t>
  </si>
  <si>
    <t>TIBU</t>
  </si>
  <si>
    <t>VILLA CARO</t>
  </si>
  <si>
    <t>VILLA DEL ROSARIO</t>
  </si>
  <si>
    <t>PUTUMAYO</t>
  </si>
  <si>
    <t>SAN MIGUEL</t>
  </si>
  <si>
    <t>LEGUIZAMO</t>
  </si>
  <si>
    <t>MOCOA</t>
  </si>
  <si>
    <t>ORITO</t>
  </si>
  <si>
    <t>PUERTO ASIS</t>
  </si>
  <si>
    <t>PUERTO CAICEDO</t>
  </si>
  <si>
    <t>PUERTO GUZMAN</t>
  </si>
  <si>
    <t>SIBUNDOY</t>
  </si>
  <si>
    <t>VALLE DEL GUAMUEZ</t>
  </si>
  <si>
    <t>VILLAGARZON</t>
  </si>
  <si>
    <t>QUINDIO</t>
  </si>
  <si>
    <t>CALARCA</t>
  </si>
  <si>
    <t>CIRCASIA</t>
  </si>
  <si>
    <t>FILANDIA</t>
  </si>
  <si>
    <t>GENOVA</t>
  </si>
  <si>
    <t>LA TEBAIDA</t>
  </si>
  <si>
    <t>MONTENEGRO</t>
  </si>
  <si>
    <t>PIJAO</t>
  </si>
  <si>
    <t>QUIMBAYA</t>
  </si>
  <si>
    <t>SALENTO</t>
  </si>
  <si>
    <t>APIA</t>
  </si>
  <si>
    <t>BELEN DE UMBRIA</t>
  </si>
  <si>
    <t>LA CELIA</t>
  </si>
  <si>
    <t>LA VIRGINIA</t>
  </si>
  <si>
    <t>MARSELLA</t>
  </si>
  <si>
    <t>MISTRATO</t>
  </si>
  <si>
    <t>PUEBLO RICO</t>
  </si>
  <si>
    <t>QUINCHIA</t>
  </si>
  <si>
    <t>SANTA ROSA DE CABAL</t>
  </si>
  <si>
    <t>SANTUARIO</t>
  </si>
  <si>
    <t>ARCHIPIELAGO DE SAN ANDRES Y PROVIDENCIA</t>
  </si>
  <si>
    <t>SAN ANDRES</t>
  </si>
  <si>
    <t>AGUADA</t>
  </si>
  <si>
    <t>ARATOCA</t>
  </si>
  <si>
    <t>BARICHARA</t>
  </si>
  <si>
    <t>BARRANCABERMEJA</t>
  </si>
  <si>
    <t>CALIFORNIA</t>
  </si>
  <si>
    <t>CAPITANEJO</t>
  </si>
  <si>
    <t>CARCASI</t>
  </si>
  <si>
    <t>CEPITA</t>
  </si>
  <si>
    <t>CERRITO</t>
  </si>
  <si>
    <t>CHARALA</t>
  </si>
  <si>
    <t>CHARTA</t>
  </si>
  <si>
    <t>CHIPATA</t>
  </si>
  <si>
    <t>CIMITARRA</t>
  </si>
  <si>
    <t>CONFINES</t>
  </si>
  <si>
    <t>CONTRATACION</t>
  </si>
  <si>
    <t>COROMORO</t>
  </si>
  <si>
    <t>CURITI</t>
  </si>
  <si>
    <t>EL CARMEN DE CHUCURI</t>
  </si>
  <si>
    <t>EL GUACAMAYO</t>
  </si>
  <si>
    <t>EL PLAYON</t>
  </si>
  <si>
    <t>ENCINO</t>
  </si>
  <si>
    <t>ENCISO</t>
  </si>
  <si>
    <t>FLORIAN</t>
  </si>
  <si>
    <t>GALAN</t>
  </si>
  <si>
    <t>GAMBITA</t>
  </si>
  <si>
    <t>GIRON</t>
  </si>
  <si>
    <t>GUACA</t>
  </si>
  <si>
    <t>GUAPOTA</t>
  </si>
  <si>
    <t>GUAVATA</t>
  </si>
  <si>
    <t>GUEPSA</t>
  </si>
  <si>
    <t>HATO</t>
  </si>
  <si>
    <t>JESUS MARIA</t>
  </si>
  <si>
    <t>JORDAN</t>
  </si>
  <si>
    <t>LA BELLEZA</t>
  </si>
  <si>
    <t>LANDAZURI</t>
  </si>
  <si>
    <t>LEBRIJA</t>
  </si>
  <si>
    <t>LOS SANTOS</t>
  </si>
  <si>
    <t>MACARAVITA</t>
  </si>
  <si>
    <t>MALAGA</t>
  </si>
  <si>
    <t>MATANZA</t>
  </si>
  <si>
    <t>MOGOTES</t>
  </si>
  <si>
    <t>MOLAGAVITA</t>
  </si>
  <si>
    <t>OCAMONTE</t>
  </si>
  <si>
    <t>OIBA</t>
  </si>
  <si>
    <t>ONZAGA</t>
  </si>
  <si>
    <t>PALMAR</t>
  </si>
  <si>
    <t>PALMAS DEL SOCORRO</t>
  </si>
  <si>
    <t>PARAMO</t>
  </si>
  <si>
    <t>PIEDECUESTA</t>
  </si>
  <si>
    <t>PINCHOTE</t>
  </si>
  <si>
    <t>PUENTE NACIONAL</t>
  </si>
  <si>
    <t>PUERTO PARRA</t>
  </si>
  <si>
    <t>PUERTO WILCHES</t>
  </si>
  <si>
    <t>SABANA DE TORRES</t>
  </si>
  <si>
    <t>SAN BENITO</t>
  </si>
  <si>
    <t>SAN JOAQUIN</t>
  </si>
  <si>
    <t>SAN JOSE DE MIRANDA</t>
  </si>
  <si>
    <t>SAN VICENTE DE CHUCURI</t>
  </si>
  <si>
    <t>SANTA HELENA DEL OPON</t>
  </si>
  <si>
    <t>SIMACOTA</t>
  </si>
  <si>
    <t>SUAITA</t>
  </si>
  <si>
    <t>SURATA</t>
  </si>
  <si>
    <t>TONA</t>
  </si>
  <si>
    <t>VALLE DE SAN JOSE</t>
  </si>
  <si>
    <t>VELEZ</t>
  </si>
  <si>
    <t>VETAS</t>
  </si>
  <si>
    <t>ZAPATOCA</t>
  </si>
  <si>
    <t>CAIMITO</t>
  </si>
  <si>
    <t>CHALAN</t>
  </si>
  <si>
    <t>COLOSO</t>
  </si>
  <si>
    <t>COROZAL</t>
  </si>
  <si>
    <t>COVEÑAS</t>
  </si>
  <si>
    <t>EL ROBLE</t>
  </si>
  <si>
    <t>GALERAS</t>
  </si>
  <si>
    <t>GUARANDA</t>
  </si>
  <si>
    <t>LOS PALMITOS</t>
  </si>
  <si>
    <t>MAJAGUAL</t>
  </si>
  <si>
    <t>MORROA</t>
  </si>
  <si>
    <t>OVEJAS</t>
  </si>
  <si>
    <t>PALMITO</t>
  </si>
  <si>
    <t>SAMPUES</t>
  </si>
  <si>
    <t>SAN BENITO ABAD</t>
  </si>
  <si>
    <t>SAN JUAN DE BETULIA</t>
  </si>
  <si>
    <t>SAN MARCOS</t>
  </si>
  <si>
    <t>SAN ONOFRE</t>
  </si>
  <si>
    <t>TOLU VIEJO</t>
  </si>
  <si>
    <t>ALPUJARRA</t>
  </si>
  <si>
    <t>ALVARADO</t>
  </si>
  <si>
    <t>AMBALEMA</t>
  </si>
  <si>
    <t>ANZOATEGUI</t>
  </si>
  <si>
    <t>ARMERO</t>
  </si>
  <si>
    <t>ATACO</t>
  </si>
  <si>
    <t>CAJAMARCA</t>
  </si>
  <si>
    <t>CARMEN DE APICALA</t>
  </si>
  <si>
    <t>CASABIANCA</t>
  </si>
  <si>
    <t>CHAPARRAL</t>
  </si>
  <si>
    <t>COELLO</t>
  </si>
  <si>
    <t>COYAIMA</t>
  </si>
  <si>
    <t>CUNDAY</t>
  </si>
  <si>
    <t>DOLORES</t>
  </si>
  <si>
    <t>ESPINAL</t>
  </si>
  <si>
    <t>FALAN</t>
  </si>
  <si>
    <t>FLANDES</t>
  </si>
  <si>
    <t>FRESNO</t>
  </si>
  <si>
    <t>GUAMO</t>
  </si>
  <si>
    <t>HERVEO</t>
  </si>
  <si>
    <t>HONDA</t>
  </si>
  <si>
    <t>ICONONZO</t>
  </si>
  <si>
    <t>LERIDA</t>
  </si>
  <si>
    <t>LIBANO</t>
  </si>
  <si>
    <t>MARIQUITA</t>
  </si>
  <si>
    <t>MELGAR</t>
  </si>
  <si>
    <t>MURILLO</t>
  </si>
  <si>
    <t>NATAGAIMA</t>
  </si>
  <si>
    <t>ORTEGA</t>
  </si>
  <si>
    <t>PALOCABILDO</t>
  </si>
  <si>
    <t>PIEDRAS</t>
  </si>
  <si>
    <t>PLANADAS</t>
  </si>
  <si>
    <t>PRADO</t>
  </si>
  <si>
    <t>PURIFICACION</t>
  </si>
  <si>
    <t>RIOBLANCO</t>
  </si>
  <si>
    <t>RONCESVALLES</t>
  </si>
  <si>
    <t>ROVIRA</t>
  </si>
  <si>
    <t>SALDAÑA</t>
  </si>
  <si>
    <t>SAN ANTONIO</t>
  </si>
  <si>
    <t>SANTA ISABEL</t>
  </si>
  <si>
    <t>VALLE DE SAN JUAN</t>
  </si>
  <si>
    <t>VENADILLO</t>
  </si>
  <si>
    <t>VILLAHERMOSA</t>
  </si>
  <si>
    <t>VILLARRICA</t>
  </si>
  <si>
    <t>ALCALA</t>
  </si>
  <si>
    <t>ANDALUCIA</t>
  </si>
  <si>
    <t>ANSERMANUEVO</t>
  </si>
  <si>
    <t>BUENAVENTURA</t>
  </si>
  <si>
    <t>BUGALAGRANDE</t>
  </si>
  <si>
    <t>CAICEDONIA</t>
  </si>
  <si>
    <t>CALIMA</t>
  </si>
  <si>
    <t>CARTAGO</t>
  </si>
  <si>
    <t>DAGUA</t>
  </si>
  <si>
    <t>EL AGUILA</t>
  </si>
  <si>
    <t>EL CAIRO</t>
  </si>
  <si>
    <t>EL CERRITO</t>
  </si>
  <si>
    <t>EL DOVIO</t>
  </si>
  <si>
    <t>FLORIDA</t>
  </si>
  <si>
    <t>GINEBRA</t>
  </si>
  <si>
    <t>GUACARI</t>
  </si>
  <si>
    <t>JAMUNDI</t>
  </si>
  <si>
    <t>LA CUMBRE</t>
  </si>
  <si>
    <t>OBANDO</t>
  </si>
  <si>
    <t>PRADERA</t>
  </si>
  <si>
    <t>RIOFRIO</t>
  </si>
  <si>
    <t>ROLDANILLO</t>
  </si>
  <si>
    <t>SEVILLA</t>
  </si>
  <si>
    <t>TRUJILLO</t>
  </si>
  <si>
    <t>TULUA</t>
  </si>
  <si>
    <t>ULLOA</t>
  </si>
  <si>
    <t>VERSALLES</t>
  </si>
  <si>
    <t>VIJES</t>
  </si>
  <si>
    <t>YOTOCO</t>
  </si>
  <si>
    <t>YUMBO</t>
  </si>
  <si>
    <t>ZARZAL</t>
  </si>
  <si>
    <t>CARURU</t>
  </si>
  <si>
    <t>VAUPES</t>
  </si>
  <si>
    <t>MITU</t>
  </si>
  <si>
    <t>PACOA</t>
  </si>
  <si>
    <t>PAPUNAUA</t>
  </si>
  <si>
    <t>TARAIRA</t>
  </si>
  <si>
    <t>YAVARATE</t>
  </si>
  <si>
    <t>CUMARIBO</t>
  </si>
  <si>
    <t>VICHADA</t>
  </si>
  <si>
    <t>LA PRIMAVERA</t>
  </si>
  <si>
    <t>PUERTO CARREÑO</t>
  </si>
  <si>
    <t>SANTA ROSALIA</t>
  </si>
  <si>
    <t>TUCHIN</t>
  </si>
  <si>
    <t>SAN JOSE DE URE</t>
  </si>
  <si>
    <t>FECHA ASIGNACIÓN A LÍNEA COMUNICACIONES (DD/MM/AAAA HH:MM)</t>
  </si>
  <si>
    <t>FECHA CIERRE DEL TICKET (DD/MM/AAAA HH:MM)</t>
  </si>
  <si>
    <t>ACOMETIDA</t>
  </si>
  <si>
    <t>GRUPO_FALLA</t>
  </si>
  <si>
    <t>CATEGORÍA</t>
  </si>
  <si>
    <t>FALLA</t>
  </si>
  <si>
    <t>OBSERVACION</t>
  </si>
  <si>
    <t>TERMINAL</t>
  </si>
  <si>
    <t>DIAS DE VISITA</t>
  </si>
  <si>
    <t>ACOMETIDA DATOS</t>
  </si>
  <si>
    <t>ACOMETIDA ELÉCTRICA</t>
  </si>
  <si>
    <t>VALOR DIAS ACOMPAÑAMIENTO FACTURABLES</t>
  </si>
  <si>
    <t>INCIDENTE</t>
  </si>
  <si>
    <t>BARRIO LA LIBERTAD CUCUTA 20</t>
  </si>
  <si>
    <t>FO-25-1159231</t>
  </si>
  <si>
    <t>NO</t>
  </si>
  <si>
    <t>USUARIO</t>
  </si>
  <si>
    <t>MANTENIMIENTO</t>
  </si>
  <si>
    <t>MANTENIMIENTO GENERAL</t>
  </si>
  <si>
    <t>CB UNO A UNO</t>
  </si>
  <si>
    <t>CERRADO</t>
  </si>
  <si>
    <t xml:space="preserve">01-07 SE ESCALA PARA VISITA. LLAMAR ANTES DE VISITAR, CONFIRMAR FALLA Y DATOS
0
01-07 SE REALIZÓ VISITA AL COMERCIO Y CLIENTE MANIFIESTA QUE SE LE CALLO EL CUBRE TECLADO, SE REALIZA MANTENIMIENTO Y SE COLOCA CUBRE TECLADO NUEVO </t>
  </si>
  <si>
    <t>VISITA_TÉCNICA</t>
  </si>
  <si>
    <t>MN3ZZ476</t>
  </si>
  <si>
    <t>MORA VEGA JEAMPIER</t>
  </si>
  <si>
    <t>OPRAP EXITO GRAN PLAZA FLORENCIA</t>
  </si>
  <si>
    <t>FO-25-1159163</t>
  </si>
  <si>
    <t>USUARIOS</t>
  </si>
  <si>
    <t>MALA MANIPULACION POS</t>
  </si>
  <si>
    <t>01-07 SE ESCALA PARA VISITA. LLAMAR ANTES DE VISITAR, CONFIRMAR FALLA Y DATOS
0
01-07 SE LLEGA AL CB Y CB SE ENCUENTRA FUNCIONANDO CON NORMALIDAD, SE EVIDENCIA QUE EL USUARIO REALIZA MALA LA MANIPULACIÓN DEL DATÁFONO AL MOMENTO DE REALIZAR EL CIERRE Y ESTO GENERA EL LLENADO DE MEMORIA Y ENDE SE REINICIA EL DATÁFONO.</t>
  </si>
  <si>
    <t>103ZZ224</t>
  </si>
  <si>
    <t xml:space="preserve">BARRIO ROBLEDO MIRAMAR MEDELLIN  3 </t>
  </si>
  <si>
    <t>FO-25-1165748</t>
  </si>
  <si>
    <t>LECTOR DE TARJETAS</t>
  </si>
  <si>
    <t>OBSTRUCCION DEL LECTOR</t>
  </si>
  <si>
    <t>01-07 SE ESCALA PARA VISITA. LLAMAR ANTES DE VISITAR, CONFIRMAR FALLA Y DATOS
0
01-07 SE REALIZA MANTENIMIENTO GENERAL</t>
  </si>
  <si>
    <t>SXNZZ611</t>
  </si>
  <si>
    <t>HERNANDEZ CHAVARRIA JUAN CAMILO</t>
  </si>
  <si>
    <t>ASTREA II - CESAR</t>
  </si>
  <si>
    <t>FO-25-1139132</t>
  </si>
  <si>
    <t xml:space="preserve">26-06 SE INTENTA COMUNICACION CON CB AL NUMERO 3106382156 SIN RESPUESTA, FAVOR LLAMAR A CLIENTE ANTES DE DESPLAZARSE PARA VALIDAR SOLICITUD Y DATOS
28/06/2025 SE REQUIERE CAMBIO DE EQUIPO Y POR LA HORA NO SE PODRIA REALIZAR DEBIDO A QUE SOPORTEDE REDEBAN NO LABORA DESPUES DE 1 PM
01-07 SE LLAMA A LA USUARIA LISETH RIVERA, LA CUAL INDICA QUE DURANTE TRES DIAS PRESENTABA FALLAS CON EL LECTOR DE TARJETA, YA QUE NO LEIA NINGUNA, PERO QUE DESPUES SE ARREGLO EL SERVICIO Y HASTA EL MOMENTO ESTA FUNCIONANDO CORRECTAMENTE SIN NINGUNA NOVEDAD, POR ENDE INDICA QUE NO REQUIERE VISITA TÉCNICA </t>
  </si>
  <si>
    <t>SOPORTE_TELEFÓNICO</t>
  </si>
  <si>
    <t>MONTES DIAZ JOHN FRED</t>
  </si>
  <si>
    <t>MULTIPAGAS BUGA</t>
  </si>
  <si>
    <t>FO-25-1169391</t>
  </si>
  <si>
    <t>USUARIOS BLOQUEADOS</t>
  </si>
  <si>
    <t>02-07 SE ESCALA PARA VISITA. LLAMAR ANTES DE VISITAR, CONFIRMAR FALLA Y DATOS
0
02-07 SE LLAMA A LA SEÑORA KELLY PARA VALIDAR INCIDENTE, PERO INDICA QUE ESTA MAÑANA AL LLEGAR Y REALIZAR EL CIERRE YA LES FUNCIONO NORMAL, AL PARECER EL USUARIO ESTABA COMO BLOQUEADO, EL DATAFONO YA ESTA OPERANDO NORMALMENTE.</t>
  </si>
  <si>
    <t>HENAO CARDONA DIEGO FERNANDO</t>
  </si>
  <si>
    <t>DISTRICOL FERRO DEPÓSITO JUAN</t>
  </si>
  <si>
    <t>FO-25-1167175</t>
  </si>
  <si>
    <t xml:space="preserve">01-07 SE ESCALA PARA VISITA. LLAMAR ANTES DE VISITAR, CONFIRMAR FALLA Y DATOS
0
02-07 SE REALIZA MANTENIMIENTO AL EQUIPO </t>
  </si>
  <si>
    <t>MN3ZZ451</t>
  </si>
  <si>
    <t>CERPA SUAREZ DUVAN CAMILO</t>
  </si>
  <si>
    <t>BARRIO MANRIQUE ORIENTAL</t>
  </si>
  <si>
    <t>FO-25-1167420</t>
  </si>
  <si>
    <t xml:space="preserve">01-07 SE ESCALA PARA VISITA. LLAMAR ANTES DE VISITAR, CONFIRMAR FALLA Y DATOS
0
02-07 SE LLEGÓ A SITIO CORRESPONSAL INFORMA QUE EL EQUIPO SE ENCUENTRA FUNCIONANDO NORMALMENTE </t>
  </si>
  <si>
    <t>JRZZZ707</t>
  </si>
  <si>
    <t>CASTAÑEDA PALACIO CARLOS FELIPE</t>
  </si>
  <si>
    <t>BARRIO GUAYACANES CARTAGO</t>
  </si>
  <si>
    <t>FO-25-1171516</t>
  </si>
  <si>
    <t>NO ENCIENDE</t>
  </si>
  <si>
    <t>CONEXIONES DE COMERCIO</t>
  </si>
  <si>
    <t>02-07 SE ESCALA PARA VISITA. LLAMAR ANTES DE VISITAR, CONFIRMAR FALLA Y DATOS
0
02-07 SE REALIZA VALIDACION CON EL SEÑOR ALEJANDRO QUIEN REPORTA PROBLEMAS CON EL PIN PAD, SE REVISA CONEXIONES Y SE ENCUENTRA QUE EL PIN PAD NO ESTA BIEN CONECTADO, SE PROCCEDE A REALIZAR CONEXION CORRECTA Y EL SERVICIO EMPIEZA A OPERAR SIN PROBLEMAS.</t>
  </si>
  <si>
    <t>BARRIO GIRARDOTA GIRARDOTA</t>
  </si>
  <si>
    <t>FO-25-1168257</t>
  </si>
  <si>
    <t xml:space="preserve">01-07 SE ESCALA PARA VISITA. LLAMAR ANTES DE VISITAR, CONFIRMAR FALLA Y DATOS
0
02-07 SE REALIZA MANTENIMIENTO Y SE CONECTA CABLE DE PODER BIEN </t>
  </si>
  <si>
    <t>EF01Z882</t>
  </si>
  <si>
    <t>PTM BOGOTA PUNTOSERVICE BOGOT</t>
  </si>
  <si>
    <t>FO-25-1169432</t>
  </si>
  <si>
    <t>COMUNICACION</t>
  </si>
  <si>
    <t>CANAL DEL COMERCIO</t>
  </si>
  <si>
    <t>01-07 SE ESCALA PARA VISITA. LLAMAR ANTES DE VISITAR, CONFIRMAR FALLA Y DATOS
0
02-07 SE REALIZA DESPLAZAMIENTO A DIRECCIÓN DE COMERCIO, SE ENCUENTRA COMERCIO CERRADO, PERSONA QUE ATIENDE POR UNA VENTANA DEL 3 PISO DEL PREDIO SE COMUNICA CON LA SRA. CLAUDIA Y ELLA LE INDICA QUE LLAMO A CANCELAR LA VISITA POR QUÉ LA FALLA ES DEL SERVICIO DE INTERNET DEL PREDIO.</t>
  </si>
  <si>
    <t>MA00B423</t>
  </si>
  <si>
    <t>MURCIA HERNANDEZ HARVEY IGNACIO</t>
  </si>
  <si>
    <t>PTM SABANETA PAPELERIA Y RECAR</t>
  </si>
  <si>
    <t>FO-25-1171187</t>
  </si>
  <si>
    <t>CIERRE</t>
  </si>
  <si>
    <t>COMERCIO NO REALIZA CIERRE</t>
  </si>
  <si>
    <t>02-07 SE ESCALA PARA VISITA. LLAMAR ANTES DE VISITAR, CONFIRMAR FALLA Y DATOS
0
02-07 SE REALIZA AJUSTES SOBRE LOS CIERRES</t>
  </si>
  <si>
    <t>FATZZ894</t>
  </si>
  <si>
    <t>BARRIO LA GABRIELA CALLE VIEJA BELLO 4</t>
  </si>
  <si>
    <t>FO-25-1172101</t>
  </si>
  <si>
    <t xml:space="preserve">02-07 SE ESCALA PARA VISITA. LLAMAR ANTES DE VISITAR, CONFIRMAR FALLA Y DATOS
0
02-07 SE REALIZÓ LIMPIEZA DE IMPRESORA POS OK </t>
  </si>
  <si>
    <t>SAXZZ552</t>
  </si>
  <si>
    <t>BARRIO NIQUIA BELLO 16</t>
  </si>
  <si>
    <t>FO-25-1173213</t>
  </si>
  <si>
    <t xml:space="preserve">02-07 SE ESCALA PARA VISITA. LLAMAR ANTES DE VISITAR, CONFIRMAR FALLA Y DATOS
0
02-07 SE REALIZA MANTENIMIENTO AL EQUIPO Y SE CONECTA FUENTE DE PODER </t>
  </si>
  <si>
    <t>9A00N419</t>
  </si>
  <si>
    <t>ARA0354   PURIFICACION ZONA SU</t>
  </si>
  <si>
    <t>FO-25-1175014</t>
  </si>
  <si>
    <t>RETAIL</t>
  </si>
  <si>
    <t>02-07 SE ESCALA A LA RED - SE PROCEDE A CERRAR YA QUE NO ATENDEMOS CADENA ARA ..02-07 RESPUESTA DE LA RED: TU SOLICITUD REFERENTE A GENERACIÓN DE CASOS CB ARA BANCOLOMBIA QUEDÓ RADICADA BAJO EL TICKET NÚMERO 5697837 AL ÁREA ENCARGADA.
0</t>
  </si>
  <si>
    <t>BARRIO BELMONTE POPAYAN</t>
  </si>
  <si>
    <t>FO-25-1171196</t>
  </si>
  <si>
    <t>ENTIDAD</t>
  </si>
  <si>
    <t>ERROR DE TRANSACCIONES</t>
  </si>
  <si>
    <t>TIPO DE TARJETA INVALIDA</t>
  </si>
  <si>
    <t>02-07 SE ESCALA PARA VISITA. LLAMAR ANTES DE VISITAR, CONFIRMAR FALLA Y DATOS
0
02-07 SE LLEGA AL SITIO SE ENCUENTRA EQUIPO OK SE LLAMA ALA LÍNEA CORRESPONSALES INFORMAN PRESENTA BLOQUEO POR LA ENTIDAD POR TEMA COMPENSACION</t>
  </si>
  <si>
    <t>9T1ZZ294</t>
  </si>
  <si>
    <t>PAGAFACIL CENTRO DE PAGOS LA 9</t>
  </si>
  <si>
    <t>FO-25-1174015</t>
  </si>
  <si>
    <t>02-07 SE ESCALA PARA VISITA. LLAMAR ANTES DE VISITAR, CONFIRMAR FALLA Y DATOS
0
03-07 SE RESTABLECEN CLAVES COMERCIO REALIZA PRUEBAS REALIZANDO EL CIERRE NO SE REALIZA PRUEBAS DE TRANSACCIÓNES DEBIDO A QUE LA CAJA NO LA ESTÁN USANDO Y NO LA PUEDEB ABRIR HASTA MAÑANA</t>
  </si>
  <si>
    <t>XRZZZ663</t>
  </si>
  <si>
    <t>MICHELI LOPEZ MIGUEL ANGEL</t>
  </si>
  <si>
    <t>BARRIO FLORESTA CALI 2</t>
  </si>
  <si>
    <t>FO-25-1176899</t>
  </si>
  <si>
    <t>03-07 SE ESCALA PARA VISITA. LLAMAR ANTES DE VISITAR, CONFIRMAR FALLA Y DATOS
0
03-07 SE REALIZA LLAMADA AL CLIENTE , SE VALIDA INCONVENIENTE, EL CLIENTE ESTABA DIGITANDO UNA CLAVE PARA CIERRES ERRADA, SE LE INDICA QUE LA CLAVE ESTANDAR ES 1526, EL CLIENTE PROCEDE A REALIZAR PRUEBAS Y INGRESA AL CIERRE CORRECTAMENTE.</t>
  </si>
  <si>
    <t>DISTRICOL EL MERCADO J&amp;S PARQU</t>
  </si>
  <si>
    <t>FO-25-1177953</t>
  </si>
  <si>
    <t>03-07 SE ESCALA PARA VISITA. LLAMAR ANTES DE VISITAR, CONFIRMAR FALLA Y DATOS
0
03-07 SE REALIZA MANTENIMIENTO AL EQUIPO TODO ESTÁ EN BUEN FUNCIONAMIENTO</t>
  </si>
  <si>
    <t>SAUZZ938</t>
  </si>
  <si>
    <t>PTM IPIALES MISCELANEA Y PAPEL</t>
  </si>
  <si>
    <t>FO-25-1175433</t>
  </si>
  <si>
    <t>02-07 SE ESCALA PARA VISITA. LLAMAR ANTES DE VISITAR, CONFIRMAR FALLA Y DATOS
0
03-07 SE VISITÓ EL CB PARA REVISAR INCONVENIENTE CON DATÁFONO, CLIENTE MANIFIESTA QUE SE REINICIABA, SE REALIZA MANTENIMIENTO, BORRADO DE SISTEMA OPERATIVO Y VERSIÓN, SE REINSTALA Y SE INICIALIZA, PRUEBAS OK, CB FUNCIONA CON NORMALIDAD</t>
  </si>
  <si>
    <t>AB1EZ108, MA00E720</t>
  </si>
  <si>
    <t>GUERRERO RAMIREZ OSCAR DARIO</t>
  </si>
  <si>
    <t>BARRIO CALLE BOLIVAR MACEO</t>
  </si>
  <si>
    <t>FO-25-1163418</t>
  </si>
  <si>
    <t>01-07 SE REALIZA CONTACTO CON  LUZ MARY CELIS AL NUMERO 3206745652 CONFIRMA FALLA, DATOS CORRECTOS. SE ESCALA PARA VISITA 
0
03-07 SE VERIFICAN CONEXIÓNES Y SE IDENTIFICA CAÍDA DEL CANAL DEL USUARIO, SE ENSAYA EL SERVICIO CON EL CANAL DE UN VECINO Y EL SERVICIO FUNCIONA CORRECTAMENTE.</t>
  </si>
  <si>
    <t>SASZZ681</t>
  </si>
  <si>
    <t>BARRIO SECTOR CUATRO ESQUINAS ENTRERIOS</t>
  </si>
  <si>
    <t>FO-25-1173446</t>
  </si>
  <si>
    <t>LECTOR DE BARRAS</t>
  </si>
  <si>
    <t>CAPACITACION MANIPULACION DE COMERCIO</t>
  </si>
  <si>
    <t>02-07 SE ESCALA PARA VISITA. LLAMAR ANTES DE VISITAR, CONFIRMAR FALLA Y DATOS
0
04-07 SE REVISA LECTORA EN BUEN ESTADO SE DETECTA QUE CLIENTE NO ESTABA MANIPULANDO BIEN LA LECTORA SE LE EXPLICA COMO MANIPULARLA TODO OK</t>
  </si>
  <si>
    <t>10XZZ908</t>
  </si>
  <si>
    <t>ALVAREZ ARENAS VICTOR HUGO</t>
  </si>
  <si>
    <t>BARRIO PEDREGAL MEDELLIN 13</t>
  </si>
  <si>
    <t>FO-25-1177967</t>
  </si>
  <si>
    <t>03-07 SE ESCALA PARA VISITA. LLAMAR ANTES DE VISITAR, CONFIRMAR FALLA Y DATOS
0
04-07 SE REALIZA VALIDACIÓN DE EQUIPO ESTA EN BUEN ESTADO, SE PRESENTA DAÑO EN PUNTO DE INTERNET, SE REALIZO PRUEBA EN OTRO PUNTO DE INTERNET Y FUNCIONA CORRECTAMENTE, SE INFORMA AL CLIENTE COMUNICAR QUE EL PROVEEDOR</t>
  </si>
  <si>
    <t>A4WZZ863</t>
  </si>
  <si>
    <t>BARRIO LA PLAZUELA MACEO</t>
  </si>
  <si>
    <t>FO-25-1171205</t>
  </si>
  <si>
    <t>02-07 SE REALIZA CONTACTO CON RUBIALBA RODAS VALENCIA AL NUMERO 3135566743 CONFIRMA FALLA, DATOS CORRECTOS. SE ESCALA PARA VISITA 
0
04-07 USUARIO CAMBIA DE OPERADOR, SE REALIZA INSTALACIÓN Y SE DEJAN SERVICIOS FUNCIONANDO CORRECTAMENTE</t>
  </si>
  <si>
    <t>V14ZZ278</t>
  </si>
  <si>
    <t>COMCARD SAN JAVIER TOTAL RED</t>
  </si>
  <si>
    <t>FO-25-1178781</t>
  </si>
  <si>
    <t>ERROR PAGOS PARCIALES DE FACTURAS</t>
  </si>
  <si>
    <t>03-07 SE ESCALA PARA VISITA. LLAMAR ANTES DE VISITAR, CONFIRMAR FALLA Y DATOS
0
04-07 SE LLEGA AL COMERCIO PERO SE EVIDENCIA QUE ESTÁ CERRADO SE INTENTA COMUNICACIÓN CON USUARIO PERO NO SE LOGRA SE ESPERA MÉDIA HORA EN SITIO PERO NO LLEGA USUARIA</t>
  </si>
  <si>
    <t>MONTOYA VELEZ ANDRES FELIPE</t>
  </si>
  <si>
    <t>BARRIO VILLA DE LAS PALMAS PURIFICACION</t>
  </si>
  <si>
    <t>FO-25-1181575</t>
  </si>
  <si>
    <t>04-07 SE ESCALA PARA VISITA. LLAMAR ANTES DE VISITAR, CONFIRMAR FALLA Y DATOS
0
04-07 SE COMUNICA AL NÚMERO TELEFÓNICO 3206095053, LA SEÑORA ANGIE MONROY INDICA QUE DESDE LA LÍNEA 018000953344 LE DIERON SOLUCIÓN AL TEMA DE CIERRES MEDIANTE BORRADO DE TRANSACCIONES; EQUIPO OPERATIVO.</t>
  </si>
  <si>
    <t>BARRIO SANTA MARIA III - ITAGU</t>
  </si>
  <si>
    <t>FO-25-1180859</t>
  </si>
  <si>
    <t>03-07 SE ESCALA PARA VISITA. LLAMAR ANTES DE VISITAR, CONFIRMAR FALLA Y DATOS
0
04-07 SE LLEGA AL PUNTO SE LLAMA AL ENCARGADO Y  DICE QUE FAVOR VENIR LA OTRA SEMANA YA QUE NO SE ENCUENTRA</t>
  </si>
  <si>
    <t>JAAAN929</t>
  </si>
  <si>
    <t>MORENO MEDINA JUAN PABLO</t>
  </si>
  <si>
    <t>BRR EL LLANO SANTA FE DE ANTIO</t>
  </si>
  <si>
    <t>FO-25-1181166</t>
  </si>
  <si>
    <t>03-07 SE ESCALA PARA VISITA. LLAMAR ANTES DE VISITAR, CONFIRMAR FALLA Y DATOS
0
04-07 SE REALIZA MANTENIMIENTO AL PIN PAD YA QUE NO LEE ALGUNAS TARJETAS</t>
  </si>
  <si>
    <t>GZCZZ662</t>
  </si>
  <si>
    <t>PTM AIPE  VARIEDADES J.C.</t>
  </si>
  <si>
    <t>FO-25-1178619</t>
  </si>
  <si>
    <t>CREACION DE USUARIOS</t>
  </si>
  <si>
    <t>03-07 SE ESCALA PARA VISITA. LLAMAR ANTES DE VISITAR, CONFIRMAR FALLA Y DATOS
0
04-07 EN LLAMADA CON CLIENTE JHOAN CAMPOS  AL NÚMERO 3216890476 SE REALIZA GESTIÓN DE CLAVE.</t>
  </si>
  <si>
    <t>CUMBAL - NARINO</t>
  </si>
  <si>
    <t>FO-25-1178611</t>
  </si>
  <si>
    <t>03-07 SE REALIZA CONTACTO CON ELIZABETH ESTRADA AL NUMERO 3207619819 CONFIRMA FALLA, DATOS CORRECTOS. SE ESCALA PARA VISITA 
0
04-07 SE VISITA EL CB PARA REVISAR INCONVENIENTE CON DATÁFONO POR LENTITUD, SE REALIZA FORMATEO Y RE INSTALACIÓN DE SO Y VERSIÓN, SE HACEN PRUEBAS OK CORRESPONSAL OPERATIVO</t>
  </si>
  <si>
    <t>IZ2ZZ010</t>
  </si>
  <si>
    <t>BARRIO EL CARMEN VALLEDUPAR 3</t>
  </si>
  <si>
    <t>FO-25-1183121</t>
  </si>
  <si>
    <t>TRANSACCION NO PERMITIDA</t>
  </si>
  <si>
    <t>04-07 SE ESCALA PARA VISITA. LLAMAR ANTES DE VISITAR, CONFIRMAR FALLA Y DATOS
0
04-07 SE LLEGA A SITIO Y SE EVIDENCIA QUE NO SE PODIAN HACER DEPOSITOS A NEQUI, SE REALIZA RESET DEL EQUIPO Y SE RECONFIGURA, SE LLAMA AL BANCO DE IGUAL FORMA Y SE DEJA EL SERVICIO RESTABLECIDO Y FUNCIONANDO AL 100%</t>
  </si>
  <si>
    <t>SA00C422</t>
  </si>
  <si>
    <t>PTM MEDELLIN NEGOCIO 360</t>
  </si>
  <si>
    <t>FO-25-1181588</t>
  </si>
  <si>
    <t>04-07 SE ESCALA PARA VISITA. LLAMAR ANTES DE VISITAR, CONFIRMAR FALLA Y DATOS
0
04-07 SE REALIZA MANTENIMIENTO AL EQUIPO Y SE EXPLICA SOBRE BORRADO DE TRANSACCIONES</t>
  </si>
  <si>
    <t>A1MZZ065-UVSZZ688</t>
  </si>
  <si>
    <t>BARRIO CENTRO MAGANGUE 7</t>
  </si>
  <si>
    <t>FO-25-1184999</t>
  </si>
  <si>
    <t>04-07 SE ESCALA PARA VISITA. LLAMAR ANTES DE VISITAR, CONFIRMAR FALLA Y DATOS
0
04-07 SE COMUNICA CON LA SRA BERTHA RANGEL VIA WHATSAPP +57 301 2344865, SE REALIZA PRIMEROS AUXILIOS, SE INDICA CONECTAR EL ESCÁNER CON EL DATÁFONO APAGADO Y LUEGO ENCENDER, SE REALIZA PRUEBA DE LECTURA DE CÓDIGOS DE BARRAS EXITOSAS. SE LE INFORMA QUE EL ESCÁNER DEBE PERMANECER CONECTADO AL DATÁFONO PARA QUE NO SE DESCONFIGURE. SE LE RECOMIENDA PEDIR PINPAD O MODIFICAR LA VENTANILLA PARA QUE EL CLIENTE PUEDA COLOCAR LA CLAVE SIN NECESIDAD DE DESCONECTAR EL ACCESORIO.</t>
  </si>
  <si>
    <t>DISTRICOL VARIEDADES MR PAP</t>
  </si>
  <si>
    <t>FO-25-1186932</t>
  </si>
  <si>
    <t>05-07 SE ESCALA PARA VISITA. LLAMAR ANTES DE VISITAR, CONFIRMAR FALLA Y DATOS
0
05-07 SE REALIZA LLAMADA AL CLIENTE Y SE VALIDA CONECTIVIDAD DEL SERVICIO, SE ENCUENTRA PROBLEMAS EN LA CONEXION DEL ROUTER , SE LE SOLICITA VALIDAR CABLEADO Y REINICIO DEL ROUTER, EL CLIENTE REALIZA LA LABOR Y SE PROCEDE A REALIZAR PRUEBAS EXITOSAS</t>
  </si>
  <si>
    <t>DISTRICOL SUPER DROGAS CUSIANA</t>
  </si>
  <si>
    <t>FO-25-1182157</t>
  </si>
  <si>
    <t>04-07 SE ESCALA PARA VISITA. LLAMAR ANTES DE VISITAR, CONFIRMAR FALLA Y DATOS
0
05-07 EN COMUNICACIÓN CON LA SEÑORA LAURA SIERRA AL NUMERO 3108210002, SE REALIZAN PRUEBAS OK. OPERATIVO EL SERVICIO, LA FALLA PRESENTA CONEXIONES INTERNAS DEL COMERCIO. OPERATIVO EL SERVICIO</t>
  </si>
  <si>
    <t>BARRIO CORREGIMIENTO LA CHAPAR</t>
  </si>
  <si>
    <t>FO-25-1187490</t>
  </si>
  <si>
    <t>05-07 SE ESCALA PARA VISITA. LLAMAR ANTES DE VISITAR, CONFIRMAR FALLA Y DATOS
05/07/2025 EN COMUNICACIÓN CON LA SEÑORA ANDREA INDICA QUE POR HORARIO LABORAL ES HASTA LOS SABADOS HASTA LA 1:PM. NOS ATIENDE EN HORARIO HABIL EL LUNES.
05-07 EN COMUNICACIÓN CON LA SEÑORA SARA REYES AL NUMERO 3132450829,  INDICA QUE SE ENCUENTRA OPERATIVO EL, LA FALLA ERA CONEXIONES INTERNAS DEL COMERCIO Y YA FUE RESUELTA. INDICA NO REQUIERE LA VISITA TÉCNICA</t>
  </si>
  <si>
    <t>DISTRICOL PUNTA ROMA</t>
  </si>
  <si>
    <t>FO-25-1188734</t>
  </si>
  <si>
    <t>05-07 SE ESCALA PARA VISITA. LLAMAR ANTES DE VISITAR, CONFIRMAR FALLA Y DATOS
06/07/2025 CB INFORMA QUE NO ABRE LOS DÍAS DOMINGO, SE APLAZA VISITA
07-07 SE COMUNICA CON EL USUARIO PARA CONFIRMAR LA VISITA E INDICA QUE YA SE TIENE CONEXIÓN AL EQUIPO ERA UN PROBLEMA DEL PROVEEDOR DE INTERNET DEL USUARIO. SERVICIO OPERATIVO</t>
  </si>
  <si>
    <t>BARRIO CENTRO TUNJA 31</t>
  </si>
  <si>
    <t>FO-25-1192751</t>
  </si>
  <si>
    <t>07-07 SE ESCALA PARA VISITA. LLAMAR ANTES DE VISITAR, CONFIRMAR FALLA Y DATOS
0
07-07 SE VISITA CB MANTENIMIENTO POS... CAPACITACIÓN CIERRE PARCIAL Y GENERAL PRUEBAS EXITOSAS</t>
  </si>
  <si>
    <t>10XZZ962</t>
  </si>
  <si>
    <t>VILLA DE SAN DIEGO DE UBATE JU</t>
  </si>
  <si>
    <t>FO-25-1185761</t>
  </si>
  <si>
    <t>04-07 SE ESCALA PARA VISITA. LLAMAR ANTES DE VISITAR, CONFIRMAR FALLA Y DATOS
05/07/2025 SE REALIZA CONTACTO CON LA SEÑORA JOHANA INDICANDO QUE ESTÁ DE VIAJE Y QUE NO PUEDE ATENDER EL DÍA DOMINGO DE IGUALMENTE POR PARTE DEL CALL CENTER QUE DOS DÍAS HÁBILES Y DESEA SER ATENDIDA EL DÍA LUNES
07-07 SE REALIZA BORRADO SO Y VERSIÓN OK SE ACTUALIZA SE CAPACITA AL COMERCIO EN COMO REALIZAR LOS CIERRES DE FORMA CORRECTA</t>
  </si>
  <si>
    <t>LN00M116</t>
  </si>
  <si>
    <t>HERNANDEZ NARANJO OSCAR EDUARDO</t>
  </si>
  <si>
    <t>DISTRICOL CERCATODO</t>
  </si>
  <si>
    <t>FO-25-1189573</t>
  </si>
  <si>
    <t>05-07 SE ESCALA PARA VISITA. LLAMAR ANTES DE VISITAR, CONFIRMAR FALLA Y DATOS
0
07-07 SE VISITA SITIO SE VERIFICA INFORMACIÓN SE REALIZA PRIMEROS AUXILIOS, LA FALLA CORRESPONDE AL CANAL DE COMERCIO, SE REALIZARON PRUEBAS EXITOSAS CON OTRO MÓDEM. EL CB SE ENCUENTRA FUNCIONANDO NORMALMENTE. TECLADO OK, IMPRESIÓN OK, LECTURA CHIP OK , ESCANEAR OK.</t>
  </si>
  <si>
    <t>IKZZZ609</t>
  </si>
  <si>
    <t>COMCARD LA CEJA VARIEDADES</t>
  </si>
  <si>
    <t>FO-25-1193106</t>
  </si>
  <si>
    <t>07-07 SE ESCALA PARA VISITA. LLAMAR ANTES DE VISITAR, CONFIRMAR FALLA Y DATOS
0
07-07 SE REALIZA MANTENIMIENTO SE CONFIGURA DE NUEVO LA LECTORA</t>
  </si>
  <si>
    <t>99DZZ432</t>
  </si>
  <si>
    <t>BARRIO ABBAS TURBAY FLORENICA</t>
  </si>
  <si>
    <t>FO-25-1183136</t>
  </si>
  <si>
    <t>04-07 SE ESCALA PARA VISITA. LLAMAR ANTES DE VISITAR, CONFIRMAR FALLA Y DATOS
0
07-07 SE REALIZA BORRADO DE VERSIÓN SE INSTALA NUEVAMENTE, SE CONFIGURA PARÁMETROS SE INICIALIZA, SE REALIZA PRUEBAS CB OK SE DEJA OPERATIVO</t>
  </si>
  <si>
    <t>SV005490</t>
  </si>
  <si>
    <t>BARRIO ZONA RURAL PUERTO GAITA</t>
  </si>
  <si>
    <t>FO-25-1183116</t>
  </si>
  <si>
    <t>04-07 SE INTENTA COMUNICACION CON CB AL NUMERO 3207684459 APAGADO, FAVOR LLAMAR LLAMAR ANTES DE VISITAR, CONFIRMAR FALLA Y DATOS
05/07/2025 POR HORARIO DE ATENCIÓN ABREN NUEVAMENTE HASTA EL DÍA LUNES. Y EL TRANSPORTE HACIA LA VEREDA DESDE PUERTO GAITAN SALEN EN HORAS DETERMINADAS Y ESCASO.
07-07 SE REALIZA VISITA A CB COMERCIO CERRADO SE REALIZA COMUNICACIÓN CON LA SEÑORA JHOANA 3207684459 QUIEN MANIFIESTA SERVICIO OPERATIVO SIN NOVEDADES</t>
  </si>
  <si>
    <t>BARRIO CENTRO POPAYAN 25</t>
  </si>
  <si>
    <t>FO-25-1194218</t>
  </si>
  <si>
    <t>07-07 SE ESCALA PARA VISITA. LLAMAR ANTES DE VISITAR, CONFIRMAR FALLA Y DATOS
0
07-07 SE REALIZA VALIDACION TELEFONICA CON EL SEÑOR JOEL, SE ENCUENTRA QUE AL TRATAR DE REALIZAR UN CAMBIO TROCO LAS CONEXIONES DEL DATAFONO, SE LE EXPLICA LA MANERA CORRECTA DE CONEXION, EL CLIENTE LA REALIZA Y REALIZA PRUEBAS EXITOSAS DE SERVICIO</t>
  </si>
  <si>
    <t>BARRIO EL TRIUNFO BUENAVENTURA</t>
  </si>
  <si>
    <t>FO-25-1193344</t>
  </si>
  <si>
    <t>07-07 SE ESCALA PARA VISITA. LLAMAR ANTES DE VISITAR, CONFIRMAR FALLA Y DATOS
0
07-07 SE VALIDA CON LA SEÑORA NATALIA EL PROBLEMA DE FORMATO INVALIDO, INDICA QUE UNAS FACTURAS LE APARECEEN ASI, SE PROCEDE A VALIDAR CON UNA FACTURA DE CLARO PERO EL LECTOR LA LEE SIN PROBLEMA, SE LE PIDE VALIDAR CON UNAS FACTURAS DISTINTAS Y TAMBIEN SON LEIDAS, SE LE INDICA QUE VALIDE EL CONVENIO DE ESAS FACCTURAS YA QUE EL PROBLEMA NO ES EL EQUIPO SINO EL TIPO DE FACTURA QUE ESTA INTENTANDO PAGAR</t>
  </si>
  <si>
    <t>BARRIO EL HOYO PUERTO BERRIO</t>
  </si>
  <si>
    <t>FO-25-1181597</t>
  </si>
  <si>
    <t>04-07 SE INTENTA COMUNICACION CON CB AL NUMERO 3117587992 APAGADO, FAVOR LLAMAR LLAMAR ANTES DE VISITAR, CONFIRMAR FALLA Y DATOS
0
07-07 PINPAD NO ENCIENDE YA QUE EL HUB ESTABA MAL CONECTADO, SE CONECTA Y QUEDA OPERATIVO</t>
  </si>
  <si>
    <t>AD000819</t>
  </si>
  <si>
    <t>PTM BOGOTA TRIGOS CARNES LA GR</t>
  </si>
  <si>
    <t>FO-25-1194215</t>
  </si>
  <si>
    <t>07-07 SE ESCALA PARA VISITA. LLAMAR ANTES DE VISITAR, CONFIRMAR FALLA Y DATOS
0
07-07 SE REALIZA COMUNICACIÓN AL NÚMERO 3164115734 INDICANDO LA SEÑORA MARIANA CRUZ QUE SOLICITA CAMBIO DEL NOMBRE DE CB PERO SE LE INFORMA QUE NO SE PUEDE REALIZAR ESE CAMBIO YA QUE POR PARTE DE REDEBAN NO AUTORIZAN ,SOLO SE PUEDE MODIFICAR DATOS DE DIRECCIÓN CUANDO SOLICITAN TRASLADOS ,SE LE INFORMA AL CLIENTE Y INDICA NO NECESITAR VISITA</t>
  </si>
  <si>
    <t>PAGAFACIL RAMBLAS</t>
  </si>
  <si>
    <t>FO-25-1193793</t>
  </si>
  <si>
    <t>07-07 SE ESCALA PARA VISITA. LLAMAR ANTES DE VISITAR, CONFIRMAR FALLA Y DATOS
0
07-07 SE BRINDA APOYO TELEFONO Y SE LE DAN INSTRUCCIONES DE COMO RESTABLECER EL USUARIO SUPERVISOR PARA PODER REALIZAR LOS DUPLICADOS , REALIZA PRUEBA Y TODO QUEDA OK</t>
  </si>
  <si>
    <t>MARTINEZ SALGUEDO ANDRES AUGUSTO</t>
  </si>
  <si>
    <t>BARRIO LA CITA FUNZA 1</t>
  </si>
  <si>
    <t>FO-25-1193101</t>
  </si>
  <si>
    <t>CONVENIOS NO HABILITADOS</t>
  </si>
  <si>
    <t>07-07 SE ESCALA PARA VISITA. LLAMAR ANTES DE VISITAR, CONFIRMAR FALLA Y DATOS
0
08-07 SE REALIZA VISITA AL COMERCIO PARA VALIDAR FUNCIONAMIENTO DE PAGO POR CONVENIO Y TODO OPERA CON TOTAL NORMALIDAD. SE REALIZAN PRUEBAS OK.</t>
  </si>
  <si>
    <t>LM0BZ650</t>
  </si>
  <si>
    <t>CORTES VELANDIA MIGUEL ANGEL</t>
  </si>
  <si>
    <t>ARA0086 CASA FOGATA</t>
  </si>
  <si>
    <t>FO-25-1198308</t>
  </si>
  <si>
    <t>08-07 SE ESCALA CASO ARA A LA RED**8-07 TU SOLICITUD REFERENTE A GENERACIÓN DE CASOS CB ARA BANCOLOMBIA QUEDÓ RADICADA BAJO EL TICKET NÚMERO 5705463 AL ÁREA ENCARGADA.
0
0</t>
  </si>
  <si>
    <t>BARRIO SALOMIA CALI</t>
  </si>
  <si>
    <t>FO-25-1199771</t>
  </si>
  <si>
    <t>08-07 SE ESCALA PARA VISITA. LLAMAR ANTES DE VISITAR, CONFIRMAR FALLA Y DATOS
0
08-07 SE HABLA CON EL CLIENTE QUIEN INDICA QUE AYER NO PUDO REALIZAR CIERRE POR QUE EL DATAFONO NO LE PERMITIA EL INGRESO CON EL USUARIO QUE TENIA , PERO QUE AHORA LLEGO LA COMPAÑERA Y A ELLA SI LE DEJO CON EL USUARIO DE ELLA, YA PUDIERON SOLUCIONAR</t>
  </si>
  <si>
    <t>DISTRICOL DISTRIBUIDORA DE COS</t>
  </si>
  <si>
    <t>FO-25-1196510</t>
  </si>
  <si>
    <t>07-07 SE ESCALA PARA VISITA. LLAMAR ANTES DE VISITAR, CONFIRMAR FALLA Y DATOS
0
08-07 SE REALIZA VISITA EN LA CUAL USUARIO INDICA QUE EL SERVICIO SE ENCUENTRA EN BUEN ESTADO, TENIA PROBLEMAS CON SU CABLEADO DEL PROVEEDOR DE INTERNET YA QUE SE ENCONTRABAN PISADOS, INDICA QUE CAMBIARON EL CABLE Y LE FUNCIONA CORRECTAMENTE, SE HACEN PRUEBAS SERVICIO OK</t>
  </si>
  <si>
    <t>NN00B520</t>
  </si>
  <si>
    <t>AGUIRRE HENAO RAUL EDUARDO</t>
  </si>
  <si>
    <t>BARRIO SOLARTE PITALITO</t>
  </si>
  <si>
    <t>FO-25-1199282</t>
  </si>
  <si>
    <t>08-07 SE ESCALA PARA VISITA. LLAMAR ANTES DE VISITAR, CONFIRMAR FALLA Y DATOS
0
09-07 SE REALIZA VISITA AL PUNTO, CLIENTE INDICA QUE EQUIPO SE ENCUENTRA FUNCIONANDO CON NORMALIDAD DESPUÉS DE QUÉ CONECTÓ TODO CORRECTAMENTE. CLIENTE INDICA QUE SE COMUNICO A LA LINEA EN LA MAÑANA PARA CANCELAR ORDEN . CB OPERATIVO PRUEBAS CB OK</t>
  </si>
  <si>
    <t>9B0NZ869</t>
  </si>
  <si>
    <t>DEVIA REINOSO JUAN CARLOS</t>
  </si>
  <si>
    <t>PTM MEDELLIN SUPER+</t>
  </si>
  <si>
    <t>FO-25-1203971</t>
  </si>
  <si>
    <t>09-07 SE ESCALA PARA VISITA. LLAMAR ANTES DE VISITAR, CONFIRMAR FALLA Y DATOS
0
09-07 SE REALIZA CAMBIO DE ENSORTIJADO, TODO OK</t>
  </si>
  <si>
    <t>XP3ZZ010 - XP3ZZ645</t>
  </si>
  <si>
    <t>BARRIO CENTRO LA DORADA 12</t>
  </si>
  <si>
    <t>FO-25-1204614</t>
  </si>
  <si>
    <t>09-07 EN COMUNICACION CON LA SEÑORA NANCY HURTADO AL NUMERO 3116091744 INDICA QUE EL LECTOR DE BARRAS NO LEE LAS FACTURAS, ES INTERMITENTE, CONFIRMA DATOS, SE ESCALA PARA VISITA
0
09-07 SE HABLA CON LA SEÑORA NANCY HURTADO, AL NÚMERO DE TELÉFONO 3116091744, ME INDICA QUE EL LECTOR SIRVE Y QUE NO LEE ALGUNOS RECIBOS, LE INDICO QUE HAY UNOS RECIBOS QUE SI TIENEN CONVENIO CON BANCOLOMBIA Y OTROS NO, QUE CUANDO LO HAGA LA LECTURA DE BARRAS EN UN HOJA SEA IMPRESA A LÁSER, QUE CUANDO SEA DIGITAL LO HAGA CON LA ILUMINACIÓN DE CELULAR AL 100% Y QUE SE REFLEJE EL LÁSER EN LA PANTALLA DEL CELULAR AL RECEPTOR DEL LECTOR DE BARRAS. ME DICE QUE SOLO PASA CON ALGUNOS RECIBOS Y QUE EL LECTOR ESTÁ FUNCIONANDO. LA SEÑORA NANCY HURTADO, TERMINA LA LLAMADA RÁPIDO PORQUE ESTÁ ATENDIENDO EL CORRESPONSAL Y QUE CUALQUIER COSA ELLA VUELVE A LLAMAR Y QUE AGREDESE MIS INDICACIONES QUE NO SABÍA</t>
  </si>
  <si>
    <t>VARGAS HERRERA JHON JAIRO</t>
  </si>
  <si>
    <t>PTM OCANA GILU</t>
  </si>
  <si>
    <t>FO-25-1205715</t>
  </si>
  <si>
    <t>08-07 SE SOLICITA AL SEÑOR CESAR AUGUSTO LA DENUNCIA REALIZADA EN LA FISCALIA**9-07 10:34 SE ESCALA CASO A LA RED **9-07 11:00 ESTE CASO LO ESTAMOS MANEJANDO COMO UN TRASLADO NO SE HABÍA REALIZADO PORQUE EL CLIENTE NO NOS HABÍA COMPARTIDO LA DENUNCIA DE LOS EQUIPOS HURTADOS. POR FAVOR PROCEDER CON LA REPOSICIÓN DE LOS EQUIPOS.PUEDES PROCEDER CON EL CIERRE DEL CASO PORQUE JULI YA LO ESTÁ MANEJANDO COMO TRASLADO.
0
0</t>
  </si>
  <si>
    <t>BARRIO CENTRO II LA UNION</t>
  </si>
  <si>
    <t>FO-25-1203198</t>
  </si>
  <si>
    <t>09-07 SE ESCALA PARA VISITA. LLAMAR ANTES DE VISITAR, CONFIRMAR FALLA Y DATOS
0
09-07 SE LLAMA AL CLIENTE Y SE HABLA CON EL SEÑOR ARNOLD QUIEN INDICA QUE EL YA HABIA LLAMADO A CANCELAR LA VISITA POR QUE AL APRECER EL USUARIO ESTABA BLOQUEADO, PERO ESTA MAÑANA YA LE FUNCIONO, SE CIERRA CASO</t>
  </si>
  <si>
    <t>BARRIO ROBLEDO PARQUE MEDELLIN</t>
  </si>
  <si>
    <t>FO-25-1202962</t>
  </si>
  <si>
    <t>08-07 SE ESCALA PARA VISITA. LLAMAR ANTES DE VISITAR, CONFIRMAR FALLA Y DATOS
0
09-07 SE REALIZA LA VALIDACIÓN DE LAS CONEXIONES SE VÁLIDA QUE EL SWITCH ESTABA DESCONECTADO Y SE HACEN PRUEBAS Y QUEDA OK</t>
  </si>
  <si>
    <t>9B00K137</t>
  </si>
  <si>
    <t>BARRIO PARQUE LA PINTADA 1</t>
  </si>
  <si>
    <t>FO-25-1199750</t>
  </si>
  <si>
    <t>08-07 SE ESCALA PARA VISITA. LLAMAR ANTES DE VISITAR, CONFIRMAR FALLA Y DATOS
0
09-07 SE REALIZA MANTENIMIENTO AL PIN PAD POR QUÉ NO LEE ALGUNAS TARJETAS</t>
  </si>
  <si>
    <t>AC007709</t>
  </si>
  <si>
    <t>BARRIO LA MERCED NORTE BOGOTA</t>
  </si>
  <si>
    <t>FO-25-1204811</t>
  </si>
  <si>
    <t>09-07 SE ESCALA PARA VISITA. LLAMAR ANTES DE VISITAR, CONFIRMAR FALLA Y DATOS
0
09-07 SE REALIZA VISITA A CB PARA ATENDER INCIDENTE SE REALIZA EXPLICACION DE COMO REALIZAR EL PAGO POR ENEL ,SE REALIZAN PRUEBAS OK</t>
  </si>
  <si>
    <t>SAXZZ557</t>
  </si>
  <si>
    <t>MULTIPAGAS INDEGA ARMENIA</t>
  </si>
  <si>
    <t>FO-25-1202958</t>
  </si>
  <si>
    <t>08-07 SE ESCALA PARA VISITA. LLAMAR ANTES DE VISITAR, CONFIRMAR FALLA Y DATOS
0
09-07 SE VISITA COMERCIO SE REALIZÓ VERIFICACIÓN DE DATAFONO Y CABLEADO, SE REALIZÓ PRUEBAS OK.</t>
  </si>
  <si>
    <t>9B00G010</t>
  </si>
  <si>
    <t>SANCHEZ SOLORZANO JUAN SEBASTIAN</t>
  </si>
  <si>
    <t>MULTIPAGAS VILLAMARIA</t>
  </si>
  <si>
    <t>FO-25-1204822</t>
  </si>
  <si>
    <t>09-07 SE ESCALA PARA VISITA. LLAMAR ANTES DE VISITAR, CONFIRMAR FALLA Y DATOS
0
09-07 SE REALIZA VISITA CLIENTE INDICA QUE YA SE ENCUENTRA EN BUEN ESTADO Y NO SE LE REINICIA SERVICIO OK</t>
  </si>
  <si>
    <t>9A7ZZ943</t>
  </si>
  <si>
    <t>ARA0120 BQUILLA VILLA SAN PEDR</t>
  </si>
  <si>
    <t>FO-25-1207971</t>
  </si>
  <si>
    <t>09-07 15:33 SE ESCALA CASO ARA A LA RED** 09-07 17:03 TU SOLICITUD REFERENTE A “GENERACIÓN DE CASOS CB ARA BANCOLOMBIA INC  2422146 CB 25233 “  QUEDÓ RADICADA BAJO EL TICKET NÚMERO 5708679 AL ÁREA ENCARGADA. PRONTO TE DARÁN RESPUESTA.
0
0</t>
  </si>
  <si>
    <t>GARCIA CHAVARRIA TATIANA EDELMIRA</t>
  </si>
  <si>
    <t>BARRIO LA ESPERANZA SAN JOSE D</t>
  </si>
  <si>
    <t>FO-25-1207554</t>
  </si>
  <si>
    <t>09-07 SE ESCALA PARA VISITA. LLAMAR ANTES DE VISITAR, CONFIRMAR FALLA Y DATOS
0
10-07 SE  REALIZA INICIALIZACION POR ERROR EN PARÁMETROS, PRUEBAS OK</t>
  </si>
  <si>
    <t>LN00D291</t>
  </si>
  <si>
    <t>BARRIO LUZ DEL PARAISO PIENDAM</t>
  </si>
  <si>
    <t>FO-25-1197333</t>
  </si>
  <si>
    <t>08-07 SE ESCALA PARA VISITA. LLAMAR ANTES DE VISITAR, CONFIRMAR FALLA Y DATOS
0
10-07 SE REALIZA VALIDACION CON EL CLIENTE EL CUAL PRESENTA NOVEDAD CON EL CIERRE GENERAL QUE LE SALE DE DIAS ANTERIORES, INDICA QUE LLAMA A LA LINEA Y LE REALIZAN BORRADO DE MEMORIA PERO A LOS DIAS VUELVE A PASAR, SE VALIDA COMO EL CLIENTE ESTA REALIZANDO LOS CIERRES, Y SE ENCIENTRA QUE NO ESTA REALIZANDO EL CIERRE GENERAL CORRECTAMENTE, SE LE EXPLICA QUE AL TERMINAR EL CIERRE GENERAL DEBE CONFIRMAR CON LA TECLA VERDE PARA QUE EN LA PANTALLA DEL DATAOFNO LE SALGA EL MENSAJE CIERRE EXITOSO Y CON ESTE PROCESO YA EL DATAFOONO ELIMINA LAS TRANSACCIONES AUTOMATICAMENTE.</t>
  </si>
  <si>
    <t>REDY PEREIRA</t>
  </si>
  <si>
    <t>FO-25-1208547</t>
  </si>
  <si>
    <t>09-07 SE ESCALA PARA VISITA. LLAMAR ANTES DE VISITAR, CONFIRMAR FALLA Y DATOS
0
10-07 VISITAMOS COMERCIO EL DATÁFONO YA NO PRESENTA LA FALLA EL DÍA ANTERIOR NO PRENDIA  PERO LO DEJARON DESCONECTADO POR UN RATO LUEGO LO CONECTARON NUEVAMENTE Y EL DATÁFONO PREDIO NORMAL Y DESDE ENTONCES ESTA FUNCIONANDO SIN NOVEDAD SE REALIZARON PRUEBAS OK.</t>
  </si>
  <si>
    <t>UV002107</t>
  </si>
  <si>
    <t>BARRIO CENTRO MORALES</t>
  </si>
  <si>
    <t>FO-25-1175681</t>
  </si>
  <si>
    <t>02-07 SE ESCALA PARA VISITA. LLAMAR ANTES DE VISITAR, CONFIRMAR FALLA Y DATOS .. SE VALIDA CON EL COORDINADOR UNA POSIBLE FECHA DE ATENCION ..10-07 POSIBLE FECHA DE ATENCION EL DIA 11-07
0
10-07 EN COMUNICACIÓN CON LA SEÑORA EIMY AL. MÓVIL 3004423348, INDICA QUE ESTABA PRESENTANDO FALLAS PARA REALZAR LOS. PAGOS DE LOS "CÓDIGOS DE BARRAS DE LA EMPRESA CENTRALES, PERO INFORMA QUE YA SE RESTABLECIÓ EL SERVICIO DESDE EL DÍA DE AYER Y A PODIDO PAGAR ESTOS RECIBOS, INDICA QUE LA FALLA ERA DE LA EMPRESA CENTRALES, INDICA QUE YA REQUIERE DE LA VISITA TÉCNICA, SE LE INFORMA QUE SI LLEGA A PRESENTAR UNA NUEVA NOVEDAD DEBERÁ SOLICITAR LA VISITA, CLIENTE ACEPTA.</t>
  </si>
  <si>
    <t>PTM MEDELLIN MONTESSORI</t>
  </si>
  <si>
    <t>FO-25-1210052</t>
  </si>
  <si>
    <t>10-07 SE ESCALA PARA VISITA. LLAMAR ANTES DE VISITAR, CONFIRMAR FALLA Y DATOS
0
10-07 CONEXIONES DE COMERCIO FALLANDO</t>
  </si>
  <si>
    <t>11HZZ255 - AA0QZ372</t>
  </si>
  <si>
    <t>PAGAFACIL BARRIO TRISTE</t>
  </si>
  <si>
    <t>FO-25-1210424</t>
  </si>
  <si>
    <t>10-07 SE ESCALA PARA VISITA. LLAMAR ANTES DE VISITAR, CONFIRMAR FALLA Y DATOS
0
10-07 SE REALIZA REVISIÓN DE CONEXIONES, EQUIPO OK, INTERMITENCIAS DE PARTE DE CONEXIONES DE COMERCIO</t>
  </si>
  <si>
    <t>JFZZZ772</t>
  </si>
  <si>
    <t>BARRIO CENTRO NEIVA 9</t>
  </si>
  <si>
    <t>FO-25-1211590</t>
  </si>
  <si>
    <t>10-07 SE ESCALA PARA VISITA. LLAMAR ANTES DE VISITAR, CONFIRMAR FALLA Y DATOS
0
10-07 SE REALIZA CAMBIO CABLE UTP, SE CALIDAD FUNCIONAMIENTO OK</t>
  </si>
  <si>
    <t>AB008650</t>
  </si>
  <si>
    <t>ANDRADE HERNANDEZ JUAN CARLOS</t>
  </si>
  <si>
    <t>REDY LA ESTRELLA</t>
  </si>
  <si>
    <t>FO-25-1209335</t>
  </si>
  <si>
    <t>10-07 SE ESCALA PARA VISITA. LLAMAR ANTES DE VISITAR, CONFIRMAR FALLA Y DATOS
0
10-07 SE HACE MANTENIMIENTO DE EQUIPO Y CABLEADO</t>
  </si>
  <si>
    <t>ABCOZ295</t>
  </si>
  <si>
    <t>BARRIO GIRASOLES BELLO</t>
  </si>
  <si>
    <t>FO-25-1211595</t>
  </si>
  <si>
    <t>10-07 SE ESCALA PARA VISITA. LLAMAR ANTES DE VISITAR, CONFIRMAR FALLA Y DATOS
0
11-07 SE REALIZA MANTENIMIENTO GENERAL</t>
  </si>
  <si>
    <t>GZ00Z193</t>
  </si>
  <si>
    <t>PTM MEDELLIN MERCADOS BIBI</t>
  </si>
  <si>
    <t>FO-25-1213968</t>
  </si>
  <si>
    <t>10-07 SE ESCALA PARA VISITA. LLAMAR ANTES DE VISITAR, CONFIRMAR FALLA Y DATOS
0
11-07 SE REALIZA MANTENIMIENTO AL EQUIPO Y SE VERIFICA CONEXIÓN Y SE CAMBIA CABLE ENTORCHADO TODO OK</t>
  </si>
  <si>
    <t>9L0UZ948-9L0VZ097</t>
  </si>
  <si>
    <t>COMCARD MED RED ASUMOTOS</t>
  </si>
  <si>
    <t>FO-25-1212780</t>
  </si>
  <si>
    <t>10-07 SE ESCALA PARA VISITA. LLAMAR ANTES DE VISITAR, CONFIRMAR FALLA Y DATOS
0
11-07 SE REALIZA VERIFICACIÓN DE IMPRESION CON PRUEBAS TODO OK</t>
  </si>
  <si>
    <t>BBQZZ204</t>
  </si>
  <si>
    <t>CENTRO SABOYA BOYACA</t>
  </si>
  <si>
    <t>FO-25-1212767</t>
  </si>
  <si>
    <t>10-07 SE ESCALA PARA VISITA. LLAMAR ANTES DE VISITAR, CONFIRMAR FALLA Y DATOS
0
11-07 EN COMUNICACIÓN CON LA LÍNEA LA SEÑORA YANETH RDORIGUEZ INDICA QUE EL SERVICIO ESTÁ FUNCIONANDO PERFECTAMENTE Y QUE NO REQUIERE VISITA, INFORMA QUE TUBO UNA FALLA DE COMUNICACIÓN PERO QUE YA ESTÁ RESUELTA. SOPORTE TELEFONICO</t>
  </si>
  <si>
    <t>HERRERA GARZON JEYSON STEVENT</t>
  </si>
  <si>
    <t>DISTRICOL RINCON DEL PELUQUERO</t>
  </si>
  <si>
    <t>FO-25-1213087</t>
  </si>
  <si>
    <t>10-07 SE ESCALA PARA VISITA. LLAMAR ANTES DE VISITAR, CONFIRMAR FALLA Y DATOS
0
11-07 SE HACE MANTENIMIENTO DE EQUIPO Y CABLEADO</t>
  </si>
  <si>
    <t>GB00H005</t>
  </si>
  <si>
    <t>BARRIO LAS MARGARITAS NEIVA 1</t>
  </si>
  <si>
    <t>FO-25-1213964</t>
  </si>
  <si>
    <t>10-07 SE ESCALA PARA VISITA. LLAMAR ANTES DE VISITAR, CONFIRMAR FALLA Y DATOS
0
11-07 EN LLAMADA CON CLIENTE JUAN DAVID ALVAREZ AL NÚMERO 3112908304, SE LE INFORMA QUE EL RECIBO DEL GAS EN EL MOMENTO NO HAY CONVENIO PARA PODER REALIZAR LOS PAGOS, EL CUAL ERA EL QUE ESTABA INTENTANDO PAGAR.</t>
  </si>
  <si>
    <t>COMCARD MEDELLIN VARIEDADES</t>
  </si>
  <si>
    <t>FO-25-1216905</t>
  </si>
  <si>
    <t>11-07 SE ESCALA PARA VISITA. LLAMAR ANTES DE VISITAR, CONFIRMAR FALLA Y DATOS
0
11-07 SE REALIZA MANTENIMIENTO Y SE CAMBIA RODILLO POR QUÉ NO IMPRIMIA BIEN</t>
  </si>
  <si>
    <t>ABGZZ592-II00T036</t>
  </si>
  <si>
    <t>BARRIO LA GABRIELA BELLO 5</t>
  </si>
  <si>
    <t>FO-25-1216264</t>
  </si>
  <si>
    <t>11-07 SE ESCALA PARA VISITA. LLAMAR ANTES DE VISITAR, CONFIRMAR FALLA Y DATOS
0
11-07 SE REVISA EQUIPOS EL CLIENTE INDICA EQUIPO LENTO SE REALIZA CIERRE Y NO SE REALIZABA CIERRE DESDE EL 7 DE JULIO SE REALIZA EL CIERRE SE REALIZAN PRUEBAS EXITOSAS SERVICIO OPERATIVO SE LE EXPLICA AL CLIENTE COMO REALIZA EL CIERRE DIARIO</t>
  </si>
  <si>
    <t>FA09Z467</t>
  </si>
  <si>
    <t>FO-25-1216734</t>
  </si>
  <si>
    <t>11-07 SE ESCALA PARA VISITA. LLAMAR ANTES DE VISITAR, CONFIRMAR FALLA Y DATOS
0
11-07 SE VISITA COMERCIO , EQUIPO IMPRIMIENDO CORRECTAMENTE , SE REALIZA BORRADO DE EQUIPO CARGANDO S.O Y VERSIÓN 10.3 N POR MANTENIMIENTO GENERAL Y PREVENTIVO , DEJANDO PRUEBAS DE IMPRESIÓN CORRECTAMENTE  ,</t>
  </si>
  <si>
    <t>ALVARADO MORENO CRISTHIAN</t>
  </si>
  <si>
    <t>BARRIO EL SALADO ENVIGADO 1</t>
  </si>
  <si>
    <t>FO-25-1217418</t>
  </si>
  <si>
    <t>11-07 SE ESCALA PARA VISITA. LLAMAR ANTES DE VISITAR, CONFIRMAR FALLA Y DATOS
0
11-07 SE HACE MANTENIMIENTO DE EQUIPO Y CABLEADO</t>
  </si>
  <si>
    <t>JA007412</t>
  </si>
  <si>
    <t>PTM MEDELLIN DROGUERÍA LA PLAN</t>
  </si>
  <si>
    <t>FO-25-1218438</t>
  </si>
  <si>
    <t>11-07 SE ESCALA PARA VISITA. LLAMAR ANTES DE VISITAR, CONFIRMAR FALLA Y DATOS
0
11-07 SE REALIZA LLAMADA CON EL SEÑOR GUILLERMO EL CUAL INFORMA QUE EL EQUIPO ESTÁ FUNCIONANDO CORRECTAMENTE QUE YA NO REQUIRE VISITA</t>
  </si>
  <si>
    <t>BARRIO ONCE DE NOVIMEMBRE LOS</t>
  </si>
  <si>
    <t>FO-25-1216722</t>
  </si>
  <si>
    <t>11-07 SE ESCALA PARA VISITA. LLAMAR ANTES DE VISITAR, CONFIRMAR FALLA Y DATOS
0
11-07 SE VISITA COMERCIO Y SE REALIZA MANTENIMIENTO AL DATAFONO, SE ORGANIZAN CABLEADOS, MAGICBOX, HUB SE FIJA A LA BASE CON AMARRES PLÁSTICOS, SE REALIZAN CIERRES Y PRUEBAS OK.</t>
  </si>
  <si>
    <t>BOZZZ337</t>
  </si>
  <si>
    <t>TORRES MANTILLA JOSE DANIEL</t>
  </si>
  <si>
    <t>MULTIPAGAS SEVILLA</t>
  </si>
  <si>
    <t>FO-25-1216747</t>
  </si>
  <si>
    <t>11-07 SE ESCALA PARA VISITA. LLAMAR ANTES DE VISITAR, CONFIRMAR FALLA Y DATOS
0
11-07 SE REALIZA VALIDACION CON EL CLIENTE, QUIEN MANIFIESTA QUE LOS DATAFONOS SE QUEDAN EN CONECTANDO Y NO FUNCIONAN,  NOS MUESTRAN EL ICONO DE LA RED EN VERDE, SE LE SOLICITA REVISION LAS CONEXIONES DEL ESTABLECIMIENTO, SE LE PIDE REINICIAR LOS DISPOSITIVOS DE INTERNET, EL CLIENTE REALIZA REINICIO DE EQUIPOS, VALIDA CABLEADO Y REALIZA CAMBIO DE PUERTOS DE LOS DATAFONOS, EL DATAFONO ALUMBRA LA RED EN VERDE Y CONFIRMA OPERATIVIDAD DE LOS EQUIPOS.</t>
  </si>
  <si>
    <t>BARRIO KENNEDY BUCARAMANGA 1</t>
  </si>
  <si>
    <t>FO-25-1217000</t>
  </si>
  <si>
    <t>11-07 SE ESCALA PARA VISITA. LLAMAR ANTES DE VISITAR, CONFIRMAR FALLA Y DATOS
0
12-07 SE LLAMA A LA SEÑORITA VIVIANA QUIEN NOS INFORMA QUE EL ERROR ERA DEL CANAL Y YA ESTÁ OPERANDO CORRECTAMENTE POR LO ANTERIOR CANCELA VISITA TÉCNICA</t>
  </si>
  <si>
    <t>PEÑA DIAZ IVAN YESID</t>
  </si>
  <si>
    <t>BARRIO ROBLEDO PAJARITO MEDELL</t>
  </si>
  <si>
    <t>FO-25-1219149</t>
  </si>
  <si>
    <t>11-07 SE ESCALA PARA VISITA. LLAMAR ANTES DE VISITAR, CONFIRMAR FALLA Y DATOS
0
12-07 SE HABLA CON EL SEÑOR VICTOR GRACIAS E INFORMA QUE ESTA OPERANDO SIN PROBLEMAS ERA EL CANAL DEL COMERCIO</t>
  </si>
  <si>
    <t>BARRIO SOTOMAYOR BUCARAMANGA  5</t>
  </si>
  <si>
    <t>FO-25-1221225</t>
  </si>
  <si>
    <t>12-07 SE ESCALA PARA VISITA. LLAMAR ANTES DE VISITAR, CONFIRMAR FALLA Y DATOS
0
12-07 CB CON PROBLEMAS DE DATÁFONO NO ENCIENDE, SE VALIDA CONEXIONES, FALLA DE TOMA CORRIENTE DE CLIENTE, EQUIPO CON VERSIÓN 10.3N,PRUEBAS OK. NO CIERRE POR FLUJO DE CLIENTE.</t>
  </si>
  <si>
    <t>FACZZ877</t>
  </si>
  <si>
    <t>BARRIO LUZ DE SALVACION 1 BUCA</t>
  </si>
  <si>
    <t>FO-25-1221216</t>
  </si>
  <si>
    <t>12-07 SE ESCALA PARA VISITA. LLAMAR ANTES DE VISITAR, CONFIRMAR FALLA Y DATOS
0
12-07 SE REALIZA VISITA AL COMERCIO CB, SE VALIDA Y SE ENCUENTRA QUE EL DATÁFONO NO ENCIENDE SE VALIDAN CONEXIONES Y SE ENCUENTRA QUE ESTABA TOTALMENTE DESCARGADA LA BATERIA, SE LE EXPLICA AL CLIENTE COMO SE DEBE MANIPULAR PARA QUE NO SE VAYAN A QUEDAR NUEVAMENTE SIN FUNCIONAR EL EQUIPO</t>
  </si>
  <si>
    <t>AD00M793</t>
  </si>
  <si>
    <t>DISTRICOL PUNTO LLAVES</t>
  </si>
  <si>
    <t>FO-25-1221220</t>
  </si>
  <si>
    <t>12-07 SE ESCALA PARA VISITA. LLAMAR ANTES DE VISITAR, CONFIRMAR FALLA Y DATOS
0
12-07 SE REALIZA VISITA A COMERCIO OK, SE REALIZA MANTENIMIENTO OK,  EQUIPO ESTÁ OPERATIVO OK, USUARIO INFORMA DE QUE NO LE GUSTA EL EQUIPO TECNOLOGÍA 2600, PERO EQUIPO ESTÁ FUNCIONANDO BIEN, NO PRESENTA NINGUNA FALLA</t>
  </si>
  <si>
    <t>A100T088</t>
  </si>
  <si>
    <t>MARTINEZ TOVAR OSCAR DAVID</t>
  </si>
  <si>
    <t>FO-25-1223251</t>
  </si>
  <si>
    <t>12-07 CLIENTE INDICA QUE SE EQUIVOCO DE CU, REALIZA NUEVA SOLICITUD. EN ATENCION BAJO EL RADICADO 2437573 CU 27592
0
0</t>
  </si>
  <si>
    <t>BARRIO PARQUE SAN PEDRO DE LOS</t>
  </si>
  <si>
    <t>FO-25-1219164</t>
  </si>
  <si>
    <t>11-07 SE ESCALA PARA VISITA. LLAMAR ANTES DE VISITAR, CONFIRMAR FALLA Y DATOS
0
12-07 SE REALIZÓ PRUEBA CON TARJETA ANTIGUA Y NUEVA, SALIERON OK</t>
  </si>
  <si>
    <t>II00J427</t>
  </si>
  <si>
    <t>PTM ITAGUI PAPELERIA Y VARIEDA</t>
  </si>
  <si>
    <t>FO-25-1220492</t>
  </si>
  <si>
    <t>12-07 SE ESCALA PARA VISITA. LLAMAR ANTES DE VISITAR, CONFIRMAR FALLA Y DATOS
12/07/2025 SE LLAMA AL CLIENTE Y ME Y DICE QUE LA VISITA SE LA HAGAN EL LUNES YA QUE VA DE SALIDA EN ESTOS MOMENTOS
12-07 SE LLAMA AL CLIENTE Y ME DICE QUE LA VISITA SE LA HAGAN EL LUNES YA QUE VA DE SALIDA EN ESTOS MOMENTOS. SE LE INDICA REALIZAR SOLICITUD NUEVAMENTE. CERRAR</t>
  </si>
  <si>
    <t>FO-25-1224389</t>
  </si>
  <si>
    <t>13-07 SE ESCALA A LA RED, SE PROCEDE A CERRAR YA QUE NO ATENDEMOS CADENA OLIMPICA - XX-07 TU SOLICITUD REFERENTE A GENERACIÓN DE CASOS CB OLIMPICA BANCOLOMBIA QUEDÓ RADICADA BAJO EL TICKET NÚMERO XXXXXX AL ÁREA ENCARGADA. 
0</t>
  </si>
  <si>
    <t>FO-25-1226269</t>
  </si>
  <si>
    <t>14-07 SE ESCALA A LA RED, SE PROCEDE A CERRAR YA QUE NO ATENDEMOS CADENA ARA - 14-07 TU SOLICITUD REFERENTE A GENERACIÓN DE CASOS CB ARA BANCOLOMBIA QUEDÓ RADICADA BAJO EL TICKET NÚMERO 5713494 AL ÁREA ENCARGADA. 
0
0</t>
  </si>
  <si>
    <t>BARRIO CENTRO MIRAFLORES 1</t>
  </si>
  <si>
    <t>FO-25-1224384</t>
  </si>
  <si>
    <t>13-07 SE ESCALA PARA VISITA. LLAMAR ANTES DE VISITAR, CONFIRMAR FALLA Y DATOS
0
14-07 EN COMUNICACIÓN CON LA LÍNEA 3128564722 LA SEÑORA ANGI BARRETO INFORMA QUE EL SERVICIO YA ESTÁ FUNCIONANDO PERFECTAMENTE Y QUE NO REQUIERE VISITA, SIMPLEMENTE SE LE INDICA AL CLIENTE LA CORRECTA CONECCIÓN DEL LECTOR DE CÓDIGO DE BARRAS AL DATAFONO Y FUNCIONA BIEN. SE CIERRA COMO SOPORTE TELEFONICO</t>
  </si>
  <si>
    <t>BARRIO BELEN 2 MEDELLIN</t>
  </si>
  <si>
    <t>FO-25-1225375</t>
  </si>
  <si>
    <t>14-07 SE ESCALA PARA VISITA. LLAMAR ANTES DE VISITAR, CONFIRMAR FALLA Y DATOS
0
14-07 SE VERIFICA ESTADO DE TECLAS Y SE REALIZA PRUEBAS DE PRESIÓN ESTÁN TODAS OK</t>
  </si>
  <si>
    <t>9999F120</t>
  </si>
  <si>
    <t>BARRIO CENTRO DURANIA CUCUTA</t>
  </si>
  <si>
    <t>FO-25-1220847</t>
  </si>
  <si>
    <t>12-07 SE ESCALA PARA VISITA. LLAMAR ANTES DE VISITAR, CONFIRMAR FALLA Y DATOS
12/07/2025 SE PROGRAMA VISITA EN EL MUNICIPIO DE DURANIA PARA EL DIA LUNES 14/07 YA QUE EL DIA DE HOY NO SE ALCANZA A LLEGAR AL MUNICIPIO SOBRE LA HORA Y POR  CAMBIOS DE EQUIPO POR PARTE DE RBM NO ES POSIBLE ATENDER LA ORDEN  POR TEMA DE ACTIVO REDEBANCONTACTO GLADIS MELO - 3204920877
14-07 SE VISITA COMERCIO Y SE CAMBIA, CABLE UTP, SE CAMBIA MAGIC BOX, SE REALIZAN CIERRES Y PRUEBAS OK.</t>
  </si>
  <si>
    <t>9A002780</t>
  </si>
  <si>
    <t>BARRIO SAN FRANCISCO BUCARAMANGA  19</t>
  </si>
  <si>
    <t>FO-25-1224236</t>
  </si>
  <si>
    <t>13-07 SE ESCALA PARA VISITA. LLAMAR ANTES DE VISITAR, CONFIRMAR FALLA Y DATOS
13/07/2025 NO SE LOGRÓ CONTACTO VÍA CHAO O LLAMADA AL 3208847178, SE REALIZARÁ VISITA EN FRÍO.
13-07 SE REALIZA VISITA EN FRÍO A COMERCIO DEBIDO A QUE NO RESPONDE LOS MENSAJES VÍA WHATSAPP Y NO RESPONDE LLAMADAS SE LLEGA A SITIO SE VALÍDA QUE SE ENCUENTRA CERRADO SE VUELVE A REALIZAR GESTION TELEFÓNICO NO CONTESTA SE PROCEDE A CERRAR LA ORDEN.
0
14-07 SE REALIZA VISITA AL COMERCIO CB, SE VALIDA Y AL MOMENTO DE REVISAR EL DATÁFONO SE ENCUENTRA APAGADO SE CAMBIO FUENTE Y SIGUE IGUAL DATÁFONO QUEMADO, SE INTENTA CON EL BACKUP PERO NO HAY CONEXIÓN A INTERNET, FALLAS CON EL OPERADOR TIGO EN LA ZONA, CLIENTE SE COMUNICA PARA SOLICITAR ARREGLO DEL INTERNET , YA QUE EL DIA SÁBADO Y DOMINGO LLOVIO MUY FUERTE EN LA CIUDAD</t>
  </si>
  <si>
    <t>SAXZZ529</t>
  </si>
  <si>
    <t>PTM B MANGA JAIMES</t>
  </si>
  <si>
    <t>FO-25-1224984</t>
  </si>
  <si>
    <t>14-07 SE ESCALA PARA VISITA. LLAMAR ANTES DE VISITAR, CONFIRMAR FALLA Y DATOS
0
14-07 EN COMUNICACIÓN CON LA SEÑORA MARÍA AL MÓVIL 3187336245, INDICA QUE EL EQUIPO EL DÍA DE HOY ENCENDIÓ Y FUNCIÓNA CON NORMALIDAD, INDICA QUE Y NO REQUIERE DE LA VISITA TÉCNICA SE LE INFORMA QUE SI LLEGA A VOLVER A PRESENTAR UNA NUEVA NOVEDAD DEBERÁ LLAMAR A LA LÍNEA Y SOLICITAR NUEVAMENTE UNA VISITA TÉCNICA.</t>
  </si>
  <si>
    <t>DISTRICOL MOTO PARTES J A S</t>
  </si>
  <si>
    <t>FO-25-1223919</t>
  </si>
  <si>
    <t>13-07 SE INTENTA COMUNICACION CON EL USUARIO AL NUMERO 3233122151, PERO NO CONTESTA LA LLAMADA. SE ESCALA PARA VISITA, CONFIRMAR FALLA Y DATOS
0
14-07 SE HABLA CON USUARIA, SE DAN INDICACIONES PARA INGRESAR Y REALIZAR PRUEBAS DE CIERRES, SE REALIZAN SIN PROBLEMAS, CB OPERATIVO, SE CIERRA INCIDENTE.</t>
  </si>
  <si>
    <t>BARRIO NUEVO HORIZONTE NARI#O</t>
  </si>
  <si>
    <t>FO-25-1204609</t>
  </si>
  <si>
    <t>09-07 SE INTENTA COMUNICACION EN VARIAS OPRTUNIDADES PARA CONFIRMAR FALLA Y DATOS PERO NO FUE POSIBLE, SE ESCALA PARA VISITA. LLAMAR ANTES DE VISITAR, CONFIRMAR FALLA Y DATOS
12/07/2025 SE QUEDA PENDIENTE DE VALIDACION DE TRANSPORTE MARITIMO PARA VISITA , YA QUE POR CONDICIONES DEL CLIMA NO SE HA PODIDO REALIZAR, SE ESTA PENDIENTE VALIDACION CON EL CLIENTE PARA ACCESO A LA ZONA, YA QUE NO SE HA PODIDO ENTABLAR COMUNICACION POR PROBLEMAS DE SEÑAL EN EL SITIO
14-07 SE REALIZA LLAMADA A LA CLIENTE SE COMUNICA CON LA SEÑORA NELLY GUERRERO LA CUAL INFORMA QUE EL DATAFONO NO REALIZA CIERRES SE LE BRINDA SOPORTE TELEFÓNICO Y SE OBTIENE CIERRE ÉXITOSO Y FUNCIONAMIENTO EXITOSO POR LO CUAL LA CLIENTE INDICA QUE YA NO DESEA LA VISITA TÉCNICA...</t>
  </si>
  <si>
    <t>PAZ MARTINEZ RICHARD HUMBERTO</t>
  </si>
  <si>
    <t>BARRIO TAMESIS</t>
  </si>
  <si>
    <t>FO-25-1224111</t>
  </si>
  <si>
    <t>13-07 SE ESCALA PARA VISITA. LLAMAR ANTES DE VISITAR, CONFIRMAR FALLA Y DATOS
0
15-07 SE LLAMA AL CLIENTE AL 3186323538 EL CUAL INFORMA QUE EL INCONVENIENTE YA SE SOLUCIONÓ Y NO NECESITA VISITA TÉCNICA</t>
  </si>
  <si>
    <t>BELEN A IÑO</t>
  </si>
  <si>
    <t>FO-25-1225789</t>
  </si>
  <si>
    <t>14-07 SE ESCALA PARA VISITA. LLAMAR ANTES DE VISITAR, CONFIRMAR FALLA Y DATOS
0
15-07 SE LLAMA A LA CLIENTE SE LOGRA COMUNICACIÓN CON LA SEÑORA LILIANA BOLAÑOS LA CUAL INFORMA QUE EL LECTOR NO LEE FACTURAS SE LE BRINDA SOPORTE TELEFÓNICO Y SE OBTIENE FUNCIONAMIENTO EXITOSO DEL LECTOR DE BARRAS CONFIGURACIÓN OK PARÁMETROS OK Y SE REALIZAN PRUEBAS ÉXITOSAS DE TRANSACCIONES CON LECTOR... POR LO CUAL LA SEÑORA LILIANA INFORMA QUE YA NO SERÍA NECESARIA LA VISITA... SE CIERRA LA TA</t>
  </si>
  <si>
    <t>BARRIO ALFONSO LOPEZ CUCUTA 1</t>
  </si>
  <si>
    <t>FO-25-1233532</t>
  </si>
  <si>
    <t>15-07 SE ESCALA PARA VISITA. LLAMAR ANTES DE VISITAR, CONFIRMAR FALLA Y DATOS
0
15-07 EN COMUNICACIÓN CON EL CLIENTE ME INFORMA EL SR MAURICIO QUE EL ERROR YA SE SOLUCIONÓ QUE ERA UN PROBLEMA CON EL PROVEEDOR DE INTERNET QUE EL DATAFONO SE ENCUENTRA TRABAJANDO CON NORMALIDAD EL DÍA DE HOY</t>
  </si>
  <si>
    <t>ARA 0424 GIRARDOT CR 10</t>
  </si>
  <si>
    <t>FO-25-1235392</t>
  </si>
  <si>
    <t>BARRIO CALASANZ MEDELLIN 3</t>
  </si>
  <si>
    <t>FO-25-1233528</t>
  </si>
  <si>
    <t>15-07 SE ESCALA PARA VISITA. LLAMAR ANTES DE VISITAR, CONFIRMAR FALLA Y DATOS
0
16-07 EL EQUIPO NO MUESTRA LA HORA CORRECTA SE LLAMA AL USUARIO SE INICIALIZA EN EQUIPO QUEDA LA HORA CORRECTA SERVICIO OPERATIVO</t>
  </si>
  <si>
    <t>BARRIO LAS MERCEDES BUCARAMANGA</t>
  </si>
  <si>
    <t>FO-25-1236483</t>
  </si>
  <si>
    <t>15-07 SE ESCALA PARA VISITA. LLAMAR ANTES DE VISITAR, CONFIRMAR FALLA Y DATOS
0
16-07 CB CON PROBLEMAS DE MENSAJE DE CABLE DE RED DESCONECTADO, SE REALIZA VALIDACIÓN DE CABLEADO Y CONEXIONES, SE REINICIA MÓDEM, EQUIPO CON VERSION 9.90, PRUEBAS OK.</t>
  </si>
  <si>
    <t>SAVZZ135</t>
  </si>
  <si>
    <t>BARRIO CENTRO 67 MEDELLIN</t>
  </si>
  <si>
    <t>FO-25-1237202</t>
  </si>
  <si>
    <t>16-07 SE ESCALA PARA VISITA. LLAMAR ANTES DE VISITAR, CONFIRMAR FALLA Y DATOS
0
16-07 LIMPIEZA DE LECTOR CHIP OK CON OBSTRUCCIÓN PRUEBAS OK NO TELECARGA</t>
  </si>
  <si>
    <t>BL0JZ966</t>
  </si>
  <si>
    <t>FO-25-1240182</t>
  </si>
  <si>
    <t>16-07 SE ESCALA PARA VISITA. LLAMAR ANTES DE VISITAR, CONFIRMAR FALLA Y DATOS
0
16-07 SE INICIALIZA EQUIPO PARA LA ARREGLO DE LA HORA SE REALIZAN PRUEBAS EXITOSAS SERVICIO OPERATIVO</t>
  </si>
  <si>
    <t>AA00X411</t>
  </si>
  <si>
    <t>OPRAP EXITO BELLO NIQUIA</t>
  </si>
  <si>
    <t>FO-25-1238110</t>
  </si>
  <si>
    <t>16-07 SE ESCALA PARA VISITA. LLAMAR ANTES DE VISITAR, CONFIRMAR FALLA Y DATOS
0
16-07 SE HACE MANTENIMIENTO DE EQUIPO Y CABLEADO</t>
  </si>
  <si>
    <t>AAPZZ625</t>
  </si>
  <si>
    <t>BARRIO COLLAREJO CARTAGO 1</t>
  </si>
  <si>
    <t>FO-25-1238650</t>
  </si>
  <si>
    <t>16-07 SE ESCALA PARA VISITA. LLAMAR ANTES DE VISITAR, CONFIRMAR FALLA Y DATOS
0
16-07 SE LLEGA AL PUNTO, EL CLIENTE INDICA QUE EL EQUIPO YA ESTÁ FUNCIONANDO CORRECTAMENTE, NO SE MANIPULA EL EQUIPO.</t>
  </si>
  <si>
    <t>9C006210</t>
  </si>
  <si>
    <t>PAGAFACIL LA 14 ARMENIA</t>
  </si>
  <si>
    <t>FO-25-1241289</t>
  </si>
  <si>
    <t>16-07 SE ESCALA PARA VISITA. LLAMAR ANTES DE VISITAR, CONFIRMAR FALLA Y DATOS
17/07/2025 SE LLEGA A SITIO SE REALIZA LA ESO ES DE LOS 30 MINUTOS REGLAMENTARIOS PARA EL INGRESO AL COMERCIO, INDICAN QUE UN NO TIENEN LA AUTORIZACIÓN EN TAL CASO QUE LA DEMORA SEA SUPERIOR LA VISITA SE  REALIZARÁ EL CORRESPONDIENTE CIERRE.
17-07 SE LLEGA A COMERCIO SE REALIZÓ LA ESPERA DE 30 MINUTOS REGLAMENTARIOS PERO NO ES POSIBLE POR PARTE DE COMERCIO LOGRARÁ LA AUTORIZACIÓN PARA EL INGRESO AL TÉCNICO SE LE INFORMA A COMERCIO QUE DEBE SOLICITAR LA VISITA NUEVAMENTE YA QUE LA ACTUAL SE REALIZA EL CIERRE CON LA NOVEDAD DE NO INGRESO.</t>
  </si>
  <si>
    <t>1KZZZ685</t>
  </si>
  <si>
    <t>REVAL OR LOS COLORES</t>
  </si>
  <si>
    <t>FO-25-1242653</t>
  </si>
  <si>
    <t>17-07 SE ESCALA PARA VISITA. LLAMAR ANTES DE VISITAR, CONFIRMAR FALLA Y DATOS
0
17-07 SE HABLA CON USUARIA, SE DAN INDICACIONES PARA INGRESAR Y REALIZAR PRUEBAS DE CIERRES, SE REALIZAN SIN PROBLEMAS, CB OPERATIVO, SE CIERRA INCIDENTE.</t>
  </si>
  <si>
    <t>PAGAFACIL BARRANCABERMEJA</t>
  </si>
  <si>
    <t>FO-25-1238115</t>
  </si>
  <si>
    <t>16-07 SE ESCALA PARA VISITA. LLAMAR ANTES DE VISITAR, CONFIRMAR FALLA Y DATOS
0
17-07 SE COMUNICA CON LA SEÑORA SUJEY 3225143737 INFORMA QUE EL DATAFONO YA ESTA FUNCIONANDO CORRECTAMENTE , QUE POR FAVOR SE CANCELE LA VISITA , EL DATAFONO SE ENCUENTRA OPERATIVO ,SE CIERRA ORDEN</t>
  </si>
  <si>
    <t>BARRIO LA CEIBA ESPINAL</t>
  </si>
  <si>
    <t>FO-25-1238683</t>
  </si>
  <si>
    <t>16-07 SE ESCALA PARA VISITA. LLAMAR ANTES DE VISITAR, CONFIRMAR FALLA Y DATOS
0
17-07 SE COMUNICA CON LA SEÑORITA ELIZABETH RODRÍGUEZ QUIEN MANIFIESTA QUE EL EQUIPO YA LE ESTÁ FUNCIONANDO PERFECTAMENTE,CAMBIO DE PUNTO DE ENERGÍA</t>
  </si>
  <si>
    <t>GUTIERREZ  CAMILO ANDRES</t>
  </si>
  <si>
    <t>FO-25-1244696</t>
  </si>
  <si>
    <t>17-07 SE ESCALA PARA VISITA. LLAMAR ANTES DE VISITAR, CONFIRMAR FALLA Y DATOS
0
17-07 SE HABLA CON EL SEÑOR FERNANDO Y SE LE INDICA COMO INGRESAR AL MENÚ OPERADOR CB FUNCIONA CORRECTAMENTE</t>
  </si>
  <si>
    <t>DISTRICOL MILI REPOSTERIA</t>
  </si>
  <si>
    <t>FO-25-1243939</t>
  </si>
  <si>
    <t>17-07 SE ESCALA PARA VISITA. LLAMAR ANTES DE VISITAR, CONFIRMAR FALLA Y DATOS
0
17-07 SE REALIZA MANTENIMIENTO GENERAL</t>
  </si>
  <si>
    <t>V10OZ406</t>
  </si>
  <si>
    <t>PAGAFACIL  ALMACENTRO</t>
  </si>
  <si>
    <t>FO-25-1240715</t>
  </si>
  <si>
    <t>16-07 SE ESCALA PARA VISITA. LLAMAR ANTES DE VISITAR, CONFIRMAR FALLA Y DATOS
17/07/2025 VERIFICANDO IDENTIFICACIÓN NO SE HA PODIDO INGRESAR LÍNEA CAÍDA WHATSAPP CONGESTIÓNADO
17-07 SE LLEGA AL PUNTO SE ESPERA MAS DE UNA HORA PARA EL INGRESO Y NO DAN RESPUESTA LÍNEA CAÍDA Y WHATSAPP CONGESTIÓNADO</t>
  </si>
  <si>
    <t>JCZZZ329</t>
  </si>
  <si>
    <t>BARRIO PRADO MEDELLIN 6</t>
  </si>
  <si>
    <t>FO-25-1244585</t>
  </si>
  <si>
    <t>17-07 SE ESCALA PARA VISITA. LLAMAR ANTES DE VISITAR, CONFIRMAR FALLA Y DATOS
0
17-07 SE HACE MANTENIMIENTO DE EQUIPO Y CABLEADO</t>
  </si>
  <si>
    <t>II07Z174</t>
  </si>
  <si>
    <t>DISTRICOL SALSAMENTARIA SALPIC</t>
  </si>
  <si>
    <t>FO-25-1244691</t>
  </si>
  <si>
    <t>17-07 SE ESCALA PARA VISITA. LLAMAR ANTES DE VISITAR, CONFIRMAR FALLA Y DATOS
0
17-07 SE HACE MANTENIMIENTO DE EQUIPO Y CONFIGURACIÓN DE LECTORA</t>
  </si>
  <si>
    <t>9A005397</t>
  </si>
  <si>
    <t>BARRIO VEREDA OTROLADO SECTOR</t>
  </si>
  <si>
    <t>FO-25-1243402</t>
  </si>
  <si>
    <t>RECHAZO GENERAL</t>
  </si>
  <si>
    <t>17-07 SE ESCALA PARA VISITA. LLAMAR ANTES DE VISITAR, CONFIRMAR FALLA Y DATOS
0
17-07 SE VISITA PUNTO SE REALIZA BORRADO DE EQUIPO CARGANDO VERSIÓN 10.3 N CONTINUAL RECHAZÓ GENERAL, SE REALIZA ESCALAMIENTO CON RBM REDEBAN INDICA QUE EL EQUIPO ESTA BIEN PARAMETRIZADO ESCALAN CON CENTRO DE OPERACIÓN E INDCAN QUE LA NOVEDAD DEL RECHAZO ES POR PARTE DE ENTIDAD</t>
  </si>
  <si>
    <t>GB00H073</t>
  </si>
  <si>
    <t>BARRIO ENCISO MEDELLIN 16</t>
  </si>
  <si>
    <t>FO-25-1247732</t>
  </si>
  <si>
    <t>17-07 SE ESCALA PARA VISITA. LLAMAR ANTES DE VISITAR, CONFIRMAR FALLA Y DATOS
0
18-07 SE REALIZA CAMBIO DE RODILLO POR PEGADO Y MALA IMPRESIÓN, SE REVISA IMPRESION DE NUEVO QUEDA EN PERFECTO ESTADO</t>
  </si>
  <si>
    <t>JA00E931</t>
  </si>
  <si>
    <t>DISTRICOL INTERRAPIDISIMO LA F</t>
  </si>
  <si>
    <t>FO-25-1246296</t>
  </si>
  <si>
    <t>17-07 SE ESCALA PARA VISITA. LLAMAR ANTES DE VISITAR, CONFIRMAR FALLA Y DATOS
0
18-07 SE VÁLIDA DAÑO EN CABLE MAGIC BOX, SE REALIZA PRUEBAS DE FUNCIONAMIENTO OK; CUBRE CLAVE INSTALADO.</t>
  </si>
  <si>
    <t>A1PZZ051</t>
  </si>
  <si>
    <t>PAGAFACIL TIENDA METRO BELLO 1</t>
  </si>
  <si>
    <t>FO-25-1245230</t>
  </si>
  <si>
    <t>17-07 SE ESCALA PARA VISITA. LLAMAR ANTES DE VISITAR, CONFIRMAR FALLA Y DATOS
0
18-07 SE VERIFICA CONEXIÓNES DEL COMERCIO SE CAMBIA DE PUERTO EL CABLE LAN DEL DATÁFONO Y SE DEJAN SERVICIOS FUNCIONANDO CORRECTAMENTE</t>
  </si>
  <si>
    <t>AB00B598</t>
  </si>
  <si>
    <t>DISTRICOL GRANERO LA ABUNDANCI</t>
  </si>
  <si>
    <t>FO-25-1248690</t>
  </si>
  <si>
    <t>18-07 SE ESCALA PARA VISITA. LLAMAR ANTES DE VISITAR, CONFIRMAR FALLA Y DATOS
0
18-07 SE REALIZÓ RESTABLECIMIENTO DE CLAVE SUPERVISOR</t>
  </si>
  <si>
    <t>GB00L283</t>
  </si>
  <si>
    <t>DISTRICOL CELU CENTRO JJ</t>
  </si>
  <si>
    <t>FO-25-1247727</t>
  </si>
  <si>
    <t>17-07 SE ESCALA PARA VISITA. LLAMAR ANTES DE VISITAR, CONFIRMAR FALLA Y DATOS
0
18-07 SE VISITA EL CB PARA REVISAR FALLA DE CONEXIÓN COMERCIO CAMBIO OPERADOR DE INTERNET Y EL DATÁFONO ESTABA CON IP FIJA, SE DEJA EL DATAFONO POR DHCP Y SE HACEN PRUEBAS OK, CB OPERATIVO</t>
  </si>
  <si>
    <t>9B09Z924</t>
  </si>
  <si>
    <t>PAGAFACIL SAN ANTONIO DE PRADO</t>
  </si>
  <si>
    <t>FO-25-1249128</t>
  </si>
  <si>
    <t>18-07 SE ESCALA PARA VISITA. LLAMAR ANTES DE VISITAR, CONFIRMAR FALLA Y DATOS
0
18-07 SE REALIZÓ LIMPIEZA DE LECTOR CHIP</t>
  </si>
  <si>
    <t>999SZ182</t>
  </si>
  <si>
    <t>BARRIO LA MINA 2 ENVIGADO</t>
  </si>
  <si>
    <t>FO-25-1250881</t>
  </si>
  <si>
    <t>18-07 SE ESCALA PARA VISITA. LLAMAR ANTES DE VISITAR, CONFIRMAR FALLA Y DATOS
0
18-07 SE LLAMA A LA SEÑORA VANESSA CAÑAS Y DICE QUE LA LECTORA ESTA FUNCIONANDO CORRECTAMENTE</t>
  </si>
  <si>
    <t>BARRIO CAMPINA YOPAL 1</t>
  </si>
  <si>
    <t>FO-25-1241939</t>
  </si>
  <si>
    <t>16-07 SE ESCALA PARA VISITA. LLAMAR ANTES DE VISITAR, CONFIRMAR FALLA Y DATOS
0
18-07 EN COMUNICACIÓN CON LA SEÑORA DIANA MALDONADO AL NUMERO 3138032577 INDICA QUE LA FALLA YA FUE RESUELTA, FALLAS CONEXIONES DEL COMERCIO. INDICA SE ENCUENTRA OPERATIVO EL SERVICIO</t>
  </si>
  <si>
    <t>ARA0149 MANGA AV JIMENEZ</t>
  </si>
  <si>
    <t>FO-25-1253808</t>
  </si>
  <si>
    <t>19-07 SE ESCALA A LA RED, SE PROCEDE A CERRAR YA QUE NO ATENDEMOS CADENA ARA - XX-07 TU SOLICITUD REFERENTE A GENERACIÓN DE CASOS CB ARA BANCOLOMBIA QUEDÓ RADICADA BAJO EL TICKET NÚMERO XXXXXXX AL ÁREA ENCARGADA. 
0
0</t>
  </si>
  <si>
    <t>DISTRICOL CNDLUBLOSLINDEROS</t>
  </si>
  <si>
    <t>FO-25-1253619</t>
  </si>
  <si>
    <t>19-07 SE ESCALA PARA VISITA. LLAMAR ANTES DE VISITAR, CONFIRMAR FALLA Y DATOS
0
19-07 SE COMUNICA CON EL CLIENTE AL NÚMERO DE TELÉFONO 3174223072 PARA VALIDAR DISPONIBILIDAD PERO EL SEÑOR ALEXANDER ROMERO INDICA QUE EL CB ESTÁ FUNCIONANDO PERFECTAMENTE , DEBIDO QUE EL PROBLEMA ERA PROBLEMAS CON LA ENTIDAD PRESTADORA DE SERVICIO DE INTERNET , NOS SOLICITA QUE POR FAVOR CANCELAR LA VISITA TÉCNICA</t>
  </si>
  <si>
    <t>HERRERA LUQUE SAUL JAVIER</t>
  </si>
  <si>
    <t>BARRIO GUAIMARAL CUCUTA 12</t>
  </si>
  <si>
    <t>FO-25-1252599</t>
  </si>
  <si>
    <t>18-07 SE ESCALA PARA VISITA. LLAMAR ANTES DE VISITAR, CONFIRMAR FALLA Y DATOS
0
19-07 SE ENCONTRÓ FALLAS CON EL PROVEEDOR DE INTERNET SE REINICIO MODEM SE REALIZA MANTENIMIENTO CIERRES Y PRUEBAS OK</t>
  </si>
  <si>
    <t>SASZZ644</t>
  </si>
  <si>
    <t>BARRIO MANRIQUE MEDELLIN 27</t>
  </si>
  <si>
    <t>FO-25-1253614</t>
  </si>
  <si>
    <t>19-07 SE ESCALA PARA VISITA. LLAMAR ANTES DE VISITAR, CONFIRMAR FALLA Y DATOS
0
19-07 SE REALIZÓ GESTIÓN TELEFÓNICA SE HABLÓ CON LA SEÑORA MÓNICA QUIEN NOS INFORMA QUE EL DATÁFONO SE ENCUENTRA FUNCIONANDO NORMALMENTE Y NOS INDICA QUE SE COMUNICARÁ CON EL PROVEEDOR DE INTERNET YA QUE ES UN FALLO GENERAL CON EL SERVICIO  DE INTERNET</t>
  </si>
  <si>
    <t>BARRIO BERLIN BOGOTA  4</t>
  </si>
  <si>
    <t>FO-25-1245791</t>
  </si>
  <si>
    <t>17-07 SE ESCALA PARA VISITA. LLAMAR ANTES DE VISITAR, CONFIRMAR FALLA Y DATOS
0
19-07 SE REALIZA VISITA A DIRECCIÓN DE COMERCIO, AL LLEGAR A SITIO ATIENDE LA SRA. PAOLA CASTRO SE REALIZA VALIDACIÓN DEL DATAFONO, SE ENCUENTRA OPERATIVO, LA FALLA ES DEL CABLE DEL RED DEL COMERCIO, NO SE REALIZA CAMBIO DE CABLE DE RED, EL COMERCIO PUSO OTRO CABLE DE SU PROPIEDAD, EL EQUIPO ESTÁ TRABAJANDO BIEN.</t>
  </si>
  <si>
    <t>LM0BZ630</t>
  </si>
  <si>
    <t>BARRIO SAN FRANCISCO RIONEGRO</t>
  </si>
  <si>
    <t>FO-25-1247688</t>
  </si>
  <si>
    <t>17-07 SE ESCALA PARA VISITA. LLAMAR ANTES DE VISITAR, CONFIRMAR FALLA Y DATOS
0
19-07 SE REALIZA VERIFICACIÓN VÍA TELEFÓNICA Y SE EXPLICA LA CREACIÓN DE USUARIO, CLIENTE CONFIRMA QUE NO ES NECESARIA LA VISITA</t>
  </si>
  <si>
    <t>DISTRICOL MAS DE TODO MEDELLIN</t>
  </si>
  <si>
    <t>FO-25-1252561</t>
  </si>
  <si>
    <t>18-07 SE ESCALA PARA VISITA. LLAMAR ANTES DE VISITAR, CONFIRMAR FALLA Y DATOS
0
19-07 SE LLAMA A CLIENTE PARA CONFIRMAR VISITA Y LA SEÑORA LUCERO INDICA QUE EL LECTOR DE BARRAS YA FUNCIONA BIEN</t>
  </si>
  <si>
    <t>TA-25-871747</t>
  </si>
  <si>
    <t>DISTRICOL MECATRONICA SUCRE RM</t>
  </si>
  <si>
    <t>FO-25-1252746</t>
  </si>
  <si>
    <t>18-07 SE ESCALA PARA VISITA. LLAMAR ANTES DE VISITAR, CONFIRMAR FALLA Y DATOS
0
19-07 SE REALIZA VISITA PARA INICIALIZAR EL DATAFONO Y CAMBIAR LA DIRECCIÓN DEL PUNTO, SE ENCUENTRA BATAFONO CON LA DIRECCIÓN CORRECTA, SE INICIALIZA NUEVAMENTE OK, PRUEBAS OK</t>
  </si>
  <si>
    <t>DISTRICOL MECATRONICA</t>
  </si>
  <si>
    <t>BARRIO BELEN MEDELLIN 16</t>
  </si>
  <si>
    <t>FO-25-1256617</t>
  </si>
  <si>
    <t>20-07 SE ESCALA PARA VISITA. LLAMAR ANTES DE VISITAR, CONFIRMAR FALLA Y DATOS
0
20-07 SE COMUNICA CON EL USUARIO PARA CONFIRMAR VISITA E INDICA QUE YA SE SOLUCIONÓ EL DÍA DE AYER.</t>
  </si>
  <si>
    <t>BARRIO VILLA JOHANNA VILLAVICENCIO</t>
  </si>
  <si>
    <t>FO-25-1256967</t>
  </si>
  <si>
    <t>20-07 SE ESCALA PARA VISITA. LLAMAR ANTES DE VISITAR, CONFIRMAR FALLA Y DATOS
0
21-07 SE REALIZA VISITA A COMERCIO CONEXIONES DEL COMERCIO EN MAL ESTADO SE BRINDA SOPORTE PRUEBAS OK SIN NOVEDAD</t>
  </si>
  <si>
    <t>FAEZZ458</t>
  </si>
  <si>
    <t>PTM GUARNE  HOME MIAMI</t>
  </si>
  <si>
    <t>FO-25-1258268</t>
  </si>
  <si>
    <t>21-07 SE ESCALA PARA VISITA. LLAMAR ANTES DE VISITAR, CONFIRMAR FALLA Y DATOS
0
21-07 SE REALIZA MANTENIMIENTO GENERAL POR OBSTRUCCIÓN DE LECTOR DE TARJETA EN EL PINPAD</t>
  </si>
  <si>
    <t>A30EZ518 - A30EZ660</t>
  </si>
  <si>
    <t>BARRIO CALLE PRINCIPAL LA PINT</t>
  </si>
  <si>
    <t>FO-25-1256628</t>
  </si>
  <si>
    <t>20-07 SE ESCALA PARA VISITA. LLAMAR ANTES DE VISITAR, CONFIRMAR FALLA Y DATOS
0
21-07 SE REALIZÓ LIMPIEZA DE LECTOR CHIP Y REPROGRAMACIÓN DE LECTOR DE BARRAS</t>
  </si>
  <si>
    <t>AB7ZZ938</t>
  </si>
  <si>
    <t>BARRIO GUATAPE</t>
  </si>
  <si>
    <t>FO-25-1256620</t>
  </si>
  <si>
    <t>TAPA MAL ASEGURADA</t>
  </si>
  <si>
    <t>20-07 SE ESCALA PARA VISITA. LLAMAR ANTES DE VISITAR, CONFIRMAR FALLA Y DATOS
0
21-07 SE REALIZA PRUEBAS DE IMPRESIÓN, ESTÁN PERFECTAS, SE INDICA A USUARIO FORMA CORRETA DE USO DE TAPA Y IMPLEMENTACION DE ROLLO</t>
  </si>
  <si>
    <t>HA006872</t>
  </si>
  <si>
    <t>DISTRICOL PAPELERIA LA AGENDA</t>
  </si>
  <si>
    <t>FO-25-1260190</t>
  </si>
  <si>
    <t>21-07 SE ESCALA PARA VISITA. LLAMAR ANTES DE VISITAR, CONFIRMAR FALLA Y DATOS
0
21-07 SE HACE MANTENIMIENTO DE EQUIPO Y CABLEADO</t>
  </si>
  <si>
    <t>11113760</t>
  </si>
  <si>
    <t>DISTRICOL CENTRAL DE CELULARES</t>
  </si>
  <si>
    <t>FO-25-1260196</t>
  </si>
  <si>
    <t>21-07 SE ESCALA PARA VISITA. LLAMAR ANTES DE VISITAR, CONFIRMAR FALLA Y DATOS
0
21-07 SE LLEGA A PUNTO Y CLIENTE INDICA QUE EL CORRESPONSAL YA FUNCIONA CORRECTAMENTE</t>
  </si>
  <si>
    <t>GZ00B491</t>
  </si>
  <si>
    <t>FO-25-1263171</t>
  </si>
  <si>
    <t>22/07/2025 | EN COMUNICACIÓN CON LA SEÑORA LORENA AL MOVIL 317264 9315, INDICA QUE YA EL EQUIPO ESTÁ FUNCIONANDO CORRECTAMENTE Y NO REQUIERE DE LA VISITA DEL PERSONAL TECNICO, SE LE INFORMA QUE SI PRESENTA UNA FALLA NUEVAMENTE DEBERÁ SOLICITAR UN RADICADO.</t>
  </si>
  <si>
    <t>PTM MEDELLIN FERRETERIA EL IND</t>
  </si>
  <si>
    <t>FO-25-1261460</t>
  </si>
  <si>
    <t>22/07/2025 / SE REALIZA VERIFICACIÓN DE EQUIPOS, ESTÁN EN PERFECTO ESTADO Y CORRECTO FUNCIONAMIENTO, CLIENTE CONFIRMA TRABAJAR SIN PROBLEMAS</t>
  </si>
  <si>
    <t>UVRZZ166 - OWZZZ999</t>
  </si>
  <si>
    <t>DISTRICOL T REGALOS CUPIDO</t>
  </si>
  <si>
    <t>FO-25-1263174</t>
  </si>
  <si>
    <t>22/07/2025 / SE LLEGA AL PUNTO SE ENCUENTRA CERRADO SE LLAMA AL CLIENTE PARA INFORMARLE QUE ESTÁBAMOS EN EL PUNTO PERO INFORMA QUE YA NO NECESITA VISITA QUE AYER SE SOLUCIONÓ EL PROBLEMA</t>
  </si>
  <si>
    <t>NO APLICA</t>
  </si>
  <si>
    <t>BARRIO LA GALERIA RIONEGRO</t>
  </si>
  <si>
    <t>FO-25-1259527</t>
  </si>
  <si>
    <t>22/07/2025 / SE REALIZÓ LIMPIEZA DE LECTOR CHIP</t>
  </si>
  <si>
    <t>ABYZZ877</t>
  </si>
  <si>
    <t>BARRIO DEPARTAMENTAL CALI 1</t>
  </si>
  <si>
    <t>FO-25-1265910</t>
  </si>
  <si>
    <t>22/07/2025 / SE LLEGA A SITIO, Y EL CB MANIFIESTA QUE EL DATÁFONO YA SE ENCUENTRA OOERATIVO, MANIFIESTAN QUE SOLICITARON TERMINAL DE COMERCIO PARA RECIBIR PAGOS DEL ALMACÉN Y YA LE AYUDARON CON EL TEMA.</t>
  </si>
  <si>
    <t>MNPZZ751 - SBZZZ695</t>
  </si>
  <si>
    <t>MONUMENTO A LA VIRGEN ENVIGADO</t>
  </si>
  <si>
    <t>FO-25-1266663</t>
  </si>
  <si>
    <t>22/07/2025 / SE HACE MANTENIMIENTO DE EQUIPO Y CABLEADO</t>
  </si>
  <si>
    <t>AAAGZ563</t>
  </si>
  <si>
    <t>DISTRICOL PINFERGAS</t>
  </si>
  <si>
    <t>FO-25-1266671</t>
  </si>
  <si>
    <t>22/07/2025 / SE REALIZA MANTENIMIENTO GENERAL Y PRUEBAS PERTINENTES CON TARJETA TARJETA TODO OK</t>
  </si>
  <si>
    <t>AB01Z352</t>
  </si>
  <si>
    <t>BARRIO CENTRO CALARCA 1</t>
  </si>
  <si>
    <t>FO-25-1270119</t>
  </si>
  <si>
    <t>23/07/2025 / SE VISITÓ COMERCIO SE REALIZÓ VERIFICACIÓN DE CONFIGURACIÓN DATAFONO, PRUEBAS EXITOSAS.</t>
  </si>
  <si>
    <t>BL01Y153</t>
  </si>
  <si>
    <t>BARRIO OCANA OCANA</t>
  </si>
  <si>
    <t>FO-25-1251749</t>
  </si>
  <si>
    <t>23/07/2025 / SE VISITA COMERCIO, SE VERIFICA EQUIPO ESTÁ FUNCIONANDO PERFECTAMENTE , SE INDICA A CLIENTE SU CORRECTA MANIPULACIÓN , PRUEBAS OK / 21/07/2025 SE COMUNICA CON LA SEÑORITA JÁCOME DONDE SE LE INDICA QUE ESTA SEMANA SE ESTARÁ VISITANDO EL CORRESPONSAL PARA EJECUTAR ORDEN , CLIENTE INDICA NO TENER INCONVENIENTE QUE VISITAR DESPUÉS DEL DÍA MARTES YA QUE POR TEMAS DEL PARO NACIONAL DE ARROCEROS NO PODMEO ESTA A TIEMPO ALA ESPERA DE NEGOCIACION CON EL ESTADO</t>
  </si>
  <si>
    <t>LN00F251</t>
  </si>
  <si>
    <t>BARRIO SAN NICOLAS PEREIRA  2</t>
  </si>
  <si>
    <t>FO-25-1270122</t>
  </si>
  <si>
    <t>23/07/2025 / SE VISITA COMERCIO SE IDENTIFICA DATÁFONO SIN CONEXIÓN SE REALIZA CAMBIO DE CONECTORES DE RED SE REALIZA RECONECTORIZACION SE REALIZA PRUEBAS OK</t>
  </si>
  <si>
    <t>F1MZZ639</t>
  </si>
  <si>
    <t>LOAIZA LOPEZ JHON FREDDY</t>
  </si>
  <si>
    <t>BARRIO TORCOROMA OCANA</t>
  </si>
  <si>
    <t>FO-25-1256622</t>
  </si>
  <si>
    <t>23/07/2025 / SE COMUNICA CON ÉL SEÑOR ARMANDO ORTIZ AL NÚMERO DE TELÉFONO 3135328269 VALIDAR DISPONIBILIDAD DE RECIBIR LA VISITA TÉCNICA PERO CLIENTE SOLICITA POR FAVOR CANCELAR DEBIDO QUE YA EL EQUIPO ESTÁ FUNCIONANDO PERFECTAMENTE , Y EL ERROR ERA DEL COMERCIO EN SUS REDES DE INTERNET</t>
  </si>
  <si>
    <t>DISTRICOL MERCADOS JUSTO AQUI</t>
  </si>
  <si>
    <t>FO-25-1271603</t>
  </si>
  <si>
    <t>23/07/2025 / SE HACE MANTENIMIENTO DE EQUIPO Y CABLEADO</t>
  </si>
  <si>
    <t>SAUZZ948</t>
  </si>
  <si>
    <t>BARRIO BUENOS AIRES MEDELLIN 2</t>
  </si>
  <si>
    <t>FO-25-1272868</t>
  </si>
  <si>
    <t>23/07/2025 / SE VALIDAR CONEXIÓN DE EQUIPO, ESTA TODO OK, CLIENTE CONFIRMA TRABAJAR SIN PROBLEMAS</t>
  </si>
  <si>
    <t>MNBZZ901</t>
  </si>
  <si>
    <t>BARRIO GRANADA BUCARAMANGA</t>
  </si>
  <si>
    <t>FO-25-1270134</t>
  </si>
  <si>
    <t>23/07/2025 / SE REALIZA BORRADO DE TRANSACCIONES YA QUE NO SE ESTABA REALIZANDO CORRECTAMENTE LOS CIERRES PRUEBAS OK SERVICIO OPERATIVO</t>
  </si>
  <si>
    <t>BL08Z616</t>
  </si>
  <si>
    <t>REYES RAMIREZ DIEGO ALEXANDER</t>
  </si>
  <si>
    <t>FO-25-1270985</t>
  </si>
  <si>
    <t>23/07/2025 / SE INSTRUYE SOBRE FUNCIÓN DEL NUEVO MODELO, EQUIPO OK</t>
  </si>
  <si>
    <t>BARRIO CIUDAD CORDOBA CALI 9</t>
  </si>
  <si>
    <t>FO-25-1272894</t>
  </si>
  <si>
    <t>23/07/2025 / SE CONFIGURA EQUIPO SE INICIALIZA Y QUEDA FUNCIONANDO CORRECTAMENTE</t>
  </si>
  <si>
    <t>SX0GZ263-SEZZZ612</t>
  </si>
  <si>
    <t>CUERO RUIZ JHONNY</t>
  </si>
  <si>
    <t>CIUDAD BOLIVAR III - ANTIOQUIA</t>
  </si>
  <si>
    <t>FO-25-1264619</t>
  </si>
  <si>
    <t>23/07/2025 / SE REALIZÓ GESTIÓN TELEFÓNICA SE HABLÓ CON LA SEÑORA OMAIRA PUERTA NOS INDICA QUE EL DÍA DE HOY NO ABRE EL CORRESPONSAL SE LE INDICA QUE SE PROCEDE A CERRAR VISITA POR TIEMPOS DE ATENCIÓN CLIENTE NOS INFORMA QUE SE COMUNICARÁ NUEVAMENTE EL DÍA DE MAÑANA</t>
  </si>
  <si>
    <t>BARRIO BUGANVILES NEIVA 2</t>
  </si>
  <si>
    <t>FO-25-1271618</t>
  </si>
  <si>
    <t>23/07/2025 / SE REALIZA VISITA AL PUNTO, CLIENTE INDICA QUE NO PUEDE LEER NINGUN CÓDIGO DE BARRAS , SE REALIZA VALDIACION SE EVIDENCIA QUE LA LECTORA ESTA EN BUEN ESTADO SE LE EXPLICA AL CLIENTE LA MANERA CORRECTA EN SE DEBE LEER EL CODIGO, SE REALIZAN PRUEBAS EXITOSAS.CB OPERATIVO .</t>
  </si>
  <si>
    <t>NNEZZ611</t>
  </si>
  <si>
    <t>BARRIO LAS COLINAS MANIZALES</t>
  </si>
  <si>
    <t>FO-25-1271608</t>
  </si>
  <si>
    <t>24/07/2025 / VISITAMOS COMERCIO PERO EL DATAFONO YA NO PRESENTA LA FALLA QUÉ TENIA SE REALIZAN PRUEBAS OK DATÁFONO ESTA FUNCIONANDO CON NORMALIDAD.</t>
  </si>
  <si>
    <t>KA00J376</t>
  </si>
  <si>
    <t>BARRIO LA QUINTA CARTAGENA D</t>
  </si>
  <si>
    <t>FO-25-1266716</t>
  </si>
  <si>
    <t>24/07/2025 / SE REALIZA CONFIGURACIÓN FIJA DEBIDO A QUE EL PROVEEDOR QUE TIENEN DE INTERNET TIENE PROBLEMAS Y SE DEJA OPERATIVO CON UNO DE CONTINGENCIA OPERANDO SE LE RECOMIENDA A LA PERSONA CAMBIAR EL SWICH DE RED Y TODO QUEDA OK / 23/07/2025 .
23/07/2025 BUEN DIA EN SITIO ESPERANDO AUTORIZACIÓN DE INGRESO</t>
  </si>
  <si>
    <t>9A003136</t>
  </si>
  <si>
    <t>REVAL ALTAVISTA</t>
  </si>
  <si>
    <t>FO-25-1277780</t>
  </si>
  <si>
    <t>24/07/2025 / SE VISITA COMERCIO POR FALLA EN COMUNICACIÓN CANAL DE CONEXIÓN POR TONOS SE PROCEDE A CONFIGURAR DATÁFONO POR CONEXIÓN DE RED  REALIZANDO PRUEBAS DE COMUNICACIÓN OK , SE REALIZAN TRANSACCIONES DE PRUEBA Y SE DEJA CB OPERANDO SIN NOVEDAD</t>
  </si>
  <si>
    <t>AB0LZ026</t>
  </si>
  <si>
    <t>ROMERO ROJAS BREIDY JHOHAN</t>
  </si>
  <si>
    <t>MUTIPAGAS SAN JERONIMO</t>
  </si>
  <si>
    <t>FO-25-1278034</t>
  </si>
  <si>
    <t>24/07/2025 / SE REALIZÓ VISITA SE ENCONTRÓ UN EQUIPO 2600 EL EQUIPO SE ENCUENTRA EN BUEN ESTADO PUESTO QUE FUE CAMBIADO HACE 8 DÍAS SE LE EXPLICA AL CORRESPONSAL QUE AL EQUIPO ESTÁ NUEVO LAS TECLAS VAN A SER UN POCO DURAS CON EL TIEMPO IRÁN SIENDO MÁS FÁCILES DE MANEJAR SE PROCEDE A CERRAR CAS</t>
  </si>
  <si>
    <t>BBBBV414</t>
  </si>
  <si>
    <t>BARRIO MARCHEZ TOSCANA MEDELLI</t>
  </si>
  <si>
    <t>FO-25-1274797</t>
  </si>
  <si>
    <t>24/07/2025 / SE LLEGA AL PUNTO Y USUARIO REPORTA QUE EL SERVICIO ESTÁ OK</t>
  </si>
  <si>
    <t>BBBDZ411</t>
  </si>
  <si>
    <t>DISTRICOL AVT COMUNICACIONES</t>
  </si>
  <si>
    <t>FO-25-1279088</t>
  </si>
  <si>
    <t>24/07/2025 / ZA VERIFICACIÓN DE LECTORA ESTA OK, SE REVISA PUERTO USB ESTA EN BUEN   ESTADO</t>
  </si>
  <si>
    <t>EF004286</t>
  </si>
  <si>
    <t>MULTIPAGAS GIRARDOTA 2</t>
  </si>
  <si>
    <t>FO-25-1278571</t>
  </si>
  <si>
    <t>24/07/2025 / SE HACE MANTENIMIENTO DE EQUIPO Y CABLEADO</t>
  </si>
  <si>
    <t>999VZ131</t>
  </si>
  <si>
    <t>BARRIO CENTRO TUNJA 23</t>
  </si>
  <si>
    <t>FO-25-1275095</t>
  </si>
  <si>
    <t>24/07/2025 / SE VISITA PUNTO EVIDENCIANDO QUE EL EQUIPO SE ENCUENTRA EN ÓPTIMAS CONDICIONES SE CAMBIA FUENTE DE PODER EQUIPO CON MEMORIA ACOMULADA NO ARROJA EL CIERRE CLIENTE AUTORIZA REALIZAR BORRADO SE LE INDICA LA FORMA CORRECTA DE RELIZAR LOS CIERRES DIARIOS PRUEBAS OK CLIENTE CONFORME</t>
  </si>
  <si>
    <t>9T00P704</t>
  </si>
  <si>
    <t>PTM SOGAMOSO MAXIMERCADO EBEN</t>
  </si>
  <si>
    <t>FO-25-1277315</t>
  </si>
  <si>
    <t>24/07/2025 / SE ESTABLECE COMUNICACIÓN CON EL SEÑOR JULIAN CÁRDENAS AL NÚMERO DE CONTACTO 3227623732 CLIENTE INDICA QUE LA FALLA REPORTADA FUE DEBIDO A UNA FALLA EN LAS CONEXIONES DE INTERNET DEL COMERCIO EL CUAL YA FUE SOLUCIONADO Y EL CORRESPONSAL SE ENCUENTRA OPERANDO CORRECTAMENTE CLIENTE COMPARTE EVIDENCIA EVIDENCIANDO QUE EL CORRESPONSAL BANCARIO SE ENCUENTRA FUNCIONADO CORRECTAMENTE CLIENTE DESISTE DE LA VISITA TECNICA SE LE INDICA QUE SE PROCEDERA CON EL CIERRE DE LA ORDEN GENERADA CLIENTE CONFORME</t>
  </si>
  <si>
    <t>ALCALA  VALLE DEL CAUCA</t>
  </si>
  <si>
    <t>FO-25-1277305</t>
  </si>
  <si>
    <t>24/07/2025 / SE LLEGA AL PUNTO, SE ENCUENTRA EL CABLE DE RED DESCONECTADO, SE CONECTA Y SE REALIZAN PRUEBAS OK.</t>
  </si>
  <si>
    <t>BARRIO LOS OLIVOS CUCUTA  2</t>
  </si>
  <si>
    <t>FO-25-1279584</t>
  </si>
  <si>
    <t>25/07/2025 / SE REALIZA VISITA AL COMERCIO Y SE ENCUENTRA DATAFONO DESCONFIGURADO, SE REALIZA CONFIGURACIÓN OK, PRUEBAS EXITOSAS</t>
  </si>
  <si>
    <t>10LZZ932</t>
  </si>
  <si>
    <t>BARRIO CALLE SANTA GIRARDOTA</t>
  </si>
  <si>
    <t>FO-25-1280428</t>
  </si>
  <si>
    <t>25/07/2025 / SE REVISA LECTORA Y SE HACEN PRUEBAS PERTINENTES DEL FUNCIONAMIENTO, ESTA TODO OK, SEINDICA A USUARIO LA MANIPULACIÓN</t>
  </si>
  <si>
    <t>AA07Z130</t>
  </si>
  <si>
    <t>BARRIO PROGRESO 1 YOPAL</t>
  </si>
  <si>
    <t>FO-25-1281143</t>
  </si>
  <si>
    <t>25/07/2025 / EN COMUNICACIÓN CON LA SEÑORA YENY VARGAS AL NUMERO 3213115620, INDICA SE ENCUENTRA OPERATIVO EL SERVICIO, LA FALLA PRESENTADA ERA CONEXION DEL COMERCIO</t>
  </si>
  <si>
    <t>BARRIO ANTONIO NARIÑO FUSAGASUGA 2</t>
  </si>
  <si>
    <t>FO-25-1279104</t>
  </si>
  <si>
    <t>25/07/2025 / DURANTE LA VISITA TECNICA PARA ATENDER INCIDENTE REPORTADO POR CORRESPONSAL BANCARIO, CORRESPONSAL NOS INDICA QUE EL DAÑO YA FUE SOLUCIONADO,  SE HACEN PRUEBAS CONFIRMANDO QUE SERVICIO SE ENCUENTRA FUNCIONAL Y OPERATIVO A CONFORMIDAD DEL CB SIN NOVEDAD EN EL INCIDENTE SALDO OK</t>
  </si>
  <si>
    <t>105ZZ346</t>
  </si>
  <si>
    <t>BARRIO SAN JOSE SABANETA 2</t>
  </si>
  <si>
    <t>FO-25-1281571</t>
  </si>
  <si>
    <t>25/07/2025 / SE REALIZÓ GESTIÓN TELEFÓNICA SE HABLÓ CON EL SEÑOR LEONARDO NOS INDICA QUE LA TAPA DE LA IMPRESORA ESTABA MAL AJUSTADA SE HIZO SU RESPECTIVA AJUSTE EL DATÁFONO SE ENCUENTRA FUNCIONANDO NORMALMENTE SE PROCEDE A CERRAR CASO</t>
  </si>
  <si>
    <t>BARRIO PARQUE PRADO MEDELLIN</t>
  </si>
  <si>
    <t>FO-25-1282978</t>
  </si>
  <si>
    <t>25/07/2025 / SE LLEGA AL PUNTO CERRADO Y SE LLAMA AL CLIENTE Y NO CONTESTA</t>
  </si>
  <si>
    <t>NA</t>
  </si>
  <si>
    <t>BARRIO LA PINUELA COCORNA</t>
  </si>
  <si>
    <t>FO-25-1282941</t>
  </si>
  <si>
    <t>26/07/2025 / SE HACE MANTENIMIENTO GENERAL, SE REALIZAN PRUEBAS CON TARJETAS, TODO OK, LECTOR DE TARJETAS ES EN BUEN ESTADO</t>
  </si>
  <si>
    <t>A300S490</t>
  </si>
  <si>
    <t>BARRIO PASTRANITA BOGOTA 1</t>
  </si>
  <si>
    <t>FO-25-1287373</t>
  </si>
  <si>
    <t>26/07/2025 / SE VÁLIDA DATÁFONO CONEXIONES FÍSICAS SE VÁLIDA FALLA EN CONEXIONES EN MAL ESTADO DEL CLIENTE</t>
  </si>
  <si>
    <t>AD00A040</t>
  </si>
  <si>
    <t>INFANTE SIERRA MANUEL FERNANDO</t>
  </si>
  <si>
    <t>DISTRICOL LUNETTES GAFAS Y MON</t>
  </si>
  <si>
    <t>FO-25-1283340</t>
  </si>
  <si>
    <t>27/07/2025 / SE VISITA SITIO SE VERIFICA INFORMACIÓN SE REALIZA PRIMEROS AUXILIOS, SE EVIDENCIA QUE EL DATÁFONO LE REALIZARON BORRADO DE TRANS POR ERROR Y QUEDO PENDIENTE UN REVERSO DE TRX DE RETIRO, SE PROCEDE A RECONFIGURAR PARAMETROS, ELIMINAR REVERSO Y SE REPISA LA TERMINAL, CONEXIÓN OK, PINPAD OK, LECTOR CHIP OK, IMPRESIÓN OK, ESCÁNER OK, PRUEBAS TRX EXITOSAS.</t>
  </si>
  <si>
    <t>BL01B123</t>
  </si>
  <si>
    <t>BARRIO SAN CRISTOBAL CHINACOTA</t>
  </si>
  <si>
    <t>FO-25-1289179</t>
  </si>
  <si>
    <t>28/07/2025 / COMERCIO REALIZÓ CAMBIOS EN LA RED INTERNA Y EN LAS IP , SE REALIZA MANTENIMIENTO CIERRES Y PRUEBAS OK  / 26/07/2025 NO SÉ LOGRÓ COMUNICACIÓN CON EL CLIENTE SE PROGRAMA VISITA PARA EL DÍA LUNES YA QUE NO CONTAMOS CON SOPORTE PARA CAMBIO DE EQUIPO LOS DÍAS SÁBADOS O DOMINGOS PARA LA ATENCIÓN DEL CASO , SE PROGRAMA VISITA PARA EL DÍA LUNES 28-07-25 A LA ESPERA DE RESPUESTA DEL CLIENTE PARA SABER A QUÉ HORA NOS PODRÍA RECIBIR</t>
  </si>
  <si>
    <t>XP001391</t>
  </si>
  <si>
    <t>BARRIO EL TRIANGULO PURIFICACI</t>
  </si>
  <si>
    <t>FO-25-1289561</t>
  </si>
  <si>
    <t xml:space="preserve">28/07/2025 / SE VERIFICA DATÁFONO; IMPRESORA, CONEXIÓN A INTERNET Y ELÉCTRICA. SE LE EXPLICA NUEVAMENTE AL CLIENTE EL MANEJOS DEL DATÁFONO PARA EL APAGADO Y REINICIO DEL MISMO. DATÁFONO ESTÁ OPERATIVO Y FUNCIONANDO CORRECTAMENTE. SE HACEN PRUEBAS DE TRANSACCIONES TODO OK </t>
  </si>
  <si>
    <t>XP00F507</t>
  </si>
  <si>
    <t>BARRIO NUEVO BELLO 2</t>
  </si>
  <si>
    <t>FO-25-1293227</t>
  </si>
  <si>
    <t xml:space="preserve">28/07/2025 / SE HACE MANTENIMIENTO DE EQUIPO Y CABLEADO </t>
  </si>
  <si>
    <t>A1KZZ501</t>
  </si>
  <si>
    <t>BARRIO CALAZANS V MEDELLIN</t>
  </si>
  <si>
    <t>FO-25-1293044</t>
  </si>
  <si>
    <t>28/07/2025 / CABLE DE RED MAL CONECTADO EN MODEM, CLIENTE REALIZA PRUEBA. EQUIPOS OPERATIVOS</t>
  </si>
  <si>
    <t>A00JZ358</t>
  </si>
  <si>
    <t>BARRIO CENTRO QUEBRADANEGRA</t>
  </si>
  <si>
    <t>FO-25-1282969</t>
  </si>
  <si>
    <t>28/07/2025 / SE VISITA CB POR FALLAS EN DATÁFONO NO REALIZA CIERRES SE CONFIRMA CON CLIENTE Y SE EVIDENCIA QUE NO ESTABA HACIENDO CIERRE GENERAL DE INDICA PROCESO CORRESPONDIENTE DE HACER CIERRE , SE REALIZAN TRANSACCIONES  DE PRUEBA OK Y SE DEJA CB OPERANDO SIN NOVEDAD  / 27/07/2025 NO HAY SOPORTE DE ACTIVOS  RBM POR SER FIN DE SEMANA</t>
  </si>
  <si>
    <t>HA002247;AB007024</t>
  </si>
  <si>
    <t>DISTRICOL DROGUERIA SANDERPLUS</t>
  </si>
  <si>
    <t>FO-25-1293885</t>
  </si>
  <si>
    <t>28/07/2025 / SE VISITA COMERCIO, SE REALIZA MANTENIMIENTO SE HACEN PRUEBA, CB OPERATIVO.</t>
  </si>
  <si>
    <t>6A8ZZ226</t>
  </si>
  <si>
    <t>NARANJO AFANADOR RUBEN JESUS</t>
  </si>
  <si>
    <t>PRUEBAS REDEBAN</t>
  </si>
  <si>
    <t>FO-25-1298725</t>
  </si>
  <si>
    <t>PRUEBA</t>
  </si>
  <si>
    <t>29/07/2025 / 29-07 SE ESCALA CASO A LA RED, YA QUE NO ATENDEMOS CADENA OLIMPICA ** LA RED: TU SOLICITUD REFERENTE A GENERACIÓN DE CASOS CB OLÍMPICA BANCOLOMBIA QUEDÓ RADICADA BAJO EL TICKET NÚMERO 5735495 AL ÁREA ENCARGADA</t>
  </si>
  <si>
    <t>GOMEZ FERRARO JOHANA</t>
  </si>
  <si>
    <t>DISTRICOL DROGUERIA LAUFER</t>
  </si>
  <si>
    <t>FO-25-1295148</t>
  </si>
  <si>
    <t>29/07/2025 / SE LLAMA A LA SEÑORA ALEXANDRA COMENTA QUE EL DATAFONO ESTA FUNCIONANDO CORRECTAMENTE</t>
  </si>
  <si>
    <t>MULTIPAGAS CENTRO</t>
  </si>
  <si>
    <t>FO-25-1294563</t>
  </si>
  <si>
    <t>29/07/2025 SE REALIZA CAMBIO DE IP EN CB BANCOLOMBIA YA QUE SE VERIFICA CON LOS DEMÁS DATAFONOS DEL CB Y SE ENCUENTRA DUPLICADO EL IP, SE REALIZAN PRUEBAS OK.</t>
  </si>
  <si>
    <t>JAAAZ824</t>
  </si>
  <si>
    <t>BARRIO LA AURORA MEDELLIN 1</t>
  </si>
  <si>
    <t>FO-25-1295141</t>
  </si>
  <si>
    <t xml:space="preserve">29/07/2025 / SE INDICA A USUARIO FORMA CORRECTA DE COLOCAR EL ROLLO, SE VERIFICA EQUIPO Y ESTÁ EN CORRECTO FUNCIONAMIENTO </t>
  </si>
  <si>
    <t>UXZZZ402</t>
  </si>
  <si>
    <t>PTM PENSILVANIA DROGUERIA SAN</t>
  </si>
  <si>
    <t>FO-25-1296830</t>
  </si>
  <si>
    <t xml:space="preserve">29/07/2025 / SE REALIZA LLAMADA CON USUARIO INDICA QUE SE LE ESTABA REINICIANDO EL DATÁFONO PERO VALIDO SU CABLEADO, EN LLAMADA TAMBIÉN SE VALIDO EL FUNCIONAMIENTO DEL EQUIPO SE ENCUENTRA OK, INDICA QUE YA NO SE LE REINICIA Y FUNCIONA CON NORMALIDAD </t>
  </si>
  <si>
    <t>DISTRICOL AGROGANADERA RAICES</t>
  </si>
  <si>
    <t>FO-25-1292523</t>
  </si>
  <si>
    <t>29/07/2025 / SE VERIFICAN CONEXIONES Y SE EVIDENCIA LENTITUD DEL CANAL DEL USUARIO, SE REALIZAN PRUEBAS, EL SERVICIO QUEDA OK</t>
  </si>
  <si>
    <t>II00Q031</t>
  </si>
  <si>
    <t>BARRIO ALFONSO LOPEZ GALERIAS BOGOTA</t>
  </si>
  <si>
    <t>FO-25-1300309</t>
  </si>
  <si>
    <t>29/07/2025 / SE REALIZA VISITA A CB PARA ATENDER INCIDENTE SE VALIDAN CONEXIONES DEL CLIENTE ,SE ACOMODA CONEXIONES Y SE REALIZAN PRUEBAS OK  / 29/07/2025 INCONVENIENTES CON SYTES, SE INFORMAR POR WHATSAPP AL GRUPO MESA  SYTEX</t>
  </si>
  <si>
    <t>LMUZZ961</t>
  </si>
  <si>
    <t>DISTRICOL VERDURAS TAZMANIA</t>
  </si>
  <si>
    <t>FO-25-1298442</t>
  </si>
  <si>
    <t xml:space="preserve">29/07/2025 / SE REALIZA VISITA, SE REALIZA MANTENIMIENTO, SE REALIZAN PRUEBAS Y CIERRES OK </t>
  </si>
  <si>
    <t>9C00Q124</t>
  </si>
  <si>
    <t>PACHECO BUITRAGO JAVIER ALONSO</t>
  </si>
  <si>
    <t>FO-25-1301884</t>
  </si>
  <si>
    <t xml:space="preserve">30/07/2025 / SE HACE PRESENCIA EN COMERCIO CLIENTE INFORMA QUE YA LE DIERON SOLUCIÓN AL INCONVENIENTE PRESENTADO ERA DEBIDO A QUE EL CABLE ESTA MAL PONCHADO SE REALIZA CONSULTA DE SALDO OK Y SE PROCEDE A CERRAR ORDEN </t>
  </si>
  <si>
    <t>ORTEBARRERAGA MARLON STWAR</t>
  </si>
  <si>
    <t>FO-25-1301881</t>
  </si>
  <si>
    <t xml:space="preserve">30/07/2025 / SE LLEGA AL SITIO Y USUARIO INFORMA QUE YA EL SERVICIO ESTÁ FUNCIONANDO CORRECTAMENTE </t>
  </si>
  <si>
    <t>BARRIO ROBLEDO BELLO HORIZONTE</t>
  </si>
  <si>
    <t>FO-25-1303511</t>
  </si>
  <si>
    <t xml:space="preserve">30/07/2025 / SE HACE MANTENIMIENTO DE EQUIPO Y CABLEADO </t>
  </si>
  <si>
    <t>7A002306</t>
  </si>
  <si>
    <t>BARRIO ROBLEDO MEDELLIN 22</t>
  </si>
  <si>
    <t>FO-25-1304850</t>
  </si>
  <si>
    <t>LA00Q034</t>
  </si>
  <si>
    <t>BARRIO MANGA CARTAGENA DE INDI</t>
  </si>
  <si>
    <t>FO-25-1302306</t>
  </si>
  <si>
    <t xml:space="preserve">30/07/2025 / SE REALIZA RECUPERACIÓN DE LA CLAVE DEL CIERRE QUEDA TODO OK </t>
  </si>
  <si>
    <t>AB11T106</t>
  </si>
  <si>
    <t>FO-25-1304096</t>
  </si>
  <si>
    <t>XP3ZZ010</t>
  </si>
  <si>
    <t>ARRIO CENTRO MAGANGUE</t>
  </si>
  <si>
    <t>FO-25-1294925</t>
  </si>
  <si>
    <t>30/07/2025 / SE VISITA SITIO SE VERIFICA INFORMACIÓN SE , SE REALIZA PRIMEROS AUXILIOS , SE REALIZA PRUEBA DE LECTURA DE ESCÁNER EXITOSA, TECLADO OK LECTURA CHIP OK, IMPRESIÓN OK. LA FALLA CORRESPONDE A MANIPULACIÓN DEL ESCÁNER, SE RETROALIMENTA EN EL FUNCIONAMIENTO CORRECTO Y SE LE INDICA QUE NO SE DEBE DESCONECTAR.</t>
  </si>
  <si>
    <t>ON004007</t>
  </si>
  <si>
    <t>BARRIO PATINO AMARILES DOSQUEB</t>
  </si>
  <si>
    <t>FO-25-1308199</t>
  </si>
  <si>
    <t>31/07/2025 / EN COMUNICACIÓN CON EL SR ALEJANDRO, INDICA QUE EL PROBLEMA ERA DEL PROVEEDOR DE INTERNET, PERO QUE YA SE RESTABLECIÓ EL SERVICIO Y YA ESTÁ FUNCIONANDO CORRECTAMENTE EL DATÁFONO.</t>
  </si>
  <si>
    <t>BARRIO ESPERANZA SUR BOGOTA</t>
  </si>
  <si>
    <t>FO-25-1305347</t>
  </si>
  <si>
    <t>31/07/2025 / SE REALIZA VISITA A CB PARA Y INCIDENTE SE REALIZA CAMBIO DE CABLE DE RED ,SE REALIZAN PRUEBAS OK / 31/07/2025 SE LLEGA A CB PARA ATENDER INCIDENTE CLIENTE INDICA QUE VIENE EN UN TRANCÓN Y QUE DEMORA 20MINUTOS</t>
  </si>
  <si>
    <t>F10YZ560</t>
  </si>
  <si>
    <t>BARRIO EL DORADO LII ENVIGADO</t>
  </si>
  <si>
    <t>FO-25-1306698</t>
  </si>
  <si>
    <t xml:space="preserve">31/07/2025 / SE HACE MANTENIMIENTO DE EQUIPO Y CABLEADO </t>
  </si>
  <si>
    <t>ABC0E002</t>
  </si>
  <si>
    <t>BARRIO SANTA MONICA MEDELLIN</t>
  </si>
  <si>
    <t>FO-25-1310701</t>
  </si>
  <si>
    <t xml:space="preserve">31/07/2025 / SE REALIZA MANTENIMIENTO GENERAL A PINPAD Y PRUEBAS PERTINENTES, ESTA OK EL EQUIPO </t>
  </si>
  <si>
    <t>AA002744</t>
  </si>
  <si>
    <t>DISTRICOL PUNTO AYACUCHO</t>
  </si>
  <si>
    <t>FO-25-1308213</t>
  </si>
  <si>
    <t>31/07/2025 / SE HABLÓ CON EL SEÑOR LEONARDO, NOS INFORMA QUE YA LOGRARON SOLUCIONAR LA NOVEDAD DE INGRESO PARA REALIZAR CIERRES, CB YA ESTA OPERATIVO. SE CIERRA INCIDENTE.</t>
  </si>
  <si>
    <t>DISTRICOL ALMACEN AK</t>
  </si>
  <si>
    <t>FO-25-1308575</t>
  </si>
  <si>
    <t xml:space="preserve">31/07/2025 / SE VERIFICAN CONEXIONES, SE FORMATEA DATÁFONO, SE INSTALA SISTEMA OPERATIVO, VERSIÓN 9.90, SE DEJAN SERVICIOS FUNCIONANDO CORRECTAMENTE </t>
  </si>
  <si>
    <t>AD00C147</t>
  </si>
  <si>
    <t>DISTRICOL CENTRAL DE PAGOS FAC</t>
  </si>
  <si>
    <t>FO-25-1311406</t>
  </si>
  <si>
    <t xml:space="preserve">31/07/2025 / SE LLEGA AL COMERCIO Y NOS DAMOS CUENTA QUE EL PROBLEMA ES LA CONEXIÓN DEL CLIENTE, ROUTER ESTA FALLANDO </t>
  </si>
  <si>
    <t>AC0MZ804</t>
  </si>
  <si>
    <t>FECHA ASIGNACION A LINEA COMUNICACIONES</t>
  </si>
  <si>
    <t>FECHA DEL CIERRE DEL TICKET (DD/MM/AAAA)</t>
  </si>
  <si>
    <t>SOLICITUD</t>
  </si>
  <si>
    <t>DESCRIPCIÓN</t>
  </si>
  <si>
    <t>CAUSAL ESTADO</t>
  </si>
  <si>
    <t xml:space="preserve">TERMINAL </t>
  </si>
  <si>
    <t>ACOMETIDA ELECTRICA</t>
  </si>
  <si>
    <t>VALOR ACTIVIDAD</t>
  </si>
  <si>
    <t>ORDEN DE CAMBIO</t>
  </si>
  <si>
    <t>PTM SIMACOTA DE SHOPPING NC</t>
  </si>
  <si>
    <t>FO-25-1158159</t>
  </si>
  <si>
    <t>TRASLADO</t>
  </si>
  <si>
    <t>TRASLADO EXTERNO</t>
  </si>
  <si>
    <t>EJECUTADO_CANCELADO</t>
  </si>
  <si>
    <t>PETICIÓN USUARIO</t>
  </si>
  <si>
    <t>SOLICITUD DE TRASLADO EXTERNO
07/07/2025 EN COMUNICACIÓN CON LA SEÑORA DÉBORA CALDERÓN AL NÚMERO 3102736915 NOS INDICA REALIZAR LA VISITA EL DÍA DE MAÑANA DEBIDO A QUE EL DÍA DE HOY LE ESTÁN INSTALANDO EL INTERNET EN EL NUEVO COMERCIO
07/07/2025  En comunicación con la señora Débora Calderón Ramírez al número 3102736915 se le indica que cuando tenga el servicio de Internet en el comercio se comunique nuevamente a la línea de Bancolombia 018000953344 para gestionar nuevamente el traslado</t>
  </si>
  <si>
    <t>PTM PIEDECUESTA DON PALETA</t>
  </si>
  <si>
    <t>FO-25-1199698</t>
  </si>
  <si>
    <t>GESTIÓN_TELEFÓNICA</t>
  </si>
  <si>
    <t>CANCELADO POR EL USUARIO</t>
  </si>
  <si>
    <t>SOLICITUD DE TRASLADO
09/07/2025 SE COMUNICA CON LA SEÑORITA CLAUDIA LEÓN AL NUMERO 3183364093 EL CUAL NOS INFORMA QUE ELLA NO SOLICITO UN TRASLADO , QUE POR FAVOR ELLA NO DESEA CONTINUAR CON EL SERVICIO Y NECESITA UN RETIRO DE EQUIPOS , SE LE INFORMA QUE POR FAVOR LLAMAR AL NUMERO 018000953344 PARA QUE SOLICITE EL RETIRO DE LOS EQUIPOS
09/07/2025  SE COMUNICA CON LA SEÑORITA CLAUDIA LEÓN AL NUMERO 3183364093 EL CUAL NOS INFORMA QUE ELLA NO SOLICITO UN TRASLADO , QUE POR FAVOR ELLA NO DESEA CONTINUAR CON EL SERVICIO Y NECESITA UN RETIRO DE EQUIPOS , SE LE INFORMA QUE POR FAVOR LLAMAR AL NUMERO 018000953344 PARA QUE SOLICITE EL RETIRO DE LOS EQUIPOS</t>
  </si>
  <si>
    <t>BARAJAS BERMUDEZ YAHIR MAURICIO</t>
  </si>
  <si>
    <t>BARRIO CENTRO ZIPAQUIRA 3</t>
  </si>
  <si>
    <t>FO-25-1193816</t>
  </si>
  <si>
    <t>SOLICITUD DE TRASLADO
0
09/07/2025  Se realiza llamada de validación se habla con la Sra. Doris Sierra quien informa que aún no cuenta con servicio de internet en el local donde se va a trasladar el corresponsal, se le informa que apenas tenga el servicio de internet se vuelva a comunicar con la linea de corresponsales y solicite nueva fecha de vista técnica para ejecutar el traslado.</t>
  </si>
  <si>
    <t>FO-25-1206123</t>
  </si>
  <si>
    <t>EJECUTADO_EXITOSO</t>
  </si>
  <si>
    <t>EJECUTADO EXITOSO</t>
  </si>
  <si>
    <t>SOLICITUD DE TRASLADO
0
08/07/2025  Se realizó visita al comercio y se encuentra solo datafono, no se encuentro pid pad, lectora ni hud, se le informa al cliente que para realizar correctamente el traslado debe tener las placas en el comercio, se le informa que no se puede realizar traslado ya que no cuenta con las placas o realizar el respectivo denuncio ante la fiscalía reportado las placas perdidas.
0
09/07/2025 SE REALIZÓ TRASLADO DE DIRECCIÓN OK, SE REALIZA CAMBIO DE DATAFONO POR COMPATIBILIDAD CON PID PAD INSTALADO, SE INSTALA PID PAD, LECTORA OK, SE INSTALARON EQUIPOS NUEVOS YA QUE EL EL SR GUSTAVO REPORTA A FISCALÍA LOS EQUIPOS, Y RBM AUTORIZA INSTALAR NUEVAMENTE. PRUEBAS CON RECHAZO GENERAL A LA ESPERA DE ACTIVACIÓN. Rbm autoriza instalar equipos nuevamente ya que el representante puso el reporte de robo de equipos ante la fiscalía, se instala pid pad y lectora Magic box 2600</t>
  </si>
  <si>
    <t>KA00F795</t>
  </si>
  <si>
    <t>PTM CARTAGENA  DROGUERIA G V P</t>
  </si>
  <si>
    <t>FO-25-1199693</t>
  </si>
  <si>
    <t>SOLICITUD DE TRASLADO
09/07/2025 CLIENTE GERMÁN VALLE INFORMA VÍA TELEFONICA QUE SOLICITO EL TRASLADO HACE MUCHO TIEMPO Y NO SE LO HABÍAN QUERIDO APROBAR POR LO TANTO COMENTA QUE YA NO DESEA TENER EL CORRESPONSAL Y VA SOLICITAR EL CIERRE DEBIDO A QUE SE FUE DEL PAIS
09/07/2025  Cliente germán valle informa vía telefonica que solicito el traslado hace mucho tiempo y no se lo habían querido aprobar por lo tanto comenta que ya no desea tener el corresponsal y va solicitar el cierre debido a que se fue del pais</t>
  </si>
  <si>
    <t>DISTRICOL FENIX INTERNET Y PAP</t>
  </si>
  <si>
    <t>FO-25-1213639</t>
  </si>
  <si>
    <t>SOLICITUD DE TRASLADO EXTERNO
0
11/07/2025  Visitamos comercio pero el traslado externo no es posible realizarlo ya que la persona que le iba alquilar el local en la nueva dirección no le pudo dar espera para  poder hacer el traslado por el momento ellos continúan en la misma dirección que es MZ 6 CS 12</t>
  </si>
  <si>
    <t>DISTRICOL GIROS D Y M</t>
  </si>
  <si>
    <t>FO-25-1107247</t>
  </si>
  <si>
    <t>CANCELADO POR LA ENTIDAD-SOPORTE TELEFONICO</t>
  </si>
  <si>
    <t>SOLICITUD TRASLADO EXTERNO - 25-06  ACTIVIDAD SE ATIENDE PROBABLEMENTE EL DÍA DE MAÑANA 26-06 ** 27-06 CASO ESCALADO A LA RED POR NOVEDAD DE ORDEN PUBLICO EN LA ZONA ** 14-07 LA RED: SEGUN INDICACION DE ENTIDAD POR FAVOR CANCELEMOS ESTE TRASLADO
27/06/2025 CASO ESCALADO A LA RED DEBIDO A INCONSISTENCIAS EN CUANTO A LA INFORMACIÓN DEL TRASLADO. ADICIONALMENTE DEBIDO A QUE ZONA DE CORREGIMIENTO TIENE NOVEDAD DE ORDEN PUBLICO POR FUERTE PRESENCIA DE LA GUERRILLA.
08/07/2025 CASO AUN ESCALADO SE CONSULTA A LA RED.
14/07/2025  Redeban informa que: "Según indicación de entidad por favor cancelemos este traslado". Se procede con cierre de ticket.</t>
  </si>
  <si>
    <t>BARRIO CENTRO POPAYAN 29</t>
  </si>
  <si>
    <t>FO-25-1248828</t>
  </si>
  <si>
    <t>CB CERRADO - DESOCUPADO</t>
  </si>
  <si>
    <t>SOLICITUD DE TRASLADO EXTERNO
0
23/07/2025  Se llega al comercio se encuentra cerrado, se llama en repetidas ocaciones cliente no contesta, se escribe al what app tampoco contesta</t>
  </si>
  <si>
    <t>CENTRO_COSTO</t>
  </si>
  <si>
    <t>DESCRIPCION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</si>
</sst>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6" formatCode="&quot;$&quot;\ #,##0;[Red]\-&quot;$&quot;\ #,##0"/>
    <numFmt numFmtId="43" formatCode="_-* #,##0.00_-;\-* #,##0.00_-;_-* &quot;-&quot;??_-;_-@_-"/>
    <numFmt numFmtId="164" formatCode="_-* #,##0.00\ _€_-;\-* #,##0.00\ _€_-;_-* &quot;-&quot;??\ _€_-;_-@_-"/>
    <numFmt numFmtId="165" formatCode="_(&quot;$&quot;\ * #,##0.00_);_(&quot;$&quot;\ * \(#,##0.00\);_(&quot;$&quot;\ * &quot;-&quot;??_);_(@_)"/>
    <numFmt numFmtId="166" formatCode="_(* #,##0.00_);_(* \(#,##0.00\);_(* &quot;-&quot;??_);_(@_)"/>
    <numFmt numFmtId="167" formatCode="_-&quot;$&quot;* #,##0.00_-;\-&quot;$&quot;* #,##0.00_-;_-&quot;$&quot;* &quot;-&quot;??_-;_-@_-"/>
    <numFmt numFmtId="168" formatCode="_ &quot;$&quot;\ * #,##0_ ;_ &quot;$&quot;\ * \-#,##0_ ;_ &quot;$&quot;\ * &quot;-&quot;??_ ;_ @_ "/>
    <numFmt numFmtId="169" formatCode="_(&quot;$&quot;\ * #,##0_);_(&quot;$&quot;\ * \(#,##0\);_(&quot;$&quot;\ * &quot;-&quot;??_);_(@_)"/>
    <numFmt numFmtId="170" formatCode="[$-409]d\-m\-yy\ h:mm\ AM/PM;@"/>
    <numFmt numFmtId="171" formatCode="[$-240A]dddd\,\ dd&quot; de &quot;mmmm&quot; de &quot;yyyy"/>
    <numFmt numFmtId="172" formatCode="_ * #,##0.00_ ;_ * \-#,##0.00_ ;_ * &quot;-&quot;??_ ;_ @_ "/>
    <numFmt numFmtId="173" formatCode="_-&quot;$&quot;* #,##0_-;\-&quot;$&quot;* #,##0_-;_-&quot;$&quot;* &quot;-&quot;??_-;_-@_-"/>
    <numFmt numFmtId="174" formatCode="&quot;$&quot;\ #,##0"/>
    <numFmt numFmtId="175" formatCode="_ &quot;$&quot;\ * #,##0.00_ ;_ &quot;$&quot;\ * \-#,##0.00_ ;_ &quot;$&quot;\ * &quot;-&quot;??_ ;_ @_ "/>
    <numFmt numFmtId="176" formatCode="_ [$€-2]\ * #,##0.00_ ;_ [$€-2]\ * \-#,##0.00_ ;_ [$€-2]\ * &quot;-&quot;??_ "/>
    <numFmt numFmtId="177" formatCode="[$-C0A]d\-mmm\-yy;@"/>
    <numFmt numFmtId="178" formatCode="[$-240A]General"/>
    <numFmt numFmtId="179" formatCode="0.000%"/>
    <numFmt numFmtId="180" formatCode="_ * #,##0.00_ ;_ * \-#,##0.00_ ;_ * \-??_ ;_ @_ "/>
    <numFmt numFmtId="181" formatCode="_-[$$-240A]\ * #,##0.00_-;\-[$$-240A]\ * #,##0.00_-;_-[$$-240A]\ * &quot;-&quot;??_-;_-@_-"/>
    <numFmt numFmtId="182" formatCode="_-[$$-240A]\ * #,##0_-;\-[$$-240A]\ * #,##0_-;_-[$$-240A]\ * &quot;-&quot;_-;_-@_-"/>
    <numFmt numFmtId="183" formatCode="dd/mm/yyyy;@"/>
    <numFmt numFmtId="184" formatCode="dd/mm/yyyy"/>
    <numFmt numFmtId="185" formatCode="_-[$$-240A]\ * #,##0_-;\-[$$-240A]\ * #,##0_-;_-[$$-240A]\ * &quot;-&quot;??_-;_-@_-"/>
  </numFmts>
  <fonts count="10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0"/>
      <color rgb="FF000000"/>
      <name val="Arial"/>
      <family val="2"/>
    </font>
    <font>
      <sz val="10"/>
      <name val="Arial"/>
      <family val="2"/>
    </font>
    <font>
      <sz val="10"/>
      <color theme="1"/>
      <name val="Apex"/>
      <family val="2"/>
    </font>
    <font>
      <u/>
      <sz val="11"/>
      <color theme="10"/>
      <name val="Calibri"/>
      <family val="2"/>
      <scheme val="minor"/>
    </font>
    <font>
      <sz val="12"/>
      <color theme="1"/>
      <name val="Trebuchet MS"/>
      <family val="2"/>
    </font>
    <font>
      <sz val="10"/>
      <name val="Century Gothic"/>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8"/>
      <color theme="3"/>
      <name val="Cambria"/>
      <family val="2"/>
      <scheme val="major"/>
    </font>
    <font>
      <sz val="11"/>
      <color rgb="FF000000"/>
      <name val="Arial"/>
      <family val="2"/>
    </font>
    <font>
      <sz val="11"/>
      <color indexed="9"/>
      <name val="Calibri"/>
      <family val="2"/>
    </font>
    <font>
      <sz val="11"/>
      <color rgb="FFFFFFFF"/>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rgb="FF000000"/>
      <name val="Calibri"/>
      <family val="2"/>
    </font>
    <font>
      <u/>
      <sz val="10"/>
      <color indexed="12"/>
      <name val="Arial"/>
      <family val="2"/>
    </font>
    <font>
      <u/>
      <sz val="11"/>
      <color theme="10"/>
      <name val="Calibri"/>
      <family val="2"/>
    </font>
    <font>
      <u/>
      <sz val="12.1"/>
      <color theme="10"/>
      <name val="Calibri"/>
      <family val="2"/>
    </font>
    <font>
      <sz val="11"/>
      <color indexed="20"/>
      <name val="Calibri"/>
      <family val="2"/>
    </font>
    <font>
      <sz val="11"/>
      <color indexed="60"/>
      <name val="Calibri"/>
      <family val="2"/>
    </font>
    <font>
      <sz val="11"/>
      <color theme="1"/>
      <name val="ApexSansBookT"/>
      <family val="2"/>
    </font>
    <font>
      <sz val="10"/>
      <color indexed="64"/>
      <name val="Arial"/>
      <family val="2"/>
    </font>
    <font>
      <sz val="10"/>
      <color theme="1"/>
      <name val="Tw Cen MT"/>
      <family val="2"/>
    </font>
    <font>
      <sz val="10"/>
      <name val="MS Sans Serif"/>
      <family val="2"/>
    </font>
    <font>
      <sz val="10"/>
      <color indexed="8"/>
      <name val="Arial"/>
      <family val="2"/>
    </font>
    <font>
      <sz val="11"/>
      <name val="Calibri"/>
      <family val="2"/>
    </font>
    <font>
      <b/>
      <sz val="11"/>
      <color indexed="63"/>
      <name val="Calibri"/>
      <family val="2"/>
    </font>
    <font>
      <sz val="11"/>
      <color rgb="FF000000"/>
      <name val="Calibri"/>
      <family val="2"/>
      <charset val="1"/>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0"/>
      <color theme="1"/>
      <name val="Calibri"/>
      <family val="2"/>
      <scheme val="minor"/>
    </font>
    <font>
      <b/>
      <sz val="8"/>
      <name val="Gelion Thin"/>
    </font>
    <font>
      <sz val="10"/>
      <name val="Gelion Thin"/>
    </font>
    <font>
      <sz val="8"/>
      <color theme="1"/>
      <name val="Gelion Thin"/>
    </font>
    <font>
      <sz val="8"/>
      <name val="Gelion Thin"/>
    </font>
    <font>
      <sz val="10"/>
      <color rgb="FF000000"/>
      <name val="Gelion Thin"/>
    </font>
    <font>
      <b/>
      <sz val="10"/>
      <name val="Gelion Thin"/>
    </font>
    <font>
      <sz val="8"/>
      <color rgb="FF000000"/>
      <name val="Gelion Thin"/>
    </font>
    <font>
      <b/>
      <sz val="11"/>
      <color theme="1"/>
      <name val="Gelion Thin"/>
    </font>
    <font>
      <b/>
      <i/>
      <sz val="11"/>
      <color rgb="FFFFFFFF"/>
      <name val="Century Gothic"/>
      <family val="2"/>
    </font>
    <font>
      <sz val="10"/>
      <color rgb="FF000000"/>
      <name val="Century Gothic"/>
      <family val="2"/>
    </font>
    <font>
      <sz val="10"/>
      <color rgb="FF3A3838"/>
      <name val="Century Gothic"/>
      <family val="2"/>
    </font>
    <font>
      <sz val="11"/>
      <color rgb="FF000000"/>
      <name val="Gelion Thin"/>
    </font>
    <font>
      <sz val="9"/>
      <color rgb="FF000000"/>
      <name val="Courier New"/>
      <family val="3"/>
    </font>
    <font>
      <b/>
      <sz val="10"/>
      <color rgb="FFC00000"/>
      <name val="Gelion Thin"/>
    </font>
    <font>
      <sz val="10"/>
      <color rgb="FFC00000"/>
      <name val="Gelion Thin"/>
    </font>
    <font>
      <sz val="10"/>
      <color rgb="FFC00000"/>
      <name val="Arial"/>
      <family val="2"/>
    </font>
    <font>
      <sz val="8"/>
      <name val="Gelion Light"/>
    </font>
    <font>
      <b/>
      <sz val="9"/>
      <color rgb="FFC00000"/>
      <name val="Gelion Thin"/>
    </font>
  </fonts>
  <fills count="8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9B9B9A"/>
        <bgColor indexed="64"/>
      </patternFill>
    </fill>
    <fill>
      <patternFill patternType="solid">
        <fgColor rgb="FF305496"/>
        <bgColor rgb="FF000000"/>
      </patternFill>
    </fill>
    <fill>
      <patternFill patternType="solid">
        <fgColor rgb="FFACB9CA"/>
        <bgColor rgb="FF000000"/>
      </patternFill>
    </fill>
    <fill>
      <patternFill patternType="solid">
        <fgColor rgb="FF00B0F0"/>
        <bgColor rgb="FF000000"/>
      </patternFill>
    </fill>
    <fill>
      <patternFill patternType="solid">
        <fgColor rgb="FFFFFF00"/>
        <bgColor rgb="FF000000"/>
      </patternFill>
    </fill>
    <fill>
      <patternFill patternType="solid">
        <fgColor rgb="FF00B0F0"/>
        <bgColor indexed="64"/>
      </patternFill>
    </fill>
    <fill>
      <patternFill patternType="solid">
        <fgColor theme="0"/>
        <bgColor indexed="64"/>
      </patternFill>
    </fill>
    <fill>
      <patternFill patternType="solid">
        <fgColor rgb="FFBAF50A"/>
        <bgColor indexed="64"/>
      </patternFill>
    </fill>
    <fill>
      <patternFill patternType="solid">
        <fgColor theme="6" tint="0.7999816888943144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bottom/>
      <diagonal/>
    </border>
  </borders>
  <cellStyleXfs count="39247">
    <xf numFmtId="0" fontId="0" fillId="0" borderId="0"/>
    <xf numFmtId="168" fontId="20" fillId="0" borderId="0" applyFont="0" applyFill="0" applyBorder="0" applyAlignment="0" applyProtection="0"/>
    <xf numFmtId="0" fontId="20" fillId="0" borderId="0"/>
    <xf numFmtId="0" fontId="20" fillId="0" borderId="0"/>
    <xf numFmtId="0" fontId="19" fillId="0" borderId="0"/>
    <xf numFmtId="165" fontId="21" fillId="0" borderId="0" applyFont="0" applyFill="0" applyBorder="0" applyAlignment="0" applyProtection="0"/>
    <xf numFmtId="165" fontId="20" fillId="0" borderId="0" applyFont="0" applyFill="0" applyBorder="0" applyAlignment="0" applyProtection="0"/>
    <xf numFmtId="0" fontId="20" fillId="0" borderId="0"/>
    <xf numFmtId="170" fontId="18" fillId="0" borderId="0"/>
    <xf numFmtId="0" fontId="22" fillId="0" borderId="0"/>
    <xf numFmtId="171" fontId="20" fillId="0" borderId="0"/>
    <xf numFmtId="170" fontId="17" fillId="0" borderId="0"/>
    <xf numFmtId="0" fontId="23" fillId="0" borderId="0"/>
    <xf numFmtId="0" fontId="23" fillId="0" borderId="0"/>
    <xf numFmtId="0" fontId="16" fillId="0" borderId="0"/>
    <xf numFmtId="0" fontId="15" fillId="0" borderId="0"/>
    <xf numFmtId="0" fontId="14" fillId="0" borderId="0"/>
    <xf numFmtId="43" fontId="14" fillId="0" borderId="0" applyFont="0" applyFill="0" applyBorder="0" applyAlignment="0" applyProtection="0"/>
    <xf numFmtId="0" fontId="20" fillId="0" borderId="0"/>
    <xf numFmtId="172" fontId="20" fillId="0" borderId="0" applyFont="0" applyFill="0" applyBorder="0" applyAlignment="0" applyProtection="0"/>
    <xf numFmtId="0" fontId="20" fillId="0" borderId="0"/>
    <xf numFmtId="170" fontId="20" fillId="0" borderId="0"/>
    <xf numFmtId="0" fontId="13" fillId="0" borderId="0"/>
    <xf numFmtId="170" fontId="20" fillId="0" borderId="0"/>
    <xf numFmtId="0" fontId="24" fillId="0" borderId="0"/>
    <xf numFmtId="0" fontId="12" fillId="0" borderId="0"/>
    <xf numFmtId="0" fontId="11" fillId="0" borderId="0"/>
    <xf numFmtId="0" fontId="11" fillId="0" borderId="0"/>
    <xf numFmtId="0" fontId="20" fillId="0" borderId="0"/>
    <xf numFmtId="43" fontId="20" fillId="0" borderId="0" applyFont="0" applyFill="0" applyBorder="0" applyAlignment="0" applyProtection="0"/>
    <xf numFmtId="0" fontId="20" fillId="0" borderId="0"/>
    <xf numFmtId="165" fontId="20" fillId="0" borderId="0" applyFont="0" applyFill="0" applyBorder="0" applyAlignment="0" applyProtection="0"/>
    <xf numFmtId="165" fontId="10" fillId="0" borderId="0" applyFont="0" applyFill="0" applyBorder="0" applyAlignment="0" applyProtection="0"/>
    <xf numFmtId="0" fontId="25" fillId="0" borderId="0"/>
    <xf numFmtId="0" fontId="9" fillId="0" borderId="0"/>
    <xf numFmtId="170" fontId="9" fillId="0" borderId="0"/>
    <xf numFmtId="0" fontId="9" fillId="0" borderId="0"/>
    <xf numFmtId="0" fontId="9" fillId="0" borderId="0"/>
    <xf numFmtId="172" fontId="20" fillId="0" borderId="0" applyFont="0" applyFill="0" applyBorder="0" applyAlignment="0" applyProtection="0"/>
    <xf numFmtId="0" fontId="9" fillId="0" borderId="0"/>
    <xf numFmtId="0" fontId="9" fillId="0" borderId="0"/>
    <xf numFmtId="0" fontId="9" fillId="0" borderId="0"/>
    <xf numFmtId="0" fontId="9" fillId="0" borderId="0"/>
    <xf numFmtId="0" fontId="26" fillId="0" borderId="0" applyNumberFormat="0" applyFill="0" applyBorder="0" applyAlignment="0" applyProtection="0"/>
    <xf numFmtId="0" fontId="9" fillId="0" borderId="0"/>
    <xf numFmtId="43" fontId="9" fillId="0" borderId="0" applyFon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7" fontId="25" fillId="0" borderId="0" applyFont="0" applyFill="0" applyBorder="0" applyAlignment="0" applyProtection="0"/>
    <xf numFmtId="165" fontId="9" fillId="0" borderId="0" applyFont="0" applyFill="0" applyBorder="0" applyAlignment="0" applyProtection="0"/>
    <xf numFmtId="170" fontId="9" fillId="0" borderId="0"/>
    <xf numFmtId="0" fontId="9" fillId="0" borderId="0"/>
    <xf numFmtId="0" fontId="9" fillId="0" borderId="0"/>
    <xf numFmtId="0" fontId="9" fillId="0" borderId="0"/>
    <xf numFmtId="0" fontId="9" fillId="0" borderId="0"/>
    <xf numFmtId="0" fontId="9" fillId="0" borderId="0"/>
    <xf numFmtId="0" fontId="9" fillId="0" borderId="0"/>
    <xf numFmtId="170" fontId="27" fillId="0" borderId="0"/>
    <xf numFmtId="0" fontId="9" fillId="0" borderId="0"/>
    <xf numFmtId="0" fontId="9" fillId="0" borderId="0"/>
    <xf numFmtId="0" fontId="9" fillId="0" borderId="0"/>
    <xf numFmtId="0" fontId="9" fillId="0" borderId="0"/>
    <xf numFmtId="0" fontId="9" fillId="0" borderId="0"/>
    <xf numFmtId="0" fontId="9" fillId="0" borderId="0"/>
    <xf numFmtId="0" fontId="20" fillId="0" borderId="0"/>
    <xf numFmtId="170" fontId="20" fillId="0" borderId="0"/>
    <xf numFmtId="172" fontId="20" fillId="0" borderId="0" applyFont="0" applyFill="0" applyBorder="0" applyAlignment="0" applyProtection="0"/>
    <xf numFmtId="0" fontId="9" fillId="0" borderId="0"/>
    <xf numFmtId="0" fontId="9" fillId="0" borderId="0"/>
    <xf numFmtId="0" fontId="25" fillId="0" borderId="0"/>
    <xf numFmtId="0" fontId="8" fillId="0" borderId="0"/>
    <xf numFmtId="0" fontId="20" fillId="0" borderId="0"/>
    <xf numFmtId="0" fontId="7" fillId="0" borderId="0"/>
    <xf numFmtId="0" fontId="7" fillId="0" borderId="0"/>
    <xf numFmtId="167" fontId="7" fillId="0" borderId="0" applyFont="0" applyFill="0" applyBorder="0" applyAlignment="0" applyProtection="0"/>
    <xf numFmtId="165" fontId="20" fillId="0" borderId="0" applyFont="0" applyFill="0" applyBorder="0" applyAlignment="0" applyProtection="0"/>
    <xf numFmtId="165" fontId="7" fillId="0" borderId="0" applyFont="0" applyFill="0" applyBorder="0" applyAlignment="0" applyProtection="0"/>
    <xf numFmtId="0" fontId="6" fillId="0" borderId="0"/>
    <xf numFmtId="167" fontId="6" fillId="0" borderId="0" applyFont="0" applyFill="0" applyBorder="0" applyAlignment="0" applyProtection="0"/>
    <xf numFmtId="0" fontId="5" fillId="0" borderId="0"/>
    <xf numFmtId="167" fontId="4" fillId="0" borderId="0" applyFont="0" applyFill="0" applyBorder="0" applyAlignment="0" applyProtection="0"/>
    <xf numFmtId="0" fontId="3" fillId="0" borderId="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22" fillId="33" borderId="0" applyNumberFormat="0" applyBorder="0" applyAlignment="0" applyProtection="0"/>
    <xf numFmtId="0" fontId="3" fillId="10"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22" fillId="34" borderId="0" applyNumberFormat="0" applyBorder="0" applyAlignment="0" applyProtection="0"/>
    <xf numFmtId="0" fontId="3" fillId="1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22" fillId="35" borderId="0" applyNumberFormat="0" applyBorder="0" applyAlignment="0" applyProtection="0"/>
    <xf numFmtId="0" fontId="3" fillId="18" borderId="0" applyNumberFormat="0" applyBorder="0" applyAlignment="0" applyProtection="0"/>
    <xf numFmtId="0" fontId="22" fillId="35" borderId="0" applyNumberFormat="0" applyBorder="0" applyAlignment="0" applyProtection="0"/>
    <xf numFmtId="0" fontId="22" fillId="35"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22" fillId="36" borderId="0" applyNumberFormat="0" applyBorder="0" applyAlignment="0" applyProtection="0"/>
    <xf numFmtId="0" fontId="3" fillId="22"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22" fillId="37" borderId="0" applyNumberFormat="0" applyBorder="0" applyAlignment="0" applyProtection="0"/>
    <xf numFmtId="0" fontId="3" fillId="26"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22" fillId="38" borderId="0" applyNumberFormat="0" applyBorder="0" applyAlignment="0" applyProtection="0"/>
    <xf numFmtId="0" fontId="3" fillId="30"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45" fillId="39" borderId="0" applyNumberFormat="0" applyBorder="0" applyAlignment="0" applyProtection="0"/>
    <xf numFmtId="0" fontId="45" fillId="40" borderId="0" applyNumberFormat="0" applyBorder="0" applyAlignment="0" applyProtection="0"/>
    <xf numFmtId="0" fontId="45"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45" fillId="44"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22" fillId="45" borderId="0" applyNumberFormat="0" applyBorder="0" applyAlignment="0" applyProtection="0"/>
    <xf numFmtId="0" fontId="3" fillId="11" borderId="0" applyNumberFormat="0" applyBorder="0" applyAlignment="0" applyProtection="0"/>
    <xf numFmtId="0" fontId="22" fillId="45" borderId="0" applyNumberFormat="0" applyBorder="0" applyAlignment="0" applyProtection="0"/>
    <xf numFmtId="0" fontId="22" fillId="45"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22" fillId="46" borderId="0" applyNumberFormat="0" applyBorder="0" applyAlignment="0" applyProtection="0"/>
    <xf numFmtId="0" fontId="3" fillId="15" borderId="0" applyNumberFormat="0" applyBorder="0" applyAlignment="0" applyProtection="0"/>
    <xf numFmtId="0" fontId="22" fillId="46" borderId="0" applyNumberFormat="0" applyBorder="0" applyAlignment="0" applyProtection="0"/>
    <xf numFmtId="0" fontId="22" fillId="46"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22" fillId="47" borderId="0" applyNumberFormat="0" applyBorder="0" applyAlignment="0" applyProtection="0"/>
    <xf numFmtId="0" fontId="3" fillId="19"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22" fillId="36" borderId="0" applyNumberFormat="0" applyBorder="0" applyAlignment="0" applyProtection="0"/>
    <xf numFmtId="0" fontId="3" fillId="23"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22" fillId="45" borderId="0" applyNumberFormat="0" applyBorder="0" applyAlignment="0" applyProtection="0"/>
    <xf numFmtId="0" fontId="3" fillId="27" borderId="0" applyNumberFormat="0" applyBorder="0" applyAlignment="0" applyProtection="0"/>
    <xf numFmtId="0" fontId="22" fillId="45" borderId="0" applyNumberFormat="0" applyBorder="0" applyAlignment="0" applyProtection="0"/>
    <xf numFmtId="0" fontId="22" fillId="45"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22" fillId="48" borderId="0" applyNumberFormat="0" applyBorder="0" applyAlignment="0" applyProtection="0"/>
    <xf numFmtId="0" fontId="3" fillId="31" borderId="0" applyNumberFormat="0" applyBorder="0" applyAlignment="0" applyProtection="0"/>
    <xf numFmtId="0" fontId="22" fillId="48" borderId="0" applyNumberFormat="0" applyBorder="0" applyAlignment="0" applyProtection="0"/>
    <xf numFmtId="0" fontId="22" fillId="48"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45" fillId="49"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0" fontId="45" fillId="53" borderId="0" applyNumberFormat="0" applyBorder="0" applyAlignment="0" applyProtection="0"/>
    <xf numFmtId="0" fontId="45" fillId="54"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6" fillId="55" borderId="0" applyNumberFormat="0" applyBorder="0" applyAlignment="0" applyProtection="0"/>
    <xf numFmtId="0" fontId="42" fillId="12" borderId="0" applyNumberFormat="0" applyBorder="0" applyAlignment="0" applyProtection="0"/>
    <xf numFmtId="0" fontId="46" fillId="55" borderId="0" applyNumberFormat="0" applyBorder="0" applyAlignment="0" applyProtection="0"/>
    <xf numFmtId="0" fontId="46" fillId="55"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2" fillId="12" borderId="0" applyNumberFormat="0" applyBorder="0" applyAlignment="0" applyProtection="0"/>
    <xf numFmtId="0" fontId="46" fillId="46" borderId="0" applyNumberFormat="0" applyBorder="0" applyAlignment="0" applyProtection="0"/>
    <xf numFmtId="0" fontId="42" fillId="1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2" fillId="16" borderId="0" applyNumberFormat="0" applyBorder="0" applyAlignment="0" applyProtection="0"/>
    <xf numFmtId="0" fontId="46" fillId="47" borderId="0" applyNumberFormat="0" applyBorder="0" applyAlignment="0" applyProtection="0"/>
    <xf numFmtId="0" fontId="42" fillId="20"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2" fillId="20" borderId="0" applyNumberFormat="0" applyBorder="0" applyAlignment="0" applyProtection="0"/>
    <xf numFmtId="0" fontId="46" fillId="56" borderId="0" applyNumberFormat="0" applyBorder="0" applyAlignment="0" applyProtection="0"/>
    <xf numFmtId="0" fontId="42" fillId="24" borderId="0" applyNumberFormat="0" applyBorder="0" applyAlignment="0" applyProtection="0"/>
    <xf numFmtId="0" fontId="46" fillId="56" borderId="0" applyNumberFormat="0" applyBorder="0" applyAlignment="0" applyProtection="0"/>
    <xf numFmtId="0" fontId="46" fillId="56"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2" fillId="24" borderId="0" applyNumberFormat="0" applyBorder="0" applyAlignment="0" applyProtection="0"/>
    <xf numFmtId="0" fontId="46" fillId="57" borderId="0" applyNumberFormat="0" applyBorder="0" applyAlignment="0" applyProtection="0"/>
    <xf numFmtId="0" fontId="42" fillId="28" borderId="0" applyNumberFormat="0" applyBorder="0" applyAlignment="0" applyProtection="0"/>
    <xf numFmtId="0" fontId="46" fillId="57" borderId="0" applyNumberFormat="0" applyBorder="0" applyAlignment="0" applyProtection="0"/>
    <xf numFmtId="0" fontId="46" fillId="57"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2" fillId="28" borderId="0" applyNumberFormat="0" applyBorder="0" applyAlignment="0" applyProtection="0"/>
    <xf numFmtId="0" fontId="46" fillId="58" borderId="0" applyNumberFormat="0" applyBorder="0" applyAlignment="0" applyProtection="0"/>
    <xf numFmtId="0" fontId="42" fillId="32" borderId="0" applyNumberFormat="0" applyBorder="0" applyAlignment="0" applyProtection="0"/>
    <xf numFmtId="0" fontId="46" fillId="58" borderId="0" applyNumberFormat="0" applyBorder="0" applyAlignment="0" applyProtection="0"/>
    <xf numFmtId="0" fontId="46" fillId="58"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2" fillId="32" borderId="0" applyNumberFormat="0" applyBorder="0" applyAlignment="0" applyProtection="0"/>
    <xf numFmtId="0" fontId="47" fillId="59" borderId="0" applyNumberFormat="0" applyBorder="0" applyAlignment="0" applyProtection="0"/>
    <xf numFmtId="0" fontId="47" fillId="60" borderId="0" applyNumberFormat="0" applyBorder="0" applyAlignment="0" applyProtection="0"/>
    <xf numFmtId="0" fontId="47" fillId="61" borderId="0" applyNumberFormat="0" applyBorder="0" applyAlignment="0" applyProtection="0"/>
    <xf numFmtId="0" fontId="47" fillId="62" borderId="0" applyNumberFormat="0" applyBorder="0" applyAlignment="0" applyProtection="0"/>
    <xf numFmtId="0" fontId="47" fillId="63" borderId="0" applyNumberFormat="0" applyBorder="0" applyAlignment="0" applyProtection="0"/>
    <xf numFmtId="0" fontId="47" fillId="64"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48" fillId="35" borderId="0" applyNumberFormat="0" applyBorder="0" applyAlignment="0" applyProtection="0"/>
    <xf numFmtId="0" fontId="32" fillId="2" borderId="0" applyNumberFormat="0" applyBorder="0" applyAlignment="0" applyProtection="0"/>
    <xf numFmtId="0" fontId="48" fillId="35" borderId="0" applyNumberFormat="0" applyBorder="0" applyAlignment="0" applyProtection="0"/>
    <xf numFmtId="0" fontId="32" fillId="2"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48" fillId="35" borderId="0" applyNumberFormat="0" applyBorder="0" applyAlignment="0" applyProtection="0"/>
    <xf numFmtId="0" fontId="48" fillId="35"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49" fillId="65" borderId="16" applyNumberFormat="0" applyAlignment="0" applyProtection="0"/>
    <xf numFmtId="0" fontId="36" fillId="6" borderId="10" applyNumberFormat="0" applyAlignment="0" applyProtection="0"/>
    <xf numFmtId="0" fontId="49" fillId="65" borderId="16" applyNumberFormat="0" applyAlignment="0" applyProtection="0"/>
    <xf numFmtId="0" fontId="49" fillId="65" borderId="16" applyNumberFormat="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36" fillId="6" borderId="10" applyNumberFormat="0" applyAlignment="0" applyProtection="0"/>
    <xf numFmtId="0" fontId="50" fillId="66" borderId="17" applyNumberFormat="0" applyAlignment="0" applyProtection="0"/>
    <xf numFmtId="0" fontId="38" fillId="7" borderId="13" applyNumberFormat="0" applyAlignment="0" applyProtection="0"/>
    <xf numFmtId="0" fontId="50" fillId="66" borderId="17" applyNumberFormat="0" applyAlignment="0" applyProtection="0"/>
    <xf numFmtId="0" fontId="38" fillId="7" borderId="13" applyNumberFormat="0" applyAlignment="0" applyProtection="0"/>
    <xf numFmtId="0" fontId="50" fillId="66" borderId="17" applyNumberFormat="0" applyAlignment="0" applyProtection="0"/>
    <xf numFmtId="0" fontId="50" fillId="66" borderId="17" applyNumberFormat="0" applyAlignment="0" applyProtection="0"/>
    <xf numFmtId="0" fontId="50" fillId="66" borderId="17" applyNumberFormat="0" applyAlignment="0" applyProtection="0"/>
    <xf numFmtId="0" fontId="38" fillId="7" borderId="13" applyNumberFormat="0" applyAlignment="0" applyProtection="0"/>
    <xf numFmtId="0" fontId="38" fillId="7" borderId="13" applyNumberFormat="0" applyAlignment="0" applyProtection="0"/>
    <xf numFmtId="0" fontId="50" fillId="66" borderId="17" applyNumberFormat="0" applyAlignment="0" applyProtection="0"/>
    <xf numFmtId="0" fontId="50" fillId="66" borderId="17"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51" fillId="0" borderId="18" applyNumberFormat="0" applyFill="0" applyAlignment="0" applyProtection="0"/>
    <xf numFmtId="0" fontId="37" fillId="0" borderId="12" applyNumberFormat="0" applyFill="0" applyAlignment="0" applyProtection="0"/>
    <xf numFmtId="0" fontId="51" fillId="0" borderId="18" applyNumberFormat="0" applyFill="0" applyAlignment="0" applyProtection="0"/>
    <xf numFmtId="0" fontId="37" fillId="0" borderId="12"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51" fillId="0" borderId="18" applyNumberFormat="0" applyFill="0" applyAlignment="0" applyProtection="0"/>
    <xf numFmtId="0" fontId="51" fillId="0" borderId="18"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0" fontId="38" fillId="7" borderId="13" applyNumberFormat="0" applyAlignment="0" applyProtection="0"/>
    <xf numFmtId="43" fontId="20" fillId="0" borderId="0" applyFont="0" applyFill="0" applyBorder="0" applyAlignment="0" applyProtection="0"/>
    <xf numFmtId="0" fontId="52" fillId="0" borderId="0" applyNumberFormat="0" applyFill="0" applyBorder="0" applyAlignment="0" applyProtection="0"/>
    <xf numFmtId="0" fontId="31" fillId="0" borderId="0" applyNumberFormat="0" applyFill="0" applyBorder="0" applyAlignment="0" applyProtection="0"/>
    <xf numFmtId="0" fontId="52" fillId="0" borderId="0" applyNumberFormat="0" applyFill="0" applyBorder="0" applyAlignment="0" applyProtection="0"/>
    <xf numFmtId="0" fontId="31"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46" fillId="67" borderId="0" applyNumberFormat="0" applyBorder="0" applyAlignment="0" applyProtection="0"/>
    <xf numFmtId="0" fontId="42" fillId="9" borderId="0" applyNumberFormat="0" applyBorder="0" applyAlignment="0" applyProtection="0"/>
    <xf numFmtId="0" fontId="46" fillId="67" borderId="0" applyNumberFormat="0" applyBorder="0" applyAlignment="0" applyProtection="0"/>
    <xf numFmtId="0" fontId="46" fillId="67"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6" fillId="68" borderId="0" applyNumberFormat="0" applyBorder="0" applyAlignment="0" applyProtection="0"/>
    <xf numFmtId="0" fontId="42" fillId="13" borderId="0" applyNumberFormat="0" applyBorder="0" applyAlignment="0" applyProtection="0"/>
    <xf numFmtId="0" fontId="46" fillId="68" borderId="0" applyNumberFormat="0" applyBorder="0" applyAlignment="0" applyProtection="0"/>
    <xf numFmtId="0" fontId="46" fillId="68"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2" fillId="13" borderId="0" applyNumberFormat="0" applyBorder="0" applyAlignment="0" applyProtection="0"/>
    <xf numFmtId="0" fontId="46" fillId="69" borderId="0" applyNumberFormat="0" applyBorder="0" applyAlignment="0" applyProtection="0"/>
    <xf numFmtId="0" fontId="42" fillId="17" borderId="0" applyNumberFormat="0" applyBorder="0" applyAlignment="0" applyProtection="0"/>
    <xf numFmtId="0" fontId="46" fillId="69" borderId="0" applyNumberFormat="0" applyBorder="0" applyAlignment="0" applyProtection="0"/>
    <xf numFmtId="0" fontId="46" fillId="69"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2" fillId="17" borderId="0" applyNumberFormat="0" applyBorder="0" applyAlignment="0" applyProtection="0"/>
    <xf numFmtId="0" fontId="46" fillId="56" borderId="0" applyNumberFormat="0" applyBorder="0" applyAlignment="0" applyProtection="0"/>
    <xf numFmtId="0" fontId="42" fillId="21" borderId="0" applyNumberFormat="0" applyBorder="0" applyAlignment="0" applyProtection="0"/>
    <xf numFmtId="0" fontId="46" fillId="56" borderId="0" applyNumberFormat="0" applyBorder="0" applyAlignment="0" applyProtection="0"/>
    <xf numFmtId="0" fontId="46" fillId="56"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6" fillId="57" borderId="0" applyNumberFormat="0" applyBorder="0" applyAlignment="0" applyProtection="0"/>
    <xf numFmtId="0" fontId="42" fillId="25" borderId="0" applyNumberFormat="0" applyBorder="0" applyAlignment="0" applyProtection="0"/>
    <xf numFmtId="0" fontId="46" fillId="57" borderId="0" applyNumberFormat="0" applyBorder="0" applyAlignment="0" applyProtection="0"/>
    <xf numFmtId="0" fontId="46" fillId="57"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2" fillId="25" borderId="0" applyNumberFormat="0" applyBorder="0" applyAlignment="0" applyProtection="0"/>
    <xf numFmtId="0" fontId="46" fillId="70" borderId="0" applyNumberFormat="0" applyBorder="0" applyAlignment="0" applyProtection="0"/>
    <xf numFmtId="0" fontId="42" fillId="29" borderId="0" applyNumberFormat="0" applyBorder="0" applyAlignment="0" applyProtection="0"/>
    <xf numFmtId="0" fontId="46" fillId="70" borderId="0" applyNumberFormat="0" applyBorder="0" applyAlignment="0" applyProtection="0"/>
    <xf numFmtId="0" fontId="46" fillId="70"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53" fillId="38" borderId="16" applyNumberFormat="0" applyAlignment="0" applyProtection="0"/>
    <xf numFmtId="0" fontId="34" fillId="5" borderId="10" applyNumberFormat="0" applyAlignment="0" applyProtection="0"/>
    <xf numFmtId="0" fontId="53" fillId="38" borderId="16" applyNumberFormat="0" applyAlignment="0" applyProtection="0"/>
    <xf numFmtId="0" fontId="34" fillId="5" borderId="10" applyNumberFormat="0" applyAlignment="0" applyProtection="0"/>
    <xf numFmtId="0" fontId="53" fillId="38" borderId="16" applyNumberFormat="0" applyAlignment="0" applyProtection="0"/>
    <xf numFmtId="0" fontId="53" fillId="38" borderId="16" applyNumberFormat="0" applyAlignment="0" applyProtection="0"/>
    <xf numFmtId="0" fontId="53" fillId="38" borderId="16" applyNumberFormat="0" applyAlignment="0" applyProtection="0"/>
    <xf numFmtId="0" fontId="34" fillId="5" borderId="10" applyNumberFormat="0" applyAlignment="0" applyProtection="0"/>
    <xf numFmtId="0" fontId="34" fillId="5" borderId="10" applyNumberFormat="0" applyAlignment="0" applyProtection="0"/>
    <xf numFmtId="0" fontId="53" fillId="38" borderId="16" applyNumberFormat="0" applyAlignment="0" applyProtection="0"/>
    <xf numFmtId="0" fontId="53" fillId="38" borderId="16"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176"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2" fillId="0" borderId="0"/>
    <xf numFmtId="177" fontId="22" fillId="0" borderId="0"/>
    <xf numFmtId="178" fontId="54"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55" fillId="0" borderId="0" applyNumberFormat="0" applyFill="0" applyBorder="0" applyAlignment="0" applyProtection="0">
      <alignment vertical="top"/>
      <protection locked="0"/>
    </xf>
    <xf numFmtId="0" fontId="55" fillId="0" borderId="0" applyNumberFormat="0" applyFill="0" applyBorder="0" applyAlignment="0" applyProtection="0"/>
    <xf numFmtId="0" fontId="56" fillId="0" borderId="0" applyNumberFormat="0" applyFill="0" applyBorder="0" applyAlignment="0" applyProtection="0">
      <alignment vertical="top"/>
      <protection locked="0"/>
    </xf>
    <xf numFmtId="0" fontId="26" fillId="0" borderId="0" applyNumberFormat="0" applyFill="0" applyBorder="0" applyAlignment="0" applyProtection="0"/>
    <xf numFmtId="0" fontId="56"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177" fontId="26" fillId="0" borderId="0" applyNumberFormat="0" applyFill="0" applyBorder="0" applyAlignment="0" applyProtection="0"/>
    <xf numFmtId="0" fontId="58" fillId="34" borderId="0" applyNumberFormat="0" applyBorder="0" applyAlignment="0" applyProtection="0"/>
    <xf numFmtId="0" fontId="33" fillId="3" borderId="0" applyNumberFormat="0" applyBorder="0" applyAlignment="0" applyProtection="0"/>
    <xf numFmtId="0" fontId="58" fillId="34" borderId="0" applyNumberFormat="0" applyBorder="0" applyAlignment="0" applyProtection="0"/>
    <xf numFmtId="0" fontId="58" fillId="34"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3" fillId="3" borderId="0" applyNumberFormat="0" applyBorder="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4" fillId="5" borderId="10" applyNumberFormat="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0" fontId="37" fillId="0" borderId="12" applyNumberFormat="0" applyFill="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9" fontId="20" fillId="0" borderId="0" applyFont="0" applyFill="0" applyBorder="0" applyAlignment="0" applyProtection="0"/>
    <xf numFmtId="172" fontId="20" fillId="0" borderId="0" applyFont="0" applyFill="0" applyBorder="0" applyAlignment="0" applyProtection="0"/>
    <xf numFmtId="43"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80" fontId="20" fillId="0" borderId="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80" fontId="20" fillId="0" borderId="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27"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43"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64" fontId="3"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2" fontId="20" fillId="0" borderId="0" applyFont="0" applyFill="0" applyBorder="0" applyAlignment="0" applyProtection="0"/>
    <xf numFmtId="175" fontId="20"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75" fontId="20" fillId="0" borderId="0" applyFont="0" applyFill="0" applyBorder="0" applyAlignment="0" applyProtection="0"/>
    <xf numFmtId="165" fontId="3" fillId="0" borderId="0" applyFont="0" applyFill="0" applyBorder="0" applyAlignment="0" applyProtection="0"/>
    <xf numFmtId="175" fontId="20" fillId="0" borderId="0" applyFont="0" applyFill="0" applyBorder="0" applyAlignment="0" applyProtection="0"/>
    <xf numFmtId="165" fontId="3" fillId="0" borderId="0" applyFont="0" applyFill="0" applyBorder="0" applyAlignment="0" applyProtection="0"/>
    <xf numFmtId="175" fontId="20" fillId="0" borderId="0" applyFont="0" applyFill="0" applyBorder="0" applyAlignment="0" applyProtection="0"/>
    <xf numFmtId="165" fontId="3"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67" fontId="3"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75" fontId="20"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5" fontId="3" fillId="0" borderId="0" applyFont="0" applyFill="0" applyBorder="0" applyAlignment="0" applyProtection="0"/>
    <xf numFmtId="0" fontId="59" fillId="71" borderId="0" applyNumberFormat="0" applyBorder="0" applyAlignment="0" applyProtection="0"/>
    <xf numFmtId="0" fontId="59" fillId="71" borderId="0" applyNumberFormat="0" applyBorder="0" applyAlignment="0" applyProtection="0"/>
    <xf numFmtId="0" fontId="59" fillId="71" borderId="0" applyNumberFormat="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170" fontId="20" fillId="0" borderId="0"/>
    <xf numFmtId="0" fontId="3" fillId="0" borderId="0"/>
    <xf numFmtId="0" fontId="20" fillId="0" borderId="0">
      <alignment vertical="top"/>
    </xf>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applyNumberFormat="0" applyFill="0" applyBorder="0" applyAlignment="0" applyProtection="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177"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177" fontId="20" fillId="0" borderId="0"/>
    <xf numFmtId="0"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7"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7"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170"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170"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170"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0"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0" fontId="20" fillId="0" borderId="0"/>
    <xf numFmtId="170" fontId="20" fillId="0" borderId="0"/>
    <xf numFmtId="170" fontId="20"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0" fontId="3"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0" fontId="20" fillId="0" borderId="0">
      <alignment vertical="top"/>
    </xf>
    <xf numFmtId="170" fontId="20" fillId="0" borderId="0"/>
    <xf numFmtId="177" fontId="3" fillId="0" borderId="0"/>
    <xf numFmtId="170" fontId="20" fillId="0" borderId="0"/>
    <xf numFmtId="177" fontId="3" fillId="0" borderId="0"/>
    <xf numFmtId="170"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20" fillId="0" borderId="0"/>
    <xf numFmtId="177" fontId="20" fillId="0" borderId="0"/>
    <xf numFmtId="170" fontId="20" fillId="0" borderId="0"/>
    <xf numFmtId="177" fontId="3" fillId="0" borderId="0"/>
    <xf numFmtId="177" fontId="3" fillId="0" borderId="0"/>
    <xf numFmtId="177" fontId="3" fillId="0" borderId="0"/>
    <xf numFmtId="177" fontId="3" fillId="0" borderId="0"/>
    <xf numFmtId="177" fontId="3" fillId="0" borderId="0"/>
    <xf numFmtId="17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0" fontId="3" fillId="0" borderId="0"/>
    <xf numFmtId="0" fontId="20" fillId="0" borderId="0"/>
    <xf numFmtId="177" fontId="20" fillId="0" borderId="0"/>
    <xf numFmtId="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20"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177" fontId="3" fillId="0" borderId="0"/>
    <xf numFmtId="177" fontId="3" fillId="0" borderId="0"/>
    <xf numFmtId="177" fontId="3" fillId="0" borderId="0"/>
    <xf numFmtId="177" fontId="3"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20"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20" fillId="0" borderId="0"/>
    <xf numFmtId="0" fontId="3" fillId="0" borderId="0"/>
    <xf numFmtId="177" fontId="3" fillId="0" borderId="0"/>
    <xf numFmtId="0" fontId="20" fillId="0" borderId="0"/>
    <xf numFmtId="0" fontId="20" fillId="0" borderId="0"/>
    <xf numFmtId="177" fontId="20" fillId="0" borderId="0"/>
    <xf numFmtId="0" fontId="20" fillId="0" borderId="0"/>
    <xf numFmtId="0" fontId="20" fillId="0" borderId="0"/>
    <xf numFmtId="177" fontId="20" fillId="0" borderId="0"/>
    <xf numFmtId="0" fontId="20" fillId="0" borderId="0"/>
    <xf numFmtId="0" fontId="20" fillId="0" borderId="0"/>
    <xf numFmtId="177" fontId="20"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alignment vertical="top"/>
    </xf>
    <xf numFmtId="0" fontId="20" fillId="0" borderId="0">
      <alignment vertical="top"/>
    </xf>
    <xf numFmtId="0" fontId="20" fillId="0" borderId="0"/>
    <xf numFmtId="177" fontId="27"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0" fontId="20"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0"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0" fontId="20" fillId="0" borderId="0"/>
    <xf numFmtId="177" fontId="20" fillId="0" borderId="0"/>
    <xf numFmtId="0" fontId="20" fillId="0" borderId="0"/>
    <xf numFmtId="0" fontId="20" fillId="0" borderId="0"/>
    <xf numFmtId="0" fontId="45" fillId="0" borderId="0"/>
    <xf numFmtId="177" fontId="27" fillId="0" borderId="0"/>
    <xf numFmtId="0" fontId="20" fillId="0" borderId="0"/>
    <xf numFmtId="0" fontId="20" fillId="0" borderId="0"/>
    <xf numFmtId="0" fontId="45" fillId="0" borderId="0"/>
    <xf numFmtId="177" fontId="27" fillId="0" borderId="0"/>
    <xf numFmtId="0" fontId="20" fillId="0" borderId="0"/>
    <xf numFmtId="0" fontId="20" fillId="0" borderId="0"/>
    <xf numFmtId="0" fontId="61" fillId="0" borderId="0"/>
    <xf numFmtId="0" fontId="45" fillId="0" borderId="0"/>
    <xf numFmtId="0" fontId="61" fillId="0" borderId="0"/>
    <xf numFmtId="0" fontId="61" fillId="0" borderId="0"/>
    <xf numFmtId="0" fontId="45" fillId="0" borderId="0"/>
    <xf numFmtId="177" fontId="27" fillId="0" borderId="0"/>
    <xf numFmtId="0" fontId="61" fillId="0" borderId="0"/>
    <xf numFmtId="0" fontId="45" fillId="0" borderId="0"/>
    <xf numFmtId="0" fontId="61" fillId="0" borderId="0"/>
    <xf numFmtId="0" fontId="20" fillId="0" borderId="0"/>
    <xf numFmtId="0" fontId="20" fillId="0" borderId="0"/>
    <xf numFmtId="0" fontId="45" fillId="0" borderId="0"/>
    <xf numFmtId="177" fontId="20" fillId="0" borderId="0"/>
    <xf numFmtId="0" fontId="20" fillId="0" borderId="0"/>
    <xf numFmtId="0" fontId="20" fillId="0" borderId="0"/>
    <xf numFmtId="0" fontId="45" fillId="0" borderId="0"/>
    <xf numFmtId="177" fontId="27" fillId="0" borderId="0"/>
    <xf numFmtId="0" fontId="20" fillId="0" borderId="0"/>
    <xf numFmtId="0" fontId="20" fillId="0" borderId="0"/>
    <xf numFmtId="0" fontId="61"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20" fillId="0" borderId="0"/>
    <xf numFmtId="0" fontId="45" fillId="0" borderId="0"/>
    <xf numFmtId="0" fontId="20" fillId="0" borderId="0"/>
    <xf numFmtId="0" fontId="45" fillId="0" borderId="0"/>
    <xf numFmtId="0" fontId="45" fillId="0" borderId="0"/>
    <xf numFmtId="0" fontId="20" fillId="0" borderId="0"/>
    <xf numFmtId="0" fontId="45" fillId="0" borderId="0"/>
    <xf numFmtId="0" fontId="20" fillId="0" borderId="0"/>
    <xf numFmtId="170" fontId="27" fillId="0" borderId="0"/>
    <xf numFmtId="0" fontId="20" fillId="0" borderId="0"/>
    <xf numFmtId="0" fontId="4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7" fillId="0" borderId="0"/>
    <xf numFmtId="0" fontId="27" fillId="0" borderId="0"/>
    <xf numFmtId="0" fontId="20" fillId="0" borderId="0"/>
    <xf numFmtId="170" fontId="27" fillId="0" borderId="0"/>
    <xf numFmtId="0" fontId="20" fillId="0" borderId="0"/>
    <xf numFmtId="0" fontId="45" fillId="0" borderId="0"/>
    <xf numFmtId="177" fontId="27" fillId="0" borderId="0"/>
    <xf numFmtId="0" fontId="45" fillId="0" borderId="0"/>
    <xf numFmtId="170" fontId="27" fillId="0" borderId="0"/>
    <xf numFmtId="0" fontId="45" fillId="0" borderId="0"/>
    <xf numFmtId="0" fontId="45" fillId="0" borderId="0"/>
    <xf numFmtId="0" fontId="45" fillId="0" borderId="0"/>
    <xf numFmtId="0" fontId="45" fillId="0" borderId="0"/>
    <xf numFmtId="0" fontId="20" fillId="0" borderId="0"/>
    <xf numFmtId="0" fontId="20" fillId="0" borderId="0"/>
    <xf numFmtId="177"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177"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0" fillId="0" borderId="0"/>
    <xf numFmtId="0" fontId="20" fillId="0" borderId="0"/>
    <xf numFmtId="0"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177" fontId="20" fillId="0" borderId="0"/>
    <xf numFmtId="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0" fontId="20"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7" fillId="0" borderId="0"/>
    <xf numFmtId="0" fontId="20" fillId="0" borderId="0"/>
    <xf numFmtId="177" fontId="20" fillId="0" borderId="0"/>
    <xf numFmtId="0" fontId="45"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0" fontId="3" fillId="0" borderId="0"/>
    <xf numFmtId="170" fontId="3" fillId="0" borderId="0"/>
    <xf numFmtId="177" fontId="20" fillId="0" borderId="0"/>
    <xf numFmtId="0" fontId="61" fillId="0" borderId="0"/>
    <xf numFmtId="177" fontId="20" fillId="0" borderId="0"/>
    <xf numFmtId="177" fontId="20" fillId="0" borderId="0"/>
    <xf numFmtId="177" fontId="20" fillId="0" borderId="0"/>
    <xf numFmtId="177" fontId="20" fillId="0" borderId="0"/>
    <xf numFmtId="0" fontId="20" fillId="0" borderId="0"/>
    <xf numFmtId="177" fontId="27" fillId="0" borderId="0"/>
    <xf numFmtId="177" fontId="20" fillId="0" borderId="0"/>
    <xf numFmtId="0" fontId="20" fillId="0" borderId="0"/>
    <xf numFmtId="177" fontId="20" fillId="0" borderId="0"/>
    <xf numFmtId="0" fontId="45" fillId="0" borderId="0"/>
    <xf numFmtId="177" fontId="20" fillId="0" borderId="0"/>
    <xf numFmtId="0" fontId="61" fillId="0" borderId="0"/>
    <xf numFmtId="177" fontId="20" fillId="0" borderId="0"/>
    <xf numFmtId="0" fontId="61" fillId="0" borderId="0"/>
    <xf numFmtId="177" fontId="20" fillId="0" borderId="0"/>
    <xf numFmtId="177"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0" fontId="20"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7" fillId="0" borderId="0"/>
    <xf numFmtId="177" fontId="20" fillId="0" borderId="0"/>
    <xf numFmtId="0" fontId="20" fillId="0" borderId="0"/>
    <xf numFmtId="177" fontId="27"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177" fontId="20" fillId="0" borderId="0"/>
    <xf numFmtId="0" fontId="20" fillId="0" borderId="0"/>
    <xf numFmtId="0" fontId="20" fillId="0" borderId="0"/>
    <xf numFmtId="170" fontId="20" fillId="0" borderId="0"/>
    <xf numFmtId="0" fontId="20" fillId="0" borderId="0"/>
    <xf numFmtId="170" fontId="20" fillId="0" borderId="0"/>
    <xf numFmtId="0" fontId="20" fillId="0" borderId="0" applyNumberFormat="0" applyFill="0" applyBorder="0" applyAlignment="0" applyProtection="0"/>
    <xf numFmtId="0" fontId="20" fillId="0" borderId="0"/>
    <xf numFmtId="0" fontId="20" fillId="0" borderId="0"/>
    <xf numFmtId="177" fontId="20" fillId="0" borderId="0"/>
    <xf numFmtId="0" fontId="20" fillId="0" borderId="0"/>
    <xf numFmtId="170" fontId="20" fillId="0" borderId="0"/>
    <xf numFmtId="0" fontId="20" fillId="0" borderId="0" applyNumberFormat="0" applyFill="0" applyBorder="0" applyAlignment="0" applyProtection="0"/>
    <xf numFmtId="0" fontId="20" fillId="0" borderId="0"/>
    <xf numFmtId="0" fontId="20" fillId="0" borderId="0"/>
    <xf numFmtId="0" fontId="20" fillId="0" borderId="0" applyNumberFormat="0" applyFill="0" applyBorder="0" applyAlignment="0" applyProtection="0"/>
    <xf numFmtId="0" fontId="20" fillId="0" borderId="0"/>
    <xf numFmtId="0" fontId="20" fillId="0" borderId="0"/>
    <xf numFmtId="177" fontId="20" fillId="0" borderId="0"/>
    <xf numFmtId="0" fontId="20" fillId="0" borderId="0"/>
    <xf numFmtId="0" fontId="60" fillId="0" borderId="0"/>
    <xf numFmtId="0" fontId="20" fillId="0" borderId="0"/>
    <xf numFmtId="0" fontId="20" fillId="0" borderId="0"/>
    <xf numFmtId="177" fontId="20" fillId="0" borderId="0"/>
    <xf numFmtId="0" fontId="20" fillId="0" borderId="0"/>
    <xf numFmtId="0" fontId="60" fillId="0" borderId="0"/>
    <xf numFmtId="177"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6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3" fillId="0" borderId="0"/>
    <xf numFmtId="170" fontId="20"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4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177" fontId="20" fillId="0" borderId="0"/>
    <xf numFmtId="0" fontId="20" fillId="0" borderId="0"/>
    <xf numFmtId="0" fontId="20" fillId="0" borderId="0"/>
    <xf numFmtId="0" fontId="3"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62" fillId="0" borderId="0"/>
    <xf numFmtId="0" fontId="3" fillId="0" borderId="0"/>
    <xf numFmtId="0" fontId="62" fillId="0" borderId="0"/>
    <xf numFmtId="0" fontId="3" fillId="0" borderId="0"/>
    <xf numFmtId="0" fontId="62" fillId="0" borderId="0"/>
    <xf numFmtId="0" fontId="3" fillId="0" borderId="0"/>
    <xf numFmtId="0" fontId="62" fillId="0" borderId="0"/>
    <xf numFmtId="0" fontId="3" fillId="0" borderId="0"/>
    <xf numFmtId="0" fontId="62" fillId="0" borderId="0"/>
    <xf numFmtId="0" fontId="3" fillId="0" borderId="0"/>
    <xf numFmtId="0" fontId="62" fillId="0" borderId="0"/>
    <xf numFmtId="0" fontId="3" fillId="0" borderId="0"/>
    <xf numFmtId="0" fontId="62" fillId="0" borderId="0"/>
    <xf numFmtId="0" fontId="20" fillId="0" borderId="0"/>
    <xf numFmtId="0" fontId="20" fillId="0" borderId="0"/>
    <xf numFmtId="0" fontId="62"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62" fillId="0" borderId="0"/>
    <xf numFmtId="0" fontId="20" fillId="0" borderId="0"/>
    <xf numFmtId="0" fontId="20" fillId="0" borderId="0"/>
    <xf numFmtId="0" fontId="62" fillId="0" borderId="0"/>
    <xf numFmtId="0" fontId="20" fillId="0" borderId="0"/>
    <xf numFmtId="0" fontId="20" fillId="0" borderId="0"/>
    <xf numFmtId="0" fontId="62" fillId="0" borderId="0"/>
    <xf numFmtId="0" fontId="20" fillId="0" borderId="0"/>
    <xf numFmtId="0" fontId="20" fillId="0" borderId="0"/>
    <xf numFmtId="0" fontId="62" fillId="0" borderId="0"/>
    <xf numFmtId="0" fontId="3" fillId="0" borderId="0"/>
    <xf numFmtId="0" fontId="62" fillId="0" borderId="0"/>
    <xf numFmtId="0" fontId="62" fillId="0" borderId="0"/>
    <xf numFmtId="0" fontId="62" fillId="0" borderId="0"/>
    <xf numFmtId="0" fontId="62" fillId="0" borderId="0"/>
    <xf numFmtId="0" fontId="62" fillId="0" borderId="0"/>
    <xf numFmtId="0" fontId="62"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62" fillId="0" borderId="0"/>
    <xf numFmtId="0" fontId="62"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20"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xf numFmtId="0" fontId="20" fillId="0" borderId="0">
      <alignment vertical="top"/>
    </xf>
    <xf numFmtId="0" fontId="20" fillId="0" borderId="0">
      <alignment vertical="top"/>
    </xf>
    <xf numFmtId="0" fontId="20"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20" fillId="0" borderId="0">
      <alignment vertical="top"/>
    </xf>
    <xf numFmtId="0" fontId="3" fillId="0" borderId="0"/>
    <xf numFmtId="0" fontId="20" fillId="0" borderId="0">
      <alignment vertical="top"/>
    </xf>
    <xf numFmtId="177" fontId="27" fillId="0" borderId="0"/>
    <xf numFmtId="0" fontId="20" fillId="0" borderId="0">
      <alignment vertical="top"/>
    </xf>
    <xf numFmtId="0" fontId="20"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20" fillId="0" borderId="0"/>
    <xf numFmtId="0" fontId="20" fillId="0" borderId="0"/>
    <xf numFmtId="177" fontId="27" fillId="0" borderId="0"/>
    <xf numFmtId="0" fontId="20" fillId="0" borderId="0"/>
    <xf numFmtId="0" fontId="20" fillId="0" borderId="0"/>
    <xf numFmtId="0" fontId="20" fillId="0" borderId="0"/>
    <xf numFmtId="0" fontId="3" fillId="0" borderId="0"/>
    <xf numFmtId="0" fontId="3" fillId="0" borderId="0"/>
    <xf numFmtId="0" fontId="3" fillId="0" borderId="0"/>
    <xf numFmtId="0" fontId="3" fillId="0" borderId="0"/>
    <xf numFmtId="0" fontId="20" fillId="0" borderId="0">
      <alignment vertical="top"/>
    </xf>
    <xf numFmtId="170" fontId="20" fillId="0" borderId="0"/>
    <xf numFmtId="0" fontId="20" fillId="0" borderId="0">
      <alignment vertical="top"/>
    </xf>
    <xf numFmtId="177" fontId="27" fillId="0" borderId="0"/>
    <xf numFmtId="0" fontId="20" fillId="0" borderId="0"/>
    <xf numFmtId="0" fontId="20" fillId="0" borderId="0"/>
    <xf numFmtId="0" fontId="20" fillId="0" borderId="0"/>
    <xf numFmtId="0" fontId="20" fillId="0" borderId="0">
      <alignment vertical="top"/>
    </xf>
    <xf numFmtId="0" fontId="20" fillId="0" borderId="0"/>
    <xf numFmtId="0" fontId="20" fillId="0" borderId="0"/>
    <xf numFmtId="0" fontId="20" fillId="0" borderId="0"/>
    <xf numFmtId="0" fontId="20" fillId="0" borderId="0"/>
    <xf numFmtId="0" fontId="20" fillId="0" borderId="0"/>
    <xf numFmtId="0" fontId="20" fillId="0" borderId="0">
      <alignment vertical="top"/>
    </xf>
    <xf numFmtId="0" fontId="20" fillId="0" borderId="0">
      <alignment vertical="top"/>
    </xf>
    <xf numFmtId="0" fontId="3" fillId="0" borderId="0"/>
    <xf numFmtId="0" fontId="20" fillId="0" borderId="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177" fontId="2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177" fontId="27" fillId="0" borderId="0"/>
    <xf numFmtId="0" fontId="3" fillId="0" borderId="0"/>
    <xf numFmtId="0" fontId="3" fillId="0" borderId="0"/>
    <xf numFmtId="0" fontId="3"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3" fillId="0" borderId="0"/>
    <xf numFmtId="0" fontId="3" fillId="0" borderId="0"/>
    <xf numFmtId="177" fontId="27"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3" fillId="0" borderId="0"/>
    <xf numFmtId="0" fontId="20" fillId="0" borderId="0"/>
    <xf numFmtId="0" fontId="3" fillId="0" borderId="0"/>
    <xf numFmtId="0" fontId="3" fillId="0" borderId="0"/>
    <xf numFmtId="177"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177" fontId="20" fillId="0" borderId="0"/>
    <xf numFmtId="0" fontId="60" fillId="0" borderId="0"/>
    <xf numFmtId="0" fontId="3" fillId="0" borderId="0"/>
    <xf numFmtId="0" fontId="63" fillId="0" borderId="0"/>
    <xf numFmtId="0" fontId="60" fillId="0" borderId="0"/>
    <xf numFmtId="0" fontId="63" fillId="0" borderId="0"/>
    <xf numFmtId="170" fontId="3" fillId="0" borderId="0"/>
    <xf numFmtId="0" fontId="63" fillId="0" borderId="0"/>
    <xf numFmtId="0" fontId="60" fillId="0" borderId="0"/>
    <xf numFmtId="0" fontId="3" fillId="0" borderId="0"/>
    <xf numFmtId="0" fontId="3" fillId="0" borderId="0"/>
    <xf numFmtId="0" fontId="63" fillId="0" borderId="0"/>
    <xf numFmtId="0" fontId="60" fillId="0" borderId="0"/>
    <xf numFmtId="0" fontId="63" fillId="0" borderId="0"/>
    <xf numFmtId="0" fontId="63" fillId="0" borderId="0"/>
    <xf numFmtId="0" fontId="60" fillId="0" borderId="0"/>
    <xf numFmtId="0" fontId="63" fillId="0" borderId="0"/>
    <xf numFmtId="0" fontId="63" fillId="0" borderId="0"/>
    <xf numFmtId="0" fontId="60" fillId="0" borderId="0"/>
    <xf numFmtId="0" fontId="64" fillId="0" borderId="0"/>
    <xf numFmtId="0" fontId="60" fillId="0" borderId="0"/>
    <xf numFmtId="0" fontId="64" fillId="0" borderId="0"/>
    <xf numFmtId="0" fontId="60" fillId="0" borderId="0"/>
    <xf numFmtId="0" fontId="63" fillId="0" borderId="0"/>
    <xf numFmtId="0" fontId="6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170" fontId="20" fillId="0" borderId="0"/>
    <xf numFmtId="177"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20" fillId="0" borderId="0"/>
    <xf numFmtId="0" fontId="3" fillId="0" borderId="0"/>
    <xf numFmtId="0" fontId="3" fillId="0" borderId="0"/>
    <xf numFmtId="0" fontId="65" fillId="0" borderId="0"/>
    <xf numFmtId="0" fontId="3" fillId="0" borderId="0"/>
    <xf numFmtId="0" fontId="20" fillId="0" borderId="0"/>
    <xf numFmtId="0" fontId="20" fillId="0" borderId="0"/>
    <xf numFmtId="0" fontId="20" fillId="0" borderId="0"/>
    <xf numFmtId="0" fontId="20" fillId="0" borderId="0"/>
    <xf numFmtId="168" fontId="20" fillId="0" borderId="0" applyFont="0" applyFill="0" applyBorder="0" applyAlignment="0" applyProtection="0"/>
    <xf numFmtId="177"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6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3" fillId="0" borderId="0"/>
    <xf numFmtId="0" fontId="20" fillId="0" borderId="0"/>
    <xf numFmtId="0" fontId="20" fillId="0" borderId="0"/>
    <xf numFmtId="0" fontId="3" fillId="0" borderId="0"/>
    <xf numFmtId="0" fontId="20" fillId="0" borderId="0"/>
    <xf numFmtId="0" fontId="3" fillId="0" borderId="0"/>
    <xf numFmtId="170" fontId="20" fillId="0" borderId="0"/>
    <xf numFmtId="170" fontId="20" fillId="0" borderId="0"/>
    <xf numFmtId="170" fontId="20" fillId="0" borderId="0"/>
    <xf numFmtId="0" fontId="3" fillId="0" borderId="0"/>
    <xf numFmtId="0" fontId="3" fillId="0" borderId="0"/>
    <xf numFmtId="170" fontId="20"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60"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3" fillId="0" borderId="0"/>
    <xf numFmtId="0" fontId="20" fillId="0" borderId="0"/>
    <xf numFmtId="0" fontId="20" fillId="0" borderId="0"/>
    <xf numFmtId="0" fontId="22" fillId="72" borderId="19" applyNumberFormat="0" applyFont="0" applyAlignment="0" applyProtection="0"/>
    <xf numFmtId="0" fontId="20" fillId="72" borderId="19" applyNumberFormat="0" applyFont="0" applyAlignment="0" applyProtection="0"/>
    <xf numFmtId="0" fontId="22" fillId="8" borderId="14" applyNumberFormat="0" applyFont="0" applyAlignment="0" applyProtection="0"/>
    <xf numFmtId="0" fontId="20" fillId="72" borderId="19" applyNumberFormat="0" applyFont="0" applyAlignment="0" applyProtection="0"/>
    <xf numFmtId="0" fontId="22" fillId="8" borderId="14"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3" fillId="8" borderId="14" applyNumberFormat="0" applyFont="0" applyAlignment="0" applyProtection="0"/>
    <xf numFmtId="0" fontId="3" fillId="8" borderId="14" applyNumberFormat="0" applyFont="0" applyAlignment="0" applyProtection="0"/>
    <xf numFmtId="0" fontId="3" fillId="8" borderId="14" applyNumberFormat="0" applyFont="0" applyAlignment="0" applyProtection="0"/>
    <xf numFmtId="0" fontId="3" fillId="0" borderId="0"/>
    <xf numFmtId="0" fontId="3" fillId="0" borderId="0"/>
    <xf numFmtId="0" fontId="3" fillId="8" borderId="14"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0" fillId="72" borderId="19" applyNumberFormat="0" applyFont="0" applyAlignment="0" applyProtection="0"/>
    <xf numFmtId="0" fontId="3" fillId="8" borderId="14" applyNumberFormat="0" applyFont="0" applyAlignment="0" applyProtection="0"/>
    <xf numFmtId="0" fontId="3" fillId="8" borderId="14" applyNumberFormat="0" applyFont="0" applyAlignment="0" applyProtection="0"/>
    <xf numFmtId="0" fontId="3" fillId="8" borderId="14" applyNumberFormat="0" applyFont="0" applyAlignment="0" applyProtection="0"/>
    <xf numFmtId="0" fontId="3" fillId="0" borderId="0"/>
    <xf numFmtId="0" fontId="3" fillId="0" borderId="0"/>
    <xf numFmtId="0" fontId="3" fillId="8" borderId="14" applyNumberFormat="0" applyFont="0" applyAlignment="0" applyProtection="0"/>
    <xf numFmtId="0" fontId="22"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20" fillId="72" borderId="19" applyNumberFormat="0" applyFont="0" applyAlignment="0" applyProtection="0"/>
    <xf numFmtId="0" fontId="3" fillId="0" borderId="0"/>
    <xf numFmtId="0" fontId="3" fillId="0" borderId="0"/>
    <xf numFmtId="0" fontId="20" fillId="72" borderId="19"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 fillId="0" borderId="0"/>
    <xf numFmtId="0" fontId="22" fillId="8" borderId="14" applyNumberFormat="0" applyFont="0" applyAlignment="0" applyProtection="0"/>
    <xf numFmtId="0" fontId="22" fillId="8" borderId="14" applyNumberFormat="0" applyFont="0" applyAlignment="0" applyProtection="0"/>
    <xf numFmtId="0" fontId="22" fillId="8" borderId="14" applyNumberFormat="0" applyFont="0" applyAlignment="0" applyProtection="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 fillId="0" borderId="0"/>
    <xf numFmtId="0" fontId="3"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 fillId="0" borderId="0"/>
    <xf numFmtId="0" fontId="3"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 fillId="0" borderId="0"/>
    <xf numFmtId="0" fontId="3"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3" fillId="0" borderId="0"/>
    <xf numFmtId="0" fontId="3" fillId="0" borderId="0"/>
    <xf numFmtId="9" fontId="20" fillId="0" borderId="0" applyFont="0" applyFill="0" applyBorder="0" applyAlignment="0" applyProtection="0"/>
    <xf numFmtId="0" fontId="3" fillId="0" borderId="0"/>
    <xf numFmtId="0" fontId="35" fillId="6" borderId="11" applyNumberFormat="0" applyAlignment="0" applyProtection="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3" fillId="0" borderId="0"/>
    <xf numFmtId="0" fontId="35" fillId="6" borderId="11" applyNumberFormat="0" applyAlignment="0" applyProtection="0"/>
    <xf numFmtId="0" fontId="3" fillId="0" borderId="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3" fillId="0" borderId="0"/>
    <xf numFmtId="0" fontId="3" fillId="0" borderId="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66" fillId="65" borderId="20" applyNumberFormat="0" applyAlignment="0" applyProtection="0"/>
    <xf numFmtId="0" fontId="3" fillId="0" borderId="0"/>
    <xf numFmtId="0" fontId="3" fillId="0" borderId="0"/>
    <xf numFmtId="0" fontId="66" fillId="65" borderId="20"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3" fillId="0" borderId="0"/>
    <xf numFmtId="0" fontId="35" fillId="6" borderId="11" applyNumberFormat="0" applyAlignment="0" applyProtection="0"/>
    <xf numFmtId="0" fontId="35" fillId="6" borderId="11" applyNumberFormat="0" applyAlignment="0" applyProtection="0"/>
    <xf numFmtId="0" fontId="35" fillId="6" borderId="11" applyNumberFormat="0" applyAlignment="0" applyProtection="0"/>
    <xf numFmtId="0" fontId="3" fillId="0" borderId="0"/>
    <xf numFmtId="0" fontId="67" fillId="0" borderId="0"/>
    <xf numFmtId="0" fontId="67" fillId="0" borderId="0"/>
    <xf numFmtId="0" fontId="67" fillId="0" borderId="0"/>
    <xf numFmtId="0" fontId="3" fillId="0" borderId="0"/>
    <xf numFmtId="0" fontId="3" fillId="0" borderId="0"/>
    <xf numFmtId="0" fontId="67" fillId="0" borderId="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68" fillId="0" borderId="0" applyNumberFormat="0" applyFill="0" applyBorder="0" applyAlignment="0" applyProtection="0"/>
    <xf numFmtId="0" fontId="39" fillId="0" borderId="0" applyNumberFormat="0" applyFill="0" applyBorder="0" applyAlignment="0" applyProtection="0"/>
    <xf numFmtId="0" fontId="68" fillId="0" borderId="0" applyNumberFormat="0" applyFill="0" applyBorder="0" applyAlignment="0" applyProtection="0"/>
    <xf numFmtId="0" fontId="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3" fillId="0" borderId="0"/>
    <xf numFmtId="0" fontId="3" fillId="0" borderId="0"/>
    <xf numFmtId="0" fontId="68"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 fillId="0" borderId="0"/>
    <xf numFmtId="0" fontId="40"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3" fillId="0" borderId="0"/>
    <xf numFmtId="0" fontId="40" fillId="0" borderId="0" applyNumberFormat="0" applyFill="0" applyBorder="0" applyAlignment="0" applyProtection="0"/>
    <xf numFmtId="0" fontId="3" fillId="0" borderId="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3" fillId="0" borderId="0"/>
    <xf numFmtId="0" fontId="3" fillId="0" borderId="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3" fillId="0" borderId="0"/>
    <xf numFmtId="0" fontId="3" fillId="0" borderId="0"/>
    <xf numFmtId="0" fontId="69"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3"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3"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3"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3" fillId="0" borderId="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3" fillId="0" borderId="0"/>
    <xf numFmtId="0" fontId="29" fillId="0" borderId="7"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3" fillId="0" borderId="0"/>
    <xf numFmtId="0" fontId="3" fillId="0" borderId="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3" fillId="0" borderId="0"/>
    <xf numFmtId="0" fontId="3" fillId="0" borderId="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70" fillId="0" borderId="21" applyNumberFormat="0" applyFill="0" applyAlignment="0" applyProtection="0"/>
    <xf numFmtId="0" fontId="3" fillId="0" borderId="0"/>
    <xf numFmtId="0" fontId="3" fillId="0" borderId="0"/>
    <xf numFmtId="0" fontId="70" fillId="0" borderId="21"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3" fillId="0" borderId="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3" fillId="0" borderId="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3" fillId="0" borderId="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3" fillId="0" borderId="0"/>
    <xf numFmtId="0" fontId="29" fillId="0" borderId="7" applyNumberFormat="0" applyFill="0" applyAlignment="0" applyProtection="0"/>
    <xf numFmtId="0" fontId="29" fillId="0" borderId="7" applyNumberFormat="0" applyFill="0" applyAlignment="0" applyProtection="0"/>
    <xf numFmtId="0" fontId="29" fillId="0" borderId="7" applyNumberFormat="0" applyFill="0" applyAlignment="0" applyProtection="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3" fillId="0" borderId="0"/>
    <xf numFmtId="0" fontId="30" fillId="0" borderId="8"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3" fillId="0" borderId="0"/>
    <xf numFmtId="0" fontId="30" fillId="0" borderId="8" applyNumberFormat="0" applyFill="0" applyAlignment="0" applyProtection="0"/>
    <xf numFmtId="0" fontId="3" fillId="0" borderId="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3" fillId="0" borderId="0"/>
    <xf numFmtId="0" fontId="3" fillId="0" borderId="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71" fillId="0" borderId="22" applyNumberFormat="0" applyFill="0" applyAlignment="0" applyProtection="0"/>
    <xf numFmtId="0" fontId="3" fillId="0" borderId="0"/>
    <xf numFmtId="0" fontId="3" fillId="0" borderId="0"/>
    <xf numFmtId="0" fontId="71" fillId="0" borderId="22"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 fillId="0" borderId="0"/>
    <xf numFmtId="0" fontId="3" fillId="0" borderId="0"/>
    <xf numFmtId="0" fontId="31" fillId="0" borderId="9"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3" fillId="0" borderId="0"/>
    <xf numFmtId="0" fontId="31" fillId="0" borderId="9" applyNumberFormat="0" applyFill="0" applyAlignment="0" applyProtection="0"/>
    <xf numFmtId="0" fontId="3" fillId="0" borderId="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3" fillId="0" borderId="0"/>
    <xf numFmtId="0" fontId="3" fillId="0" borderId="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3" fillId="0" borderId="0"/>
    <xf numFmtId="0" fontId="3" fillId="0" borderId="0"/>
    <xf numFmtId="0" fontId="52" fillId="0" borderId="23"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3" fillId="0" borderId="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3" fillId="0" borderId="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3" fillId="0" borderId="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3" fillId="0" borderId="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 fillId="0" borderId="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3" fillId="0" borderId="0"/>
    <xf numFmtId="0" fontId="44" fillId="0" borderId="0" applyNumberFormat="0" applyFill="0" applyBorder="0" applyAlignment="0" applyProtection="0"/>
    <xf numFmtId="0" fontId="3" fillId="0" borderId="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3" fillId="0" borderId="0"/>
    <xf numFmtId="0" fontId="44" fillId="0" borderId="0" applyNumberFormat="0" applyFill="0" applyBorder="0" applyAlignment="0" applyProtection="0"/>
    <xf numFmtId="0" fontId="3" fillId="0" borderId="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3" fillId="0" borderId="0"/>
    <xf numFmtId="0" fontId="3" fillId="0" borderId="0"/>
    <xf numFmtId="0" fontId="72"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 fillId="0" borderId="0"/>
    <xf numFmtId="0" fontId="3" fillId="0" borderId="0"/>
    <xf numFmtId="0" fontId="44" fillId="0" borderId="0" applyNumberFormat="0" applyFill="0" applyBorder="0" applyAlignment="0" applyProtection="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3" fillId="0" borderId="0"/>
    <xf numFmtId="0" fontId="3" fillId="0" borderId="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3" fillId="0" borderId="0"/>
    <xf numFmtId="0" fontId="3" fillId="0" borderId="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73" fillId="0" borderId="24" applyNumberFormat="0" applyFill="0" applyAlignment="0" applyProtection="0"/>
    <xf numFmtId="0" fontId="3" fillId="0" borderId="0"/>
    <xf numFmtId="0" fontId="3" fillId="0" borderId="0"/>
    <xf numFmtId="0" fontId="73" fillId="0" borderId="24" applyNumberFormat="0" applyFill="0" applyAlignment="0" applyProtection="0"/>
    <xf numFmtId="0" fontId="41" fillId="0" borderId="15" applyNumberFormat="0" applyFill="0" applyAlignment="0" applyProtection="0"/>
    <xf numFmtId="0" fontId="41" fillId="0" borderId="15" applyNumberFormat="0" applyFill="0" applyAlignment="0" applyProtection="0"/>
    <xf numFmtId="0" fontId="3" fillId="0" borderId="0"/>
    <xf numFmtId="0" fontId="3" fillId="0" borderId="0"/>
    <xf numFmtId="0" fontId="41" fillId="0" borderId="15"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 fillId="0" borderId="0"/>
    <xf numFmtId="0" fontId="3" fillId="0" borderId="0"/>
    <xf numFmtId="0" fontId="39" fillId="0" borderId="0" applyNumberFormat="0" applyFill="0" applyBorder="0" applyAlignment="0" applyProtection="0"/>
    <xf numFmtId="0" fontId="74" fillId="2" borderId="0" applyNumberFormat="0" applyBorder="0" applyAlignment="0" applyProtection="0"/>
    <xf numFmtId="0" fontId="75" fillId="3" borderId="0" applyNumberFormat="0" applyBorder="0" applyAlignment="0" applyProtection="0"/>
    <xf numFmtId="0" fontId="47" fillId="73" borderId="0" applyNumberFormat="0" applyBorder="0" applyAlignment="0" applyProtection="0"/>
    <xf numFmtId="0" fontId="47" fillId="74" borderId="0" applyNumberFormat="0" applyBorder="0" applyAlignment="0" applyProtection="0"/>
    <xf numFmtId="0" fontId="47" fillId="75" borderId="0" applyNumberFormat="0" applyBorder="0" applyAlignment="0" applyProtection="0"/>
    <xf numFmtId="0" fontId="47" fillId="76" borderId="0" applyNumberFormat="0" applyBorder="0" applyAlignment="0" applyProtection="0"/>
    <xf numFmtId="0" fontId="47" fillId="77" borderId="0" applyNumberFormat="0" applyBorder="0" applyAlignment="0" applyProtection="0"/>
    <xf numFmtId="0" fontId="47" fillId="78" borderId="0" applyNumberFormat="0" applyBorder="0" applyAlignment="0" applyProtection="0"/>
    <xf numFmtId="0" fontId="76" fillId="0" borderId="0" applyNumberFormat="0" applyFill="0" applyBorder="0" applyAlignment="0" applyProtection="0"/>
    <xf numFmtId="0" fontId="77" fillId="0" borderId="25" applyNumberFormat="0" applyFill="0" applyAlignment="0" applyProtection="0"/>
    <xf numFmtId="0" fontId="78" fillId="0" borderId="26" applyNumberFormat="0" applyFill="0" applyAlignment="0" applyProtection="0"/>
    <xf numFmtId="0" fontId="79" fillId="0" borderId="27" applyNumberFormat="0" applyFill="0" applyAlignment="0" applyProtection="0"/>
    <xf numFmtId="0" fontId="79" fillId="0" borderId="0" applyNumberFormat="0" applyFill="0" applyBorder="0" applyAlignment="0" applyProtection="0"/>
    <xf numFmtId="0" fontId="80" fillId="7" borderId="13" applyNumberFormat="0" applyAlignment="0" applyProtection="0"/>
    <xf numFmtId="0" fontId="81" fillId="0" borderId="28" applyNumberFormat="0" applyFill="0" applyAlignment="0" applyProtection="0"/>
    <xf numFmtId="0" fontId="45" fillId="8" borderId="14" applyNumberFormat="0" applyFont="0" applyAlignment="0" applyProtection="0"/>
    <xf numFmtId="0" fontId="82" fillId="0" borderId="0" applyNumberFormat="0" applyFill="0" applyBorder="0" applyAlignment="0" applyProtection="0"/>
    <xf numFmtId="0" fontId="83" fillId="0" borderId="0" applyNumberFormat="0" applyFill="0" applyBorder="0" applyAlignment="0" applyProtection="0"/>
    <xf numFmtId="0" fontId="84" fillId="6" borderId="10" applyNumberFormat="0" applyAlignment="0" applyProtection="0"/>
    <xf numFmtId="0" fontId="85" fillId="5" borderId="10" applyNumberFormat="0" applyAlignment="0" applyProtection="0"/>
    <xf numFmtId="0" fontId="86" fillId="6" borderId="11" applyNumberFormat="0" applyAlignment="0" applyProtection="0"/>
    <xf numFmtId="0" fontId="87" fillId="4" borderId="0" applyNumberFormat="0" applyBorder="0" applyAlignment="0" applyProtection="0"/>
    <xf numFmtId="0" fontId="88" fillId="0" borderId="12" applyNumberFormat="0" applyFill="0" applyAlignment="0" applyProtection="0"/>
    <xf numFmtId="0" fontId="25" fillId="0" borderId="0"/>
    <xf numFmtId="0" fontId="89" fillId="0" borderId="0"/>
    <xf numFmtId="0" fontId="89" fillId="0" borderId="0"/>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51">
    <xf numFmtId="0" fontId="0" fillId="0" borderId="0" xfId="0"/>
    <xf numFmtId="0" fontId="20" fillId="0" borderId="0" xfId="0" applyFont="1"/>
    <xf numFmtId="0" fontId="28" fillId="0" borderId="0" xfId="0" applyFont="1"/>
    <xf numFmtId="169" fontId="28" fillId="0" borderId="0" xfId="0" applyNumberFormat="1" applyFont="1"/>
    <xf numFmtId="0" fontId="91" fillId="0" borderId="0" xfId="0" applyFont="1"/>
    <xf numFmtId="0" fontId="92" fillId="0" borderId="1" xfId="71" applyFont="1" applyBorder="1" applyProtection="1">
      <protection locked="0"/>
    </xf>
    <xf numFmtId="0" fontId="92" fillId="0" borderId="1" xfId="71" applyFont="1" applyBorder="1"/>
    <xf numFmtId="169" fontId="92" fillId="0" borderId="1" xfId="71" applyNumberFormat="1" applyFont="1" applyBorder="1" applyAlignment="1">
      <alignment vertical="center"/>
    </xf>
    <xf numFmtId="0" fontId="93" fillId="0" borderId="1" xfId="0" applyFont="1" applyBorder="1"/>
    <xf numFmtId="0" fontId="93" fillId="0" borderId="1" xfId="0" applyFont="1" applyBorder="1" applyAlignment="1">
      <alignment horizontal="center"/>
    </xf>
    <xf numFmtId="181" fontId="93" fillId="0" borderId="1" xfId="0" applyNumberFormat="1" applyFont="1" applyBorder="1" applyAlignment="1">
      <alignment horizontal="center"/>
    </xf>
    <xf numFmtId="169" fontId="93" fillId="0" borderId="1" xfId="5" applyNumberFormat="1" applyFont="1" applyBorder="1"/>
    <xf numFmtId="169" fontId="93" fillId="0" borderId="1" xfId="5" applyNumberFormat="1" applyFont="1" applyFill="1" applyBorder="1"/>
    <xf numFmtId="169" fontId="91" fillId="0" borderId="0" xfId="0" applyNumberFormat="1" applyFont="1"/>
    <xf numFmtId="169" fontId="90" fillId="0" borderId="1" xfId="5" applyNumberFormat="1" applyFont="1" applyBorder="1"/>
    <xf numFmtId="6" fontId="94" fillId="0" borderId="0" xfId="0" applyNumberFormat="1" applyFont="1"/>
    <xf numFmtId="0" fontId="96" fillId="0" borderId="1" xfId="0" applyFont="1" applyBorder="1" applyAlignment="1">
      <alignment vertical="center"/>
    </xf>
    <xf numFmtId="0" fontId="96" fillId="0" borderId="5" xfId="0" applyFont="1" applyBorder="1" applyAlignment="1">
      <alignment vertical="center"/>
    </xf>
    <xf numFmtId="0" fontId="96" fillId="0" borderId="0" xfId="0" applyFont="1" applyAlignment="1">
      <alignment vertical="center"/>
    </xf>
    <xf numFmtId="169" fontId="92" fillId="0" borderId="0" xfId="31" applyNumberFormat="1" applyFont="1" applyAlignment="1">
      <alignment horizontal="center" vertical="center"/>
    </xf>
    <xf numFmtId="0" fontId="97" fillId="0" borderId="1" xfId="39209" applyFont="1" applyBorder="1"/>
    <xf numFmtId="0" fontId="2" fillId="0" borderId="0" xfId="39209"/>
    <xf numFmtId="165" fontId="90" fillId="79" borderId="1" xfId="31" applyFont="1" applyFill="1" applyBorder="1" applyAlignment="1">
      <alignment horizontal="center" vertical="center"/>
    </xf>
    <xf numFmtId="0" fontId="90" fillId="79" borderId="1" xfId="0" applyFont="1" applyFill="1" applyBorder="1" applyAlignment="1">
      <alignment horizontal="center"/>
    </xf>
    <xf numFmtId="0" fontId="90" fillId="79" borderId="1" xfId="0" applyFont="1" applyFill="1" applyBorder="1"/>
    <xf numFmtId="165" fontId="90" fillId="79" borderId="1" xfId="5" applyFont="1" applyFill="1" applyBorder="1"/>
    <xf numFmtId="169" fontId="90" fillId="79" borderId="1" xfId="5" applyNumberFormat="1" applyFont="1" applyFill="1" applyBorder="1"/>
    <xf numFmtId="0" fontId="90" fillId="79" borderId="1" xfId="71" applyFont="1" applyFill="1" applyBorder="1" applyAlignment="1">
      <alignment horizontal="center"/>
    </xf>
    <xf numFmtId="174" fontId="90" fillId="79" borderId="1" xfId="71" applyNumberFormat="1" applyFont="1" applyFill="1" applyBorder="1" applyAlignment="1">
      <alignment horizontal="center" vertical="center"/>
    </xf>
    <xf numFmtId="174" fontId="90" fillId="79" borderId="3" xfId="71" applyNumberFormat="1" applyFont="1" applyFill="1" applyBorder="1" applyAlignment="1">
      <alignment horizontal="center" vertical="center"/>
    </xf>
    <xf numFmtId="174" fontId="90" fillId="79" borderId="4" xfId="71" applyNumberFormat="1" applyFont="1" applyFill="1" applyBorder="1" applyAlignment="1">
      <alignment horizontal="center" vertical="center"/>
    </xf>
    <xf numFmtId="0" fontId="96" fillId="0" borderId="33" xfId="0" applyFont="1" applyBorder="1"/>
    <xf numFmtId="0" fontId="98" fillId="80" borderId="1" xfId="0" applyFont="1" applyFill="1" applyBorder="1" applyAlignment="1">
      <alignment wrapText="1"/>
    </xf>
    <xf numFmtId="0" fontId="98" fillId="80" borderId="4" xfId="0" applyFont="1" applyFill="1" applyBorder="1" applyAlignment="1">
      <alignment wrapText="1"/>
    </xf>
    <xf numFmtId="0" fontId="98" fillId="81" borderId="4" xfId="0" applyFont="1" applyFill="1" applyBorder="1" applyAlignment="1">
      <alignment wrapText="1"/>
    </xf>
    <xf numFmtId="0" fontId="99" fillId="0" borderId="30" xfId="0" applyFont="1" applyBorder="1"/>
    <xf numFmtId="0" fontId="99" fillId="82" borderId="29" xfId="0" applyFont="1" applyFill="1" applyBorder="1"/>
    <xf numFmtId="0" fontId="99" fillId="0" borderId="29" xfId="0" applyFont="1" applyBorder="1"/>
    <xf numFmtId="0" fontId="100" fillId="0" borderId="29" xfId="0" applyFont="1" applyBorder="1"/>
    <xf numFmtId="0" fontId="99" fillId="83" borderId="29" xfId="0" applyFont="1" applyFill="1" applyBorder="1"/>
    <xf numFmtId="0" fontId="101" fillId="0" borderId="1" xfId="0" applyFont="1" applyBorder="1"/>
    <xf numFmtId="0" fontId="101" fillId="0" borderId="4" xfId="0" applyFont="1" applyBorder="1"/>
    <xf numFmtId="0" fontId="101" fillId="0" borderId="30" xfId="0" applyFont="1" applyBorder="1"/>
    <xf numFmtId="0" fontId="101" fillId="0" borderId="29" xfId="0" applyFont="1" applyBorder="1"/>
    <xf numFmtId="0" fontId="0" fillId="0" borderId="0" xfId="0" pivotButton="1"/>
    <xf numFmtId="10" fontId="0" fillId="0" borderId="0" xfId="0" applyNumberFormat="1"/>
    <xf numFmtId="182" fontId="0" fillId="0" borderId="0" xfId="0" applyNumberFormat="1"/>
    <xf numFmtId="0" fontId="0" fillId="86" borderId="0" xfId="0" applyFill="1"/>
    <xf numFmtId="174" fontId="90" fillId="79" borderId="30" xfId="71" applyNumberFormat="1" applyFont="1" applyFill="1" applyBorder="1" applyAlignment="1">
      <alignment horizontal="center" vertical="center"/>
    </xf>
    <xf numFmtId="0" fontId="102" fillId="0" borderId="32" xfId="0" applyFont="1" applyBorder="1"/>
    <xf numFmtId="0" fontId="92" fillId="0" borderId="3" xfId="71" applyFont="1" applyBorder="1" applyAlignment="1" applyProtection="1">
      <alignment horizontal="center" vertical="center"/>
      <protection locked="0"/>
    </xf>
    <xf numFmtId="169" fontId="92" fillId="0" borderId="4" xfId="71" applyNumberFormat="1" applyFont="1" applyBorder="1" applyAlignment="1">
      <alignment vertical="center"/>
    </xf>
    <xf numFmtId="0" fontId="90" fillId="79" borderId="31" xfId="71" applyFont="1" applyFill="1" applyBorder="1" applyAlignment="1">
      <alignment horizontal="center"/>
    </xf>
    <xf numFmtId="10" fontId="28" fillId="86" borderId="0" xfId="0" applyNumberFormat="1" applyFont="1" applyFill="1" applyAlignment="1">
      <alignment horizontal="center"/>
    </xf>
    <xf numFmtId="169" fontId="92" fillId="87" borderId="1" xfId="31" applyNumberFormat="1" applyFont="1" applyFill="1" applyBorder="1" applyAlignment="1">
      <alignment horizontal="center" vertical="center"/>
    </xf>
    <xf numFmtId="169" fontId="92" fillId="87" borderId="1" xfId="32" applyNumberFormat="1" applyFont="1" applyFill="1" applyBorder="1" applyAlignment="1">
      <alignment horizontal="center"/>
    </xf>
    <xf numFmtId="0" fontId="91" fillId="0" borderId="1" xfId="0" applyFont="1" applyBorder="1"/>
    <xf numFmtId="0" fontId="95" fillId="84" borderId="1" xfId="0" applyFont="1" applyFill="1" applyBorder="1" applyAlignment="1" applyProtection="1">
      <alignment horizontal="center" vertical="center" wrapText="1"/>
      <protection locked="0"/>
    </xf>
    <xf numFmtId="171" fontId="95" fillId="84" borderId="1" xfId="0" applyNumberFormat="1" applyFont="1" applyFill="1" applyBorder="1" applyAlignment="1">
      <alignment horizontal="center" vertical="center" wrapText="1"/>
    </xf>
    <xf numFmtId="171" fontId="95" fillId="84" borderId="1" xfId="0" applyNumberFormat="1" applyFont="1" applyFill="1" applyBorder="1" applyAlignment="1" applyProtection="1">
      <alignment horizontal="center" vertical="center" wrapText="1"/>
      <protection locked="0"/>
    </xf>
    <xf numFmtId="0" fontId="95" fillId="84" borderId="1" xfId="68" applyFont="1" applyFill="1" applyBorder="1" applyAlignment="1">
      <alignment horizontal="center" vertical="center" wrapText="1"/>
    </xf>
    <xf numFmtId="0" fontId="91" fillId="0" borderId="1" xfId="0" applyFont="1" applyBorder="1" applyAlignment="1">
      <alignment horizontal="center"/>
    </xf>
    <xf numFmtId="182" fontId="91" fillId="0" borderId="1" xfId="5" applyNumberFormat="1" applyFont="1" applyFill="1" applyBorder="1" applyAlignment="1">
      <alignment horizontal="center" vertical="center"/>
    </xf>
    <xf numFmtId="169" fontId="90" fillId="0" borderId="30" xfId="5" applyNumberFormat="1" applyFont="1" applyBorder="1" applyAlignment="1">
      <alignment horizontal="center" vertical="center"/>
    </xf>
    <xf numFmtId="0" fontId="91" fillId="0" borderId="0" xfId="0" applyFont="1" applyAlignment="1">
      <alignment horizontal="center"/>
    </xf>
    <xf numFmtId="0" fontId="91" fillId="0" borderId="31" xfId="0" applyFont="1" applyBorder="1" applyAlignment="1">
      <alignment horizontal="center"/>
    </xf>
    <xf numFmtId="1" fontId="91" fillId="0" borderId="31" xfId="0" applyNumberFormat="1" applyFont="1" applyBorder="1" applyAlignment="1">
      <alignment horizontal="center"/>
    </xf>
    <xf numFmtId="0" fontId="91" fillId="85" borderId="31" xfId="0" applyFont="1" applyFill="1" applyBorder="1" applyAlignment="1" applyProtection="1">
      <alignment horizontal="center"/>
      <protection locked="0"/>
    </xf>
    <xf numFmtId="0" fontId="91" fillId="0" borderId="1" xfId="0" applyFont="1" applyBorder="1" applyAlignment="1">
      <alignment horizontal="center" vertical="center"/>
    </xf>
    <xf numFmtId="173" fontId="91" fillId="0" borderId="1" xfId="5" applyNumberFormat="1" applyFont="1" applyFill="1" applyBorder="1" applyAlignment="1">
      <alignment horizontal="center" vertical="center"/>
    </xf>
    <xf numFmtId="173" fontId="91" fillId="0" borderId="1" xfId="0" applyNumberFormat="1" applyFont="1" applyBorder="1" applyAlignment="1">
      <alignment horizontal="center" vertical="center"/>
    </xf>
    <xf numFmtId="173" fontId="91" fillId="0" borderId="1" xfId="5" applyNumberFormat="1" applyFont="1" applyFill="1" applyBorder="1" applyAlignment="1">
      <alignment vertical="center"/>
    </xf>
    <xf numFmtId="173" fontId="91" fillId="0" borderId="3" xfId="0" applyNumberFormat="1" applyFont="1" applyBorder="1" applyAlignment="1">
      <alignment vertical="center"/>
    </xf>
    <xf numFmtId="0" fontId="91" fillId="0" borderId="32" xfId="0" applyFont="1" applyBorder="1" applyAlignment="1">
      <alignment vertical="center"/>
    </xf>
    <xf numFmtId="0" fontId="91" fillId="0" borderId="32" xfId="0" applyFont="1" applyBorder="1" applyAlignment="1">
      <alignment horizontal="center" vertical="center"/>
    </xf>
    <xf numFmtId="0" fontId="104" fillId="0" borderId="0" xfId="0" applyFont="1"/>
    <xf numFmtId="14" fontId="104" fillId="0" borderId="0" xfId="0" applyNumberFormat="1" applyFont="1"/>
    <xf numFmtId="0" fontId="105" fillId="0" borderId="0" xfId="0" applyFont="1"/>
    <xf numFmtId="0" fontId="104" fillId="0" borderId="0" xfId="0" applyFont="1" applyAlignment="1">
      <alignment horizontal="right"/>
    </xf>
    <xf numFmtId="0" fontId="104" fillId="0" borderId="0" xfId="0" applyFont="1" applyAlignment="1">
      <alignment horizontal="center" vertical="center"/>
    </xf>
    <xf numFmtId="0" fontId="105" fillId="0" borderId="0" xfId="0" applyFont="1" applyAlignment="1">
      <alignment horizontal="center" vertical="center"/>
    </xf>
    <xf numFmtId="173" fontId="103" fillId="0" borderId="35" xfId="0" applyNumberFormat="1" applyFont="1" applyBorder="1" applyAlignment="1">
      <alignment horizontal="center" vertical="center"/>
    </xf>
    <xf numFmtId="0" fontId="106" fillId="0" borderId="1" xfId="0" applyFont="1" applyBorder="1" applyAlignment="1">
      <alignment horizontal="center"/>
    </xf>
    <xf numFmtId="173" fontId="107" fillId="0" borderId="1" xfId="0" applyNumberFormat="1" applyFont="1" applyBorder="1" applyAlignment="1">
      <alignment horizontal="center" vertical="center"/>
    </xf>
    <xf numFmtId="0" fontId="91" fillId="0" borderId="32" xfId="0" applyFont="1" applyBorder="1" applyAlignment="1">
      <alignment horizontal="center"/>
    </xf>
    <xf numFmtId="1" fontId="91" fillId="0" borderId="32" xfId="0" applyNumberFormat="1" applyFont="1" applyBorder="1" applyAlignment="1">
      <alignment horizontal="center"/>
    </xf>
    <xf numFmtId="0" fontId="91" fillId="85" borderId="32" xfId="0" applyFont="1" applyFill="1" applyBorder="1" applyAlignment="1" applyProtection="1">
      <alignment horizontal="center"/>
      <protection locked="0"/>
    </xf>
    <xf numFmtId="182" fontId="91" fillId="0" borderId="32" xfId="5" applyNumberFormat="1" applyFont="1" applyFill="1" applyBorder="1" applyAlignment="1">
      <alignment horizontal="center" vertical="center"/>
    </xf>
    <xf numFmtId="182" fontId="91" fillId="0" borderId="31" xfId="5" applyNumberFormat="1" applyFont="1" applyFill="1" applyBorder="1" applyAlignment="1">
      <alignment horizontal="center" vertical="center"/>
    </xf>
    <xf numFmtId="185" fontId="103" fillId="0" borderId="30" xfId="0" applyNumberFormat="1" applyFont="1" applyBorder="1" applyAlignment="1">
      <alignment horizontal="center" vertical="center"/>
    </xf>
    <xf numFmtId="0" fontId="104" fillId="0" borderId="0" xfId="0" applyFont="1" applyAlignment="1">
      <alignment horizontal="center"/>
    </xf>
    <xf numFmtId="0" fontId="0" fillId="84" borderId="1" xfId="0" applyFill="1" applyBorder="1" applyAlignment="1">
      <alignment horizontal="center" vertical="center" wrapText="1"/>
    </xf>
    <xf numFmtId="14" fontId="95" fillId="84" borderId="31" xfId="0" applyNumberFormat="1" applyFont="1" applyFill="1" applyBorder="1" applyAlignment="1" applyProtection="1">
      <alignment horizontal="center" vertical="center" wrapText="1"/>
      <protection locked="0"/>
    </xf>
    <xf numFmtId="0" fontId="91" fillId="0" borderId="31" xfId="0" applyFont="1" applyBorder="1" applyAlignment="1">
      <alignment horizontal="left"/>
    </xf>
    <xf numFmtId="0" fontId="91" fillId="0" borderId="1" xfId="0" applyFont="1" applyBorder="1" applyAlignment="1">
      <alignment horizontal="left"/>
    </xf>
    <xf numFmtId="0" fontId="91" fillId="0" borderId="31" xfId="0" applyFont="1" applyBorder="1" applyAlignment="1" applyProtection="1">
      <alignment horizontal="left"/>
      <protection locked="0"/>
    </xf>
    <xf numFmtId="0" fontId="91" fillId="0" borderId="34" xfId="0" applyFont="1" applyBorder="1" applyAlignment="1" applyProtection="1">
      <alignment horizontal="left"/>
      <protection locked="0"/>
    </xf>
    <xf numFmtId="183" fontId="91" fillId="0" borderId="31" xfId="0" applyNumberFormat="1" applyFont="1" applyBorder="1" applyAlignment="1" applyProtection="1">
      <alignment horizontal="left" vertical="center"/>
      <protection locked="0"/>
    </xf>
    <xf numFmtId="14" fontId="91" fillId="0" borderId="31" xfId="0" applyNumberFormat="1" applyFont="1" applyBorder="1" applyAlignment="1" applyProtection="1">
      <alignment horizontal="left" vertical="center"/>
      <protection locked="0"/>
    </xf>
    <xf numFmtId="0" fontId="91" fillId="0" borderId="1" xfId="0" applyFont="1" applyBorder="1" applyAlignment="1" applyProtection="1">
      <alignment horizontal="left"/>
      <protection locked="0"/>
    </xf>
    <xf numFmtId="1" fontId="91" fillId="0" borderId="31" xfId="0" applyNumberFormat="1" applyFont="1" applyBorder="1" applyAlignment="1">
      <alignment horizontal="left"/>
    </xf>
    <xf numFmtId="0" fontId="91" fillId="0" borderId="31" xfId="0" quotePrefix="1" applyFont="1" applyBorder="1" applyAlignment="1">
      <alignment horizontal="left"/>
    </xf>
    <xf numFmtId="0" fontId="91" fillId="0" borderId="31" xfId="0" applyFont="1" applyBorder="1" applyAlignment="1" applyProtection="1">
      <alignment horizontal="left" vertical="center"/>
      <protection locked="0"/>
    </xf>
    <xf numFmtId="184" fontId="91" fillId="0" borderId="1" xfId="0" applyNumberFormat="1" applyFont="1" applyBorder="1" applyAlignment="1" applyProtection="1">
      <alignment horizontal="left" vertical="center"/>
      <protection locked="0"/>
    </xf>
    <xf numFmtId="0" fontId="91" fillId="0" borderId="1" xfId="0" applyFont="1" applyBorder="1" applyAlignment="1" applyProtection="1">
      <alignment horizontal="left" vertical="center"/>
      <protection locked="0"/>
    </xf>
    <xf numFmtId="182" fontId="91" fillId="0" borderId="37" xfId="5" applyNumberFormat="1" applyFont="1" applyFill="1" applyBorder="1" applyAlignment="1">
      <alignment horizontal="center" vertical="center"/>
    </xf>
    <xf numFmtId="1" fontId="91" fillId="0" borderId="38" xfId="0" applyNumberFormat="1" applyFont="1" applyBorder="1" applyAlignment="1">
      <alignment horizontal="center"/>
    </xf>
    <xf numFmtId="0" fontId="91" fillId="85" borderId="38" xfId="0" applyFont="1" applyFill="1" applyBorder="1" applyAlignment="1" applyProtection="1">
      <alignment horizontal="center"/>
      <protection locked="0"/>
    </xf>
    <xf numFmtId="0" fontId="91" fillId="0" borderId="31" xfId="0" applyFont="1" applyBorder="1"/>
    <xf numFmtId="184" fontId="91" fillId="0" borderId="31" xfId="0" applyNumberFormat="1" applyFont="1" applyBorder="1" applyAlignment="1" applyProtection="1">
      <alignment horizontal="left" vertical="center"/>
      <protection locked="0"/>
    </xf>
    <xf numFmtId="182" fontId="91" fillId="0" borderId="38" xfId="5" applyNumberFormat="1" applyFont="1" applyFill="1" applyBorder="1" applyAlignment="1">
      <alignment horizontal="center" vertical="center"/>
    </xf>
    <xf numFmtId="1" fontId="91" fillId="0" borderId="1" xfId="0" applyNumberFormat="1" applyFont="1" applyBorder="1" applyAlignment="1">
      <alignment horizontal="center"/>
    </xf>
    <xf numFmtId="0" fontId="91" fillId="85" borderId="1" xfId="0" applyFont="1" applyFill="1" applyBorder="1" applyAlignment="1" applyProtection="1">
      <alignment horizontal="center"/>
      <protection locked="0"/>
    </xf>
    <xf numFmtId="183" fontId="91" fillId="0" borderId="1" xfId="0" applyNumberFormat="1" applyFont="1" applyBorder="1" applyAlignment="1" applyProtection="1">
      <alignment horizontal="left" vertical="center"/>
      <protection locked="0"/>
    </xf>
    <xf numFmtId="14" fontId="91" fillId="0" borderId="1" xfId="0" applyNumberFormat="1" applyFont="1" applyBorder="1" applyAlignment="1" applyProtection="1">
      <alignment horizontal="left" vertical="center"/>
      <protection locked="0"/>
    </xf>
    <xf numFmtId="1" fontId="91" fillId="0" borderId="1" xfId="0" applyNumberFormat="1" applyFont="1" applyBorder="1" applyAlignment="1">
      <alignment horizontal="left"/>
    </xf>
    <xf numFmtId="173" fontId="95" fillId="84" borderId="1" xfId="5" applyNumberFormat="1" applyFont="1" applyFill="1" applyBorder="1" applyAlignment="1">
      <alignment horizontal="center" vertical="center" wrapText="1"/>
    </xf>
    <xf numFmtId="0" fontId="90" fillId="84" borderId="1" xfId="68" applyFont="1" applyFill="1" applyBorder="1" applyAlignment="1">
      <alignment horizontal="center" vertical="center" wrapText="1"/>
    </xf>
    <xf numFmtId="173" fontId="95" fillId="84" borderId="39" xfId="5" applyNumberFormat="1" applyFont="1" applyFill="1" applyBorder="1" applyAlignment="1">
      <alignment horizontal="center" vertical="center" wrapText="1"/>
    </xf>
    <xf numFmtId="22" fontId="91" fillId="0" borderId="1" xfId="0" applyNumberFormat="1" applyFont="1" applyBorder="1" applyAlignment="1">
      <alignment horizontal="center"/>
    </xf>
    <xf numFmtId="0" fontId="91" fillId="0" borderId="3" xfId="0" applyFont="1" applyBorder="1" applyAlignment="1">
      <alignment horizontal="center"/>
    </xf>
    <xf numFmtId="0" fontId="91" fillId="0" borderId="3" xfId="0" applyFont="1" applyBorder="1" applyAlignment="1">
      <alignment horizontal="center" vertical="center"/>
    </xf>
    <xf numFmtId="22" fontId="91" fillId="0" borderId="1" xfId="0" applyNumberFormat="1" applyFont="1" applyBorder="1" applyAlignment="1">
      <alignment horizontal="center" vertical="center"/>
    </xf>
    <xf numFmtId="0" fontId="104" fillId="0" borderId="0" xfId="0" applyFont="1" applyAlignment="1">
      <alignment horizontal="left" vertical="center"/>
    </xf>
    <xf numFmtId="22" fontId="91" fillId="0" borderId="32" xfId="0" applyNumberFormat="1" applyFont="1" applyBorder="1" applyAlignment="1">
      <alignment vertical="center"/>
    </xf>
    <xf numFmtId="0" fontId="91" fillId="0" borderId="32" xfId="0" applyFont="1" applyBorder="1" applyAlignment="1">
      <alignment horizontal="right" vertical="center"/>
    </xf>
    <xf numFmtId="22" fontId="91" fillId="0" borderId="32" xfId="0" applyNumberFormat="1" applyFont="1" applyBorder="1" applyAlignment="1">
      <alignment horizontal="right" vertical="center"/>
    </xf>
    <xf numFmtId="0" fontId="90" fillId="79" borderId="3" xfId="71" applyFont="1" applyFill="1" applyBorder="1" applyAlignment="1">
      <alignment horizontal="center"/>
    </xf>
    <xf numFmtId="0" fontId="90" fillId="79" borderId="6" xfId="71" applyFont="1" applyFill="1" applyBorder="1" applyAlignment="1">
      <alignment horizontal="center"/>
    </xf>
    <xf numFmtId="0" fontId="90" fillId="79" borderId="4" xfId="71" applyFont="1" applyFill="1" applyBorder="1" applyAlignment="1">
      <alignment horizontal="center"/>
    </xf>
    <xf numFmtId="17" fontId="90" fillId="79" borderId="3" xfId="71" applyNumberFormat="1" applyFont="1" applyFill="1" applyBorder="1" applyAlignment="1" applyProtection="1">
      <alignment horizontal="center"/>
      <protection locked="0"/>
    </xf>
    <xf numFmtId="17" fontId="90" fillId="79" borderId="6" xfId="71" applyNumberFormat="1" applyFont="1" applyFill="1" applyBorder="1" applyAlignment="1" applyProtection="1">
      <alignment horizontal="center"/>
      <protection locked="0"/>
    </xf>
    <xf numFmtId="17" fontId="90" fillId="79" borderId="4" xfId="71" applyNumberFormat="1" applyFont="1" applyFill="1" applyBorder="1" applyAlignment="1" applyProtection="1">
      <alignment horizontal="center"/>
      <protection locked="0"/>
    </xf>
    <xf numFmtId="165" fontId="90" fillId="0" borderId="3" xfId="6" applyFont="1" applyBorder="1" applyAlignment="1">
      <alignment horizontal="right" indent="1"/>
    </xf>
    <xf numFmtId="165" fontId="90" fillId="0" borderId="6" xfId="6" applyFont="1" applyBorder="1" applyAlignment="1">
      <alignment horizontal="right" indent="1"/>
    </xf>
    <xf numFmtId="165" fontId="90" fillId="0" borderId="4" xfId="6" applyFont="1" applyBorder="1" applyAlignment="1">
      <alignment horizontal="right" indent="1"/>
    </xf>
    <xf numFmtId="165" fontId="90" fillId="79" borderId="3" xfId="6" applyFont="1" applyFill="1" applyBorder="1" applyAlignment="1">
      <alignment horizontal="right"/>
    </xf>
    <xf numFmtId="165" fontId="90" fillId="79" borderId="6" xfId="6" applyFont="1" applyFill="1" applyBorder="1" applyAlignment="1">
      <alignment horizontal="right"/>
    </xf>
    <xf numFmtId="165" fontId="90" fillId="79" borderId="4" xfId="6" applyFont="1" applyFill="1" applyBorder="1" applyAlignment="1">
      <alignment horizontal="right"/>
    </xf>
    <xf numFmtId="0" fontId="90" fillId="79" borderId="2" xfId="0" applyFont="1" applyFill="1" applyBorder="1" applyAlignment="1">
      <alignment horizontal="center"/>
    </xf>
    <xf numFmtId="0" fontId="90" fillId="79" borderId="0" xfId="0" applyFont="1" applyFill="1" applyAlignment="1">
      <alignment horizontal="center"/>
    </xf>
    <xf numFmtId="0" fontId="90" fillId="79" borderId="1" xfId="0" applyFont="1" applyFill="1" applyBorder="1" applyAlignment="1">
      <alignment horizontal="center"/>
    </xf>
    <xf numFmtId="17" fontId="90" fillId="79" borderId="1" xfId="0" applyNumberFormat="1" applyFont="1" applyFill="1" applyBorder="1" applyAlignment="1">
      <alignment horizontal="center"/>
    </xf>
    <xf numFmtId="0" fontId="93" fillId="0" borderId="1" xfId="0" applyFont="1" applyBorder="1" applyAlignment="1">
      <alignment horizontal="center"/>
    </xf>
    <xf numFmtId="0" fontId="90" fillId="0" borderId="35" xfId="0" applyFont="1" applyBorder="1" applyAlignment="1">
      <alignment horizontal="right"/>
    </xf>
    <xf numFmtId="0" fontId="90" fillId="0" borderId="36" xfId="0" applyFont="1" applyBorder="1" applyAlignment="1">
      <alignment horizontal="right"/>
    </xf>
    <xf numFmtId="0" fontId="90" fillId="0" borderId="29" xfId="0" applyFont="1" applyBorder="1" applyAlignment="1">
      <alignment horizontal="right"/>
    </xf>
    <xf numFmtId="0" fontId="95" fillId="79" borderId="1" xfId="0" applyFont="1" applyFill="1" applyBorder="1" applyAlignment="1">
      <alignment horizontal="center"/>
    </xf>
    <xf numFmtId="0" fontId="96" fillId="0" borderId="3" xfId="0" applyFont="1" applyBorder="1" applyAlignment="1">
      <alignment horizontal="left" vertical="center" wrapText="1"/>
    </xf>
    <xf numFmtId="0" fontId="96" fillId="0" borderId="6" xfId="0" applyFont="1" applyBorder="1" applyAlignment="1">
      <alignment horizontal="left" vertical="center" wrapText="1"/>
    </xf>
    <xf numFmtId="0" fontId="96" fillId="0" borderId="4" xfId="0" applyFont="1" applyBorder="1" applyAlignment="1">
      <alignment horizontal="left" vertical="center" wrapText="1"/>
    </xf>
  </cellXfs>
  <cellStyles count="39247">
    <cellStyle name="20% - Accent1" xfId="82" xr:uid="{00000000-0005-0000-0000-000000000000}"/>
    <cellStyle name="20% - Accent1 2" xfId="83" xr:uid="{00000000-0005-0000-0000-000001000000}"/>
    <cellStyle name="20% - Accent1 3" xfId="84" xr:uid="{00000000-0005-0000-0000-000002000000}"/>
    <cellStyle name="20% - Accent1 4" xfId="85" xr:uid="{00000000-0005-0000-0000-000003000000}"/>
    <cellStyle name="20% - Accent1 5" xfId="86" xr:uid="{00000000-0005-0000-0000-000004000000}"/>
    <cellStyle name="20% - Accent2" xfId="87" xr:uid="{00000000-0005-0000-0000-000005000000}"/>
    <cellStyle name="20% - Accent2 2" xfId="88" xr:uid="{00000000-0005-0000-0000-000006000000}"/>
    <cellStyle name="20% - Accent2 3" xfId="89" xr:uid="{00000000-0005-0000-0000-000007000000}"/>
    <cellStyle name="20% - Accent2 4" xfId="90" xr:uid="{00000000-0005-0000-0000-000008000000}"/>
    <cellStyle name="20% - Accent2 5" xfId="91" xr:uid="{00000000-0005-0000-0000-000009000000}"/>
    <cellStyle name="20% - Accent3" xfId="92" xr:uid="{00000000-0005-0000-0000-00000A000000}"/>
    <cellStyle name="20% - Accent3 2" xfId="93" xr:uid="{00000000-0005-0000-0000-00000B000000}"/>
    <cellStyle name="20% - Accent3 3" xfId="94" xr:uid="{00000000-0005-0000-0000-00000C000000}"/>
    <cellStyle name="20% - Accent3 4" xfId="95" xr:uid="{00000000-0005-0000-0000-00000D000000}"/>
    <cellStyle name="20% - Accent3 5" xfId="96" xr:uid="{00000000-0005-0000-0000-00000E000000}"/>
    <cellStyle name="20% - Accent4" xfId="97" xr:uid="{00000000-0005-0000-0000-00000F000000}"/>
    <cellStyle name="20% - Accent4 2" xfId="98" xr:uid="{00000000-0005-0000-0000-000010000000}"/>
    <cellStyle name="20% - Accent4 3" xfId="99" xr:uid="{00000000-0005-0000-0000-000011000000}"/>
    <cellStyle name="20% - Accent4 4" xfId="100" xr:uid="{00000000-0005-0000-0000-000012000000}"/>
    <cellStyle name="20% - Accent4 5" xfId="101" xr:uid="{00000000-0005-0000-0000-000013000000}"/>
    <cellStyle name="20% - Accent5" xfId="102" xr:uid="{00000000-0005-0000-0000-000014000000}"/>
    <cellStyle name="20% - Accent5 2" xfId="103" xr:uid="{00000000-0005-0000-0000-000015000000}"/>
    <cellStyle name="20% - Accent5 3" xfId="104" xr:uid="{00000000-0005-0000-0000-000016000000}"/>
    <cellStyle name="20% - Accent5 4" xfId="105" xr:uid="{00000000-0005-0000-0000-000017000000}"/>
    <cellStyle name="20% - Accent5 5" xfId="106" xr:uid="{00000000-0005-0000-0000-000018000000}"/>
    <cellStyle name="20% - Accent6" xfId="107" xr:uid="{00000000-0005-0000-0000-000019000000}"/>
    <cellStyle name="20% - Accent6 2" xfId="108" xr:uid="{00000000-0005-0000-0000-00001A000000}"/>
    <cellStyle name="20% - Accent6 3" xfId="109" xr:uid="{00000000-0005-0000-0000-00001B000000}"/>
    <cellStyle name="20% - Accent6 4" xfId="110" xr:uid="{00000000-0005-0000-0000-00001C000000}"/>
    <cellStyle name="20% - Accent6 5" xfId="111" xr:uid="{00000000-0005-0000-0000-00001D000000}"/>
    <cellStyle name="20% - Énfasis1 2" xfId="112" xr:uid="{00000000-0005-0000-0000-00001E000000}"/>
    <cellStyle name="20% - Énfasis1 2 2" xfId="113" xr:uid="{00000000-0005-0000-0000-00001F000000}"/>
    <cellStyle name="20% - Énfasis1 3" xfId="114" xr:uid="{00000000-0005-0000-0000-000020000000}"/>
    <cellStyle name="20% - Énfasis1 4" xfId="115" xr:uid="{00000000-0005-0000-0000-000021000000}"/>
    <cellStyle name="20% - Énfasis1 5" xfId="116" xr:uid="{00000000-0005-0000-0000-000022000000}"/>
    <cellStyle name="20% - Énfasis1 6" xfId="117" xr:uid="{00000000-0005-0000-0000-000023000000}"/>
    <cellStyle name="20% - Énfasis1 7" xfId="118" xr:uid="{00000000-0005-0000-0000-000024000000}"/>
    <cellStyle name="20% - Énfasis1 8" xfId="119" xr:uid="{00000000-0005-0000-0000-000025000000}"/>
    <cellStyle name="20% - Énfasis2 2" xfId="120" xr:uid="{00000000-0005-0000-0000-000026000000}"/>
    <cellStyle name="20% - Énfasis2 2 2" xfId="121" xr:uid="{00000000-0005-0000-0000-000027000000}"/>
    <cellStyle name="20% - Énfasis2 3" xfId="122" xr:uid="{00000000-0005-0000-0000-000028000000}"/>
    <cellStyle name="20% - Énfasis2 4" xfId="123" xr:uid="{00000000-0005-0000-0000-000029000000}"/>
    <cellStyle name="20% - Énfasis2 5" xfId="124" xr:uid="{00000000-0005-0000-0000-00002A000000}"/>
    <cellStyle name="20% - Énfasis2 6" xfId="125" xr:uid="{00000000-0005-0000-0000-00002B000000}"/>
    <cellStyle name="20% - Énfasis2 7" xfId="126" xr:uid="{00000000-0005-0000-0000-00002C000000}"/>
    <cellStyle name="20% - Énfasis2 8" xfId="127" xr:uid="{00000000-0005-0000-0000-00002D000000}"/>
    <cellStyle name="20% - Énfasis3 2" xfId="128" xr:uid="{00000000-0005-0000-0000-00002E000000}"/>
    <cellStyle name="20% - Énfasis3 2 2" xfId="129" xr:uid="{00000000-0005-0000-0000-00002F000000}"/>
    <cellStyle name="20% - Énfasis3 3" xfId="130" xr:uid="{00000000-0005-0000-0000-000030000000}"/>
    <cellStyle name="20% - Énfasis3 4" xfId="131" xr:uid="{00000000-0005-0000-0000-000031000000}"/>
    <cellStyle name="20% - Énfasis3 5" xfId="132" xr:uid="{00000000-0005-0000-0000-000032000000}"/>
    <cellStyle name="20% - Énfasis3 6" xfId="133" xr:uid="{00000000-0005-0000-0000-000033000000}"/>
    <cellStyle name="20% - Énfasis3 7" xfId="134" xr:uid="{00000000-0005-0000-0000-000034000000}"/>
    <cellStyle name="20% - Énfasis3 8" xfId="135" xr:uid="{00000000-0005-0000-0000-000035000000}"/>
    <cellStyle name="20% - Énfasis4 2" xfId="136" xr:uid="{00000000-0005-0000-0000-000036000000}"/>
    <cellStyle name="20% - Énfasis4 2 2" xfId="137" xr:uid="{00000000-0005-0000-0000-000037000000}"/>
    <cellStyle name="20% - Énfasis4 3" xfId="138" xr:uid="{00000000-0005-0000-0000-000038000000}"/>
    <cellStyle name="20% - Énfasis4 4" xfId="139" xr:uid="{00000000-0005-0000-0000-000039000000}"/>
    <cellStyle name="20% - Énfasis4 5" xfId="140" xr:uid="{00000000-0005-0000-0000-00003A000000}"/>
    <cellStyle name="20% - Énfasis4 6" xfId="141" xr:uid="{00000000-0005-0000-0000-00003B000000}"/>
    <cellStyle name="20% - Énfasis4 7" xfId="142" xr:uid="{00000000-0005-0000-0000-00003C000000}"/>
    <cellStyle name="20% - Énfasis4 8" xfId="143" xr:uid="{00000000-0005-0000-0000-00003D000000}"/>
    <cellStyle name="20% - Énfasis5 2" xfId="144" xr:uid="{00000000-0005-0000-0000-00003E000000}"/>
    <cellStyle name="20% - Énfasis5 2 2" xfId="145" xr:uid="{00000000-0005-0000-0000-00003F000000}"/>
    <cellStyle name="20% - Énfasis5 3" xfId="146" xr:uid="{00000000-0005-0000-0000-000040000000}"/>
    <cellStyle name="20% - Énfasis5 4" xfId="147" xr:uid="{00000000-0005-0000-0000-000041000000}"/>
    <cellStyle name="20% - Énfasis5 5" xfId="148" xr:uid="{00000000-0005-0000-0000-000042000000}"/>
    <cellStyle name="20% - Énfasis5 6" xfId="149" xr:uid="{00000000-0005-0000-0000-000043000000}"/>
    <cellStyle name="20% - Énfasis5 7" xfId="150" xr:uid="{00000000-0005-0000-0000-000044000000}"/>
    <cellStyle name="20% - Énfasis5 8" xfId="151" xr:uid="{00000000-0005-0000-0000-000045000000}"/>
    <cellStyle name="20% - Énfasis6 2" xfId="152" xr:uid="{00000000-0005-0000-0000-000046000000}"/>
    <cellStyle name="20% - Énfasis6 2 2" xfId="153" xr:uid="{00000000-0005-0000-0000-000047000000}"/>
    <cellStyle name="20% - Énfasis6 3" xfId="154" xr:uid="{00000000-0005-0000-0000-000048000000}"/>
    <cellStyle name="20% - Énfasis6 4" xfId="155" xr:uid="{00000000-0005-0000-0000-000049000000}"/>
    <cellStyle name="20% - Énfasis6 5" xfId="156" xr:uid="{00000000-0005-0000-0000-00004A000000}"/>
    <cellStyle name="20% - Énfasis6 6" xfId="157" xr:uid="{00000000-0005-0000-0000-00004B000000}"/>
    <cellStyle name="20% - Énfasis6 7" xfId="158" xr:uid="{00000000-0005-0000-0000-00004C000000}"/>
    <cellStyle name="20% - Énfasis6 8" xfId="159" xr:uid="{00000000-0005-0000-0000-00004D000000}"/>
    <cellStyle name="20% - 强调文字颜色 1" xfId="160" xr:uid="{00000000-0005-0000-0000-00004E000000}"/>
    <cellStyle name="20% - 强调文字颜色 2" xfId="161" xr:uid="{00000000-0005-0000-0000-00004F000000}"/>
    <cellStyle name="20% - 强调文字颜色 3" xfId="162" xr:uid="{00000000-0005-0000-0000-000050000000}"/>
    <cellStyle name="20% - 强调文字颜色 4" xfId="163" xr:uid="{00000000-0005-0000-0000-000051000000}"/>
    <cellStyle name="20% - 强调文字颜色 5" xfId="164" xr:uid="{00000000-0005-0000-0000-000052000000}"/>
    <cellStyle name="20% - 强调文字颜色 6" xfId="165" xr:uid="{00000000-0005-0000-0000-000053000000}"/>
    <cellStyle name="40% - Accent1" xfId="166" xr:uid="{00000000-0005-0000-0000-000054000000}"/>
    <cellStyle name="40% - Accent1 2" xfId="167" xr:uid="{00000000-0005-0000-0000-000055000000}"/>
    <cellStyle name="40% - Accent1 3" xfId="168" xr:uid="{00000000-0005-0000-0000-000056000000}"/>
    <cellStyle name="40% - Accent1 4" xfId="169" xr:uid="{00000000-0005-0000-0000-000057000000}"/>
    <cellStyle name="40% - Accent1 5" xfId="170" xr:uid="{00000000-0005-0000-0000-000058000000}"/>
    <cellStyle name="40% - Accent2" xfId="171" xr:uid="{00000000-0005-0000-0000-000059000000}"/>
    <cellStyle name="40% - Accent2 2" xfId="172" xr:uid="{00000000-0005-0000-0000-00005A000000}"/>
    <cellStyle name="40% - Accent2 3" xfId="173" xr:uid="{00000000-0005-0000-0000-00005B000000}"/>
    <cellStyle name="40% - Accent2 4" xfId="174" xr:uid="{00000000-0005-0000-0000-00005C000000}"/>
    <cellStyle name="40% - Accent2 5" xfId="175" xr:uid="{00000000-0005-0000-0000-00005D000000}"/>
    <cellStyle name="40% - Accent3" xfId="176" xr:uid="{00000000-0005-0000-0000-00005E000000}"/>
    <cellStyle name="40% - Accent3 2" xfId="177" xr:uid="{00000000-0005-0000-0000-00005F000000}"/>
    <cellStyle name="40% - Accent3 3" xfId="178" xr:uid="{00000000-0005-0000-0000-000060000000}"/>
    <cellStyle name="40% - Accent3 4" xfId="179" xr:uid="{00000000-0005-0000-0000-000061000000}"/>
    <cellStyle name="40% - Accent3 5" xfId="180" xr:uid="{00000000-0005-0000-0000-000062000000}"/>
    <cellStyle name="40% - Accent4" xfId="181" xr:uid="{00000000-0005-0000-0000-000063000000}"/>
    <cellStyle name="40% - Accent4 2" xfId="182" xr:uid="{00000000-0005-0000-0000-000064000000}"/>
    <cellStyle name="40% - Accent4 3" xfId="183" xr:uid="{00000000-0005-0000-0000-000065000000}"/>
    <cellStyle name="40% - Accent4 4" xfId="184" xr:uid="{00000000-0005-0000-0000-000066000000}"/>
    <cellStyle name="40% - Accent4 5" xfId="185" xr:uid="{00000000-0005-0000-0000-000067000000}"/>
    <cellStyle name="40% - Accent5" xfId="186" xr:uid="{00000000-0005-0000-0000-000068000000}"/>
    <cellStyle name="40% - Accent5 2" xfId="187" xr:uid="{00000000-0005-0000-0000-000069000000}"/>
    <cellStyle name="40% - Accent5 3" xfId="188" xr:uid="{00000000-0005-0000-0000-00006A000000}"/>
    <cellStyle name="40% - Accent5 4" xfId="189" xr:uid="{00000000-0005-0000-0000-00006B000000}"/>
    <cellStyle name="40% - Accent5 5" xfId="190" xr:uid="{00000000-0005-0000-0000-00006C000000}"/>
    <cellStyle name="40% - Accent6" xfId="191" xr:uid="{00000000-0005-0000-0000-00006D000000}"/>
    <cellStyle name="40% - Accent6 2" xfId="192" xr:uid="{00000000-0005-0000-0000-00006E000000}"/>
    <cellStyle name="40% - Accent6 3" xfId="193" xr:uid="{00000000-0005-0000-0000-00006F000000}"/>
    <cellStyle name="40% - Accent6 4" xfId="194" xr:uid="{00000000-0005-0000-0000-000070000000}"/>
    <cellStyle name="40% - Accent6 5" xfId="195" xr:uid="{00000000-0005-0000-0000-000071000000}"/>
    <cellStyle name="40% - Énfasis1 2" xfId="196" xr:uid="{00000000-0005-0000-0000-000072000000}"/>
    <cellStyle name="40% - Énfasis1 2 2" xfId="197" xr:uid="{00000000-0005-0000-0000-000073000000}"/>
    <cellStyle name="40% - Énfasis1 3" xfId="198" xr:uid="{00000000-0005-0000-0000-000074000000}"/>
    <cellStyle name="40% - Énfasis1 4" xfId="199" xr:uid="{00000000-0005-0000-0000-000075000000}"/>
    <cellStyle name="40% - Énfasis1 5" xfId="200" xr:uid="{00000000-0005-0000-0000-000076000000}"/>
    <cellStyle name="40% - Énfasis1 6" xfId="201" xr:uid="{00000000-0005-0000-0000-000077000000}"/>
    <cellStyle name="40% - Énfasis1 7" xfId="202" xr:uid="{00000000-0005-0000-0000-000078000000}"/>
    <cellStyle name="40% - Énfasis1 8" xfId="203" xr:uid="{00000000-0005-0000-0000-000079000000}"/>
    <cellStyle name="40% - Énfasis2 2" xfId="204" xr:uid="{00000000-0005-0000-0000-00007A000000}"/>
    <cellStyle name="40% - Énfasis2 2 2" xfId="205" xr:uid="{00000000-0005-0000-0000-00007B000000}"/>
    <cellStyle name="40% - Énfasis2 3" xfId="206" xr:uid="{00000000-0005-0000-0000-00007C000000}"/>
    <cellStyle name="40% - Énfasis2 4" xfId="207" xr:uid="{00000000-0005-0000-0000-00007D000000}"/>
    <cellStyle name="40% - Énfasis2 5" xfId="208" xr:uid="{00000000-0005-0000-0000-00007E000000}"/>
    <cellStyle name="40% - Énfasis2 6" xfId="209" xr:uid="{00000000-0005-0000-0000-00007F000000}"/>
    <cellStyle name="40% - Énfasis2 7" xfId="210" xr:uid="{00000000-0005-0000-0000-000080000000}"/>
    <cellStyle name="40% - Énfasis2 8" xfId="211" xr:uid="{00000000-0005-0000-0000-000081000000}"/>
    <cellStyle name="40% - Énfasis3 2" xfId="212" xr:uid="{00000000-0005-0000-0000-000082000000}"/>
    <cellStyle name="40% - Énfasis3 2 2" xfId="213" xr:uid="{00000000-0005-0000-0000-000083000000}"/>
    <cellStyle name="40% - Énfasis3 3" xfId="214" xr:uid="{00000000-0005-0000-0000-000084000000}"/>
    <cellStyle name="40% - Énfasis3 4" xfId="215" xr:uid="{00000000-0005-0000-0000-000085000000}"/>
    <cellStyle name="40% - Énfasis3 5" xfId="216" xr:uid="{00000000-0005-0000-0000-000086000000}"/>
    <cellStyle name="40% - Énfasis3 6" xfId="217" xr:uid="{00000000-0005-0000-0000-000087000000}"/>
    <cellStyle name="40% - Énfasis3 7" xfId="218" xr:uid="{00000000-0005-0000-0000-000088000000}"/>
    <cellStyle name="40% - Énfasis3 8" xfId="219" xr:uid="{00000000-0005-0000-0000-000089000000}"/>
    <cellStyle name="40% - Énfasis4 2" xfId="220" xr:uid="{00000000-0005-0000-0000-00008A000000}"/>
    <cellStyle name="40% - Énfasis4 2 2" xfId="221" xr:uid="{00000000-0005-0000-0000-00008B000000}"/>
    <cellStyle name="40% - Énfasis4 3" xfId="222" xr:uid="{00000000-0005-0000-0000-00008C000000}"/>
    <cellStyle name="40% - Énfasis4 4" xfId="223" xr:uid="{00000000-0005-0000-0000-00008D000000}"/>
    <cellStyle name="40% - Énfasis4 5" xfId="224" xr:uid="{00000000-0005-0000-0000-00008E000000}"/>
    <cellStyle name="40% - Énfasis4 6" xfId="225" xr:uid="{00000000-0005-0000-0000-00008F000000}"/>
    <cellStyle name="40% - Énfasis4 7" xfId="226" xr:uid="{00000000-0005-0000-0000-000090000000}"/>
    <cellStyle name="40% - Énfasis4 8" xfId="227" xr:uid="{00000000-0005-0000-0000-000091000000}"/>
    <cellStyle name="40% - Énfasis5 2" xfId="228" xr:uid="{00000000-0005-0000-0000-000092000000}"/>
    <cellStyle name="40% - Énfasis5 2 2" xfId="229" xr:uid="{00000000-0005-0000-0000-000093000000}"/>
    <cellStyle name="40% - Énfasis5 3" xfId="230" xr:uid="{00000000-0005-0000-0000-000094000000}"/>
    <cellStyle name="40% - Énfasis5 4" xfId="231" xr:uid="{00000000-0005-0000-0000-000095000000}"/>
    <cellStyle name="40% - Énfasis5 5" xfId="232" xr:uid="{00000000-0005-0000-0000-000096000000}"/>
    <cellStyle name="40% - Énfasis5 6" xfId="233" xr:uid="{00000000-0005-0000-0000-000097000000}"/>
    <cellStyle name="40% - Énfasis5 7" xfId="234" xr:uid="{00000000-0005-0000-0000-000098000000}"/>
    <cellStyle name="40% - Énfasis5 8" xfId="235" xr:uid="{00000000-0005-0000-0000-000099000000}"/>
    <cellStyle name="40% - Énfasis6 2" xfId="236" xr:uid="{00000000-0005-0000-0000-00009A000000}"/>
    <cellStyle name="40% - Énfasis6 2 2" xfId="237" xr:uid="{00000000-0005-0000-0000-00009B000000}"/>
    <cellStyle name="40% - Énfasis6 3" xfId="238" xr:uid="{00000000-0005-0000-0000-00009C000000}"/>
    <cellStyle name="40% - Énfasis6 4" xfId="239" xr:uid="{00000000-0005-0000-0000-00009D000000}"/>
    <cellStyle name="40% - Énfasis6 5" xfId="240" xr:uid="{00000000-0005-0000-0000-00009E000000}"/>
    <cellStyle name="40% - Énfasis6 6" xfId="241" xr:uid="{00000000-0005-0000-0000-00009F000000}"/>
    <cellStyle name="40% - Énfasis6 7" xfId="242" xr:uid="{00000000-0005-0000-0000-0000A0000000}"/>
    <cellStyle name="40% - Énfasis6 8" xfId="243" xr:uid="{00000000-0005-0000-0000-0000A1000000}"/>
    <cellStyle name="40% - 强调文字颜色 1" xfId="244" xr:uid="{00000000-0005-0000-0000-0000A2000000}"/>
    <cellStyle name="40% - 强调文字颜色 2" xfId="245" xr:uid="{00000000-0005-0000-0000-0000A3000000}"/>
    <cellStyle name="40% - 强调文字颜色 3" xfId="246" xr:uid="{00000000-0005-0000-0000-0000A4000000}"/>
    <cellStyle name="40% - 强调文字颜色 4" xfId="247" xr:uid="{00000000-0005-0000-0000-0000A5000000}"/>
    <cellStyle name="40% - 强调文字颜色 5" xfId="248" xr:uid="{00000000-0005-0000-0000-0000A6000000}"/>
    <cellStyle name="40% - 强调文字颜色 6" xfId="249" xr:uid="{00000000-0005-0000-0000-0000A7000000}"/>
    <cellStyle name="60% - Accent1" xfId="250" xr:uid="{00000000-0005-0000-0000-0000A8000000}"/>
    <cellStyle name="60% - Accent1 2" xfId="251" xr:uid="{00000000-0005-0000-0000-0000A9000000}"/>
    <cellStyle name="60% - Accent1 3" xfId="252" xr:uid="{00000000-0005-0000-0000-0000AA000000}"/>
    <cellStyle name="60% - Accent1 4" xfId="253" xr:uid="{00000000-0005-0000-0000-0000AB000000}"/>
    <cellStyle name="60% - Accent1 5" xfId="254" xr:uid="{00000000-0005-0000-0000-0000AC000000}"/>
    <cellStyle name="60% - Accent2" xfId="255" xr:uid="{00000000-0005-0000-0000-0000AD000000}"/>
    <cellStyle name="60% - Accent2 2" xfId="256" xr:uid="{00000000-0005-0000-0000-0000AE000000}"/>
    <cellStyle name="60% - Accent2 3" xfId="257" xr:uid="{00000000-0005-0000-0000-0000AF000000}"/>
    <cellStyle name="60% - Accent2 4" xfId="258" xr:uid="{00000000-0005-0000-0000-0000B0000000}"/>
    <cellStyle name="60% - Accent2 5" xfId="259" xr:uid="{00000000-0005-0000-0000-0000B1000000}"/>
    <cellStyle name="60% - Accent3" xfId="260" xr:uid="{00000000-0005-0000-0000-0000B2000000}"/>
    <cellStyle name="60% - Accent3 2" xfId="261" xr:uid="{00000000-0005-0000-0000-0000B3000000}"/>
    <cellStyle name="60% - Accent3 3" xfId="262" xr:uid="{00000000-0005-0000-0000-0000B4000000}"/>
    <cellStyle name="60% - Accent3 4" xfId="263" xr:uid="{00000000-0005-0000-0000-0000B5000000}"/>
    <cellStyle name="60% - Accent3 5" xfId="264" xr:uid="{00000000-0005-0000-0000-0000B6000000}"/>
    <cellStyle name="60% - Accent4" xfId="265" xr:uid="{00000000-0005-0000-0000-0000B7000000}"/>
    <cellStyle name="60% - Accent4 2" xfId="266" xr:uid="{00000000-0005-0000-0000-0000B8000000}"/>
    <cellStyle name="60% - Accent4 3" xfId="267" xr:uid="{00000000-0005-0000-0000-0000B9000000}"/>
    <cellStyle name="60% - Accent4 4" xfId="268" xr:uid="{00000000-0005-0000-0000-0000BA000000}"/>
    <cellStyle name="60% - Accent4 5" xfId="269" xr:uid="{00000000-0005-0000-0000-0000BB000000}"/>
    <cellStyle name="60% - Accent5" xfId="270" xr:uid="{00000000-0005-0000-0000-0000BC000000}"/>
    <cellStyle name="60% - Accent5 2" xfId="271" xr:uid="{00000000-0005-0000-0000-0000BD000000}"/>
    <cellStyle name="60% - Accent5 3" xfId="272" xr:uid="{00000000-0005-0000-0000-0000BE000000}"/>
    <cellStyle name="60% - Accent5 4" xfId="273" xr:uid="{00000000-0005-0000-0000-0000BF000000}"/>
    <cellStyle name="60% - Accent5 5" xfId="274" xr:uid="{00000000-0005-0000-0000-0000C0000000}"/>
    <cellStyle name="60% - Accent6" xfId="275" xr:uid="{00000000-0005-0000-0000-0000C1000000}"/>
    <cellStyle name="60% - Accent6 2" xfId="276" xr:uid="{00000000-0005-0000-0000-0000C2000000}"/>
    <cellStyle name="60% - Accent6 3" xfId="277" xr:uid="{00000000-0005-0000-0000-0000C3000000}"/>
    <cellStyle name="60% - Accent6 4" xfId="278" xr:uid="{00000000-0005-0000-0000-0000C4000000}"/>
    <cellStyle name="60% - Accent6 5" xfId="279" xr:uid="{00000000-0005-0000-0000-0000C5000000}"/>
    <cellStyle name="60% - Énfasis1 2" xfId="280" xr:uid="{00000000-0005-0000-0000-0000C6000000}"/>
    <cellStyle name="60% - Énfasis1 2 2" xfId="281" xr:uid="{00000000-0005-0000-0000-0000C7000000}"/>
    <cellStyle name="60% - Énfasis1 3" xfId="282" xr:uid="{00000000-0005-0000-0000-0000C8000000}"/>
    <cellStyle name="60% - Énfasis1 4" xfId="283" xr:uid="{00000000-0005-0000-0000-0000C9000000}"/>
    <cellStyle name="60% - Énfasis1 5" xfId="284" xr:uid="{00000000-0005-0000-0000-0000CA000000}"/>
    <cellStyle name="60% - Énfasis1 6" xfId="285" xr:uid="{00000000-0005-0000-0000-0000CB000000}"/>
    <cellStyle name="60% - Énfasis1 7" xfId="286" xr:uid="{00000000-0005-0000-0000-0000CC000000}"/>
    <cellStyle name="60% - Énfasis1 8" xfId="287" xr:uid="{00000000-0005-0000-0000-0000CD000000}"/>
    <cellStyle name="60% - Énfasis2 2" xfId="288" xr:uid="{00000000-0005-0000-0000-0000CE000000}"/>
    <cellStyle name="60% - Énfasis2 2 2" xfId="289" xr:uid="{00000000-0005-0000-0000-0000CF000000}"/>
    <cellStyle name="60% - Énfasis2 3" xfId="290" xr:uid="{00000000-0005-0000-0000-0000D0000000}"/>
    <cellStyle name="60% - Énfasis2 4" xfId="291" xr:uid="{00000000-0005-0000-0000-0000D1000000}"/>
    <cellStyle name="60% - Énfasis2 5" xfId="292" xr:uid="{00000000-0005-0000-0000-0000D2000000}"/>
    <cellStyle name="60% - Énfasis2 6" xfId="293" xr:uid="{00000000-0005-0000-0000-0000D3000000}"/>
    <cellStyle name="60% - Énfasis2 7" xfId="294" xr:uid="{00000000-0005-0000-0000-0000D4000000}"/>
    <cellStyle name="60% - Énfasis2 8" xfId="295" xr:uid="{00000000-0005-0000-0000-0000D5000000}"/>
    <cellStyle name="60% - Énfasis3 2" xfId="296" xr:uid="{00000000-0005-0000-0000-0000D6000000}"/>
    <cellStyle name="60% - Énfasis3 2 2" xfId="297" xr:uid="{00000000-0005-0000-0000-0000D7000000}"/>
    <cellStyle name="60% - Énfasis3 3" xfId="298" xr:uid="{00000000-0005-0000-0000-0000D8000000}"/>
    <cellStyle name="60% - Énfasis3 4" xfId="299" xr:uid="{00000000-0005-0000-0000-0000D9000000}"/>
    <cellStyle name="60% - Énfasis3 5" xfId="300" xr:uid="{00000000-0005-0000-0000-0000DA000000}"/>
    <cellStyle name="60% - Énfasis3 6" xfId="301" xr:uid="{00000000-0005-0000-0000-0000DB000000}"/>
    <cellStyle name="60% - Énfasis3 7" xfId="302" xr:uid="{00000000-0005-0000-0000-0000DC000000}"/>
    <cellStyle name="60% - Énfasis3 8" xfId="303" xr:uid="{00000000-0005-0000-0000-0000DD000000}"/>
    <cellStyle name="60% - Énfasis4 2" xfId="304" xr:uid="{00000000-0005-0000-0000-0000DE000000}"/>
    <cellStyle name="60% - Énfasis4 2 2" xfId="305" xr:uid="{00000000-0005-0000-0000-0000DF000000}"/>
    <cellStyle name="60% - Énfasis4 3" xfId="306" xr:uid="{00000000-0005-0000-0000-0000E0000000}"/>
    <cellStyle name="60% - Énfasis4 4" xfId="307" xr:uid="{00000000-0005-0000-0000-0000E1000000}"/>
    <cellStyle name="60% - Énfasis4 5" xfId="308" xr:uid="{00000000-0005-0000-0000-0000E2000000}"/>
    <cellStyle name="60% - Énfasis4 6" xfId="309" xr:uid="{00000000-0005-0000-0000-0000E3000000}"/>
    <cellStyle name="60% - Énfasis4 7" xfId="310" xr:uid="{00000000-0005-0000-0000-0000E4000000}"/>
    <cellStyle name="60% - Énfasis4 8" xfId="311" xr:uid="{00000000-0005-0000-0000-0000E5000000}"/>
    <cellStyle name="60% - Énfasis5 2" xfId="312" xr:uid="{00000000-0005-0000-0000-0000E6000000}"/>
    <cellStyle name="60% - Énfasis5 2 2" xfId="313" xr:uid="{00000000-0005-0000-0000-0000E7000000}"/>
    <cellStyle name="60% - Énfasis5 3" xfId="314" xr:uid="{00000000-0005-0000-0000-0000E8000000}"/>
    <cellStyle name="60% - Énfasis5 4" xfId="315" xr:uid="{00000000-0005-0000-0000-0000E9000000}"/>
    <cellStyle name="60% - Énfasis5 5" xfId="316" xr:uid="{00000000-0005-0000-0000-0000EA000000}"/>
    <cellStyle name="60% - Énfasis5 6" xfId="317" xr:uid="{00000000-0005-0000-0000-0000EB000000}"/>
    <cellStyle name="60% - Énfasis5 7" xfId="318" xr:uid="{00000000-0005-0000-0000-0000EC000000}"/>
    <cellStyle name="60% - Énfasis5 8" xfId="319" xr:uid="{00000000-0005-0000-0000-0000ED000000}"/>
    <cellStyle name="60% - Énfasis6 2" xfId="320" xr:uid="{00000000-0005-0000-0000-0000EE000000}"/>
    <cellStyle name="60% - Énfasis6 2 2" xfId="321" xr:uid="{00000000-0005-0000-0000-0000EF000000}"/>
    <cellStyle name="60% - Énfasis6 3" xfId="322" xr:uid="{00000000-0005-0000-0000-0000F0000000}"/>
    <cellStyle name="60% - Énfasis6 4" xfId="323" xr:uid="{00000000-0005-0000-0000-0000F1000000}"/>
    <cellStyle name="60% - Énfasis6 5" xfId="324" xr:uid="{00000000-0005-0000-0000-0000F2000000}"/>
    <cellStyle name="60% - Énfasis6 6" xfId="325" xr:uid="{00000000-0005-0000-0000-0000F3000000}"/>
    <cellStyle name="60% - Énfasis6 7" xfId="326" xr:uid="{00000000-0005-0000-0000-0000F4000000}"/>
    <cellStyle name="60% - Énfasis6 8" xfId="327" xr:uid="{00000000-0005-0000-0000-0000F5000000}"/>
    <cellStyle name="60% - 强调文字颜色 1" xfId="328" xr:uid="{00000000-0005-0000-0000-0000F6000000}"/>
    <cellStyle name="60% - 强调文字颜色 2" xfId="329" xr:uid="{00000000-0005-0000-0000-0000F7000000}"/>
    <cellStyle name="60% - 强调文字颜色 3" xfId="330" xr:uid="{00000000-0005-0000-0000-0000F8000000}"/>
    <cellStyle name="60% - 强调文字颜色 4" xfId="331" xr:uid="{00000000-0005-0000-0000-0000F9000000}"/>
    <cellStyle name="60% - 强调文字颜色 5" xfId="332" xr:uid="{00000000-0005-0000-0000-0000FA000000}"/>
    <cellStyle name="60% - 强调文字颜色 6" xfId="333" xr:uid="{00000000-0005-0000-0000-0000FB000000}"/>
    <cellStyle name="Accent1" xfId="334" xr:uid="{00000000-0005-0000-0000-0000FC000000}"/>
    <cellStyle name="Accent1 2" xfId="335" xr:uid="{00000000-0005-0000-0000-0000FD000000}"/>
    <cellStyle name="Accent1 3" xfId="336" xr:uid="{00000000-0005-0000-0000-0000FE000000}"/>
    <cellStyle name="Accent1 4" xfId="337" xr:uid="{00000000-0005-0000-0000-0000FF000000}"/>
    <cellStyle name="Accent1 5" xfId="338" xr:uid="{00000000-0005-0000-0000-000000010000}"/>
    <cellStyle name="Accent2" xfId="339" xr:uid="{00000000-0005-0000-0000-000001010000}"/>
    <cellStyle name="Accent2 2" xfId="340" xr:uid="{00000000-0005-0000-0000-000002010000}"/>
    <cellStyle name="Accent2 3" xfId="341" xr:uid="{00000000-0005-0000-0000-000003010000}"/>
    <cellStyle name="Accent2 4" xfId="342" xr:uid="{00000000-0005-0000-0000-000004010000}"/>
    <cellStyle name="Accent2 5" xfId="343" xr:uid="{00000000-0005-0000-0000-000005010000}"/>
    <cellStyle name="Accent3" xfId="344" xr:uid="{00000000-0005-0000-0000-000006010000}"/>
    <cellStyle name="Accent3 2" xfId="345" xr:uid="{00000000-0005-0000-0000-000007010000}"/>
    <cellStyle name="Accent3 3" xfId="346" xr:uid="{00000000-0005-0000-0000-000008010000}"/>
    <cellStyle name="Accent3 4" xfId="347" xr:uid="{00000000-0005-0000-0000-000009010000}"/>
    <cellStyle name="Accent3 5" xfId="348" xr:uid="{00000000-0005-0000-0000-00000A010000}"/>
    <cellStyle name="Accent4" xfId="349" xr:uid="{00000000-0005-0000-0000-00000B010000}"/>
    <cellStyle name="Accent4 2" xfId="350" xr:uid="{00000000-0005-0000-0000-00000C010000}"/>
    <cellStyle name="Accent4 3" xfId="351" xr:uid="{00000000-0005-0000-0000-00000D010000}"/>
    <cellStyle name="Accent4 4" xfId="352" xr:uid="{00000000-0005-0000-0000-00000E010000}"/>
    <cellStyle name="Accent4 5" xfId="353" xr:uid="{00000000-0005-0000-0000-00000F010000}"/>
    <cellStyle name="Accent5" xfId="354" xr:uid="{00000000-0005-0000-0000-000010010000}"/>
    <cellStyle name="Accent5 2" xfId="355" xr:uid="{00000000-0005-0000-0000-000011010000}"/>
    <cellStyle name="Accent5 3" xfId="356" xr:uid="{00000000-0005-0000-0000-000012010000}"/>
    <cellStyle name="Accent5 4" xfId="357" xr:uid="{00000000-0005-0000-0000-000013010000}"/>
    <cellStyle name="Accent5 5" xfId="358" xr:uid="{00000000-0005-0000-0000-000014010000}"/>
    <cellStyle name="Accent6" xfId="359" xr:uid="{00000000-0005-0000-0000-000015010000}"/>
    <cellStyle name="Accent6 2" xfId="360" xr:uid="{00000000-0005-0000-0000-000016010000}"/>
    <cellStyle name="Accent6 3" xfId="361" xr:uid="{00000000-0005-0000-0000-000017010000}"/>
    <cellStyle name="Accent6 4" xfId="362" xr:uid="{00000000-0005-0000-0000-000018010000}"/>
    <cellStyle name="Accent6 5" xfId="363" xr:uid="{00000000-0005-0000-0000-000019010000}"/>
    <cellStyle name="Bad" xfId="364" xr:uid="{00000000-0005-0000-0000-00001A010000}"/>
    <cellStyle name="Bad 2" xfId="365" xr:uid="{00000000-0005-0000-0000-00001B010000}"/>
    <cellStyle name="Bad 3" xfId="366" xr:uid="{00000000-0005-0000-0000-00001C010000}"/>
    <cellStyle name="Bad 4" xfId="367" xr:uid="{00000000-0005-0000-0000-00001D010000}"/>
    <cellStyle name="Bad 5" xfId="368" xr:uid="{00000000-0005-0000-0000-00001E010000}"/>
    <cellStyle name="Buena 2" xfId="369" xr:uid="{00000000-0005-0000-0000-00001F010000}"/>
    <cellStyle name="Buena 2 2" xfId="370" xr:uid="{00000000-0005-0000-0000-000020010000}"/>
    <cellStyle name="Buena 2 2 2" xfId="371" xr:uid="{00000000-0005-0000-0000-000021010000}"/>
    <cellStyle name="Buena 2 2 2 2" xfId="372" xr:uid="{00000000-0005-0000-0000-000022010000}"/>
    <cellStyle name="Buena 2 2 2 2 2" xfId="373" xr:uid="{00000000-0005-0000-0000-000023010000}"/>
    <cellStyle name="Buena 2 2 3" xfId="374" xr:uid="{00000000-0005-0000-0000-000024010000}"/>
    <cellStyle name="Buena 2 2 4" xfId="375" xr:uid="{00000000-0005-0000-0000-000025010000}"/>
    <cellStyle name="Buena 2 3" xfId="376" xr:uid="{00000000-0005-0000-0000-000026010000}"/>
    <cellStyle name="Buena 2 4" xfId="377" xr:uid="{00000000-0005-0000-0000-000027010000}"/>
    <cellStyle name="Buena 3" xfId="378" xr:uid="{00000000-0005-0000-0000-000028010000}"/>
    <cellStyle name="Buena 4" xfId="379" xr:uid="{00000000-0005-0000-0000-000029010000}"/>
    <cellStyle name="Buena 5" xfId="380" xr:uid="{00000000-0005-0000-0000-00002A010000}"/>
    <cellStyle name="Buena 6" xfId="381" xr:uid="{00000000-0005-0000-0000-00002B010000}"/>
    <cellStyle name="Buena 7" xfId="382" xr:uid="{00000000-0005-0000-0000-00002C010000}"/>
    <cellStyle name="Buena 8" xfId="383" xr:uid="{00000000-0005-0000-0000-00002D010000}"/>
    <cellStyle name="Buena 9" xfId="384" xr:uid="{00000000-0005-0000-0000-00002E010000}"/>
    <cellStyle name="Calculation" xfId="385" xr:uid="{00000000-0005-0000-0000-00002F010000}"/>
    <cellStyle name="Calculation 2" xfId="386" xr:uid="{00000000-0005-0000-0000-000030010000}"/>
    <cellStyle name="Calculation 3" xfId="387" xr:uid="{00000000-0005-0000-0000-000031010000}"/>
    <cellStyle name="Calculation 4" xfId="388" xr:uid="{00000000-0005-0000-0000-000032010000}"/>
    <cellStyle name="Calculation 5" xfId="389" xr:uid="{00000000-0005-0000-0000-000033010000}"/>
    <cellStyle name="Cálculo 2" xfId="390" xr:uid="{00000000-0005-0000-0000-000034010000}"/>
    <cellStyle name="Cálculo 2 2" xfId="391" xr:uid="{00000000-0005-0000-0000-000035010000}"/>
    <cellStyle name="Cálculo 3" xfId="392" xr:uid="{00000000-0005-0000-0000-000036010000}"/>
    <cellStyle name="Cálculo 4" xfId="393" xr:uid="{00000000-0005-0000-0000-000037010000}"/>
    <cellStyle name="Cálculo 5" xfId="394" xr:uid="{00000000-0005-0000-0000-000038010000}"/>
    <cellStyle name="Cálculo 6" xfId="395" xr:uid="{00000000-0005-0000-0000-000039010000}"/>
    <cellStyle name="Cálculo 7" xfId="396" xr:uid="{00000000-0005-0000-0000-00003A010000}"/>
    <cellStyle name="Cálculo 8" xfId="397" xr:uid="{00000000-0005-0000-0000-00003B010000}"/>
    <cellStyle name="Celda de comprobación 2" xfId="398" xr:uid="{00000000-0005-0000-0000-00003C010000}"/>
    <cellStyle name="Celda de comprobación 2 2" xfId="399" xr:uid="{00000000-0005-0000-0000-00003D010000}"/>
    <cellStyle name="Celda de comprobación 2 2 2" xfId="400" xr:uid="{00000000-0005-0000-0000-00003E010000}"/>
    <cellStyle name="Celda de comprobación 2 2 2 2" xfId="401" xr:uid="{00000000-0005-0000-0000-00003F010000}"/>
    <cellStyle name="Celda de comprobación 2 2 2 2 2" xfId="402" xr:uid="{00000000-0005-0000-0000-000040010000}"/>
    <cellStyle name="Celda de comprobación 2 2 3" xfId="403" xr:uid="{00000000-0005-0000-0000-000041010000}"/>
    <cellStyle name="Celda de comprobación 2 2 4" xfId="404" xr:uid="{00000000-0005-0000-0000-000042010000}"/>
    <cellStyle name="Celda de comprobación 2 3" xfId="405" xr:uid="{00000000-0005-0000-0000-000043010000}"/>
    <cellStyle name="Celda de comprobación 2 4" xfId="406" xr:uid="{00000000-0005-0000-0000-000044010000}"/>
    <cellStyle name="Celda de comprobación 3" xfId="407" xr:uid="{00000000-0005-0000-0000-000045010000}"/>
    <cellStyle name="Celda de comprobación 4" xfId="408" xr:uid="{00000000-0005-0000-0000-000046010000}"/>
    <cellStyle name="Celda de comprobación 5" xfId="409" xr:uid="{00000000-0005-0000-0000-000047010000}"/>
    <cellStyle name="Celda de comprobación 6" xfId="410" xr:uid="{00000000-0005-0000-0000-000048010000}"/>
    <cellStyle name="Celda de comprobación 7" xfId="411" xr:uid="{00000000-0005-0000-0000-000049010000}"/>
    <cellStyle name="Celda de comprobación 8" xfId="412" xr:uid="{00000000-0005-0000-0000-00004A010000}"/>
    <cellStyle name="Celda de comprobación 9" xfId="413" xr:uid="{00000000-0005-0000-0000-00004B010000}"/>
    <cellStyle name="Celda vinculada 2" xfId="414" xr:uid="{00000000-0005-0000-0000-00004C010000}"/>
    <cellStyle name="Celda vinculada 2 2" xfId="415" xr:uid="{00000000-0005-0000-0000-00004D010000}"/>
    <cellStyle name="Celda vinculada 2 2 2" xfId="416" xr:uid="{00000000-0005-0000-0000-00004E010000}"/>
    <cellStyle name="Celda vinculada 2 2 2 2" xfId="417" xr:uid="{00000000-0005-0000-0000-00004F010000}"/>
    <cellStyle name="Celda vinculada 2 2 2 2 2" xfId="418" xr:uid="{00000000-0005-0000-0000-000050010000}"/>
    <cellStyle name="Celda vinculada 2 2 3" xfId="419" xr:uid="{00000000-0005-0000-0000-000051010000}"/>
    <cellStyle name="Celda vinculada 2 2 4" xfId="420" xr:uid="{00000000-0005-0000-0000-000052010000}"/>
    <cellStyle name="Celda vinculada 2 3" xfId="421" xr:uid="{00000000-0005-0000-0000-000053010000}"/>
    <cellStyle name="Celda vinculada 2 4" xfId="422" xr:uid="{00000000-0005-0000-0000-000054010000}"/>
    <cellStyle name="Celda vinculada 3" xfId="423" xr:uid="{00000000-0005-0000-0000-000055010000}"/>
    <cellStyle name="Celda vinculada 4" xfId="424" xr:uid="{00000000-0005-0000-0000-000056010000}"/>
    <cellStyle name="Celda vinculada 5" xfId="425" xr:uid="{00000000-0005-0000-0000-000057010000}"/>
    <cellStyle name="Celda vinculada 6" xfId="426" xr:uid="{00000000-0005-0000-0000-000058010000}"/>
    <cellStyle name="Celda vinculada 7" xfId="427" xr:uid="{00000000-0005-0000-0000-000059010000}"/>
    <cellStyle name="Celda vinculada 8" xfId="428" xr:uid="{00000000-0005-0000-0000-00005A010000}"/>
    <cellStyle name="Celda vinculada 9" xfId="429" xr:uid="{00000000-0005-0000-0000-00005B010000}"/>
    <cellStyle name="Check Cell" xfId="430" xr:uid="{00000000-0005-0000-0000-00005C010000}"/>
    <cellStyle name="Check Cell 2" xfId="431" xr:uid="{00000000-0005-0000-0000-00005D010000}"/>
    <cellStyle name="Check Cell 3" xfId="432" xr:uid="{00000000-0005-0000-0000-00005E010000}"/>
    <cellStyle name="Check Cell 4" xfId="433" xr:uid="{00000000-0005-0000-0000-00005F010000}"/>
    <cellStyle name="Check Cell 5" xfId="434" xr:uid="{00000000-0005-0000-0000-000060010000}"/>
    <cellStyle name="Coma 2" xfId="435" xr:uid="{00000000-0005-0000-0000-000061010000}"/>
    <cellStyle name="Encabezado 4 2" xfId="436" xr:uid="{00000000-0005-0000-0000-000062010000}"/>
    <cellStyle name="Encabezado 4 2 2" xfId="437" xr:uid="{00000000-0005-0000-0000-000063010000}"/>
    <cellStyle name="Encabezado 4 2 2 2" xfId="438" xr:uid="{00000000-0005-0000-0000-000064010000}"/>
    <cellStyle name="Encabezado 4 2 2 2 2" xfId="439" xr:uid="{00000000-0005-0000-0000-000065010000}"/>
    <cellStyle name="Encabezado 4 2 2 2 2 2" xfId="440" xr:uid="{00000000-0005-0000-0000-000066010000}"/>
    <cellStyle name="Encabezado 4 2 2 3" xfId="441" xr:uid="{00000000-0005-0000-0000-000067010000}"/>
    <cellStyle name="Encabezado 4 2 2 4" xfId="442" xr:uid="{00000000-0005-0000-0000-000068010000}"/>
    <cellStyle name="Encabezado 4 2 3" xfId="443" xr:uid="{00000000-0005-0000-0000-000069010000}"/>
    <cellStyle name="Encabezado 4 2 4" xfId="444" xr:uid="{00000000-0005-0000-0000-00006A010000}"/>
    <cellStyle name="Encabezado 4 3" xfId="445" xr:uid="{00000000-0005-0000-0000-00006B010000}"/>
    <cellStyle name="Encabezado 4 4" xfId="446" xr:uid="{00000000-0005-0000-0000-00006C010000}"/>
    <cellStyle name="Encabezado 4 5" xfId="447" xr:uid="{00000000-0005-0000-0000-00006D010000}"/>
    <cellStyle name="Encabezado 4 6" xfId="448" xr:uid="{00000000-0005-0000-0000-00006E010000}"/>
    <cellStyle name="Encabezado 4 7" xfId="449" xr:uid="{00000000-0005-0000-0000-00006F010000}"/>
    <cellStyle name="Encabezado 4 8" xfId="450" xr:uid="{00000000-0005-0000-0000-000070010000}"/>
    <cellStyle name="Encabezado 4 9" xfId="451" xr:uid="{00000000-0005-0000-0000-000071010000}"/>
    <cellStyle name="Énfasis1 2" xfId="452" xr:uid="{00000000-0005-0000-0000-000072010000}"/>
    <cellStyle name="Énfasis1 2 2" xfId="453" xr:uid="{00000000-0005-0000-0000-000073010000}"/>
    <cellStyle name="Énfasis1 3" xfId="454" xr:uid="{00000000-0005-0000-0000-000074010000}"/>
    <cellStyle name="Énfasis1 4" xfId="455" xr:uid="{00000000-0005-0000-0000-000075010000}"/>
    <cellStyle name="Énfasis1 5" xfId="456" xr:uid="{00000000-0005-0000-0000-000076010000}"/>
    <cellStyle name="Énfasis1 6" xfId="457" xr:uid="{00000000-0005-0000-0000-000077010000}"/>
    <cellStyle name="Énfasis1 7" xfId="458" xr:uid="{00000000-0005-0000-0000-000078010000}"/>
    <cellStyle name="Énfasis1 8" xfId="459" xr:uid="{00000000-0005-0000-0000-000079010000}"/>
    <cellStyle name="Énfasis2 2" xfId="460" xr:uid="{00000000-0005-0000-0000-00007A010000}"/>
    <cellStyle name="Énfasis2 2 2" xfId="461" xr:uid="{00000000-0005-0000-0000-00007B010000}"/>
    <cellStyle name="Énfasis2 3" xfId="462" xr:uid="{00000000-0005-0000-0000-00007C010000}"/>
    <cellStyle name="Énfasis2 4" xfId="463" xr:uid="{00000000-0005-0000-0000-00007D010000}"/>
    <cellStyle name="Énfasis2 5" xfId="464" xr:uid="{00000000-0005-0000-0000-00007E010000}"/>
    <cellStyle name="Énfasis2 6" xfId="465" xr:uid="{00000000-0005-0000-0000-00007F010000}"/>
    <cellStyle name="Énfasis2 7" xfId="466" xr:uid="{00000000-0005-0000-0000-000080010000}"/>
    <cellStyle name="Énfasis2 8" xfId="467" xr:uid="{00000000-0005-0000-0000-000081010000}"/>
    <cellStyle name="Énfasis3 2" xfId="468" xr:uid="{00000000-0005-0000-0000-000082010000}"/>
    <cellStyle name="Énfasis3 2 2" xfId="469" xr:uid="{00000000-0005-0000-0000-000083010000}"/>
    <cellStyle name="Énfasis3 3" xfId="470" xr:uid="{00000000-0005-0000-0000-000084010000}"/>
    <cellStyle name="Énfasis3 4" xfId="471" xr:uid="{00000000-0005-0000-0000-000085010000}"/>
    <cellStyle name="Énfasis3 5" xfId="472" xr:uid="{00000000-0005-0000-0000-000086010000}"/>
    <cellStyle name="Énfasis3 6" xfId="473" xr:uid="{00000000-0005-0000-0000-000087010000}"/>
    <cellStyle name="Énfasis3 7" xfId="474" xr:uid="{00000000-0005-0000-0000-000088010000}"/>
    <cellStyle name="Énfasis3 8" xfId="475" xr:uid="{00000000-0005-0000-0000-000089010000}"/>
    <cellStyle name="Énfasis4 2" xfId="476" xr:uid="{00000000-0005-0000-0000-00008A010000}"/>
    <cellStyle name="Énfasis4 2 2" xfId="477" xr:uid="{00000000-0005-0000-0000-00008B010000}"/>
    <cellStyle name="Énfasis4 3" xfId="478" xr:uid="{00000000-0005-0000-0000-00008C010000}"/>
    <cellStyle name="Énfasis4 4" xfId="479" xr:uid="{00000000-0005-0000-0000-00008D010000}"/>
    <cellStyle name="Énfasis4 5" xfId="480" xr:uid="{00000000-0005-0000-0000-00008E010000}"/>
    <cellStyle name="Énfasis4 6" xfId="481" xr:uid="{00000000-0005-0000-0000-00008F010000}"/>
    <cellStyle name="Énfasis4 7" xfId="482" xr:uid="{00000000-0005-0000-0000-000090010000}"/>
    <cellStyle name="Énfasis4 8" xfId="483" xr:uid="{00000000-0005-0000-0000-000091010000}"/>
    <cellStyle name="Énfasis5 2" xfId="484" xr:uid="{00000000-0005-0000-0000-000092010000}"/>
    <cellStyle name="Énfasis5 2 2" xfId="485" xr:uid="{00000000-0005-0000-0000-000093010000}"/>
    <cellStyle name="Énfasis5 3" xfId="486" xr:uid="{00000000-0005-0000-0000-000094010000}"/>
    <cellStyle name="Énfasis5 4" xfId="487" xr:uid="{00000000-0005-0000-0000-000095010000}"/>
    <cellStyle name="Énfasis5 5" xfId="488" xr:uid="{00000000-0005-0000-0000-000096010000}"/>
    <cellStyle name="Énfasis5 6" xfId="489" xr:uid="{00000000-0005-0000-0000-000097010000}"/>
    <cellStyle name="Énfasis5 7" xfId="490" xr:uid="{00000000-0005-0000-0000-000098010000}"/>
    <cellStyle name="Énfasis5 8" xfId="491" xr:uid="{00000000-0005-0000-0000-000099010000}"/>
    <cellStyle name="Énfasis6 2" xfId="492" xr:uid="{00000000-0005-0000-0000-00009A010000}"/>
    <cellStyle name="Énfasis6 2 2" xfId="493" xr:uid="{00000000-0005-0000-0000-00009B010000}"/>
    <cellStyle name="Énfasis6 3" xfId="494" xr:uid="{00000000-0005-0000-0000-00009C010000}"/>
    <cellStyle name="Énfasis6 4" xfId="495" xr:uid="{00000000-0005-0000-0000-00009D010000}"/>
    <cellStyle name="Énfasis6 5" xfId="496" xr:uid="{00000000-0005-0000-0000-00009E010000}"/>
    <cellStyle name="Énfasis6 6" xfId="497" xr:uid="{00000000-0005-0000-0000-00009F010000}"/>
    <cellStyle name="Énfasis6 7" xfId="498" xr:uid="{00000000-0005-0000-0000-0000A0010000}"/>
    <cellStyle name="Énfasis6 8" xfId="499" xr:uid="{00000000-0005-0000-0000-0000A1010000}"/>
    <cellStyle name="Entrada 2" xfId="500" xr:uid="{00000000-0005-0000-0000-0000A2010000}"/>
    <cellStyle name="Entrada 2 2" xfId="501" xr:uid="{00000000-0005-0000-0000-0000A3010000}"/>
    <cellStyle name="Entrada 2 2 2" xfId="502" xr:uid="{00000000-0005-0000-0000-0000A4010000}"/>
    <cellStyle name="Entrada 2 2 2 2" xfId="503" xr:uid="{00000000-0005-0000-0000-0000A5010000}"/>
    <cellStyle name="Entrada 2 2 2 2 2" xfId="504" xr:uid="{00000000-0005-0000-0000-0000A6010000}"/>
    <cellStyle name="Entrada 2 2 3" xfId="505" xr:uid="{00000000-0005-0000-0000-0000A7010000}"/>
    <cellStyle name="Entrada 2 2 4" xfId="506" xr:uid="{00000000-0005-0000-0000-0000A8010000}"/>
    <cellStyle name="Entrada 2 3" xfId="507" xr:uid="{00000000-0005-0000-0000-0000A9010000}"/>
    <cellStyle name="Entrada 2 4" xfId="508" xr:uid="{00000000-0005-0000-0000-0000AA010000}"/>
    <cellStyle name="Entrada 3" xfId="509" xr:uid="{00000000-0005-0000-0000-0000AB010000}"/>
    <cellStyle name="Entrada 4" xfId="510" xr:uid="{00000000-0005-0000-0000-0000AC010000}"/>
    <cellStyle name="Entrada 5" xfId="511" xr:uid="{00000000-0005-0000-0000-0000AD010000}"/>
    <cellStyle name="Entrada 6" xfId="512" xr:uid="{00000000-0005-0000-0000-0000AE010000}"/>
    <cellStyle name="Entrada 7" xfId="513" xr:uid="{00000000-0005-0000-0000-0000AF010000}"/>
    <cellStyle name="Entrada 8" xfId="514" xr:uid="{00000000-0005-0000-0000-0000B0010000}"/>
    <cellStyle name="Entrada 9" xfId="515" xr:uid="{00000000-0005-0000-0000-0000B1010000}"/>
    <cellStyle name="Estilo 1" xfId="516" xr:uid="{00000000-0005-0000-0000-0000B2010000}"/>
    <cellStyle name="Estilo 1 10" xfId="517" xr:uid="{00000000-0005-0000-0000-0000B3010000}"/>
    <cellStyle name="Estilo 1 10 2" xfId="518" xr:uid="{00000000-0005-0000-0000-0000B4010000}"/>
    <cellStyle name="Estilo 1 10 3" xfId="519" xr:uid="{00000000-0005-0000-0000-0000B5010000}"/>
    <cellStyle name="Estilo 1 10_Enlaces" xfId="520" xr:uid="{00000000-0005-0000-0000-0000B6010000}"/>
    <cellStyle name="Estilo 1 100" xfId="521" xr:uid="{00000000-0005-0000-0000-0000B7010000}"/>
    <cellStyle name="Estilo 1 100 2" xfId="522" xr:uid="{00000000-0005-0000-0000-0000B8010000}"/>
    <cellStyle name="Estilo 1 101" xfId="523" xr:uid="{00000000-0005-0000-0000-0000B9010000}"/>
    <cellStyle name="Estilo 1 101 2" xfId="524" xr:uid="{00000000-0005-0000-0000-0000BA010000}"/>
    <cellStyle name="Estilo 1 102" xfId="525" xr:uid="{00000000-0005-0000-0000-0000BB010000}"/>
    <cellStyle name="Estilo 1 102 2" xfId="526" xr:uid="{00000000-0005-0000-0000-0000BC010000}"/>
    <cellStyle name="Estilo 1 103" xfId="527" xr:uid="{00000000-0005-0000-0000-0000BD010000}"/>
    <cellStyle name="Estilo 1 103 2" xfId="528" xr:uid="{00000000-0005-0000-0000-0000BE010000}"/>
    <cellStyle name="Estilo 1 104" xfId="529" xr:uid="{00000000-0005-0000-0000-0000BF010000}"/>
    <cellStyle name="Estilo 1 104 2" xfId="530" xr:uid="{00000000-0005-0000-0000-0000C0010000}"/>
    <cellStyle name="Estilo 1 105" xfId="531" xr:uid="{00000000-0005-0000-0000-0000C1010000}"/>
    <cellStyle name="Estilo 1 105 2" xfId="532" xr:uid="{00000000-0005-0000-0000-0000C2010000}"/>
    <cellStyle name="Estilo 1 106" xfId="533" xr:uid="{00000000-0005-0000-0000-0000C3010000}"/>
    <cellStyle name="Estilo 1 106 2" xfId="534" xr:uid="{00000000-0005-0000-0000-0000C4010000}"/>
    <cellStyle name="Estilo 1 107" xfId="535" xr:uid="{00000000-0005-0000-0000-0000C5010000}"/>
    <cellStyle name="Estilo 1 107 2" xfId="536" xr:uid="{00000000-0005-0000-0000-0000C6010000}"/>
    <cellStyle name="Estilo 1 108" xfId="537" xr:uid="{00000000-0005-0000-0000-0000C7010000}"/>
    <cellStyle name="Estilo 1 108 2" xfId="538" xr:uid="{00000000-0005-0000-0000-0000C8010000}"/>
    <cellStyle name="Estilo 1 109" xfId="539" xr:uid="{00000000-0005-0000-0000-0000C9010000}"/>
    <cellStyle name="Estilo 1 109 2" xfId="540" xr:uid="{00000000-0005-0000-0000-0000CA010000}"/>
    <cellStyle name="Estilo 1 11" xfId="541" xr:uid="{00000000-0005-0000-0000-0000CB010000}"/>
    <cellStyle name="Estilo 1 11 2" xfId="542" xr:uid="{00000000-0005-0000-0000-0000CC010000}"/>
    <cellStyle name="Estilo 1 11 3" xfId="543" xr:uid="{00000000-0005-0000-0000-0000CD010000}"/>
    <cellStyle name="Estilo 1 11_Enlaces" xfId="544" xr:uid="{00000000-0005-0000-0000-0000CE010000}"/>
    <cellStyle name="Estilo 1 110" xfId="545" xr:uid="{00000000-0005-0000-0000-0000CF010000}"/>
    <cellStyle name="Estilo 1 110 2" xfId="546" xr:uid="{00000000-0005-0000-0000-0000D0010000}"/>
    <cellStyle name="Estilo 1 111" xfId="547" xr:uid="{00000000-0005-0000-0000-0000D1010000}"/>
    <cellStyle name="Estilo 1 111 2" xfId="548" xr:uid="{00000000-0005-0000-0000-0000D2010000}"/>
    <cellStyle name="Estilo 1 112" xfId="549" xr:uid="{00000000-0005-0000-0000-0000D3010000}"/>
    <cellStyle name="Estilo 1 112 2" xfId="550" xr:uid="{00000000-0005-0000-0000-0000D4010000}"/>
    <cellStyle name="Estilo 1 113" xfId="551" xr:uid="{00000000-0005-0000-0000-0000D5010000}"/>
    <cellStyle name="Estilo 1 113 2" xfId="552" xr:uid="{00000000-0005-0000-0000-0000D6010000}"/>
    <cellStyle name="Estilo 1 114" xfId="553" xr:uid="{00000000-0005-0000-0000-0000D7010000}"/>
    <cellStyle name="Estilo 1 114 2" xfId="554" xr:uid="{00000000-0005-0000-0000-0000D8010000}"/>
    <cellStyle name="Estilo 1 115" xfId="555" xr:uid="{00000000-0005-0000-0000-0000D9010000}"/>
    <cellStyle name="Estilo 1 115 2" xfId="556" xr:uid="{00000000-0005-0000-0000-0000DA010000}"/>
    <cellStyle name="Estilo 1 116" xfId="557" xr:uid="{00000000-0005-0000-0000-0000DB010000}"/>
    <cellStyle name="Estilo 1 116 2" xfId="558" xr:uid="{00000000-0005-0000-0000-0000DC010000}"/>
    <cellStyle name="Estilo 1 117" xfId="559" xr:uid="{00000000-0005-0000-0000-0000DD010000}"/>
    <cellStyle name="Estilo 1 117 2" xfId="560" xr:uid="{00000000-0005-0000-0000-0000DE010000}"/>
    <cellStyle name="Estilo 1 118" xfId="561" xr:uid="{00000000-0005-0000-0000-0000DF010000}"/>
    <cellStyle name="Estilo 1 118 2" xfId="562" xr:uid="{00000000-0005-0000-0000-0000E0010000}"/>
    <cellStyle name="Estilo 1 119" xfId="563" xr:uid="{00000000-0005-0000-0000-0000E1010000}"/>
    <cellStyle name="Estilo 1 119 2" xfId="564" xr:uid="{00000000-0005-0000-0000-0000E2010000}"/>
    <cellStyle name="Estilo 1 12" xfId="565" xr:uid="{00000000-0005-0000-0000-0000E3010000}"/>
    <cellStyle name="Estilo 1 12 2" xfId="566" xr:uid="{00000000-0005-0000-0000-0000E4010000}"/>
    <cellStyle name="Estilo 1 12 3" xfId="567" xr:uid="{00000000-0005-0000-0000-0000E5010000}"/>
    <cellStyle name="Estilo 1 12_Enlaces" xfId="568" xr:uid="{00000000-0005-0000-0000-0000E6010000}"/>
    <cellStyle name="Estilo 1 120" xfId="569" xr:uid="{00000000-0005-0000-0000-0000E7010000}"/>
    <cellStyle name="Estilo 1 120 2" xfId="570" xr:uid="{00000000-0005-0000-0000-0000E8010000}"/>
    <cellStyle name="Estilo 1 121" xfId="571" xr:uid="{00000000-0005-0000-0000-0000E9010000}"/>
    <cellStyle name="Estilo 1 121 2" xfId="572" xr:uid="{00000000-0005-0000-0000-0000EA010000}"/>
    <cellStyle name="Estilo 1 122" xfId="573" xr:uid="{00000000-0005-0000-0000-0000EB010000}"/>
    <cellStyle name="Estilo 1 122 2" xfId="574" xr:uid="{00000000-0005-0000-0000-0000EC010000}"/>
    <cellStyle name="Estilo 1 123" xfId="575" xr:uid="{00000000-0005-0000-0000-0000ED010000}"/>
    <cellStyle name="Estilo 1 123 2" xfId="576" xr:uid="{00000000-0005-0000-0000-0000EE010000}"/>
    <cellStyle name="Estilo 1 124" xfId="577" xr:uid="{00000000-0005-0000-0000-0000EF010000}"/>
    <cellStyle name="Estilo 1 124 2" xfId="578" xr:uid="{00000000-0005-0000-0000-0000F0010000}"/>
    <cellStyle name="Estilo 1 125" xfId="579" xr:uid="{00000000-0005-0000-0000-0000F1010000}"/>
    <cellStyle name="Estilo 1 125 2" xfId="580" xr:uid="{00000000-0005-0000-0000-0000F2010000}"/>
    <cellStyle name="Estilo 1 126" xfId="581" xr:uid="{00000000-0005-0000-0000-0000F3010000}"/>
    <cellStyle name="Estilo 1 126 2" xfId="582" xr:uid="{00000000-0005-0000-0000-0000F4010000}"/>
    <cellStyle name="Estilo 1 127" xfId="583" xr:uid="{00000000-0005-0000-0000-0000F5010000}"/>
    <cellStyle name="Estilo 1 127 2" xfId="584" xr:uid="{00000000-0005-0000-0000-0000F6010000}"/>
    <cellStyle name="Estilo 1 128" xfId="585" xr:uid="{00000000-0005-0000-0000-0000F7010000}"/>
    <cellStyle name="Estilo 1 128 2" xfId="586" xr:uid="{00000000-0005-0000-0000-0000F8010000}"/>
    <cellStyle name="Estilo 1 129" xfId="587" xr:uid="{00000000-0005-0000-0000-0000F9010000}"/>
    <cellStyle name="Estilo 1 129 2" xfId="588" xr:uid="{00000000-0005-0000-0000-0000FA010000}"/>
    <cellStyle name="Estilo 1 13" xfId="589" xr:uid="{00000000-0005-0000-0000-0000FB010000}"/>
    <cellStyle name="Estilo 1 13 2" xfId="590" xr:uid="{00000000-0005-0000-0000-0000FC010000}"/>
    <cellStyle name="Estilo 1 13 3" xfId="591" xr:uid="{00000000-0005-0000-0000-0000FD010000}"/>
    <cellStyle name="Estilo 1 13_Enlaces" xfId="592" xr:uid="{00000000-0005-0000-0000-0000FE010000}"/>
    <cellStyle name="Estilo 1 130" xfId="593" xr:uid="{00000000-0005-0000-0000-0000FF010000}"/>
    <cellStyle name="Estilo 1 130 2" xfId="594" xr:uid="{00000000-0005-0000-0000-000000020000}"/>
    <cellStyle name="Estilo 1 131" xfId="595" xr:uid="{00000000-0005-0000-0000-000001020000}"/>
    <cellStyle name="Estilo 1 131 2" xfId="596" xr:uid="{00000000-0005-0000-0000-000002020000}"/>
    <cellStyle name="Estilo 1 132" xfId="597" xr:uid="{00000000-0005-0000-0000-000003020000}"/>
    <cellStyle name="Estilo 1 132 2" xfId="598" xr:uid="{00000000-0005-0000-0000-000004020000}"/>
    <cellStyle name="Estilo 1 133" xfId="599" xr:uid="{00000000-0005-0000-0000-000005020000}"/>
    <cellStyle name="Estilo 1 133 2" xfId="600" xr:uid="{00000000-0005-0000-0000-000006020000}"/>
    <cellStyle name="Estilo 1 134" xfId="601" xr:uid="{00000000-0005-0000-0000-000007020000}"/>
    <cellStyle name="Estilo 1 134 2" xfId="602" xr:uid="{00000000-0005-0000-0000-000008020000}"/>
    <cellStyle name="Estilo 1 135" xfId="603" xr:uid="{00000000-0005-0000-0000-000009020000}"/>
    <cellStyle name="Estilo 1 135 2" xfId="604" xr:uid="{00000000-0005-0000-0000-00000A020000}"/>
    <cellStyle name="Estilo 1 136" xfId="605" xr:uid="{00000000-0005-0000-0000-00000B020000}"/>
    <cellStyle name="Estilo 1 136 2" xfId="606" xr:uid="{00000000-0005-0000-0000-00000C020000}"/>
    <cellStyle name="Estilo 1 137" xfId="607" xr:uid="{00000000-0005-0000-0000-00000D020000}"/>
    <cellStyle name="Estilo 1 137 2" xfId="608" xr:uid="{00000000-0005-0000-0000-00000E020000}"/>
    <cellStyle name="Estilo 1 138" xfId="609" xr:uid="{00000000-0005-0000-0000-00000F020000}"/>
    <cellStyle name="Estilo 1 138 2" xfId="610" xr:uid="{00000000-0005-0000-0000-000010020000}"/>
    <cellStyle name="Estilo 1 139" xfId="611" xr:uid="{00000000-0005-0000-0000-000011020000}"/>
    <cellStyle name="Estilo 1 139 2" xfId="612" xr:uid="{00000000-0005-0000-0000-000012020000}"/>
    <cellStyle name="Estilo 1 14" xfId="613" xr:uid="{00000000-0005-0000-0000-000013020000}"/>
    <cellStyle name="Estilo 1 14 2" xfId="614" xr:uid="{00000000-0005-0000-0000-000014020000}"/>
    <cellStyle name="Estilo 1 14 3" xfId="615" xr:uid="{00000000-0005-0000-0000-000015020000}"/>
    <cellStyle name="Estilo 1 14_Enlaces" xfId="616" xr:uid="{00000000-0005-0000-0000-000016020000}"/>
    <cellStyle name="Estilo 1 140" xfId="617" xr:uid="{00000000-0005-0000-0000-000017020000}"/>
    <cellStyle name="Estilo 1 140 2" xfId="618" xr:uid="{00000000-0005-0000-0000-000018020000}"/>
    <cellStyle name="Estilo 1 141" xfId="619" xr:uid="{00000000-0005-0000-0000-000019020000}"/>
    <cellStyle name="Estilo 1 141 2" xfId="620" xr:uid="{00000000-0005-0000-0000-00001A020000}"/>
    <cellStyle name="Estilo 1 142" xfId="621" xr:uid="{00000000-0005-0000-0000-00001B020000}"/>
    <cellStyle name="Estilo 1 142 2" xfId="622" xr:uid="{00000000-0005-0000-0000-00001C020000}"/>
    <cellStyle name="Estilo 1 143" xfId="623" xr:uid="{00000000-0005-0000-0000-00001D020000}"/>
    <cellStyle name="Estilo 1 143 2" xfId="624" xr:uid="{00000000-0005-0000-0000-00001E020000}"/>
    <cellStyle name="Estilo 1 144" xfId="625" xr:uid="{00000000-0005-0000-0000-00001F020000}"/>
    <cellStyle name="Estilo 1 144 2" xfId="626" xr:uid="{00000000-0005-0000-0000-000020020000}"/>
    <cellStyle name="Estilo 1 145" xfId="627" xr:uid="{00000000-0005-0000-0000-000021020000}"/>
    <cellStyle name="Estilo 1 145 2" xfId="628" xr:uid="{00000000-0005-0000-0000-000022020000}"/>
    <cellStyle name="Estilo 1 146" xfId="629" xr:uid="{00000000-0005-0000-0000-000023020000}"/>
    <cellStyle name="Estilo 1 146 2" xfId="630" xr:uid="{00000000-0005-0000-0000-000024020000}"/>
    <cellStyle name="Estilo 1 147" xfId="631" xr:uid="{00000000-0005-0000-0000-000025020000}"/>
    <cellStyle name="Estilo 1 147 2" xfId="632" xr:uid="{00000000-0005-0000-0000-000026020000}"/>
    <cellStyle name="Estilo 1 148" xfId="633" xr:uid="{00000000-0005-0000-0000-000027020000}"/>
    <cellStyle name="Estilo 1 148 2" xfId="634" xr:uid="{00000000-0005-0000-0000-000028020000}"/>
    <cellStyle name="Estilo 1 149" xfId="635" xr:uid="{00000000-0005-0000-0000-000029020000}"/>
    <cellStyle name="Estilo 1 149 2" xfId="636" xr:uid="{00000000-0005-0000-0000-00002A020000}"/>
    <cellStyle name="Estilo 1 15" xfId="637" xr:uid="{00000000-0005-0000-0000-00002B020000}"/>
    <cellStyle name="Estilo 1 15 2" xfId="638" xr:uid="{00000000-0005-0000-0000-00002C020000}"/>
    <cellStyle name="Estilo 1 15 3" xfId="639" xr:uid="{00000000-0005-0000-0000-00002D020000}"/>
    <cellStyle name="Estilo 1 15_Enlaces" xfId="640" xr:uid="{00000000-0005-0000-0000-00002E020000}"/>
    <cellStyle name="Estilo 1 150" xfId="641" xr:uid="{00000000-0005-0000-0000-00002F020000}"/>
    <cellStyle name="Estilo 1 150 2" xfId="642" xr:uid="{00000000-0005-0000-0000-000030020000}"/>
    <cellStyle name="Estilo 1 151" xfId="643" xr:uid="{00000000-0005-0000-0000-000031020000}"/>
    <cellStyle name="Estilo 1 151 2" xfId="644" xr:uid="{00000000-0005-0000-0000-000032020000}"/>
    <cellStyle name="Estilo 1 152" xfId="645" xr:uid="{00000000-0005-0000-0000-000033020000}"/>
    <cellStyle name="Estilo 1 152 2" xfId="646" xr:uid="{00000000-0005-0000-0000-000034020000}"/>
    <cellStyle name="Estilo 1 153" xfId="647" xr:uid="{00000000-0005-0000-0000-000035020000}"/>
    <cellStyle name="Estilo 1 153 2" xfId="648" xr:uid="{00000000-0005-0000-0000-000036020000}"/>
    <cellStyle name="Estilo 1 154" xfId="649" xr:uid="{00000000-0005-0000-0000-000037020000}"/>
    <cellStyle name="Estilo 1 154 2" xfId="650" xr:uid="{00000000-0005-0000-0000-000038020000}"/>
    <cellStyle name="Estilo 1 155" xfId="651" xr:uid="{00000000-0005-0000-0000-000039020000}"/>
    <cellStyle name="Estilo 1 155 2" xfId="652" xr:uid="{00000000-0005-0000-0000-00003A020000}"/>
    <cellStyle name="Estilo 1 156" xfId="653" xr:uid="{00000000-0005-0000-0000-00003B020000}"/>
    <cellStyle name="Estilo 1 156 2" xfId="654" xr:uid="{00000000-0005-0000-0000-00003C020000}"/>
    <cellStyle name="Estilo 1 157" xfId="655" xr:uid="{00000000-0005-0000-0000-00003D020000}"/>
    <cellStyle name="Estilo 1 157 2" xfId="656" xr:uid="{00000000-0005-0000-0000-00003E020000}"/>
    <cellStyle name="Estilo 1 158" xfId="657" xr:uid="{00000000-0005-0000-0000-00003F020000}"/>
    <cellStyle name="Estilo 1 158 2" xfId="658" xr:uid="{00000000-0005-0000-0000-000040020000}"/>
    <cellStyle name="Estilo 1 159" xfId="659" xr:uid="{00000000-0005-0000-0000-000041020000}"/>
    <cellStyle name="Estilo 1 159 2" xfId="660" xr:uid="{00000000-0005-0000-0000-000042020000}"/>
    <cellStyle name="Estilo 1 16" xfId="661" xr:uid="{00000000-0005-0000-0000-000043020000}"/>
    <cellStyle name="Estilo 1 16 2" xfId="662" xr:uid="{00000000-0005-0000-0000-000044020000}"/>
    <cellStyle name="Estilo 1 16 3" xfId="663" xr:uid="{00000000-0005-0000-0000-000045020000}"/>
    <cellStyle name="Estilo 1 16_Enlaces" xfId="664" xr:uid="{00000000-0005-0000-0000-000046020000}"/>
    <cellStyle name="Estilo 1 160" xfId="665" xr:uid="{00000000-0005-0000-0000-000047020000}"/>
    <cellStyle name="Estilo 1 160 2" xfId="666" xr:uid="{00000000-0005-0000-0000-000048020000}"/>
    <cellStyle name="Estilo 1 161" xfId="667" xr:uid="{00000000-0005-0000-0000-000049020000}"/>
    <cellStyle name="Estilo 1 161 2" xfId="668" xr:uid="{00000000-0005-0000-0000-00004A020000}"/>
    <cellStyle name="Estilo 1 162" xfId="669" xr:uid="{00000000-0005-0000-0000-00004B020000}"/>
    <cellStyle name="Estilo 1 162 2" xfId="670" xr:uid="{00000000-0005-0000-0000-00004C020000}"/>
    <cellStyle name="Estilo 1 163" xfId="671" xr:uid="{00000000-0005-0000-0000-00004D020000}"/>
    <cellStyle name="Estilo 1 163 2" xfId="672" xr:uid="{00000000-0005-0000-0000-00004E020000}"/>
    <cellStyle name="Estilo 1 164" xfId="673" xr:uid="{00000000-0005-0000-0000-00004F020000}"/>
    <cellStyle name="Estilo 1 164 2" xfId="674" xr:uid="{00000000-0005-0000-0000-000050020000}"/>
    <cellStyle name="Estilo 1 165" xfId="675" xr:uid="{00000000-0005-0000-0000-000051020000}"/>
    <cellStyle name="Estilo 1 165 2" xfId="676" xr:uid="{00000000-0005-0000-0000-000052020000}"/>
    <cellStyle name="Estilo 1 166" xfId="677" xr:uid="{00000000-0005-0000-0000-000053020000}"/>
    <cellStyle name="Estilo 1 166 2" xfId="678" xr:uid="{00000000-0005-0000-0000-000054020000}"/>
    <cellStyle name="Estilo 1 167" xfId="679" xr:uid="{00000000-0005-0000-0000-000055020000}"/>
    <cellStyle name="Estilo 1 167 2" xfId="680" xr:uid="{00000000-0005-0000-0000-000056020000}"/>
    <cellStyle name="Estilo 1 168" xfId="681" xr:uid="{00000000-0005-0000-0000-000057020000}"/>
    <cellStyle name="Estilo 1 168 2" xfId="682" xr:uid="{00000000-0005-0000-0000-000058020000}"/>
    <cellStyle name="Estilo 1 169" xfId="683" xr:uid="{00000000-0005-0000-0000-000059020000}"/>
    <cellStyle name="Estilo 1 169 2" xfId="684" xr:uid="{00000000-0005-0000-0000-00005A020000}"/>
    <cellStyle name="Estilo 1 17" xfId="685" xr:uid="{00000000-0005-0000-0000-00005B020000}"/>
    <cellStyle name="Estilo 1 17 2" xfId="686" xr:uid="{00000000-0005-0000-0000-00005C020000}"/>
    <cellStyle name="Estilo 1 17 3" xfId="687" xr:uid="{00000000-0005-0000-0000-00005D020000}"/>
    <cellStyle name="Estilo 1 17_Enlaces" xfId="688" xr:uid="{00000000-0005-0000-0000-00005E020000}"/>
    <cellStyle name="Estilo 1 170" xfId="689" xr:uid="{00000000-0005-0000-0000-00005F020000}"/>
    <cellStyle name="Estilo 1 170 2" xfId="690" xr:uid="{00000000-0005-0000-0000-000060020000}"/>
    <cellStyle name="Estilo 1 171" xfId="691" xr:uid="{00000000-0005-0000-0000-000061020000}"/>
    <cellStyle name="Estilo 1 171 2" xfId="692" xr:uid="{00000000-0005-0000-0000-000062020000}"/>
    <cellStyle name="Estilo 1 172" xfId="693" xr:uid="{00000000-0005-0000-0000-000063020000}"/>
    <cellStyle name="Estilo 1 172 2" xfId="694" xr:uid="{00000000-0005-0000-0000-000064020000}"/>
    <cellStyle name="Estilo 1 173" xfId="695" xr:uid="{00000000-0005-0000-0000-000065020000}"/>
    <cellStyle name="Estilo 1 173 2" xfId="696" xr:uid="{00000000-0005-0000-0000-000066020000}"/>
    <cellStyle name="Estilo 1 174" xfId="697" xr:uid="{00000000-0005-0000-0000-000067020000}"/>
    <cellStyle name="Estilo 1 174 2" xfId="698" xr:uid="{00000000-0005-0000-0000-000068020000}"/>
    <cellStyle name="Estilo 1 175" xfId="699" xr:uid="{00000000-0005-0000-0000-000069020000}"/>
    <cellStyle name="Estilo 1 175 2" xfId="700" xr:uid="{00000000-0005-0000-0000-00006A020000}"/>
    <cellStyle name="Estilo 1 176" xfId="701" xr:uid="{00000000-0005-0000-0000-00006B020000}"/>
    <cellStyle name="Estilo 1 176 2" xfId="702" xr:uid="{00000000-0005-0000-0000-00006C020000}"/>
    <cellStyle name="Estilo 1 177" xfId="703" xr:uid="{00000000-0005-0000-0000-00006D020000}"/>
    <cellStyle name="Estilo 1 177 2" xfId="704" xr:uid="{00000000-0005-0000-0000-00006E020000}"/>
    <cellStyle name="Estilo 1 178" xfId="705" xr:uid="{00000000-0005-0000-0000-00006F020000}"/>
    <cellStyle name="Estilo 1 178 2" xfId="706" xr:uid="{00000000-0005-0000-0000-000070020000}"/>
    <cellStyle name="Estilo 1 179" xfId="707" xr:uid="{00000000-0005-0000-0000-000071020000}"/>
    <cellStyle name="Estilo 1 179 2" xfId="708" xr:uid="{00000000-0005-0000-0000-000072020000}"/>
    <cellStyle name="Estilo 1 18" xfId="709" xr:uid="{00000000-0005-0000-0000-000073020000}"/>
    <cellStyle name="Estilo 1 18 2" xfId="710" xr:uid="{00000000-0005-0000-0000-000074020000}"/>
    <cellStyle name="Estilo 1 18 3" xfId="711" xr:uid="{00000000-0005-0000-0000-000075020000}"/>
    <cellStyle name="Estilo 1 18_Enlaces" xfId="712" xr:uid="{00000000-0005-0000-0000-000076020000}"/>
    <cellStyle name="Estilo 1 180" xfId="713" xr:uid="{00000000-0005-0000-0000-000077020000}"/>
    <cellStyle name="Estilo 1 180 2" xfId="714" xr:uid="{00000000-0005-0000-0000-000078020000}"/>
    <cellStyle name="Estilo 1 181" xfId="715" xr:uid="{00000000-0005-0000-0000-000079020000}"/>
    <cellStyle name="Estilo 1 181 2" xfId="716" xr:uid="{00000000-0005-0000-0000-00007A020000}"/>
    <cellStyle name="Estilo 1 182" xfId="717" xr:uid="{00000000-0005-0000-0000-00007B020000}"/>
    <cellStyle name="Estilo 1 182 2" xfId="718" xr:uid="{00000000-0005-0000-0000-00007C020000}"/>
    <cellStyle name="Estilo 1 183" xfId="719" xr:uid="{00000000-0005-0000-0000-00007D020000}"/>
    <cellStyle name="Estilo 1 183 2" xfId="720" xr:uid="{00000000-0005-0000-0000-00007E020000}"/>
    <cellStyle name="Estilo 1 184" xfId="721" xr:uid="{00000000-0005-0000-0000-00007F020000}"/>
    <cellStyle name="Estilo 1 184 2" xfId="722" xr:uid="{00000000-0005-0000-0000-000080020000}"/>
    <cellStyle name="Estilo 1 185" xfId="723" xr:uid="{00000000-0005-0000-0000-000081020000}"/>
    <cellStyle name="Estilo 1 185 2" xfId="724" xr:uid="{00000000-0005-0000-0000-000082020000}"/>
    <cellStyle name="Estilo 1 186" xfId="725" xr:uid="{00000000-0005-0000-0000-000083020000}"/>
    <cellStyle name="Estilo 1 186 2" xfId="726" xr:uid="{00000000-0005-0000-0000-000084020000}"/>
    <cellStyle name="Estilo 1 187" xfId="727" xr:uid="{00000000-0005-0000-0000-000085020000}"/>
    <cellStyle name="Estilo 1 187 2" xfId="728" xr:uid="{00000000-0005-0000-0000-000086020000}"/>
    <cellStyle name="Estilo 1 188" xfId="729" xr:uid="{00000000-0005-0000-0000-000087020000}"/>
    <cellStyle name="Estilo 1 188 2" xfId="730" xr:uid="{00000000-0005-0000-0000-000088020000}"/>
    <cellStyle name="Estilo 1 189" xfId="731" xr:uid="{00000000-0005-0000-0000-000089020000}"/>
    <cellStyle name="Estilo 1 189 2" xfId="732" xr:uid="{00000000-0005-0000-0000-00008A020000}"/>
    <cellStyle name="Estilo 1 19" xfId="733" xr:uid="{00000000-0005-0000-0000-00008B020000}"/>
    <cellStyle name="Estilo 1 19 2" xfId="734" xr:uid="{00000000-0005-0000-0000-00008C020000}"/>
    <cellStyle name="Estilo 1 19 3" xfId="735" xr:uid="{00000000-0005-0000-0000-00008D020000}"/>
    <cellStyle name="Estilo 1 19_Enlaces" xfId="736" xr:uid="{00000000-0005-0000-0000-00008E020000}"/>
    <cellStyle name="Estilo 1 190" xfId="737" xr:uid="{00000000-0005-0000-0000-00008F020000}"/>
    <cellStyle name="Estilo 1 190 2" xfId="738" xr:uid="{00000000-0005-0000-0000-000090020000}"/>
    <cellStyle name="Estilo 1 191" xfId="739" xr:uid="{00000000-0005-0000-0000-000091020000}"/>
    <cellStyle name="Estilo 1 191 2" xfId="740" xr:uid="{00000000-0005-0000-0000-000092020000}"/>
    <cellStyle name="Estilo 1 192" xfId="741" xr:uid="{00000000-0005-0000-0000-000093020000}"/>
    <cellStyle name="Estilo 1 192 2" xfId="742" xr:uid="{00000000-0005-0000-0000-000094020000}"/>
    <cellStyle name="Estilo 1 193" xfId="743" xr:uid="{00000000-0005-0000-0000-000095020000}"/>
    <cellStyle name="Estilo 1 193 2" xfId="744" xr:uid="{00000000-0005-0000-0000-000096020000}"/>
    <cellStyle name="Estilo 1 194" xfId="745" xr:uid="{00000000-0005-0000-0000-000097020000}"/>
    <cellStyle name="Estilo 1 194 2" xfId="746" xr:uid="{00000000-0005-0000-0000-000098020000}"/>
    <cellStyle name="Estilo 1 195" xfId="747" xr:uid="{00000000-0005-0000-0000-000099020000}"/>
    <cellStyle name="Estilo 1 195 2" xfId="748" xr:uid="{00000000-0005-0000-0000-00009A020000}"/>
    <cellStyle name="Estilo 1 196" xfId="749" xr:uid="{00000000-0005-0000-0000-00009B020000}"/>
    <cellStyle name="Estilo 1 196 2" xfId="750" xr:uid="{00000000-0005-0000-0000-00009C020000}"/>
    <cellStyle name="Estilo 1 197" xfId="751" xr:uid="{00000000-0005-0000-0000-00009D020000}"/>
    <cellStyle name="Estilo 1 197 2" xfId="752" xr:uid="{00000000-0005-0000-0000-00009E020000}"/>
    <cellStyle name="Estilo 1 198" xfId="753" xr:uid="{00000000-0005-0000-0000-00009F020000}"/>
    <cellStyle name="Estilo 1 198 2" xfId="754" xr:uid="{00000000-0005-0000-0000-0000A0020000}"/>
    <cellStyle name="Estilo 1 199" xfId="755" xr:uid="{00000000-0005-0000-0000-0000A1020000}"/>
    <cellStyle name="Estilo 1 199 2" xfId="756" xr:uid="{00000000-0005-0000-0000-0000A2020000}"/>
    <cellStyle name="Estilo 1 2" xfId="757" xr:uid="{00000000-0005-0000-0000-0000A3020000}"/>
    <cellStyle name="Estilo 1 2 2" xfId="758" xr:uid="{00000000-0005-0000-0000-0000A4020000}"/>
    <cellStyle name="Estilo 1 2 2 2" xfId="759" xr:uid="{00000000-0005-0000-0000-0000A5020000}"/>
    <cellStyle name="Estilo 1 2 3" xfId="760" xr:uid="{00000000-0005-0000-0000-0000A6020000}"/>
    <cellStyle name="Estilo 1 2 3 2" xfId="761" xr:uid="{00000000-0005-0000-0000-0000A7020000}"/>
    <cellStyle name="Estilo 1 2 4" xfId="762" xr:uid="{00000000-0005-0000-0000-0000A8020000}"/>
    <cellStyle name="Estilo 1 2 4 2" xfId="763" xr:uid="{00000000-0005-0000-0000-0000A9020000}"/>
    <cellStyle name="Estilo 1 2 5" xfId="764" xr:uid="{00000000-0005-0000-0000-0000AA020000}"/>
    <cellStyle name="Estilo 1 2 6" xfId="765" xr:uid="{00000000-0005-0000-0000-0000AB020000}"/>
    <cellStyle name="Estilo 1 2 7" xfId="766" xr:uid="{00000000-0005-0000-0000-0000AC020000}"/>
    <cellStyle name="Estilo 1 2 7 2" xfId="767" xr:uid="{00000000-0005-0000-0000-0000AD020000}"/>
    <cellStyle name="Estilo 1 2_Enlaces" xfId="768" xr:uid="{00000000-0005-0000-0000-0000AE020000}"/>
    <cellStyle name="Estilo 1 20" xfId="769" xr:uid="{00000000-0005-0000-0000-0000AF020000}"/>
    <cellStyle name="Estilo 1 20 2" xfId="770" xr:uid="{00000000-0005-0000-0000-0000B0020000}"/>
    <cellStyle name="Estilo 1 20 3" xfId="771" xr:uid="{00000000-0005-0000-0000-0000B1020000}"/>
    <cellStyle name="Estilo 1 20_Enlaces" xfId="772" xr:uid="{00000000-0005-0000-0000-0000B2020000}"/>
    <cellStyle name="Estilo 1 200" xfId="773" xr:uid="{00000000-0005-0000-0000-0000B3020000}"/>
    <cellStyle name="Estilo 1 200 2" xfId="774" xr:uid="{00000000-0005-0000-0000-0000B4020000}"/>
    <cellStyle name="Estilo 1 21" xfId="775" xr:uid="{00000000-0005-0000-0000-0000B5020000}"/>
    <cellStyle name="Estilo 1 21 2" xfId="776" xr:uid="{00000000-0005-0000-0000-0000B6020000}"/>
    <cellStyle name="Estilo 1 21_Enlaces" xfId="777" xr:uid="{00000000-0005-0000-0000-0000B7020000}"/>
    <cellStyle name="Estilo 1 22" xfId="778" xr:uid="{00000000-0005-0000-0000-0000B8020000}"/>
    <cellStyle name="Estilo 1 22 2" xfId="779" xr:uid="{00000000-0005-0000-0000-0000B9020000}"/>
    <cellStyle name="Estilo 1 22_Enlaces" xfId="780" xr:uid="{00000000-0005-0000-0000-0000BA020000}"/>
    <cellStyle name="Estilo 1 23" xfId="781" xr:uid="{00000000-0005-0000-0000-0000BB020000}"/>
    <cellStyle name="Estilo 1 23 2" xfId="782" xr:uid="{00000000-0005-0000-0000-0000BC020000}"/>
    <cellStyle name="Estilo 1 23_Enlaces" xfId="783" xr:uid="{00000000-0005-0000-0000-0000BD020000}"/>
    <cellStyle name="Estilo 1 24" xfId="784" xr:uid="{00000000-0005-0000-0000-0000BE020000}"/>
    <cellStyle name="Estilo 1 24 2" xfId="785" xr:uid="{00000000-0005-0000-0000-0000BF020000}"/>
    <cellStyle name="Estilo 1 24_Enlaces" xfId="786" xr:uid="{00000000-0005-0000-0000-0000C0020000}"/>
    <cellStyle name="Estilo 1 25" xfId="787" xr:uid="{00000000-0005-0000-0000-0000C1020000}"/>
    <cellStyle name="Estilo 1 25 2" xfId="788" xr:uid="{00000000-0005-0000-0000-0000C2020000}"/>
    <cellStyle name="Estilo 1 25_Enlaces" xfId="789" xr:uid="{00000000-0005-0000-0000-0000C3020000}"/>
    <cellStyle name="Estilo 1 26" xfId="790" xr:uid="{00000000-0005-0000-0000-0000C4020000}"/>
    <cellStyle name="Estilo 1 26 2" xfId="791" xr:uid="{00000000-0005-0000-0000-0000C5020000}"/>
    <cellStyle name="Estilo 1 26_Enlaces" xfId="792" xr:uid="{00000000-0005-0000-0000-0000C6020000}"/>
    <cellStyle name="Estilo 1 27" xfId="793" xr:uid="{00000000-0005-0000-0000-0000C7020000}"/>
    <cellStyle name="Estilo 1 27 2" xfId="794" xr:uid="{00000000-0005-0000-0000-0000C8020000}"/>
    <cellStyle name="Estilo 1 27_Enlaces" xfId="795" xr:uid="{00000000-0005-0000-0000-0000C9020000}"/>
    <cellStyle name="Estilo 1 28" xfId="796" xr:uid="{00000000-0005-0000-0000-0000CA020000}"/>
    <cellStyle name="Estilo 1 29" xfId="797" xr:uid="{00000000-0005-0000-0000-0000CB020000}"/>
    <cellStyle name="Estilo 1 3" xfId="798" xr:uid="{00000000-0005-0000-0000-0000CC020000}"/>
    <cellStyle name="Estilo 1 3 2" xfId="799" xr:uid="{00000000-0005-0000-0000-0000CD020000}"/>
    <cellStyle name="Estilo 1 3 3" xfId="800" xr:uid="{00000000-0005-0000-0000-0000CE020000}"/>
    <cellStyle name="Estilo 1 3_Enlaces" xfId="801" xr:uid="{00000000-0005-0000-0000-0000CF020000}"/>
    <cellStyle name="Estilo 1 30" xfId="802" xr:uid="{00000000-0005-0000-0000-0000D0020000}"/>
    <cellStyle name="Estilo 1 31" xfId="803" xr:uid="{00000000-0005-0000-0000-0000D1020000}"/>
    <cellStyle name="Estilo 1 32" xfId="804" xr:uid="{00000000-0005-0000-0000-0000D2020000}"/>
    <cellStyle name="Estilo 1 33" xfId="805" xr:uid="{00000000-0005-0000-0000-0000D3020000}"/>
    <cellStyle name="Estilo 1 34" xfId="806" xr:uid="{00000000-0005-0000-0000-0000D4020000}"/>
    <cellStyle name="Estilo 1 35" xfId="807" xr:uid="{00000000-0005-0000-0000-0000D5020000}"/>
    <cellStyle name="Estilo 1 36" xfId="808" xr:uid="{00000000-0005-0000-0000-0000D6020000}"/>
    <cellStyle name="Estilo 1 37" xfId="809" xr:uid="{00000000-0005-0000-0000-0000D7020000}"/>
    <cellStyle name="Estilo 1 38" xfId="810" xr:uid="{00000000-0005-0000-0000-0000D8020000}"/>
    <cellStyle name="Estilo 1 39" xfId="811" xr:uid="{00000000-0005-0000-0000-0000D9020000}"/>
    <cellStyle name="Estilo 1 4" xfId="812" xr:uid="{00000000-0005-0000-0000-0000DA020000}"/>
    <cellStyle name="Estilo 1 4 2" xfId="813" xr:uid="{00000000-0005-0000-0000-0000DB020000}"/>
    <cellStyle name="Estilo 1 4 3" xfId="814" xr:uid="{00000000-0005-0000-0000-0000DC020000}"/>
    <cellStyle name="Estilo 1 4_Enlaces" xfId="815" xr:uid="{00000000-0005-0000-0000-0000DD020000}"/>
    <cellStyle name="Estilo 1 40" xfId="816" xr:uid="{00000000-0005-0000-0000-0000DE020000}"/>
    <cellStyle name="Estilo 1 41" xfId="817" xr:uid="{00000000-0005-0000-0000-0000DF020000}"/>
    <cellStyle name="Estilo 1 42" xfId="818" xr:uid="{00000000-0005-0000-0000-0000E0020000}"/>
    <cellStyle name="Estilo 1 43" xfId="819" xr:uid="{00000000-0005-0000-0000-0000E1020000}"/>
    <cellStyle name="Estilo 1 44" xfId="820" xr:uid="{00000000-0005-0000-0000-0000E2020000}"/>
    <cellStyle name="Estilo 1 45" xfId="821" xr:uid="{00000000-0005-0000-0000-0000E3020000}"/>
    <cellStyle name="Estilo 1 46" xfId="822" xr:uid="{00000000-0005-0000-0000-0000E4020000}"/>
    <cellStyle name="Estilo 1 47" xfId="823" xr:uid="{00000000-0005-0000-0000-0000E5020000}"/>
    <cellStyle name="Estilo 1 48" xfId="824" xr:uid="{00000000-0005-0000-0000-0000E6020000}"/>
    <cellStyle name="Estilo 1 49" xfId="825" xr:uid="{00000000-0005-0000-0000-0000E7020000}"/>
    <cellStyle name="Estilo 1 5" xfId="826" xr:uid="{00000000-0005-0000-0000-0000E8020000}"/>
    <cellStyle name="Estilo 1 5 2" xfId="827" xr:uid="{00000000-0005-0000-0000-0000E9020000}"/>
    <cellStyle name="Estilo 1 5 3" xfId="828" xr:uid="{00000000-0005-0000-0000-0000EA020000}"/>
    <cellStyle name="Estilo 1 5_Enlaces" xfId="829" xr:uid="{00000000-0005-0000-0000-0000EB020000}"/>
    <cellStyle name="Estilo 1 50" xfId="830" xr:uid="{00000000-0005-0000-0000-0000EC020000}"/>
    <cellStyle name="Estilo 1 51" xfId="831" xr:uid="{00000000-0005-0000-0000-0000ED020000}"/>
    <cellStyle name="Estilo 1 52" xfId="832" xr:uid="{00000000-0005-0000-0000-0000EE020000}"/>
    <cellStyle name="Estilo 1 53" xfId="833" xr:uid="{00000000-0005-0000-0000-0000EF020000}"/>
    <cellStyle name="Estilo 1 54" xfId="834" xr:uid="{00000000-0005-0000-0000-0000F0020000}"/>
    <cellStyle name="Estilo 1 55" xfId="835" xr:uid="{00000000-0005-0000-0000-0000F1020000}"/>
    <cellStyle name="Estilo 1 56" xfId="836" xr:uid="{00000000-0005-0000-0000-0000F2020000}"/>
    <cellStyle name="Estilo 1 57" xfId="837" xr:uid="{00000000-0005-0000-0000-0000F3020000}"/>
    <cellStyle name="Estilo 1 57 2" xfId="838" xr:uid="{00000000-0005-0000-0000-0000F4020000}"/>
    <cellStyle name="Estilo 1 57 3" xfId="839" xr:uid="{00000000-0005-0000-0000-0000F5020000}"/>
    <cellStyle name="Estilo 1 57 4" xfId="840" xr:uid="{00000000-0005-0000-0000-0000F6020000}"/>
    <cellStyle name="Estilo 1 57 5" xfId="841" xr:uid="{00000000-0005-0000-0000-0000F7020000}"/>
    <cellStyle name="Estilo 1 57 6" xfId="842" xr:uid="{00000000-0005-0000-0000-0000F8020000}"/>
    <cellStyle name="Estilo 1 58" xfId="843" xr:uid="{00000000-0005-0000-0000-0000F9020000}"/>
    <cellStyle name="Estilo 1 58 2" xfId="844" xr:uid="{00000000-0005-0000-0000-0000FA020000}"/>
    <cellStyle name="Estilo 1 58 3" xfId="845" xr:uid="{00000000-0005-0000-0000-0000FB020000}"/>
    <cellStyle name="Estilo 1 58 4" xfId="846" xr:uid="{00000000-0005-0000-0000-0000FC020000}"/>
    <cellStyle name="Estilo 1 58 5" xfId="847" xr:uid="{00000000-0005-0000-0000-0000FD020000}"/>
    <cellStyle name="Estilo 1 58 6" xfId="848" xr:uid="{00000000-0005-0000-0000-0000FE020000}"/>
    <cellStyle name="Estilo 1 59" xfId="849" xr:uid="{00000000-0005-0000-0000-0000FF020000}"/>
    <cellStyle name="Estilo 1 59 2" xfId="850" xr:uid="{00000000-0005-0000-0000-000000030000}"/>
    <cellStyle name="Estilo 1 59 3" xfId="851" xr:uid="{00000000-0005-0000-0000-000001030000}"/>
    <cellStyle name="Estilo 1 6" xfId="852" xr:uid="{00000000-0005-0000-0000-000002030000}"/>
    <cellStyle name="Estilo 1 6 2" xfId="853" xr:uid="{00000000-0005-0000-0000-000003030000}"/>
    <cellStyle name="Estilo 1 6 3" xfId="854" xr:uid="{00000000-0005-0000-0000-000004030000}"/>
    <cellStyle name="Estilo 1 6_Enlaces" xfId="855" xr:uid="{00000000-0005-0000-0000-000005030000}"/>
    <cellStyle name="Estilo 1 60" xfId="856" xr:uid="{00000000-0005-0000-0000-000006030000}"/>
    <cellStyle name="Estilo 1 60 2" xfId="857" xr:uid="{00000000-0005-0000-0000-000007030000}"/>
    <cellStyle name="Estilo 1 60 3" xfId="858" xr:uid="{00000000-0005-0000-0000-000008030000}"/>
    <cellStyle name="Estilo 1 61" xfId="859" xr:uid="{00000000-0005-0000-0000-000009030000}"/>
    <cellStyle name="Estilo 1 61 2" xfId="860" xr:uid="{00000000-0005-0000-0000-00000A030000}"/>
    <cellStyle name="Estilo 1 61 3" xfId="861" xr:uid="{00000000-0005-0000-0000-00000B030000}"/>
    <cellStyle name="Estilo 1 62" xfId="862" xr:uid="{00000000-0005-0000-0000-00000C030000}"/>
    <cellStyle name="Estilo 1 62 2" xfId="863" xr:uid="{00000000-0005-0000-0000-00000D030000}"/>
    <cellStyle name="Estilo 1 62 3" xfId="864" xr:uid="{00000000-0005-0000-0000-00000E030000}"/>
    <cellStyle name="Estilo 1 63" xfId="865" xr:uid="{00000000-0005-0000-0000-00000F030000}"/>
    <cellStyle name="Estilo 1 63 2" xfId="866" xr:uid="{00000000-0005-0000-0000-000010030000}"/>
    <cellStyle name="Estilo 1 63 3" xfId="867" xr:uid="{00000000-0005-0000-0000-000011030000}"/>
    <cellStyle name="Estilo 1 64" xfId="868" xr:uid="{00000000-0005-0000-0000-000012030000}"/>
    <cellStyle name="Estilo 1 64 2" xfId="869" xr:uid="{00000000-0005-0000-0000-000013030000}"/>
    <cellStyle name="Estilo 1 64 3" xfId="870" xr:uid="{00000000-0005-0000-0000-000014030000}"/>
    <cellStyle name="Estilo 1 65" xfId="871" xr:uid="{00000000-0005-0000-0000-000015030000}"/>
    <cellStyle name="Estilo 1 65 2" xfId="872" xr:uid="{00000000-0005-0000-0000-000016030000}"/>
    <cellStyle name="Estilo 1 65 3" xfId="873" xr:uid="{00000000-0005-0000-0000-000017030000}"/>
    <cellStyle name="Estilo 1 66" xfId="874" xr:uid="{00000000-0005-0000-0000-000018030000}"/>
    <cellStyle name="Estilo 1 66 2" xfId="875" xr:uid="{00000000-0005-0000-0000-000019030000}"/>
    <cellStyle name="Estilo 1 66 3" xfId="876" xr:uid="{00000000-0005-0000-0000-00001A030000}"/>
    <cellStyle name="Estilo 1 67" xfId="877" xr:uid="{00000000-0005-0000-0000-00001B030000}"/>
    <cellStyle name="Estilo 1 67 2" xfId="878" xr:uid="{00000000-0005-0000-0000-00001C030000}"/>
    <cellStyle name="Estilo 1 67 3" xfId="879" xr:uid="{00000000-0005-0000-0000-00001D030000}"/>
    <cellStyle name="Estilo 1 68" xfId="880" xr:uid="{00000000-0005-0000-0000-00001E030000}"/>
    <cellStyle name="Estilo 1 68 2" xfId="881" xr:uid="{00000000-0005-0000-0000-00001F030000}"/>
    <cellStyle name="Estilo 1 68 3" xfId="882" xr:uid="{00000000-0005-0000-0000-000020030000}"/>
    <cellStyle name="Estilo 1 69" xfId="883" xr:uid="{00000000-0005-0000-0000-000021030000}"/>
    <cellStyle name="Estilo 1 69 2" xfId="884" xr:uid="{00000000-0005-0000-0000-000022030000}"/>
    <cellStyle name="Estilo 1 69 3" xfId="885" xr:uid="{00000000-0005-0000-0000-000023030000}"/>
    <cellStyle name="Estilo 1 7" xfId="886" xr:uid="{00000000-0005-0000-0000-000024030000}"/>
    <cellStyle name="Estilo 1 7 2" xfId="887" xr:uid="{00000000-0005-0000-0000-000025030000}"/>
    <cellStyle name="Estilo 1 7 3" xfId="888" xr:uid="{00000000-0005-0000-0000-000026030000}"/>
    <cellStyle name="Estilo 1 7_Enlaces" xfId="889" xr:uid="{00000000-0005-0000-0000-000027030000}"/>
    <cellStyle name="Estilo 1 70" xfId="890" xr:uid="{00000000-0005-0000-0000-000028030000}"/>
    <cellStyle name="Estilo 1 70 2" xfId="891" xr:uid="{00000000-0005-0000-0000-000029030000}"/>
    <cellStyle name="Estilo 1 70 3" xfId="892" xr:uid="{00000000-0005-0000-0000-00002A030000}"/>
    <cellStyle name="Estilo 1 71" xfId="893" xr:uid="{00000000-0005-0000-0000-00002B030000}"/>
    <cellStyle name="Estilo 1 71 2" xfId="894" xr:uid="{00000000-0005-0000-0000-00002C030000}"/>
    <cellStyle name="Estilo 1 71 3" xfId="895" xr:uid="{00000000-0005-0000-0000-00002D030000}"/>
    <cellStyle name="Estilo 1 72" xfId="896" xr:uid="{00000000-0005-0000-0000-00002E030000}"/>
    <cellStyle name="Estilo 1 72 2" xfId="897" xr:uid="{00000000-0005-0000-0000-00002F030000}"/>
    <cellStyle name="Estilo 1 72 3" xfId="898" xr:uid="{00000000-0005-0000-0000-000030030000}"/>
    <cellStyle name="Estilo 1 73" xfId="899" xr:uid="{00000000-0005-0000-0000-000031030000}"/>
    <cellStyle name="Estilo 1 73 2" xfId="900" xr:uid="{00000000-0005-0000-0000-000032030000}"/>
    <cellStyle name="Estilo 1 73 3" xfId="901" xr:uid="{00000000-0005-0000-0000-000033030000}"/>
    <cellStyle name="Estilo 1 74" xfId="902" xr:uid="{00000000-0005-0000-0000-000034030000}"/>
    <cellStyle name="Estilo 1 74 2" xfId="903" xr:uid="{00000000-0005-0000-0000-000035030000}"/>
    <cellStyle name="Estilo 1 74 3" xfId="904" xr:uid="{00000000-0005-0000-0000-000036030000}"/>
    <cellStyle name="Estilo 1 75" xfId="905" xr:uid="{00000000-0005-0000-0000-000037030000}"/>
    <cellStyle name="Estilo 1 75 2" xfId="906" xr:uid="{00000000-0005-0000-0000-000038030000}"/>
    <cellStyle name="Estilo 1 75 3" xfId="907" xr:uid="{00000000-0005-0000-0000-000039030000}"/>
    <cellStyle name="Estilo 1 76" xfId="908" xr:uid="{00000000-0005-0000-0000-00003A030000}"/>
    <cellStyle name="Estilo 1 76 2" xfId="909" xr:uid="{00000000-0005-0000-0000-00003B030000}"/>
    <cellStyle name="Estilo 1 76 3" xfId="910" xr:uid="{00000000-0005-0000-0000-00003C030000}"/>
    <cellStyle name="Estilo 1 77" xfId="911" xr:uid="{00000000-0005-0000-0000-00003D030000}"/>
    <cellStyle name="Estilo 1 77 2" xfId="912" xr:uid="{00000000-0005-0000-0000-00003E030000}"/>
    <cellStyle name="Estilo 1 77 3" xfId="913" xr:uid="{00000000-0005-0000-0000-00003F030000}"/>
    <cellStyle name="Estilo 1 78" xfId="914" xr:uid="{00000000-0005-0000-0000-000040030000}"/>
    <cellStyle name="Estilo 1 78 2" xfId="915" xr:uid="{00000000-0005-0000-0000-000041030000}"/>
    <cellStyle name="Estilo 1 78 3" xfId="916" xr:uid="{00000000-0005-0000-0000-000042030000}"/>
    <cellStyle name="Estilo 1 79" xfId="917" xr:uid="{00000000-0005-0000-0000-000043030000}"/>
    <cellStyle name="Estilo 1 79 2" xfId="918" xr:uid="{00000000-0005-0000-0000-000044030000}"/>
    <cellStyle name="Estilo 1 79 3" xfId="919" xr:uid="{00000000-0005-0000-0000-000045030000}"/>
    <cellStyle name="Estilo 1 8" xfId="920" xr:uid="{00000000-0005-0000-0000-000046030000}"/>
    <cellStyle name="Estilo 1 8 2" xfId="921" xr:uid="{00000000-0005-0000-0000-000047030000}"/>
    <cellStyle name="Estilo 1 8 3" xfId="922" xr:uid="{00000000-0005-0000-0000-000048030000}"/>
    <cellStyle name="Estilo 1 8_Enlaces" xfId="923" xr:uid="{00000000-0005-0000-0000-000049030000}"/>
    <cellStyle name="Estilo 1 80" xfId="924" xr:uid="{00000000-0005-0000-0000-00004A030000}"/>
    <cellStyle name="Estilo 1 80 2" xfId="925" xr:uid="{00000000-0005-0000-0000-00004B030000}"/>
    <cellStyle name="Estilo 1 80 3" xfId="926" xr:uid="{00000000-0005-0000-0000-00004C030000}"/>
    <cellStyle name="Estilo 1 81" xfId="927" xr:uid="{00000000-0005-0000-0000-00004D030000}"/>
    <cellStyle name="Estilo 1 81 2" xfId="928" xr:uid="{00000000-0005-0000-0000-00004E030000}"/>
    <cellStyle name="Estilo 1 81 3" xfId="929" xr:uid="{00000000-0005-0000-0000-00004F030000}"/>
    <cellStyle name="Estilo 1 82" xfId="930" xr:uid="{00000000-0005-0000-0000-000050030000}"/>
    <cellStyle name="Estilo 1 82 2" xfId="931" xr:uid="{00000000-0005-0000-0000-000051030000}"/>
    <cellStyle name="Estilo 1 82 3" xfId="932" xr:uid="{00000000-0005-0000-0000-000052030000}"/>
    <cellStyle name="Estilo 1 83" xfId="933" xr:uid="{00000000-0005-0000-0000-000053030000}"/>
    <cellStyle name="Estilo 1 84" xfId="934" xr:uid="{00000000-0005-0000-0000-000054030000}"/>
    <cellStyle name="Estilo 1 85" xfId="935" xr:uid="{00000000-0005-0000-0000-000055030000}"/>
    <cellStyle name="Estilo 1 86" xfId="936" xr:uid="{00000000-0005-0000-0000-000056030000}"/>
    <cellStyle name="Estilo 1 87" xfId="937" xr:uid="{00000000-0005-0000-0000-000057030000}"/>
    <cellStyle name="Estilo 1 88" xfId="938" xr:uid="{00000000-0005-0000-0000-000058030000}"/>
    <cellStyle name="Estilo 1 89" xfId="939" xr:uid="{00000000-0005-0000-0000-000059030000}"/>
    <cellStyle name="Estilo 1 9" xfId="940" xr:uid="{00000000-0005-0000-0000-00005A030000}"/>
    <cellStyle name="Estilo 1 9 2" xfId="941" xr:uid="{00000000-0005-0000-0000-00005B030000}"/>
    <cellStyle name="Estilo 1 9 3" xfId="942" xr:uid="{00000000-0005-0000-0000-00005C030000}"/>
    <cellStyle name="Estilo 1 9_Enlaces" xfId="943" xr:uid="{00000000-0005-0000-0000-00005D030000}"/>
    <cellStyle name="Estilo 1 90" xfId="944" xr:uid="{00000000-0005-0000-0000-00005E030000}"/>
    <cellStyle name="Estilo 1 90 2" xfId="945" xr:uid="{00000000-0005-0000-0000-00005F030000}"/>
    <cellStyle name="Estilo 1 91" xfId="946" xr:uid="{00000000-0005-0000-0000-000060030000}"/>
    <cellStyle name="Estilo 1 91 2" xfId="947" xr:uid="{00000000-0005-0000-0000-000061030000}"/>
    <cellStyle name="Estilo 1 92" xfId="948" xr:uid="{00000000-0005-0000-0000-000062030000}"/>
    <cellStyle name="Estilo 1 92 2" xfId="949" xr:uid="{00000000-0005-0000-0000-000063030000}"/>
    <cellStyle name="Estilo 1 93" xfId="950" xr:uid="{00000000-0005-0000-0000-000064030000}"/>
    <cellStyle name="Estilo 1 93 2" xfId="951" xr:uid="{00000000-0005-0000-0000-000065030000}"/>
    <cellStyle name="Estilo 1 94" xfId="952" xr:uid="{00000000-0005-0000-0000-000066030000}"/>
    <cellStyle name="Estilo 1 94 2" xfId="953" xr:uid="{00000000-0005-0000-0000-000067030000}"/>
    <cellStyle name="Estilo 1 95" xfId="954" xr:uid="{00000000-0005-0000-0000-000068030000}"/>
    <cellStyle name="Estilo 1 95 2" xfId="955" xr:uid="{00000000-0005-0000-0000-000069030000}"/>
    <cellStyle name="Estilo 1 96" xfId="956" xr:uid="{00000000-0005-0000-0000-00006A030000}"/>
    <cellStyle name="Estilo 1 96 2" xfId="957" xr:uid="{00000000-0005-0000-0000-00006B030000}"/>
    <cellStyle name="Estilo 1 97" xfId="958" xr:uid="{00000000-0005-0000-0000-00006C030000}"/>
    <cellStyle name="Estilo 1 97 2" xfId="959" xr:uid="{00000000-0005-0000-0000-00006D030000}"/>
    <cellStyle name="Estilo 1 98" xfId="960" xr:uid="{00000000-0005-0000-0000-00006E030000}"/>
    <cellStyle name="Estilo 1 98 2" xfId="961" xr:uid="{00000000-0005-0000-0000-00006F030000}"/>
    <cellStyle name="Estilo 1 99" xfId="962" xr:uid="{00000000-0005-0000-0000-000070030000}"/>
    <cellStyle name="Estilo 1 99 2" xfId="963" xr:uid="{00000000-0005-0000-0000-000071030000}"/>
    <cellStyle name="Estilo 1_Enlaces" xfId="964" xr:uid="{00000000-0005-0000-0000-000072030000}"/>
    <cellStyle name="Euro" xfId="965" xr:uid="{00000000-0005-0000-0000-000073030000}"/>
    <cellStyle name="Euro 10" xfId="966" xr:uid="{00000000-0005-0000-0000-000074030000}"/>
    <cellStyle name="Euro 11" xfId="967" xr:uid="{00000000-0005-0000-0000-000075030000}"/>
    <cellStyle name="Euro 12" xfId="968" xr:uid="{00000000-0005-0000-0000-000076030000}"/>
    <cellStyle name="Euro 13" xfId="969" xr:uid="{00000000-0005-0000-0000-000077030000}"/>
    <cellStyle name="Euro 14" xfId="970" xr:uid="{00000000-0005-0000-0000-000078030000}"/>
    <cellStyle name="Euro 15" xfId="971" xr:uid="{00000000-0005-0000-0000-000079030000}"/>
    <cellStyle name="Euro 16" xfId="972" xr:uid="{00000000-0005-0000-0000-00007A030000}"/>
    <cellStyle name="Euro 17" xfId="973" xr:uid="{00000000-0005-0000-0000-00007B030000}"/>
    <cellStyle name="Euro 18" xfId="974" xr:uid="{00000000-0005-0000-0000-00007C030000}"/>
    <cellStyle name="Euro 19" xfId="975" xr:uid="{00000000-0005-0000-0000-00007D030000}"/>
    <cellStyle name="Euro 2" xfId="976" xr:uid="{00000000-0005-0000-0000-00007E030000}"/>
    <cellStyle name="Euro 2 2" xfId="977" xr:uid="{00000000-0005-0000-0000-00007F030000}"/>
    <cellStyle name="Euro 20" xfId="978" xr:uid="{00000000-0005-0000-0000-000080030000}"/>
    <cellStyle name="Euro 21" xfId="979" xr:uid="{00000000-0005-0000-0000-000081030000}"/>
    <cellStyle name="Euro 3" xfId="980" xr:uid="{00000000-0005-0000-0000-000082030000}"/>
    <cellStyle name="Euro 4" xfId="981" xr:uid="{00000000-0005-0000-0000-000083030000}"/>
    <cellStyle name="Euro 5" xfId="982" xr:uid="{00000000-0005-0000-0000-000084030000}"/>
    <cellStyle name="Euro 6" xfId="983" xr:uid="{00000000-0005-0000-0000-000085030000}"/>
    <cellStyle name="Euro 7" xfId="984" xr:uid="{00000000-0005-0000-0000-000086030000}"/>
    <cellStyle name="Euro 8" xfId="985" xr:uid="{00000000-0005-0000-0000-000087030000}"/>
    <cellStyle name="Euro 9" xfId="986" xr:uid="{00000000-0005-0000-0000-000088030000}"/>
    <cellStyle name="Excel Built-in Normal" xfId="9" xr:uid="{00000000-0005-0000-0000-000089030000}"/>
    <cellStyle name="Excel Built-in Normal 2" xfId="987" xr:uid="{00000000-0005-0000-0000-00008A030000}"/>
    <cellStyle name="Excel Built-in Normal 2 2" xfId="988" xr:uid="{00000000-0005-0000-0000-00008B030000}"/>
    <cellStyle name="Excel Built-in Normal 3" xfId="989" xr:uid="{00000000-0005-0000-0000-00008C030000}"/>
    <cellStyle name="Explanatory Text" xfId="990" xr:uid="{00000000-0005-0000-0000-00008D030000}"/>
    <cellStyle name="Explanatory Text 2" xfId="991" xr:uid="{00000000-0005-0000-0000-00008E030000}"/>
    <cellStyle name="Explanatory Text 3" xfId="992" xr:uid="{00000000-0005-0000-0000-00008F030000}"/>
    <cellStyle name="Explanatory Text 4" xfId="993" xr:uid="{00000000-0005-0000-0000-000090030000}"/>
    <cellStyle name="Explanatory Text 5" xfId="994" xr:uid="{00000000-0005-0000-0000-000091030000}"/>
    <cellStyle name="Good" xfId="995" xr:uid="{00000000-0005-0000-0000-000092030000}"/>
    <cellStyle name="Good 2" xfId="996" xr:uid="{00000000-0005-0000-0000-000093030000}"/>
    <cellStyle name="Good 3" xfId="997" xr:uid="{00000000-0005-0000-0000-000094030000}"/>
    <cellStyle name="Good 4" xfId="998" xr:uid="{00000000-0005-0000-0000-000095030000}"/>
    <cellStyle name="Good 5" xfId="999" xr:uid="{00000000-0005-0000-0000-000096030000}"/>
    <cellStyle name="Heading 1" xfId="1000" xr:uid="{00000000-0005-0000-0000-000097030000}"/>
    <cellStyle name="Heading 1 2" xfId="1001" xr:uid="{00000000-0005-0000-0000-000098030000}"/>
    <cellStyle name="Heading 1 3" xfId="1002" xr:uid="{00000000-0005-0000-0000-000099030000}"/>
    <cellStyle name="Heading 1 4" xfId="1003" xr:uid="{00000000-0005-0000-0000-00009A030000}"/>
    <cellStyle name="Heading 1 5" xfId="1004" xr:uid="{00000000-0005-0000-0000-00009B030000}"/>
    <cellStyle name="Heading 2" xfId="1005" xr:uid="{00000000-0005-0000-0000-00009C030000}"/>
    <cellStyle name="Heading 2 2" xfId="1006" xr:uid="{00000000-0005-0000-0000-00009D030000}"/>
    <cellStyle name="Heading 2 3" xfId="1007" xr:uid="{00000000-0005-0000-0000-00009E030000}"/>
    <cellStyle name="Heading 2 4" xfId="1008" xr:uid="{00000000-0005-0000-0000-00009F030000}"/>
    <cellStyle name="Heading 2 5" xfId="1009" xr:uid="{00000000-0005-0000-0000-0000A0030000}"/>
    <cellStyle name="Heading 3" xfId="1010" xr:uid="{00000000-0005-0000-0000-0000A1030000}"/>
    <cellStyle name="Heading 3 2" xfId="1011" xr:uid="{00000000-0005-0000-0000-0000A2030000}"/>
    <cellStyle name="Heading 3 3" xfId="1012" xr:uid="{00000000-0005-0000-0000-0000A3030000}"/>
    <cellStyle name="Heading 3 4" xfId="1013" xr:uid="{00000000-0005-0000-0000-0000A4030000}"/>
    <cellStyle name="Heading 3 5" xfId="1014" xr:uid="{00000000-0005-0000-0000-0000A5030000}"/>
    <cellStyle name="Heading 4" xfId="1015" xr:uid="{00000000-0005-0000-0000-0000A6030000}"/>
    <cellStyle name="Heading 4 2" xfId="1016" xr:uid="{00000000-0005-0000-0000-0000A7030000}"/>
    <cellStyle name="Heading 4 3" xfId="1017" xr:uid="{00000000-0005-0000-0000-0000A8030000}"/>
    <cellStyle name="Heading 4 4" xfId="1018" xr:uid="{00000000-0005-0000-0000-0000A9030000}"/>
    <cellStyle name="Heading 4 5" xfId="1019" xr:uid="{00000000-0005-0000-0000-0000AA030000}"/>
    <cellStyle name="Hipervínculo 2" xfId="1020" xr:uid="{00000000-0005-0000-0000-0000AB030000}"/>
    <cellStyle name="Hipervínculo 2 2" xfId="1021" xr:uid="{00000000-0005-0000-0000-0000AC030000}"/>
    <cellStyle name="Hipervínculo 3" xfId="1022" xr:uid="{00000000-0005-0000-0000-0000AD030000}"/>
    <cellStyle name="Hipervínculo 3 2" xfId="1023" xr:uid="{00000000-0005-0000-0000-0000AE030000}"/>
    <cellStyle name="Hipervínculo 4" xfId="1024" xr:uid="{00000000-0005-0000-0000-0000AF030000}"/>
    <cellStyle name="Hipervínculo 5" xfId="1025" xr:uid="{00000000-0005-0000-0000-0000B0030000}"/>
    <cellStyle name="Hipervínculo 6" xfId="1026" xr:uid="{00000000-0005-0000-0000-0000B1030000}"/>
    <cellStyle name="Hyperlink" xfId="43" xr:uid="{00000000-0005-0000-0000-0000B2030000}"/>
    <cellStyle name="Incorrecto 2" xfId="1027" xr:uid="{00000000-0005-0000-0000-0000B3030000}"/>
    <cellStyle name="Incorrecto 2 2" xfId="1028" xr:uid="{00000000-0005-0000-0000-0000B4030000}"/>
    <cellStyle name="Incorrecto 3" xfId="1029" xr:uid="{00000000-0005-0000-0000-0000B5030000}"/>
    <cellStyle name="Incorrecto 4" xfId="1030" xr:uid="{00000000-0005-0000-0000-0000B6030000}"/>
    <cellStyle name="Incorrecto 5" xfId="1031" xr:uid="{00000000-0005-0000-0000-0000B7030000}"/>
    <cellStyle name="Incorrecto 6" xfId="1032" xr:uid="{00000000-0005-0000-0000-0000B8030000}"/>
    <cellStyle name="Incorrecto 7" xfId="1033" xr:uid="{00000000-0005-0000-0000-0000B9030000}"/>
    <cellStyle name="Incorrecto 8" xfId="1034" xr:uid="{00000000-0005-0000-0000-0000BA030000}"/>
    <cellStyle name="Input" xfId="1035" xr:uid="{00000000-0005-0000-0000-0000BB030000}"/>
    <cellStyle name="Input 2" xfId="1036" xr:uid="{00000000-0005-0000-0000-0000BC030000}"/>
    <cellStyle name="Input 3" xfId="1037" xr:uid="{00000000-0005-0000-0000-0000BD030000}"/>
    <cellStyle name="Input 4" xfId="1038" xr:uid="{00000000-0005-0000-0000-0000BE030000}"/>
    <cellStyle name="Input 5" xfId="1039" xr:uid="{00000000-0005-0000-0000-0000BF030000}"/>
    <cellStyle name="Linked Cell" xfId="1040" xr:uid="{00000000-0005-0000-0000-0000C0030000}"/>
    <cellStyle name="Linked Cell 2" xfId="1041" xr:uid="{00000000-0005-0000-0000-0000C1030000}"/>
    <cellStyle name="Linked Cell 3" xfId="1042" xr:uid="{00000000-0005-0000-0000-0000C2030000}"/>
    <cellStyle name="Linked Cell 4" xfId="1043" xr:uid="{00000000-0005-0000-0000-0000C3030000}"/>
    <cellStyle name="Linked Cell 5" xfId="1044" xr:uid="{00000000-0005-0000-0000-0000C4030000}"/>
    <cellStyle name="Millares 10" xfId="1045" xr:uid="{00000000-0005-0000-0000-0000C5030000}"/>
    <cellStyle name="Millares 10 10" xfId="1046" xr:uid="{00000000-0005-0000-0000-0000C6030000}"/>
    <cellStyle name="Millares 10 11" xfId="1047" xr:uid="{00000000-0005-0000-0000-0000C7030000}"/>
    <cellStyle name="Millares 10 12" xfId="1048" xr:uid="{00000000-0005-0000-0000-0000C8030000}"/>
    <cellStyle name="Millares 10 13" xfId="1049" xr:uid="{00000000-0005-0000-0000-0000C9030000}"/>
    <cellStyle name="Millares 10 14" xfId="1050" xr:uid="{00000000-0005-0000-0000-0000CA030000}"/>
    <cellStyle name="Millares 10 15" xfId="1051" xr:uid="{00000000-0005-0000-0000-0000CB030000}"/>
    <cellStyle name="Millares 10 16" xfId="1052" xr:uid="{00000000-0005-0000-0000-0000CC030000}"/>
    <cellStyle name="Millares 10 17" xfId="1053" xr:uid="{00000000-0005-0000-0000-0000CD030000}"/>
    <cellStyle name="Millares 10 18" xfId="1054" xr:uid="{00000000-0005-0000-0000-0000CE030000}"/>
    <cellStyle name="Millares 10 19" xfId="1055" xr:uid="{00000000-0005-0000-0000-0000CF030000}"/>
    <cellStyle name="Millares 10 2" xfId="1056" xr:uid="{00000000-0005-0000-0000-0000D0030000}"/>
    <cellStyle name="Millares 10 2 2" xfId="1057" xr:uid="{00000000-0005-0000-0000-0000D1030000}"/>
    <cellStyle name="Millares 10 2 3" xfId="1058" xr:uid="{00000000-0005-0000-0000-0000D2030000}"/>
    <cellStyle name="Millares 10 20" xfId="1059" xr:uid="{00000000-0005-0000-0000-0000D3030000}"/>
    <cellStyle name="Millares 10 21" xfId="1060" xr:uid="{00000000-0005-0000-0000-0000D4030000}"/>
    <cellStyle name="Millares 10 22" xfId="1061" xr:uid="{00000000-0005-0000-0000-0000D5030000}"/>
    <cellStyle name="Millares 10 23" xfId="1062" xr:uid="{00000000-0005-0000-0000-0000D6030000}"/>
    <cellStyle name="Millares 10 24" xfId="1063" xr:uid="{00000000-0005-0000-0000-0000D7030000}"/>
    <cellStyle name="Millares 10 25" xfId="1064" xr:uid="{00000000-0005-0000-0000-0000D8030000}"/>
    <cellStyle name="Millares 10 3" xfId="1065" xr:uid="{00000000-0005-0000-0000-0000D9030000}"/>
    <cellStyle name="Millares 10 3 2" xfId="1066" xr:uid="{00000000-0005-0000-0000-0000DA030000}"/>
    <cellStyle name="Millares 10 3 3" xfId="1067" xr:uid="{00000000-0005-0000-0000-0000DB030000}"/>
    <cellStyle name="Millares 10 4" xfId="1068" xr:uid="{00000000-0005-0000-0000-0000DC030000}"/>
    <cellStyle name="Millares 10 5" xfId="1069" xr:uid="{00000000-0005-0000-0000-0000DD030000}"/>
    <cellStyle name="Millares 10 6" xfId="1070" xr:uid="{00000000-0005-0000-0000-0000DE030000}"/>
    <cellStyle name="Millares 10 7" xfId="1071" xr:uid="{00000000-0005-0000-0000-0000DF030000}"/>
    <cellStyle name="Millares 10 8" xfId="1072" xr:uid="{00000000-0005-0000-0000-0000E0030000}"/>
    <cellStyle name="Millares 10 9" xfId="1073" xr:uid="{00000000-0005-0000-0000-0000E1030000}"/>
    <cellStyle name="Millares 11" xfId="1074" xr:uid="{00000000-0005-0000-0000-0000E2030000}"/>
    <cellStyle name="Millares 11 2" xfId="1075" xr:uid="{00000000-0005-0000-0000-0000E3030000}"/>
    <cellStyle name="Millares 12" xfId="1076" xr:uid="{00000000-0005-0000-0000-0000E4030000}"/>
    <cellStyle name="Millares 12 2" xfId="1077" xr:uid="{00000000-0005-0000-0000-0000E5030000}"/>
    <cellStyle name="Millares 13" xfId="1078" xr:uid="{00000000-0005-0000-0000-0000E6030000}"/>
    <cellStyle name="Millares 13 2" xfId="1079" xr:uid="{00000000-0005-0000-0000-0000E7030000}"/>
    <cellStyle name="Millares 14" xfId="1080" xr:uid="{00000000-0005-0000-0000-0000E8030000}"/>
    <cellStyle name="Millares 15" xfId="1081" xr:uid="{00000000-0005-0000-0000-0000E9030000}"/>
    <cellStyle name="Millares 15 2" xfId="1082" xr:uid="{00000000-0005-0000-0000-0000EA030000}"/>
    <cellStyle name="Millares 16" xfId="1083" xr:uid="{00000000-0005-0000-0000-0000EB030000}"/>
    <cellStyle name="Millares 16 2" xfId="1084" xr:uid="{00000000-0005-0000-0000-0000EC030000}"/>
    <cellStyle name="Millares 17" xfId="1085" xr:uid="{00000000-0005-0000-0000-0000ED030000}"/>
    <cellStyle name="Millares 17 2" xfId="1086" xr:uid="{00000000-0005-0000-0000-0000EE030000}"/>
    <cellStyle name="Millares 18" xfId="1087" xr:uid="{00000000-0005-0000-0000-0000EF030000}"/>
    <cellStyle name="Millares 19" xfId="1088" xr:uid="{00000000-0005-0000-0000-0000F0030000}"/>
    <cellStyle name="Millares 19 2" xfId="1089" xr:uid="{00000000-0005-0000-0000-0000F1030000}"/>
    <cellStyle name="Millares 19 3" xfId="1090" xr:uid="{00000000-0005-0000-0000-0000F2030000}"/>
    <cellStyle name="Millares 2" xfId="17" xr:uid="{00000000-0005-0000-0000-0000F3030000}"/>
    <cellStyle name="Millares 2 10" xfId="1092" xr:uid="{00000000-0005-0000-0000-0000F4030000}"/>
    <cellStyle name="Millares 2 10 2" xfId="1093" xr:uid="{00000000-0005-0000-0000-0000F5030000}"/>
    <cellStyle name="Millares 2 10 3" xfId="1094" xr:uid="{00000000-0005-0000-0000-0000F6030000}"/>
    <cellStyle name="Millares 2 11" xfId="1095" xr:uid="{00000000-0005-0000-0000-0000F7030000}"/>
    <cellStyle name="Millares 2 12" xfId="1096" xr:uid="{00000000-0005-0000-0000-0000F8030000}"/>
    <cellStyle name="Millares 2 13" xfId="1097" xr:uid="{00000000-0005-0000-0000-0000F9030000}"/>
    <cellStyle name="Millares 2 13 2" xfId="1098" xr:uid="{00000000-0005-0000-0000-0000FA030000}"/>
    <cellStyle name="Millares 2 13 2 2" xfId="1099" xr:uid="{00000000-0005-0000-0000-0000FB030000}"/>
    <cellStyle name="Millares 2 14" xfId="1100" xr:uid="{00000000-0005-0000-0000-0000FC030000}"/>
    <cellStyle name="Millares 2 14 2" xfId="1101" xr:uid="{00000000-0005-0000-0000-0000FD030000}"/>
    <cellStyle name="Millares 2 14 3" xfId="1102" xr:uid="{00000000-0005-0000-0000-0000FE030000}"/>
    <cellStyle name="Millares 2 15" xfId="1103" xr:uid="{00000000-0005-0000-0000-0000FF030000}"/>
    <cellStyle name="Millares 2 15 2" xfId="1104" xr:uid="{00000000-0005-0000-0000-000000040000}"/>
    <cellStyle name="Millares 2 15 3" xfId="1105" xr:uid="{00000000-0005-0000-0000-000001040000}"/>
    <cellStyle name="Millares 2 16" xfId="1106" xr:uid="{00000000-0005-0000-0000-000002040000}"/>
    <cellStyle name="Millares 2 16 2" xfId="1107" xr:uid="{00000000-0005-0000-0000-000003040000}"/>
    <cellStyle name="Millares 2 17" xfId="1108" xr:uid="{00000000-0005-0000-0000-000004040000}"/>
    <cellStyle name="Millares 2 17 2" xfId="1109" xr:uid="{00000000-0005-0000-0000-000005040000}"/>
    <cellStyle name="Millares 2 18" xfId="1110" xr:uid="{00000000-0005-0000-0000-000006040000}"/>
    <cellStyle name="Millares 2 19" xfId="1111" xr:uid="{00000000-0005-0000-0000-000007040000}"/>
    <cellStyle name="Millares 2 2" xfId="29" xr:uid="{00000000-0005-0000-0000-000008040000}"/>
    <cellStyle name="Millares 2 2 10" xfId="1113" xr:uid="{00000000-0005-0000-0000-000009040000}"/>
    <cellStyle name="Millares 2 2 11" xfId="1114" xr:uid="{00000000-0005-0000-0000-00000A040000}"/>
    <cellStyle name="Millares 2 2 12" xfId="1115" xr:uid="{00000000-0005-0000-0000-00000B040000}"/>
    <cellStyle name="Millares 2 2 13" xfId="1116" xr:uid="{00000000-0005-0000-0000-00000C040000}"/>
    <cellStyle name="Millares 2 2 14" xfId="1117" xr:uid="{00000000-0005-0000-0000-00000D040000}"/>
    <cellStyle name="Millares 2 2 15" xfId="1118" xr:uid="{00000000-0005-0000-0000-00000E040000}"/>
    <cellStyle name="Millares 2 2 16" xfId="1119" xr:uid="{00000000-0005-0000-0000-00000F040000}"/>
    <cellStyle name="Millares 2 2 17" xfId="1120" xr:uid="{00000000-0005-0000-0000-000010040000}"/>
    <cellStyle name="Millares 2 2 18" xfId="1121" xr:uid="{00000000-0005-0000-0000-000011040000}"/>
    <cellStyle name="Millares 2 2 19" xfId="1122" xr:uid="{00000000-0005-0000-0000-000012040000}"/>
    <cellStyle name="Millares 2 2 2" xfId="1123" xr:uid="{00000000-0005-0000-0000-000013040000}"/>
    <cellStyle name="Millares 2 2 2 10" xfId="1124" xr:uid="{00000000-0005-0000-0000-000014040000}"/>
    <cellStyle name="Millares 2 2 2 11" xfId="1125" xr:uid="{00000000-0005-0000-0000-000015040000}"/>
    <cellStyle name="Millares 2 2 2 12" xfId="1126" xr:uid="{00000000-0005-0000-0000-000016040000}"/>
    <cellStyle name="Millares 2 2 2 13" xfId="1127" xr:uid="{00000000-0005-0000-0000-000017040000}"/>
    <cellStyle name="Millares 2 2 2 14" xfId="1128" xr:uid="{00000000-0005-0000-0000-000018040000}"/>
    <cellStyle name="Millares 2 2 2 15" xfId="1129" xr:uid="{00000000-0005-0000-0000-000019040000}"/>
    <cellStyle name="Millares 2 2 2 16" xfId="1130" xr:uid="{00000000-0005-0000-0000-00001A040000}"/>
    <cellStyle name="Millares 2 2 2 17" xfId="1131" xr:uid="{00000000-0005-0000-0000-00001B040000}"/>
    <cellStyle name="Millares 2 2 2 18" xfId="1132" xr:uid="{00000000-0005-0000-0000-00001C040000}"/>
    <cellStyle name="Millares 2 2 2 19" xfId="1133" xr:uid="{00000000-0005-0000-0000-00001D040000}"/>
    <cellStyle name="Millares 2 2 2 2" xfId="1134" xr:uid="{00000000-0005-0000-0000-00001E040000}"/>
    <cellStyle name="Millares 2 2 2 2 10" xfId="1135" xr:uid="{00000000-0005-0000-0000-00001F040000}"/>
    <cellStyle name="Millares 2 2 2 2 11" xfId="1136" xr:uid="{00000000-0005-0000-0000-000020040000}"/>
    <cellStyle name="Millares 2 2 2 2 12" xfId="1137" xr:uid="{00000000-0005-0000-0000-000021040000}"/>
    <cellStyle name="Millares 2 2 2 2 13" xfId="1138" xr:uid="{00000000-0005-0000-0000-000022040000}"/>
    <cellStyle name="Millares 2 2 2 2 14" xfId="1139" xr:uid="{00000000-0005-0000-0000-000023040000}"/>
    <cellStyle name="Millares 2 2 2 2 15" xfId="1140" xr:uid="{00000000-0005-0000-0000-000024040000}"/>
    <cellStyle name="Millares 2 2 2 2 16" xfId="1141" xr:uid="{00000000-0005-0000-0000-000025040000}"/>
    <cellStyle name="Millares 2 2 2 2 17" xfId="1142" xr:uid="{00000000-0005-0000-0000-000026040000}"/>
    <cellStyle name="Millares 2 2 2 2 18" xfId="1143" xr:uid="{00000000-0005-0000-0000-000027040000}"/>
    <cellStyle name="Millares 2 2 2 2 19" xfId="1144" xr:uid="{00000000-0005-0000-0000-000028040000}"/>
    <cellStyle name="Millares 2 2 2 2 2" xfId="1145" xr:uid="{00000000-0005-0000-0000-000029040000}"/>
    <cellStyle name="Millares 2 2 2 2 2 10" xfId="1146" xr:uid="{00000000-0005-0000-0000-00002A040000}"/>
    <cellStyle name="Millares 2 2 2 2 2 11" xfId="1147" xr:uid="{00000000-0005-0000-0000-00002B040000}"/>
    <cellStyle name="Millares 2 2 2 2 2 12" xfId="1148" xr:uid="{00000000-0005-0000-0000-00002C040000}"/>
    <cellStyle name="Millares 2 2 2 2 2 13" xfId="1149" xr:uid="{00000000-0005-0000-0000-00002D040000}"/>
    <cellStyle name="Millares 2 2 2 2 2 14" xfId="1150" xr:uid="{00000000-0005-0000-0000-00002E040000}"/>
    <cellStyle name="Millares 2 2 2 2 2 15" xfId="1151" xr:uid="{00000000-0005-0000-0000-00002F040000}"/>
    <cellStyle name="Millares 2 2 2 2 2 16" xfId="1152" xr:uid="{00000000-0005-0000-0000-000030040000}"/>
    <cellStyle name="Millares 2 2 2 2 2 17" xfId="1153" xr:uid="{00000000-0005-0000-0000-000031040000}"/>
    <cellStyle name="Millares 2 2 2 2 2 18" xfId="1154" xr:uid="{00000000-0005-0000-0000-000032040000}"/>
    <cellStyle name="Millares 2 2 2 2 2 19" xfId="1155" xr:uid="{00000000-0005-0000-0000-000033040000}"/>
    <cellStyle name="Millares 2 2 2 2 2 2" xfId="1156" xr:uid="{00000000-0005-0000-0000-000034040000}"/>
    <cellStyle name="Millares 2 2 2 2 2 2 10" xfId="1157" xr:uid="{00000000-0005-0000-0000-000035040000}"/>
    <cellStyle name="Millares 2 2 2 2 2 2 11" xfId="1158" xr:uid="{00000000-0005-0000-0000-000036040000}"/>
    <cellStyle name="Millares 2 2 2 2 2 2 12" xfId="1159" xr:uid="{00000000-0005-0000-0000-000037040000}"/>
    <cellStyle name="Millares 2 2 2 2 2 2 13" xfId="1160" xr:uid="{00000000-0005-0000-0000-000038040000}"/>
    <cellStyle name="Millares 2 2 2 2 2 2 14" xfId="1161" xr:uid="{00000000-0005-0000-0000-000039040000}"/>
    <cellStyle name="Millares 2 2 2 2 2 2 15" xfId="1162" xr:uid="{00000000-0005-0000-0000-00003A040000}"/>
    <cellStyle name="Millares 2 2 2 2 2 2 16" xfId="1163" xr:uid="{00000000-0005-0000-0000-00003B040000}"/>
    <cellStyle name="Millares 2 2 2 2 2 2 17" xfId="1164" xr:uid="{00000000-0005-0000-0000-00003C040000}"/>
    <cellStyle name="Millares 2 2 2 2 2 2 18" xfId="1165" xr:uid="{00000000-0005-0000-0000-00003D040000}"/>
    <cellStyle name="Millares 2 2 2 2 2 2 19" xfId="1166" xr:uid="{00000000-0005-0000-0000-00003E040000}"/>
    <cellStyle name="Millares 2 2 2 2 2 2 2" xfId="1167" xr:uid="{00000000-0005-0000-0000-00003F040000}"/>
    <cellStyle name="Millares 2 2 2 2 2 2 2 10" xfId="1168" xr:uid="{00000000-0005-0000-0000-000040040000}"/>
    <cellStyle name="Millares 2 2 2 2 2 2 2 11" xfId="1169" xr:uid="{00000000-0005-0000-0000-000041040000}"/>
    <cellStyle name="Millares 2 2 2 2 2 2 2 12" xfId="1170" xr:uid="{00000000-0005-0000-0000-000042040000}"/>
    <cellStyle name="Millares 2 2 2 2 2 2 2 13" xfId="1171" xr:uid="{00000000-0005-0000-0000-000043040000}"/>
    <cellStyle name="Millares 2 2 2 2 2 2 2 14" xfId="1172" xr:uid="{00000000-0005-0000-0000-000044040000}"/>
    <cellStyle name="Millares 2 2 2 2 2 2 2 15" xfId="1173" xr:uid="{00000000-0005-0000-0000-000045040000}"/>
    <cellStyle name="Millares 2 2 2 2 2 2 2 16" xfId="1174" xr:uid="{00000000-0005-0000-0000-000046040000}"/>
    <cellStyle name="Millares 2 2 2 2 2 2 2 17" xfId="1175" xr:uid="{00000000-0005-0000-0000-000047040000}"/>
    <cellStyle name="Millares 2 2 2 2 2 2 2 18" xfId="1176" xr:uid="{00000000-0005-0000-0000-000048040000}"/>
    <cellStyle name="Millares 2 2 2 2 2 2 2 19" xfId="1177" xr:uid="{00000000-0005-0000-0000-000049040000}"/>
    <cellStyle name="Millares 2 2 2 2 2 2 2 2" xfId="1178" xr:uid="{00000000-0005-0000-0000-00004A040000}"/>
    <cellStyle name="Millares 2 2 2 2 2 2 2 2 10" xfId="1179" xr:uid="{00000000-0005-0000-0000-00004B040000}"/>
    <cellStyle name="Millares 2 2 2 2 2 2 2 2 11" xfId="1180" xr:uid="{00000000-0005-0000-0000-00004C040000}"/>
    <cellStyle name="Millares 2 2 2 2 2 2 2 2 12" xfId="1181" xr:uid="{00000000-0005-0000-0000-00004D040000}"/>
    <cellStyle name="Millares 2 2 2 2 2 2 2 2 13" xfId="1182" xr:uid="{00000000-0005-0000-0000-00004E040000}"/>
    <cellStyle name="Millares 2 2 2 2 2 2 2 2 14" xfId="1183" xr:uid="{00000000-0005-0000-0000-00004F040000}"/>
    <cellStyle name="Millares 2 2 2 2 2 2 2 2 15" xfId="1184" xr:uid="{00000000-0005-0000-0000-000050040000}"/>
    <cellStyle name="Millares 2 2 2 2 2 2 2 2 2" xfId="1185" xr:uid="{00000000-0005-0000-0000-000051040000}"/>
    <cellStyle name="Millares 2 2 2 2 2 2 2 2 2 10" xfId="1186" xr:uid="{00000000-0005-0000-0000-000052040000}"/>
    <cellStyle name="Millares 2 2 2 2 2 2 2 2 2 11" xfId="1187" xr:uid="{00000000-0005-0000-0000-000053040000}"/>
    <cellStyle name="Millares 2 2 2 2 2 2 2 2 2 12" xfId="1188" xr:uid="{00000000-0005-0000-0000-000054040000}"/>
    <cellStyle name="Millares 2 2 2 2 2 2 2 2 2 13" xfId="1189" xr:uid="{00000000-0005-0000-0000-000055040000}"/>
    <cellStyle name="Millares 2 2 2 2 2 2 2 2 2 14" xfId="1190" xr:uid="{00000000-0005-0000-0000-000056040000}"/>
    <cellStyle name="Millares 2 2 2 2 2 2 2 2 2 15" xfId="1191" xr:uid="{00000000-0005-0000-0000-000057040000}"/>
    <cellStyle name="Millares 2 2 2 2 2 2 2 2 2 2" xfId="1192" xr:uid="{00000000-0005-0000-0000-000058040000}"/>
    <cellStyle name="Millares 2 2 2 2 2 2 2 2 2 2 10" xfId="1193" xr:uid="{00000000-0005-0000-0000-000059040000}"/>
    <cellStyle name="Millares 2 2 2 2 2 2 2 2 2 2 11" xfId="1194" xr:uid="{00000000-0005-0000-0000-00005A040000}"/>
    <cellStyle name="Millares 2 2 2 2 2 2 2 2 2 2 12" xfId="1195" xr:uid="{00000000-0005-0000-0000-00005B040000}"/>
    <cellStyle name="Millares 2 2 2 2 2 2 2 2 2 2 2" xfId="1196" xr:uid="{00000000-0005-0000-0000-00005C040000}"/>
    <cellStyle name="Millares 2 2 2 2 2 2 2 2 2 2 2 10" xfId="1197" xr:uid="{00000000-0005-0000-0000-00005D040000}"/>
    <cellStyle name="Millares 2 2 2 2 2 2 2 2 2 2 2 2" xfId="1198" xr:uid="{00000000-0005-0000-0000-00005E040000}"/>
    <cellStyle name="Millares 2 2 2 2 2 2 2 2 2 2 2 3" xfId="1199" xr:uid="{00000000-0005-0000-0000-00005F040000}"/>
    <cellStyle name="Millares 2 2 2 2 2 2 2 2 2 2 2 4" xfId="1200" xr:uid="{00000000-0005-0000-0000-000060040000}"/>
    <cellStyle name="Millares 2 2 2 2 2 2 2 2 2 2 2 5" xfId="1201" xr:uid="{00000000-0005-0000-0000-000061040000}"/>
    <cellStyle name="Millares 2 2 2 2 2 2 2 2 2 2 2 6" xfId="1202" xr:uid="{00000000-0005-0000-0000-000062040000}"/>
    <cellStyle name="Millares 2 2 2 2 2 2 2 2 2 2 2 7" xfId="1203" xr:uid="{00000000-0005-0000-0000-000063040000}"/>
    <cellStyle name="Millares 2 2 2 2 2 2 2 2 2 2 2 8" xfId="1204" xr:uid="{00000000-0005-0000-0000-000064040000}"/>
    <cellStyle name="Millares 2 2 2 2 2 2 2 2 2 2 2 9" xfId="1205" xr:uid="{00000000-0005-0000-0000-000065040000}"/>
    <cellStyle name="Millares 2 2 2 2 2 2 2 2 2 2 3" xfId="1206" xr:uid="{00000000-0005-0000-0000-000066040000}"/>
    <cellStyle name="Millares 2 2 2 2 2 2 2 2 2 2 4" xfId="1207" xr:uid="{00000000-0005-0000-0000-000067040000}"/>
    <cellStyle name="Millares 2 2 2 2 2 2 2 2 2 2 5" xfId="1208" xr:uid="{00000000-0005-0000-0000-000068040000}"/>
    <cellStyle name="Millares 2 2 2 2 2 2 2 2 2 2 6" xfId="1209" xr:uid="{00000000-0005-0000-0000-000069040000}"/>
    <cellStyle name="Millares 2 2 2 2 2 2 2 2 2 2 7" xfId="1210" xr:uid="{00000000-0005-0000-0000-00006A040000}"/>
    <cellStyle name="Millares 2 2 2 2 2 2 2 2 2 2 8" xfId="1211" xr:uid="{00000000-0005-0000-0000-00006B040000}"/>
    <cellStyle name="Millares 2 2 2 2 2 2 2 2 2 2 9" xfId="1212" xr:uid="{00000000-0005-0000-0000-00006C040000}"/>
    <cellStyle name="Millares 2 2 2 2 2 2 2 2 2 3" xfId="1213" xr:uid="{00000000-0005-0000-0000-00006D040000}"/>
    <cellStyle name="Millares 2 2 2 2 2 2 2 2 2 4" xfId="1214" xr:uid="{00000000-0005-0000-0000-00006E040000}"/>
    <cellStyle name="Millares 2 2 2 2 2 2 2 2 2 5" xfId="1215" xr:uid="{00000000-0005-0000-0000-00006F040000}"/>
    <cellStyle name="Millares 2 2 2 2 2 2 2 2 2 6" xfId="1216" xr:uid="{00000000-0005-0000-0000-000070040000}"/>
    <cellStyle name="Millares 2 2 2 2 2 2 2 2 2 6 10" xfId="1217" xr:uid="{00000000-0005-0000-0000-000071040000}"/>
    <cellStyle name="Millares 2 2 2 2 2 2 2 2 2 6 2" xfId="1218" xr:uid="{00000000-0005-0000-0000-000072040000}"/>
    <cellStyle name="Millares 2 2 2 2 2 2 2 2 2 6 3" xfId="1219" xr:uid="{00000000-0005-0000-0000-000073040000}"/>
    <cellStyle name="Millares 2 2 2 2 2 2 2 2 2 6 4" xfId="1220" xr:uid="{00000000-0005-0000-0000-000074040000}"/>
    <cellStyle name="Millares 2 2 2 2 2 2 2 2 2 6 5" xfId="1221" xr:uid="{00000000-0005-0000-0000-000075040000}"/>
    <cellStyle name="Millares 2 2 2 2 2 2 2 2 2 6 6" xfId="1222" xr:uid="{00000000-0005-0000-0000-000076040000}"/>
    <cellStyle name="Millares 2 2 2 2 2 2 2 2 2 6 7" xfId="1223" xr:uid="{00000000-0005-0000-0000-000077040000}"/>
    <cellStyle name="Millares 2 2 2 2 2 2 2 2 2 6 8" xfId="1224" xr:uid="{00000000-0005-0000-0000-000078040000}"/>
    <cellStyle name="Millares 2 2 2 2 2 2 2 2 2 6 9" xfId="1225" xr:uid="{00000000-0005-0000-0000-000079040000}"/>
    <cellStyle name="Millares 2 2 2 2 2 2 2 2 2 7" xfId="1226" xr:uid="{00000000-0005-0000-0000-00007A040000}"/>
    <cellStyle name="Millares 2 2 2 2 2 2 2 2 2 8" xfId="1227" xr:uid="{00000000-0005-0000-0000-00007B040000}"/>
    <cellStyle name="Millares 2 2 2 2 2 2 2 2 2 9" xfId="1228" xr:uid="{00000000-0005-0000-0000-00007C040000}"/>
    <cellStyle name="Millares 2 2 2 2 2 2 2 2 3" xfId="1229" xr:uid="{00000000-0005-0000-0000-00007D040000}"/>
    <cellStyle name="Millares 2 2 2 2 2 2 2 2 4" xfId="1230" xr:uid="{00000000-0005-0000-0000-00007E040000}"/>
    <cellStyle name="Millares 2 2 2 2 2 2 2 2 5" xfId="1231" xr:uid="{00000000-0005-0000-0000-00007F040000}"/>
    <cellStyle name="Millares 2 2 2 2 2 2 2 2 6" xfId="1232" xr:uid="{00000000-0005-0000-0000-000080040000}"/>
    <cellStyle name="Millares 2 2 2 2 2 2 2 2 6 10" xfId="1233" xr:uid="{00000000-0005-0000-0000-000081040000}"/>
    <cellStyle name="Millares 2 2 2 2 2 2 2 2 6 2" xfId="1234" xr:uid="{00000000-0005-0000-0000-000082040000}"/>
    <cellStyle name="Millares 2 2 2 2 2 2 2 2 6 3" xfId="1235" xr:uid="{00000000-0005-0000-0000-000083040000}"/>
    <cellStyle name="Millares 2 2 2 2 2 2 2 2 6 4" xfId="1236" xr:uid="{00000000-0005-0000-0000-000084040000}"/>
    <cellStyle name="Millares 2 2 2 2 2 2 2 2 6 5" xfId="1237" xr:uid="{00000000-0005-0000-0000-000085040000}"/>
    <cellStyle name="Millares 2 2 2 2 2 2 2 2 6 6" xfId="1238" xr:uid="{00000000-0005-0000-0000-000086040000}"/>
    <cellStyle name="Millares 2 2 2 2 2 2 2 2 6 7" xfId="1239" xr:uid="{00000000-0005-0000-0000-000087040000}"/>
    <cellStyle name="Millares 2 2 2 2 2 2 2 2 6 8" xfId="1240" xr:uid="{00000000-0005-0000-0000-000088040000}"/>
    <cellStyle name="Millares 2 2 2 2 2 2 2 2 6 9" xfId="1241" xr:uid="{00000000-0005-0000-0000-000089040000}"/>
    <cellStyle name="Millares 2 2 2 2 2 2 2 2 7" xfId="1242" xr:uid="{00000000-0005-0000-0000-00008A040000}"/>
    <cellStyle name="Millares 2 2 2 2 2 2 2 2 8" xfId="1243" xr:uid="{00000000-0005-0000-0000-00008B040000}"/>
    <cellStyle name="Millares 2 2 2 2 2 2 2 2 9" xfId="1244" xr:uid="{00000000-0005-0000-0000-00008C040000}"/>
    <cellStyle name="Millares 2 2 2 2 2 2 2 20" xfId="1245" xr:uid="{00000000-0005-0000-0000-00008D040000}"/>
    <cellStyle name="Millares 2 2 2 2 2 2 2 21" xfId="1246" xr:uid="{00000000-0005-0000-0000-00008E040000}"/>
    <cellStyle name="Millares 2 2 2 2 2 2 2 22" xfId="1247" xr:uid="{00000000-0005-0000-0000-00008F040000}"/>
    <cellStyle name="Millares 2 2 2 2 2 2 2 23" xfId="1248" xr:uid="{00000000-0005-0000-0000-000090040000}"/>
    <cellStyle name="Millares 2 2 2 2 2 2 2 24" xfId="1249" xr:uid="{00000000-0005-0000-0000-000091040000}"/>
    <cellStyle name="Millares 2 2 2 2 2 2 2 25" xfId="1250" xr:uid="{00000000-0005-0000-0000-000092040000}"/>
    <cellStyle name="Millares 2 2 2 2 2 2 2 25 10" xfId="1251" xr:uid="{00000000-0005-0000-0000-000093040000}"/>
    <cellStyle name="Millares 2 2 2 2 2 2 2 25 2" xfId="1252" xr:uid="{00000000-0005-0000-0000-000094040000}"/>
    <cellStyle name="Millares 2 2 2 2 2 2 2 25 3" xfId="1253" xr:uid="{00000000-0005-0000-0000-000095040000}"/>
    <cellStyle name="Millares 2 2 2 2 2 2 2 25 4" xfId="1254" xr:uid="{00000000-0005-0000-0000-000096040000}"/>
    <cellStyle name="Millares 2 2 2 2 2 2 2 25 5" xfId="1255" xr:uid="{00000000-0005-0000-0000-000097040000}"/>
    <cellStyle name="Millares 2 2 2 2 2 2 2 25 6" xfId="1256" xr:uid="{00000000-0005-0000-0000-000098040000}"/>
    <cellStyle name="Millares 2 2 2 2 2 2 2 25 7" xfId="1257" xr:uid="{00000000-0005-0000-0000-000099040000}"/>
    <cellStyle name="Millares 2 2 2 2 2 2 2 25 8" xfId="1258" xr:uid="{00000000-0005-0000-0000-00009A040000}"/>
    <cellStyle name="Millares 2 2 2 2 2 2 2 25 9" xfId="1259" xr:uid="{00000000-0005-0000-0000-00009B040000}"/>
    <cellStyle name="Millares 2 2 2 2 2 2 2 26" xfId="1260" xr:uid="{00000000-0005-0000-0000-00009C040000}"/>
    <cellStyle name="Millares 2 2 2 2 2 2 2 27" xfId="1261" xr:uid="{00000000-0005-0000-0000-00009D040000}"/>
    <cellStyle name="Millares 2 2 2 2 2 2 2 28" xfId="1262" xr:uid="{00000000-0005-0000-0000-00009E040000}"/>
    <cellStyle name="Millares 2 2 2 2 2 2 2 29" xfId="1263" xr:uid="{00000000-0005-0000-0000-00009F040000}"/>
    <cellStyle name="Millares 2 2 2 2 2 2 2 3" xfId="1264" xr:uid="{00000000-0005-0000-0000-0000A0040000}"/>
    <cellStyle name="Millares 2 2 2 2 2 2 2 30" xfId="1265" xr:uid="{00000000-0005-0000-0000-0000A1040000}"/>
    <cellStyle name="Millares 2 2 2 2 2 2 2 31" xfId="1266" xr:uid="{00000000-0005-0000-0000-0000A2040000}"/>
    <cellStyle name="Millares 2 2 2 2 2 2 2 32" xfId="1267" xr:uid="{00000000-0005-0000-0000-0000A3040000}"/>
    <cellStyle name="Millares 2 2 2 2 2 2 2 33" xfId="1268" xr:uid="{00000000-0005-0000-0000-0000A4040000}"/>
    <cellStyle name="Millares 2 2 2 2 2 2 2 34" xfId="1269" xr:uid="{00000000-0005-0000-0000-0000A5040000}"/>
    <cellStyle name="Millares 2 2 2 2 2 2 2 4" xfId="1270" xr:uid="{00000000-0005-0000-0000-0000A6040000}"/>
    <cellStyle name="Millares 2 2 2 2 2 2 2 5" xfId="1271" xr:uid="{00000000-0005-0000-0000-0000A7040000}"/>
    <cellStyle name="Millares 2 2 2 2 2 2 2 6" xfId="1272" xr:uid="{00000000-0005-0000-0000-0000A8040000}"/>
    <cellStyle name="Millares 2 2 2 2 2 2 2 7" xfId="1273" xr:uid="{00000000-0005-0000-0000-0000A9040000}"/>
    <cellStyle name="Millares 2 2 2 2 2 2 2 8" xfId="1274" xr:uid="{00000000-0005-0000-0000-0000AA040000}"/>
    <cellStyle name="Millares 2 2 2 2 2 2 2 9" xfId="1275" xr:uid="{00000000-0005-0000-0000-0000AB040000}"/>
    <cellStyle name="Millares 2 2 2 2 2 2 20" xfId="1276" xr:uid="{00000000-0005-0000-0000-0000AC040000}"/>
    <cellStyle name="Millares 2 2 2 2 2 2 21" xfId="1277" xr:uid="{00000000-0005-0000-0000-0000AD040000}"/>
    <cellStyle name="Millares 2 2 2 2 2 2 22" xfId="1278" xr:uid="{00000000-0005-0000-0000-0000AE040000}"/>
    <cellStyle name="Millares 2 2 2 2 2 2 23" xfId="1279" xr:uid="{00000000-0005-0000-0000-0000AF040000}"/>
    <cellStyle name="Millares 2 2 2 2 2 2 24" xfId="1280" xr:uid="{00000000-0005-0000-0000-0000B0040000}"/>
    <cellStyle name="Millares 2 2 2 2 2 2 25" xfId="1281" xr:uid="{00000000-0005-0000-0000-0000B1040000}"/>
    <cellStyle name="Millares 2 2 2 2 2 2 25 10" xfId="1282" xr:uid="{00000000-0005-0000-0000-0000B2040000}"/>
    <cellStyle name="Millares 2 2 2 2 2 2 25 2" xfId="1283" xr:uid="{00000000-0005-0000-0000-0000B3040000}"/>
    <cellStyle name="Millares 2 2 2 2 2 2 25 3" xfId="1284" xr:uid="{00000000-0005-0000-0000-0000B4040000}"/>
    <cellStyle name="Millares 2 2 2 2 2 2 25 4" xfId="1285" xr:uid="{00000000-0005-0000-0000-0000B5040000}"/>
    <cellStyle name="Millares 2 2 2 2 2 2 25 5" xfId="1286" xr:uid="{00000000-0005-0000-0000-0000B6040000}"/>
    <cellStyle name="Millares 2 2 2 2 2 2 25 6" xfId="1287" xr:uid="{00000000-0005-0000-0000-0000B7040000}"/>
    <cellStyle name="Millares 2 2 2 2 2 2 25 7" xfId="1288" xr:uid="{00000000-0005-0000-0000-0000B8040000}"/>
    <cellStyle name="Millares 2 2 2 2 2 2 25 8" xfId="1289" xr:uid="{00000000-0005-0000-0000-0000B9040000}"/>
    <cellStyle name="Millares 2 2 2 2 2 2 25 9" xfId="1290" xr:uid="{00000000-0005-0000-0000-0000BA040000}"/>
    <cellStyle name="Millares 2 2 2 2 2 2 26" xfId="1291" xr:uid="{00000000-0005-0000-0000-0000BB040000}"/>
    <cellStyle name="Millares 2 2 2 2 2 2 27" xfId="1292" xr:uid="{00000000-0005-0000-0000-0000BC040000}"/>
    <cellStyle name="Millares 2 2 2 2 2 2 28" xfId="1293" xr:uid="{00000000-0005-0000-0000-0000BD040000}"/>
    <cellStyle name="Millares 2 2 2 2 2 2 29" xfId="1294" xr:uid="{00000000-0005-0000-0000-0000BE040000}"/>
    <cellStyle name="Millares 2 2 2 2 2 2 3" xfId="1295" xr:uid="{00000000-0005-0000-0000-0000BF040000}"/>
    <cellStyle name="Millares 2 2 2 2 2 2 30" xfId="1296" xr:uid="{00000000-0005-0000-0000-0000C0040000}"/>
    <cellStyle name="Millares 2 2 2 2 2 2 31" xfId="1297" xr:uid="{00000000-0005-0000-0000-0000C1040000}"/>
    <cellStyle name="Millares 2 2 2 2 2 2 32" xfId="1298" xr:uid="{00000000-0005-0000-0000-0000C2040000}"/>
    <cellStyle name="Millares 2 2 2 2 2 2 33" xfId="1299" xr:uid="{00000000-0005-0000-0000-0000C3040000}"/>
    <cellStyle name="Millares 2 2 2 2 2 2 34" xfId="1300" xr:uid="{00000000-0005-0000-0000-0000C4040000}"/>
    <cellStyle name="Millares 2 2 2 2 2 2 35" xfId="1301" xr:uid="{00000000-0005-0000-0000-0000C5040000}"/>
    <cellStyle name="Millares 2 2 2 2 2 2 4" xfId="1302" xr:uid="{00000000-0005-0000-0000-0000C6040000}"/>
    <cellStyle name="Millares 2 2 2 2 2 2 5" xfId="1303" xr:uid="{00000000-0005-0000-0000-0000C7040000}"/>
    <cellStyle name="Millares 2 2 2 2 2 2 6" xfId="1304" xr:uid="{00000000-0005-0000-0000-0000C8040000}"/>
    <cellStyle name="Millares 2 2 2 2 2 2 7" xfId="1305" xr:uid="{00000000-0005-0000-0000-0000C9040000}"/>
    <cellStyle name="Millares 2 2 2 2 2 2 8" xfId="1306" xr:uid="{00000000-0005-0000-0000-0000CA040000}"/>
    <cellStyle name="Millares 2 2 2 2 2 2 9" xfId="1307" xr:uid="{00000000-0005-0000-0000-0000CB040000}"/>
    <cellStyle name="Millares 2 2 2 2 2 20" xfId="1308" xr:uid="{00000000-0005-0000-0000-0000CC040000}"/>
    <cellStyle name="Millares 2 2 2 2 2 21" xfId="1309" xr:uid="{00000000-0005-0000-0000-0000CD040000}"/>
    <cellStyle name="Millares 2 2 2 2 2 22" xfId="1310" xr:uid="{00000000-0005-0000-0000-0000CE040000}"/>
    <cellStyle name="Millares 2 2 2 2 2 23" xfId="1311" xr:uid="{00000000-0005-0000-0000-0000CF040000}"/>
    <cellStyle name="Millares 2 2 2 2 2 24" xfId="1312" xr:uid="{00000000-0005-0000-0000-0000D0040000}"/>
    <cellStyle name="Millares 2 2 2 2 2 25" xfId="1313" xr:uid="{00000000-0005-0000-0000-0000D1040000}"/>
    <cellStyle name="Millares 2 2 2 2 2 26" xfId="1314" xr:uid="{00000000-0005-0000-0000-0000D2040000}"/>
    <cellStyle name="Millares 2 2 2 2 2 27" xfId="1315" xr:uid="{00000000-0005-0000-0000-0000D3040000}"/>
    <cellStyle name="Millares 2 2 2 2 2 28" xfId="1316" xr:uid="{00000000-0005-0000-0000-0000D4040000}"/>
    <cellStyle name="Millares 2 2 2 2 2 29" xfId="1317" xr:uid="{00000000-0005-0000-0000-0000D5040000}"/>
    <cellStyle name="Millares 2 2 2 2 2 3" xfId="1318" xr:uid="{00000000-0005-0000-0000-0000D6040000}"/>
    <cellStyle name="Millares 2 2 2 2 2 30" xfId="1319" xr:uid="{00000000-0005-0000-0000-0000D7040000}"/>
    <cellStyle name="Millares 2 2 2 2 2 31" xfId="1320" xr:uid="{00000000-0005-0000-0000-0000D8040000}"/>
    <cellStyle name="Millares 2 2 2 2 2 32" xfId="1321" xr:uid="{00000000-0005-0000-0000-0000D9040000}"/>
    <cellStyle name="Millares 2 2 2 2 2 33" xfId="1322" xr:uid="{00000000-0005-0000-0000-0000DA040000}"/>
    <cellStyle name="Millares 2 2 2 2 2 34" xfId="1323" xr:uid="{00000000-0005-0000-0000-0000DB040000}"/>
    <cellStyle name="Millares 2 2 2 2 2 35" xfId="1324" xr:uid="{00000000-0005-0000-0000-0000DC040000}"/>
    <cellStyle name="Millares 2 2 2 2 2 36" xfId="1325" xr:uid="{00000000-0005-0000-0000-0000DD040000}"/>
    <cellStyle name="Millares 2 2 2 2 2 37" xfId="1326" xr:uid="{00000000-0005-0000-0000-0000DE040000}"/>
    <cellStyle name="Millares 2 2 2 2 2 38" xfId="1327" xr:uid="{00000000-0005-0000-0000-0000DF040000}"/>
    <cellStyle name="Millares 2 2 2 2 2 38 10" xfId="1328" xr:uid="{00000000-0005-0000-0000-0000E0040000}"/>
    <cellStyle name="Millares 2 2 2 2 2 38 2" xfId="1329" xr:uid="{00000000-0005-0000-0000-0000E1040000}"/>
    <cellStyle name="Millares 2 2 2 2 2 38 3" xfId="1330" xr:uid="{00000000-0005-0000-0000-0000E2040000}"/>
    <cellStyle name="Millares 2 2 2 2 2 38 4" xfId="1331" xr:uid="{00000000-0005-0000-0000-0000E3040000}"/>
    <cellStyle name="Millares 2 2 2 2 2 38 5" xfId="1332" xr:uid="{00000000-0005-0000-0000-0000E4040000}"/>
    <cellStyle name="Millares 2 2 2 2 2 38 6" xfId="1333" xr:uid="{00000000-0005-0000-0000-0000E5040000}"/>
    <cellStyle name="Millares 2 2 2 2 2 38 7" xfId="1334" xr:uid="{00000000-0005-0000-0000-0000E6040000}"/>
    <cellStyle name="Millares 2 2 2 2 2 38 8" xfId="1335" xr:uid="{00000000-0005-0000-0000-0000E7040000}"/>
    <cellStyle name="Millares 2 2 2 2 2 38 9" xfId="1336" xr:uid="{00000000-0005-0000-0000-0000E8040000}"/>
    <cellStyle name="Millares 2 2 2 2 2 39" xfId="1337" xr:uid="{00000000-0005-0000-0000-0000E9040000}"/>
    <cellStyle name="Millares 2 2 2 2 2 4" xfId="1338" xr:uid="{00000000-0005-0000-0000-0000EA040000}"/>
    <cellStyle name="Millares 2 2 2 2 2 40" xfId="1339" xr:uid="{00000000-0005-0000-0000-0000EB040000}"/>
    <cellStyle name="Millares 2 2 2 2 2 41" xfId="1340" xr:uid="{00000000-0005-0000-0000-0000EC040000}"/>
    <cellStyle name="Millares 2 2 2 2 2 42" xfId="1341" xr:uid="{00000000-0005-0000-0000-0000ED040000}"/>
    <cellStyle name="Millares 2 2 2 2 2 43" xfId="1342" xr:uid="{00000000-0005-0000-0000-0000EE040000}"/>
    <cellStyle name="Millares 2 2 2 2 2 44" xfId="1343" xr:uid="{00000000-0005-0000-0000-0000EF040000}"/>
    <cellStyle name="Millares 2 2 2 2 2 45" xfId="1344" xr:uid="{00000000-0005-0000-0000-0000F0040000}"/>
    <cellStyle name="Millares 2 2 2 2 2 46" xfId="1345" xr:uid="{00000000-0005-0000-0000-0000F1040000}"/>
    <cellStyle name="Millares 2 2 2 2 2 47" xfId="1346" xr:uid="{00000000-0005-0000-0000-0000F2040000}"/>
    <cellStyle name="Millares 2 2 2 2 2 48" xfId="1347" xr:uid="{00000000-0005-0000-0000-0000F3040000}"/>
    <cellStyle name="Millares 2 2 2 2 2 5" xfId="1348" xr:uid="{00000000-0005-0000-0000-0000F4040000}"/>
    <cellStyle name="Millares 2 2 2 2 2 6" xfId="1349" xr:uid="{00000000-0005-0000-0000-0000F5040000}"/>
    <cellStyle name="Millares 2 2 2 2 2 7" xfId="1350" xr:uid="{00000000-0005-0000-0000-0000F6040000}"/>
    <cellStyle name="Millares 2 2 2 2 2 8" xfId="1351" xr:uid="{00000000-0005-0000-0000-0000F7040000}"/>
    <cellStyle name="Millares 2 2 2 2 2 9" xfId="1352" xr:uid="{00000000-0005-0000-0000-0000F8040000}"/>
    <cellStyle name="Millares 2 2 2 2 20" xfId="1353" xr:uid="{00000000-0005-0000-0000-0000F9040000}"/>
    <cellStyle name="Millares 2 2 2 2 21" xfId="1354" xr:uid="{00000000-0005-0000-0000-0000FA040000}"/>
    <cellStyle name="Millares 2 2 2 2 22" xfId="1355" xr:uid="{00000000-0005-0000-0000-0000FB040000}"/>
    <cellStyle name="Millares 2 2 2 2 23" xfId="1356" xr:uid="{00000000-0005-0000-0000-0000FC040000}"/>
    <cellStyle name="Millares 2 2 2 2 24" xfId="1357" xr:uid="{00000000-0005-0000-0000-0000FD040000}"/>
    <cellStyle name="Millares 2 2 2 2 25" xfId="1358" xr:uid="{00000000-0005-0000-0000-0000FE040000}"/>
    <cellStyle name="Millares 2 2 2 2 26" xfId="1359" xr:uid="{00000000-0005-0000-0000-0000FF040000}"/>
    <cellStyle name="Millares 2 2 2 2 27" xfId="1360" xr:uid="{00000000-0005-0000-0000-000000050000}"/>
    <cellStyle name="Millares 2 2 2 2 28" xfId="1361" xr:uid="{00000000-0005-0000-0000-000001050000}"/>
    <cellStyle name="Millares 2 2 2 2 29" xfId="1362" xr:uid="{00000000-0005-0000-0000-000002050000}"/>
    <cellStyle name="Millares 2 2 2 2 3" xfId="1363" xr:uid="{00000000-0005-0000-0000-000003050000}"/>
    <cellStyle name="Millares 2 2 2 2 30" xfId="1364" xr:uid="{00000000-0005-0000-0000-000004050000}"/>
    <cellStyle name="Millares 2 2 2 2 31" xfId="1365" xr:uid="{00000000-0005-0000-0000-000005050000}"/>
    <cellStyle name="Millares 2 2 2 2 32" xfId="1366" xr:uid="{00000000-0005-0000-0000-000006050000}"/>
    <cellStyle name="Millares 2 2 2 2 33" xfId="1367" xr:uid="{00000000-0005-0000-0000-000007050000}"/>
    <cellStyle name="Millares 2 2 2 2 34" xfId="1368" xr:uid="{00000000-0005-0000-0000-000008050000}"/>
    <cellStyle name="Millares 2 2 2 2 35" xfId="1369" xr:uid="{00000000-0005-0000-0000-000009050000}"/>
    <cellStyle name="Millares 2 2 2 2 36" xfId="1370" xr:uid="{00000000-0005-0000-0000-00000A050000}"/>
    <cellStyle name="Millares 2 2 2 2 37" xfId="1371" xr:uid="{00000000-0005-0000-0000-00000B050000}"/>
    <cellStyle name="Millares 2 2 2 2 38" xfId="1372" xr:uid="{00000000-0005-0000-0000-00000C050000}"/>
    <cellStyle name="Millares 2 2 2 2 39" xfId="1373" xr:uid="{00000000-0005-0000-0000-00000D050000}"/>
    <cellStyle name="Millares 2 2 2 2 39 10" xfId="1374" xr:uid="{00000000-0005-0000-0000-00000E050000}"/>
    <cellStyle name="Millares 2 2 2 2 39 2" xfId="1375" xr:uid="{00000000-0005-0000-0000-00000F050000}"/>
    <cellStyle name="Millares 2 2 2 2 39 3" xfId="1376" xr:uid="{00000000-0005-0000-0000-000010050000}"/>
    <cellStyle name="Millares 2 2 2 2 39 4" xfId="1377" xr:uid="{00000000-0005-0000-0000-000011050000}"/>
    <cellStyle name="Millares 2 2 2 2 39 5" xfId="1378" xr:uid="{00000000-0005-0000-0000-000012050000}"/>
    <cellStyle name="Millares 2 2 2 2 39 6" xfId="1379" xr:uid="{00000000-0005-0000-0000-000013050000}"/>
    <cellStyle name="Millares 2 2 2 2 39 7" xfId="1380" xr:uid="{00000000-0005-0000-0000-000014050000}"/>
    <cellStyle name="Millares 2 2 2 2 39 8" xfId="1381" xr:uid="{00000000-0005-0000-0000-000015050000}"/>
    <cellStyle name="Millares 2 2 2 2 39 9" xfId="1382" xr:uid="{00000000-0005-0000-0000-000016050000}"/>
    <cellStyle name="Millares 2 2 2 2 4" xfId="1383" xr:uid="{00000000-0005-0000-0000-000017050000}"/>
    <cellStyle name="Millares 2 2 2 2 4 10" xfId="1384" xr:uid="{00000000-0005-0000-0000-000018050000}"/>
    <cellStyle name="Millares 2 2 2 2 4 11" xfId="1385" xr:uid="{00000000-0005-0000-0000-000019050000}"/>
    <cellStyle name="Millares 2 2 2 2 4 12" xfId="1386" xr:uid="{00000000-0005-0000-0000-00001A050000}"/>
    <cellStyle name="Millares 2 2 2 2 4 13" xfId="1387" xr:uid="{00000000-0005-0000-0000-00001B050000}"/>
    <cellStyle name="Millares 2 2 2 2 4 14" xfId="1388" xr:uid="{00000000-0005-0000-0000-00001C050000}"/>
    <cellStyle name="Millares 2 2 2 2 4 15" xfId="1389" xr:uid="{00000000-0005-0000-0000-00001D050000}"/>
    <cellStyle name="Millares 2 2 2 2 4 16" xfId="1390" xr:uid="{00000000-0005-0000-0000-00001E050000}"/>
    <cellStyle name="Millares 2 2 2 2 4 17" xfId="1391" xr:uid="{00000000-0005-0000-0000-00001F050000}"/>
    <cellStyle name="Millares 2 2 2 2 4 18" xfId="1392" xr:uid="{00000000-0005-0000-0000-000020050000}"/>
    <cellStyle name="Millares 2 2 2 2 4 19" xfId="1393" xr:uid="{00000000-0005-0000-0000-000021050000}"/>
    <cellStyle name="Millares 2 2 2 2 4 2" xfId="1394" xr:uid="{00000000-0005-0000-0000-000022050000}"/>
    <cellStyle name="Millares 2 2 2 2 4 2 10" xfId="1395" xr:uid="{00000000-0005-0000-0000-000023050000}"/>
    <cellStyle name="Millares 2 2 2 2 4 2 11" xfId="1396" xr:uid="{00000000-0005-0000-0000-000024050000}"/>
    <cellStyle name="Millares 2 2 2 2 4 2 12" xfId="1397" xr:uid="{00000000-0005-0000-0000-000025050000}"/>
    <cellStyle name="Millares 2 2 2 2 4 2 13" xfId="1398" xr:uid="{00000000-0005-0000-0000-000026050000}"/>
    <cellStyle name="Millares 2 2 2 2 4 2 14" xfId="1399" xr:uid="{00000000-0005-0000-0000-000027050000}"/>
    <cellStyle name="Millares 2 2 2 2 4 2 15" xfId="1400" xr:uid="{00000000-0005-0000-0000-000028050000}"/>
    <cellStyle name="Millares 2 2 2 2 4 2 16" xfId="1401" xr:uid="{00000000-0005-0000-0000-000029050000}"/>
    <cellStyle name="Millares 2 2 2 2 4 2 17" xfId="1402" xr:uid="{00000000-0005-0000-0000-00002A050000}"/>
    <cellStyle name="Millares 2 2 2 2 4 2 18" xfId="1403" xr:uid="{00000000-0005-0000-0000-00002B050000}"/>
    <cellStyle name="Millares 2 2 2 2 4 2 19" xfId="1404" xr:uid="{00000000-0005-0000-0000-00002C050000}"/>
    <cellStyle name="Millares 2 2 2 2 4 2 2" xfId="1405" xr:uid="{00000000-0005-0000-0000-00002D050000}"/>
    <cellStyle name="Millares 2 2 2 2 4 2 20" xfId="1406" xr:uid="{00000000-0005-0000-0000-00002E050000}"/>
    <cellStyle name="Millares 2 2 2 2 4 2 3" xfId="1407" xr:uid="{00000000-0005-0000-0000-00002F050000}"/>
    <cellStyle name="Millares 2 2 2 2 4 2 4" xfId="1408" xr:uid="{00000000-0005-0000-0000-000030050000}"/>
    <cellStyle name="Millares 2 2 2 2 4 2 5" xfId="1409" xr:uid="{00000000-0005-0000-0000-000031050000}"/>
    <cellStyle name="Millares 2 2 2 2 4 2 6" xfId="1410" xr:uid="{00000000-0005-0000-0000-000032050000}"/>
    <cellStyle name="Millares 2 2 2 2 4 2 7" xfId="1411" xr:uid="{00000000-0005-0000-0000-000033050000}"/>
    <cellStyle name="Millares 2 2 2 2 4 2 8" xfId="1412" xr:uid="{00000000-0005-0000-0000-000034050000}"/>
    <cellStyle name="Millares 2 2 2 2 4 2 9" xfId="1413" xr:uid="{00000000-0005-0000-0000-000035050000}"/>
    <cellStyle name="Millares 2 2 2 2 4 20" xfId="1414" xr:uid="{00000000-0005-0000-0000-000036050000}"/>
    <cellStyle name="Millares 2 2 2 2 4 3" xfId="1415" xr:uid="{00000000-0005-0000-0000-000037050000}"/>
    <cellStyle name="Millares 2 2 2 2 4 4" xfId="1416" xr:uid="{00000000-0005-0000-0000-000038050000}"/>
    <cellStyle name="Millares 2 2 2 2 4 5" xfId="1417" xr:uid="{00000000-0005-0000-0000-000039050000}"/>
    <cellStyle name="Millares 2 2 2 2 4 6" xfId="1418" xr:uid="{00000000-0005-0000-0000-00003A050000}"/>
    <cellStyle name="Millares 2 2 2 2 4 7" xfId="1419" xr:uid="{00000000-0005-0000-0000-00003B050000}"/>
    <cellStyle name="Millares 2 2 2 2 4 8" xfId="1420" xr:uid="{00000000-0005-0000-0000-00003C050000}"/>
    <cellStyle name="Millares 2 2 2 2 4 9" xfId="1421" xr:uid="{00000000-0005-0000-0000-00003D050000}"/>
    <cellStyle name="Millares 2 2 2 2 40" xfId="1422" xr:uid="{00000000-0005-0000-0000-00003E050000}"/>
    <cellStyle name="Millares 2 2 2 2 41" xfId="1423" xr:uid="{00000000-0005-0000-0000-00003F050000}"/>
    <cellStyle name="Millares 2 2 2 2 42" xfId="1424" xr:uid="{00000000-0005-0000-0000-000040050000}"/>
    <cellStyle name="Millares 2 2 2 2 43" xfId="1425" xr:uid="{00000000-0005-0000-0000-000041050000}"/>
    <cellStyle name="Millares 2 2 2 2 44" xfId="1426" xr:uid="{00000000-0005-0000-0000-000042050000}"/>
    <cellStyle name="Millares 2 2 2 2 45" xfId="1427" xr:uid="{00000000-0005-0000-0000-000043050000}"/>
    <cellStyle name="Millares 2 2 2 2 46" xfId="1428" xr:uid="{00000000-0005-0000-0000-000044050000}"/>
    <cellStyle name="Millares 2 2 2 2 47" xfId="1429" xr:uid="{00000000-0005-0000-0000-000045050000}"/>
    <cellStyle name="Millares 2 2 2 2 48" xfId="1430" xr:uid="{00000000-0005-0000-0000-000046050000}"/>
    <cellStyle name="Millares 2 2 2 2 5" xfId="1431" xr:uid="{00000000-0005-0000-0000-000047050000}"/>
    <cellStyle name="Millares 2 2 2 2 6" xfId="1432" xr:uid="{00000000-0005-0000-0000-000048050000}"/>
    <cellStyle name="Millares 2 2 2 2 7" xfId="1433" xr:uid="{00000000-0005-0000-0000-000049050000}"/>
    <cellStyle name="Millares 2 2 2 2 8" xfId="1434" xr:uid="{00000000-0005-0000-0000-00004A050000}"/>
    <cellStyle name="Millares 2 2 2 2 9" xfId="1435" xr:uid="{00000000-0005-0000-0000-00004B050000}"/>
    <cellStyle name="Millares 2 2 2 20" xfId="1436" xr:uid="{00000000-0005-0000-0000-00004C050000}"/>
    <cellStyle name="Millares 2 2 2 21" xfId="1437" xr:uid="{00000000-0005-0000-0000-00004D050000}"/>
    <cellStyle name="Millares 2 2 2 22" xfId="1438" xr:uid="{00000000-0005-0000-0000-00004E050000}"/>
    <cellStyle name="Millares 2 2 2 23" xfId="1439" xr:uid="{00000000-0005-0000-0000-00004F050000}"/>
    <cellStyle name="Millares 2 2 2 24" xfId="1440" xr:uid="{00000000-0005-0000-0000-000050050000}"/>
    <cellStyle name="Millares 2 2 2 25" xfId="1441" xr:uid="{00000000-0005-0000-0000-000051050000}"/>
    <cellStyle name="Millares 2 2 2 26" xfId="1442" xr:uid="{00000000-0005-0000-0000-000052050000}"/>
    <cellStyle name="Millares 2 2 2 27" xfId="1443" xr:uid="{00000000-0005-0000-0000-000053050000}"/>
    <cellStyle name="Millares 2 2 2 28" xfId="1444" xr:uid="{00000000-0005-0000-0000-000054050000}"/>
    <cellStyle name="Millares 2 2 2 29" xfId="1445" xr:uid="{00000000-0005-0000-0000-000055050000}"/>
    <cellStyle name="Millares 2 2 2 3" xfId="1446" xr:uid="{00000000-0005-0000-0000-000056050000}"/>
    <cellStyle name="Millares 2 2 2 3 10" xfId="1447" xr:uid="{00000000-0005-0000-0000-000057050000}"/>
    <cellStyle name="Millares 2 2 2 3 11" xfId="1448" xr:uid="{00000000-0005-0000-0000-000058050000}"/>
    <cellStyle name="Millares 2 2 2 3 12" xfId="1449" xr:uid="{00000000-0005-0000-0000-000059050000}"/>
    <cellStyle name="Millares 2 2 2 3 13" xfId="1450" xr:uid="{00000000-0005-0000-0000-00005A050000}"/>
    <cellStyle name="Millares 2 2 2 3 14" xfId="1451" xr:uid="{00000000-0005-0000-0000-00005B050000}"/>
    <cellStyle name="Millares 2 2 2 3 15" xfId="1452" xr:uid="{00000000-0005-0000-0000-00005C050000}"/>
    <cellStyle name="Millares 2 2 2 3 16" xfId="1453" xr:uid="{00000000-0005-0000-0000-00005D050000}"/>
    <cellStyle name="Millares 2 2 2 3 17" xfId="1454" xr:uid="{00000000-0005-0000-0000-00005E050000}"/>
    <cellStyle name="Millares 2 2 2 3 18" xfId="1455" xr:uid="{00000000-0005-0000-0000-00005F050000}"/>
    <cellStyle name="Millares 2 2 2 3 19" xfId="1456" xr:uid="{00000000-0005-0000-0000-000060050000}"/>
    <cellStyle name="Millares 2 2 2 3 2" xfId="1457" xr:uid="{00000000-0005-0000-0000-000061050000}"/>
    <cellStyle name="Millares 2 2 2 3 2 10" xfId="1458" xr:uid="{00000000-0005-0000-0000-000062050000}"/>
    <cellStyle name="Millares 2 2 2 3 2 11" xfId="1459" xr:uid="{00000000-0005-0000-0000-000063050000}"/>
    <cellStyle name="Millares 2 2 2 3 2 12" xfId="1460" xr:uid="{00000000-0005-0000-0000-000064050000}"/>
    <cellStyle name="Millares 2 2 2 3 2 13" xfId="1461" xr:uid="{00000000-0005-0000-0000-000065050000}"/>
    <cellStyle name="Millares 2 2 2 3 2 14" xfId="1462" xr:uid="{00000000-0005-0000-0000-000066050000}"/>
    <cellStyle name="Millares 2 2 2 3 2 15" xfId="1463" xr:uid="{00000000-0005-0000-0000-000067050000}"/>
    <cellStyle name="Millares 2 2 2 3 2 16" xfId="1464" xr:uid="{00000000-0005-0000-0000-000068050000}"/>
    <cellStyle name="Millares 2 2 2 3 2 17" xfId="1465" xr:uid="{00000000-0005-0000-0000-000069050000}"/>
    <cellStyle name="Millares 2 2 2 3 2 18" xfId="1466" xr:uid="{00000000-0005-0000-0000-00006A050000}"/>
    <cellStyle name="Millares 2 2 2 3 2 19" xfId="1467" xr:uid="{00000000-0005-0000-0000-00006B050000}"/>
    <cellStyle name="Millares 2 2 2 3 2 2" xfId="1468" xr:uid="{00000000-0005-0000-0000-00006C050000}"/>
    <cellStyle name="Millares 2 2 2 3 2 2 10" xfId="1469" xr:uid="{00000000-0005-0000-0000-00006D050000}"/>
    <cellStyle name="Millares 2 2 2 3 2 2 11" xfId="1470" xr:uid="{00000000-0005-0000-0000-00006E050000}"/>
    <cellStyle name="Millares 2 2 2 3 2 2 12" xfId="1471" xr:uid="{00000000-0005-0000-0000-00006F050000}"/>
    <cellStyle name="Millares 2 2 2 3 2 2 13" xfId="1472" xr:uid="{00000000-0005-0000-0000-000070050000}"/>
    <cellStyle name="Millares 2 2 2 3 2 2 14" xfId="1473" xr:uid="{00000000-0005-0000-0000-000071050000}"/>
    <cellStyle name="Millares 2 2 2 3 2 2 15" xfId="1474" xr:uid="{00000000-0005-0000-0000-000072050000}"/>
    <cellStyle name="Millares 2 2 2 3 2 2 16" xfId="1475" xr:uid="{00000000-0005-0000-0000-000073050000}"/>
    <cellStyle name="Millares 2 2 2 3 2 2 17" xfId="1476" xr:uid="{00000000-0005-0000-0000-000074050000}"/>
    <cellStyle name="Millares 2 2 2 3 2 2 18" xfId="1477" xr:uid="{00000000-0005-0000-0000-000075050000}"/>
    <cellStyle name="Millares 2 2 2 3 2 2 19" xfId="1478" xr:uid="{00000000-0005-0000-0000-000076050000}"/>
    <cellStyle name="Millares 2 2 2 3 2 2 2" xfId="1479" xr:uid="{00000000-0005-0000-0000-000077050000}"/>
    <cellStyle name="Millares 2 2 2 3 2 2 20" xfId="1480" xr:uid="{00000000-0005-0000-0000-000078050000}"/>
    <cellStyle name="Millares 2 2 2 3 2 2 3" xfId="1481" xr:uid="{00000000-0005-0000-0000-000079050000}"/>
    <cellStyle name="Millares 2 2 2 3 2 2 4" xfId="1482" xr:uid="{00000000-0005-0000-0000-00007A050000}"/>
    <cellStyle name="Millares 2 2 2 3 2 2 5" xfId="1483" xr:uid="{00000000-0005-0000-0000-00007B050000}"/>
    <cellStyle name="Millares 2 2 2 3 2 2 6" xfId="1484" xr:uid="{00000000-0005-0000-0000-00007C050000}"/>
    <cellStyle name="Millares 2 2 2 3 2 2 7" xfId="1485" xr:uid="{00000000-0005-0000-0000-00007D050000}"/>
    <cellStyle name="Millares 2 2 2 3 2 2 8" xfId="1486" xr:uid="{00000000-0005-0000-0000-00007E050000}"/>
    <cellStyle name="Millares 2 2 2 3 2 2 9" xfId="1487" xr:uid="{00000000-0005-0000-0000-00007F050000}"/>
    <cellStyle name="Millares 2 2 2 3 2 20" xfId="1488" xr:uid="{00000000-0005-0000-0000-000080050000}"/>
    <cellStyle name="Millares 2 2 2 3 2 3" xfId="1489" xr:uid="{00000000-0005-0000-0000-000081050000}"/>
    <cellStyle name="Millares 2 2 2 3 2 4" xfId="1490" xr:uid="{00000000-0005-0000-0000-000082050000}"/>
    <cellStyle name="Millares 2 2 2 3 2 5" xfId="1491" xr:uid="{00000000-0005-0000-0000-000083050000}"/>
    <cellStyle name="Millares 2 2 2 3 2 6" xfId="1492" xr:uid="{00000000-0005-0000-0000-000084050000}"/>
    <cellStyle name="Millares 2 2 2 3 2 7" xfId="1493" xr:uid="{00000000-0005-0000-0000-000085050000}"/>
    <cellStyle name="Millares 2 2 2 3 2 8" xfId="1494" xr:uid="{00000000-0005-0000-0000-000086050000}"/>
    <cellStyle name="Millares 2 2 2 3 2 9" xfId="1495" xr:uid="{00000000-0005-0000-0000-000087050000}"/>
    <cellStyle name="Millares 2 2 2 3 20" xfId="1496" xr:uid="{00000000-0005-0000-0000-000088050000}"/>
    <cellStyle name="Millares 2 2 2 3 21" xfId="1497" xr:uid="{00000000-0005-0000-0000-000089050000}"/>
    <cellStyle name="Millares 2 2 2 3 22" xfId="1498" xr:uid="{00000000-0005-0000-0000-00008A050000}"/>
    <cellStyle name="Millares 2 2 2 3 23" xfId="1499" xr:uid="{00000000-0005-0000-0000-00008B050000}"/>
    <cellStyle name="Millares 2 2 2 3 24" xfId="1500" xr:uid="{00000000-0005-0000-0000-00008C050000}"/>
    <cellStyle name="Millares 2 2 2 3 25" xfId="1501" xr:uid="{00000000-0005-0000-0000-00008D050000}"/>
    <cellStyle name="Millares 2 2 2 3 26" xfId="1502" xr:uid="{00000000-0005-0000-0000-00008E050000}"/>
    <cellStyle name="Millares 2 2 2 3 27" xfId="1503" xr:uid="{00000000-0005-0000-0000-00008F050000}"/>
    <cellStyle name="Millares 2 2 2 3 28" xfId="1504" xr:uid="{00000000-0005-0000-0000-000090050000}"/>
    <cellStyle name="Millares 2 2 2 3 29" xfId="1505" xr:uid="{00000000-0005-0000-0000-000091050000}"/>
    <cellStyle name="Millares 2 2 2 3 3" xfId="1506" xr:uid="{00000000-0005-0000-0000-000092050000}"/>
    <cellStyle name="Millares 2 2 2 3 30" xfId="1507" xr:uid="{00000000-0005-0000-0000-000093050000}"/>
    <cellStyle name="Millares 2 2 2 3 31" xfId="1508" xr:uid="{00000000-0005-0000-0000-000094050000}"/>
    <cellStyle name="Millares 2 2 2 3 32" xfId="1509" xr:uid="{00000000-0005-0000-0000-000095050000}"/>
    <cellStyle name="Millares 2 2 2 3 33" xfId="1510" xr:uid="{00000000-0005-0000-0000-000096050000}"/>
    <cellStyle name="Millares 2 2 2 3 4" xfId="1511" xr:uid="{00000000-0005-0000-0000-000097050000}"/>
    <cellStyle name="Millares 2 2 2 3 5" xfId="1512" xr:uid="{00000000-0005-0000-0000-000098050000}"/>
    <cellStyle name="Millares 2 2 2 3 6" xfId="1513" xr:uid="{00000000-0005-0000-0000-000099050000}"/>
    <cellStyle name="Millares 2 2 2 3 7" xfId="1514" xr:uid="{00000000-0005-0000-0000-00009A050000}"/>
    <cellStyle name="Millares 2 2 2 3 8" xfId="1515" xr:uid="{00000000-0005-0000-0000-00009B050000}"/>
    <cellStyle name="Millares 2 2 2 3 9" xfId="1516" xr:uid="{00000000-0005-0000-0000-00009C050000}"/>
    <cellStyle name="Millares 2 2 2 30" xfId="1517" xr:uid="{00000000-0005-0000-0000-00009D050000}"/>
    <cellStyle name="Millares 2 2 2 31" xfId="1518" xr:uid="{00000000-0005-0000-0000-00009E050000}"/>
    <cellStyle name="Millares 2 2 2 32" xfId="1519" xr:uid="{00000000-0005-0000-0000-00009F050000}"/>
    <cellStyle name="Millares 2 2 2 33" xfId="1520" xr:uid="{00000000-0005-0000-0000-0000A0050000}"/>
    <cellStyle name="Millares 2 2 2 34" xfId="1521" xr:uid="{00000000-0005-0000-0000-0000A1050000}"/>
    <cellStyle name="Millares 2 2 2 35" xfId="1522" xr:uid="{00000000-0005-0000-0000-0000A2050000}"/>
    <cellStyle name="Millares 2 2 2 36" xfId="1523" xr:uid="{00000000-0005-0000-0000-0000A3050000}"/>
    <cellStyle name="Millares 2 2 2 37" xfId="1524" xr:uid="{00000000-0005-0000-0000-0000A4050000}"/>
    <cellStyle name="Millares 2 2 2 38" xfId="1525" xr:uid="{00000000-0005-0000-0000-0000A5050000}"/>
    <cellStyle name="Millares 2 2 2 39" xfId="1526" xr:uid="{00000000-0005-0000-0000-0000A6050000}"/>
    <cellStyle name="Millares 2 2 2 39 10" xfId="1527" xr:uid="{00000000-0005-0000-0000-0000A7050000}"/>
    <cellStyle name="Millares 2 2 2 39 2" xfId="1528" xr:uid="{00000000-0005-0000-0000-0000A8050000}"/>
    <cellStyle name="Millares 2 2 2 39 3" xfId="1529" xr:uid="{00000000-0005-0000-0000-0000A9050000}"/>
    <cellStyle name="Millares 2 2 2 39 4" xfId="1530" xr:uid="{00000000-0005-0000-0000-0000AA050000}"/>
    <cellStyle name="Millares 2 2 2 39 5" xfId="1531" xr:uid="{00000000-0005-0000-0000-0000AB050000}"/>
    <cellStyle name="Millares 2 2 2 39 6" xfId="1532" xr:uid="{00000000-0005-0000-0000-0000AC050000}"/>
    <cellStyle name="Millares 2 2 2 39 7" xfId="1533" xr:uid="{00000000-0005-0000-0000-0000AD050000}"/>
    <cellStyle name="Millares 2 2 2 39 8" xfId="1534" xr:uid="{00000000-0005-0000-0000-0000AE050000}"/>
    <cellStyle name="Millares 2 2 2 39 9" xfId="1535" xr:uid="{00000000-0005-0000-0000-0000AF050000}"/>
    <cellStyle name="Millares 2 2 2 4" xfId="1536" xr:uid="{00000000-0005-0000-0000-0000B0050000}"/>
    <cellStyle name="Millares 2 2 2 4 10" xfId="1537" xr:uid="{00000000-0005-0000-0000-0000B1050000}"/>
    <cellStyle name="Millares 2 2 2 4 11" xfId="1538" xr:uid="{00000000-0005-0000-0000-0000B2050000}"/>
    <cellStyle name="Millares 2 2 2 4 12" xfId="1539" xr:uid="{00000000-0005-0000-0000-0000B3050000}"/>
    <cellStyle name="Millares 2 2 2 4 13" xfId="1540" xr:uid="{00000000-0005-0000-0000-0000B4050000}"/>
    <cellStyle name="Millares 2 2 2 4 14" xfId="1541" xr:uid="{00000000-0005-0000-0000-0000B5050000}"/>
    <cellStyle name="Millares 2 2 2 4 15" xfId="1542" xr:uid="{00000000-0005-0000-0000-0000B6050000}"/>
    <cellStyle name="Millares 2 2 2 4 16" xfId="1543" xr:uid="{00000000-0005-0000-0000-0000B7050000}"/>
    <cellStyle name="Millares 2 2 2 4 17" xfId="1544" xr:uid="{00000000-0005-0000-0000-0000B8050000}"/>
    <cellStyle name="Millares 2 2 2 4 18" xfId="1545" xr:uid="{00000000-0005-0000-0000-0000B9050000}"/>
    <cellStyle name="Millares 2 2 2 4 19" xfId="1546" xr:uid="{00000000-0005-0000-0000-0000BA050000}"/>
    <cellStyle name="Millares 2 2 2 4 2" xfId="1547" xr:uid="{00000000-0005-0000-0000-0000BB050000}"/>
    <cellStyle name="Millares 2 2 2 4 2 10" xfId="1548" xr:uid="{00000000-0005-0000-0000-0000BC050000}"/>
    <cellStyle name="Millares 2 2 2 4 2 11" xfId="1549" xr:uid="{00000000-0005-0000-0000-0000BD050000}"/>
    <cellStyle name="Millares 2 2 2 4 2 12" xfId="1550" xr:uid="{00000000-0005-0000-0000-0000BE050000}"/>
    <cellStyle name="Millares 2 2 2 4 2 13" xfId="1551" xr:uid="{00000000-0005-0000-0000-0000BF050000}"/>
    <cellStyle name="Millares 2 2 2 4 2 14" xfId="1552" xr:uid="{00000000-0005-0000-0000-0000C0050000}"/>
    <cellStyle name="Millares 2 2 2 4 2 15" xfId="1553" xr:uid="{00000000-0005-0000-0000-0000C1050000}"/>
    <cellStyle name="Millares 2 2 2 4 2 16" xfId="1554" xr:uid="{00000000-0005-0000-0000-0000C2050000}"/>
    <cellStyle name="Millares 2 2 2 4 2 17" xfId="1555" xr:uid="{00000000-0005-0000-0000-0000C3050000}"/>
    <cellStyle name="Millares 2 2 2 4 2 18" xfId="1556" xr:uid="{00000000-0005-0000-0000-0000C4050000}"/>
    <cellStyle name="Millares 2 2 2 4 2 19" xfId="1557" xr:uid="{00000000-0005-0000-0000-0000C5050000}"/>
    <cellStyle name="Millares 2 2 2 4 2 2" xfId="1558" xr:uid="{00000000-0005-0000-0000-0000C6050000}"/>
    <cellStyle name="Millares 2 2 2 4 2 20" xfId="1559" xr:uid="{00000000-0005-0000-0000-0000C7050000}"/>
    <cellStyle name="Millares 2 2 2 4 2 3" xfId="1560" xr:uid="{00000000-0005-0000-0000-0000C8050000}"/>
    <cellStyle name="Millares 2 2 2 4 2 4" xfId="1561" xr:uid="{00000000-0005-0000-0000-0000C9050000}"/>
    <cellStyle name="Millares 2 2 2 4 2 5" xfId="1562" xr:uid="{00000000-0005-0000-0000-0000CA050000}"/>
    <cellStyle name="Millares 2 2 2 4 2 6" xfId="1563" xr:uid="{00000000-0005-0000-0000-0000CB050000}"/>
    <cellStyle name="Millares 2 2 2 4 2 7" xfId="1564" xr:uid="{00000000-0005-0000-0000-0000CC050000}"/>
    <cellStyle name="Millares 2 2 2 4 2 8" xfId="1565" xr:uid="{00000000-0005-0000-0000-0000CD050000}"/>
    <cellStyle name="Millares 2 2 2 4 2 9" xfId="1566" xr:uid="{00000000-0005-0000-0000-0000CE050000}"/>
    <cellStyle name="Millares 2 2 2 4 20" xfId="1567" xr:uid="{00000000-0005-0000-0000-0000CF050000}"/>
    <cellStyle name="Millares 2 2 2 4 3" xfId="1568" xr:uid="{00000000-0005-0000-0000-0000D0050000}"/>
    <cellStyle name="Millares 2 2 2 4 4" xfId="1569" xr:uid="{00000000-0005-0000-0000-0000D1050000}"/>
    <cellStyle name="Millares 2 2 2 4 5" xfId="1570" xr:uid="{00000000-0005-0000-0000-0000D2050000}"/>
    <cellStyle name="Millares 2 2 2 4 6" xfId="1571" xr:uid="{00000000-0005-0000-0000-0000D3050000}"/>
    <cellStyle name="Millares 2 2 2 4 7" xfId="1572" xr:uid="{00000000-0005-0000-0000-0000D4050000}"/>
    <cellStyle name="Millares 2 2 2 4 8" xfId="1573" xr:uid="{00000000-0005-0000-0000-0000D5050000}"/>
    <cellStyle name="Millares 2 2 2 4 9" xfId="1574" xr:uid="{00000000-0005-0000-0000-0000D6050000}"/>
    <cellStyle name="Millares 2 2 2 40" xfId="1575" xr:uid="{00000000-0005-0000-0000-0000D7050000}"/>
    <cellStyle name="Millares 2 2 2 41" xfId="1576" xr:uid="{00000000-0005-0000-0000-0000D8050000}"/>
    <cellStyle name="Millares 2 2 2 42" xfId="1577" xr:uid="{00000000-0005-0000-0000-0000D9050000}"/>
    <cellStyle name="Millares 2 2 2 43" xfId="1578" xr:uid="{00000000-0005-0000-0000-0000DA050000}"/>
    <cellStyle name="Millares 2 2 2 44" xfId="1579" xr:uid="{00000000-0005-0000-0000-0000DB050000}"/>
    <cellStyle name="Millares 2 2 2 45" xfId="1580" xr:uid="{00000000-0005-0000-0000-0000DC050000}"/>
    <cellStyle name="Millares 2 2 2 46" xfId="1581" xr:uid="{00000000-0005-0000-0000-0000DD050000}"/>
    <cellStyle name="Millares 2 2 2 47" xfId="1582" xr:uid="{00000000-0005-0000-0000-0000DE050000}"/>
    <cellStyle name="Millares 2 2 2 48" xfId="1583" xr:uid="{00000000-0005-0000-0000-0000DF050000}"/>
    <cellStyle name="Millares 2 2 2 49" xfId="1584" xr:uid="{00000000-0005-0000-0000-0000E0050000}"/>
    <cellStyle name="Millares 2 2 2 5" xfId="1585" xr:uid="{00000000-0005-0000-0000-0000E1050000}"/>
    <cellStyle name="Millares 2 2 2 6" xfId="1586" xr:uid="{00000000-0005-0000-0000-0000E2050000}"/>
    <cellStyle name="Millares 2 2 2 7" xfId="1587" xr:uid="{00000000-0005-0000-0000-0000E3050000}"/>
    <cellStyle name="Millares 2 2 2 8" xfId="1588" xr:uid="{00000000-0005-0000-0000-0000E4050000}"/>
    <cellStyle name="Millares 2 2 2 9" xfId="1589" xr:uid="{00000000-0005-0000-0000-0000E5050000}"/>
    <cellStyle name="Millares 2 2 20" xfId="1590" xr:uid="{00000000-0005-0000-0000-0000E6050000}"/>
    <cellStyle name="Millares 2 2 21" xfId="1591" xr:uid="{00000000-0005-0000-0000-0000E7050000}"/>
    <cellStyle name="Millares 2 2 22" xfId="1592" xr:uid="{00000000-0005-0000-0000-0000E8050000}"/>
    <cellStyle name="Millares 2 2 23" xfId="1593" xr:uid="{00000000-0005-0000-0000-0000E9050000}"/>
    <cellStyle name="Millares 2 2 24" xfId="1594" xr:uid="{00000000-0005-0000-0000-0000EA050000}"/>
    <cellStyle name="Millares 2 2 25" xfId="1595" xr:uid="{00000000-0005-0000-0000-0000EB050000}"/>
    <cellStyle name="Millares 2 2 26" xfId="1596" xr:uid="{00000000-0005-0000-0000-0000EC050000}"/>
    <cellStyle name="Millares 2 2 27" xfId="1597" xr:uid="{00000000-0005-0000-0000-0000ED050000}"/>
    <cellStyle name="Millares 2 2 28" xfId="1598" xr:uid="{00000000-0005-0000-0000-0000EE050000}"/>
    <cellStyle name="Millares 2 2 29" xfId="1599" xr:uid="{00000000-0005-0000-0000-0000EF050000}"/>
    <cellStyle name="Millares 2 2 3" xfId="1600" xr:uid="{00000000-0005-0000-0000-0000F0050000}"/>
    <cellStyle name="Millares 2 2 3 10" xfId="1601" xr:uid="{00000000-0005-0000-0000-0000F1050000}"/>
    <cellStyle name="Millares 2 2 3 11" xfId="1602" xr:uid="{00000000-0005-0000-0000-0000F2050000}"/>
    <cellStyle name="Millares 2 2 3 12" xfId="1603" xr:uid="{00000000-0005-0000-0000-0000F3050000}"/>
    <cellStyle name="Millares 2 2 3 13" xfId="1604" xr:uid="{00000000-0005-0000-0000-0000F4050000}"/>
    <cellStyle name="Millares 2 2 3 14" xfId="1605" xr:uid="{00000000-0005-0000-0000-0000F5050000}"/>
    <cellStyle name="Millares 2 2 3 15" xfId="1606" xr:uid="{00000000-0005-0000-0000-0000F6050000}"/>
    <cellStyle name="Millares 2 2 3 16" xfId="1607" xr:uid="{00000000-0005-0000-0000-0000F7050000}"/>
    <cellStyle name="Millares 2 2 3 17" xfId="1608" xr:uid="{00000000-0005-0000-0000-0000F8050000}"/>
    <cellStyle name="Millares 2 2 3 18" xfId="1609" xr:uid="{00000000-0005-0000-0000-0000F9050000}"/>
    <cellStyle name="Millares 2 2 3 19" xfId="1610" xr:uid="{00000000-0005-0000-0000-0000FA050000}"/>
    <cellStyle name="Millares 2 2 3 2" xfId="1611" xr:uid="{00000000-0005-0000-0000-0000FB050000}"/>
    <cellStyle name="Millares 2 2 3 2 10" xfId="1612" xr:uid="{00000000-0005-0000-0000-0000FC050000}"/>
    <cellStyle name="Millares 2 2 3 2 11" xfId="1613" xr:uid="{00000000-0005-0000-0000-0000FD050000}"/>
    <cellStyle name="Millares 2 2 3 2 12" xfId="1614" xr:uid="{00000000-0005-0000-0000-0000FE050000}"/>
    <cellStyle name="Millares 2 2 3 2 13" xfId="1615" xr:uid="{00000000-0005-0000-0000-0000FF050000}"/>
    <cellStyle name="Millares 2 2 3 2 14" xfId="1616" xr:uid="{00000000-0005-0000-0000-000000060000}"/>
    <cellStyle name="Millares 2 2 3 2 15" xfId="1617" xr:uid="{00000000-0005-0000-0000-000001060000}"/>
    <cellStyle name="Millares 2 2 3 2 16" xfId="1618" xr:uid="{00000000-0005-0000-0000-000002060000}"/>
    <cellStyle name="Millares 2 2 3 2 17" xfId="1619" xr:uid="{00000000-0005-0000-0000-000003060000}"/>
    <cellStyle name="Millares 2 2 3 2 18" xfId="1620" xr:uid="{00000000-0005-0000-0000-000004060000}"/>
    <cellStyle name="Millares 2 2 3 2 19" xfId="1621" xr:uid="{00000000-0005-0000-0000-000005060000}"/>
    <cellStyle name="Millares 2 2 3 2 2" xfId="1622" xr:uid="{00000000-0005-0000-0000-000006060000}"/>
    <cellStyle name="Millares 2 2 3 2 2 10" xfId="1623" xr:uid="{00000000-0005-0000-0000-000007060000}"/>
    <cellStyle name="Millares 2 2 3 2 2 11" xfId="1624" xr:uid="{00000000-0005-0000-0000-000008060000}"/>
    <cellStyle name="Millares 2 2 3 2 2 12" xfId="1625" xr:uid="{00000000-0005-0000-0000-000009060000}"/>
    <cellStyle name="Millares 2 2 3 2 2 13" xfId="1626" xr:uid="{00000000-0005-0000-0000-00000A060000}"/>
    <cellStyle name="Millares 2 2 3 2 2 14" xfId="1627" xr:uid="{00000000-0005-0000-0000-00000B060000}"/>
    <cellStyle name="Millares 2 2 3 2 2 15" xfId="1628" xr:uid="{00000000-0005-0000-0000-00000C060000}"/>
    <cellStyle name="Millares 2 2 3 2 2 16" xfId="1629" xr:uid="{00000000-0005-0000-0000-00000D060000}"/>
    <cellStyle name="Millares 2 2 3 2 2 17" xfId="1630" xr:uid="{00000000-0005-0000-0000-00000E060000}"/>
    <cellStyle name="Millares 2 2 3 2 2 18" xfId="1631" xr:uid="{00000000-0005-0000-0000-00000F060000}"/>
    <cellStyle name="Millares 2 2 3 2 2 19" xfId="1632" xr:uid="{00000000-0005-0000-0000-000010060000}"/>
    <cellStyle name="Millares 2 2 3 2 2 2" xfId="1633" xr:uid="{00000000-0005-0000-0000-000011060000}"/>
    <cellStyle name="Millares 2 2 3 2 2 20" xfId="1634" xr:uid="{00000000-0005-0000-0000-000012060000}"/>
    <cellStyle name="Millares 2 2 3 2 2 3" xfId="1635" xr:uid="{00000000-0005-0000-0000-000013060000}"/>
    <cellStyle name="Millares 2 2 3 2 2 4" xfId="1636" xr:uid="{00000000-0005-0000-0000-000014060000}"/>
    <cellStyle name="Millares 2 2 3 2 2 5" xfId="1637" xr:uid="{00000000-0005-0000-0000-000015060000}"/>
    <cellStyle name="Millares 2 2 3 2 2 6" xfId="1638" xr:uid="{00000000-0005-0000-0000-000016060000}"/>
    <cellStyle name="Millares 2 2 3 2 2 7" xfId="1639" xr:uid="{00000000-0005-0000-0000-000017060000}"/>
    <cellStyle name="Millares 2 2 3 2 2 8" xfId="1640" xr:uid="{00000000-0005-0000-0000-000018060000}"/>
    <cellStyle name="Millares 2 2 3 2 2 9" xfId="1641" xr:uid="{00000000-0005-0000-0000-000019060000}"/>
    <cellStyle name="Millares 2 2 3 2 20" xfId="1642" xr:uid="{00000000-0005-0000-0000-00001A060000}"/>
    <cellStyle name="Millares 2 2 3 2 3" xfId="1643" xr:uid="{00000000-0005-0000-0000-00001B060000}"/>
    <cellStyle name="Millares 2 2 3 2 4" xfId="1644" xr:uid="{00000000-0005-0000-0000-00001C060000}"/>
    <cellStyle name="Millares 2 2 3 2 5" xfId="1645" xr:uid="{00000000-0005-0000-0000-00001D060000}"/>
    <cellStyle name="Millares 2 2 3 2 6" xfId="1646" xr:uid="{00000000-0005-0000-0000-00001E060000}"/>
    <cellStyle name="Millares 2 2 3 2 7" xfId="1647" xr:uid="{00000000-0005-0000-0000-00001F060000}"/>
    <cellStyle name="Millares 2 2 3 2 8" xfId="1648" xr:uid="{00000000-0005-0000-0000-000020060000}"/>
    <cellStyle name="Millares 2 2 3 2 9" xfId="1649" xr:uid="{00000000-0005-0000-0000-000021060000}"/>
    <cellStyle name="Millares 2 2 3 20" xfId="1650" xr:uid="{00000000-0005-0000-0000-000022060000}"/>
    <cellStyle name="Millares 2 2 3 21" xfId="1651" xr:uid="{00000000-0005-0000-0000-000023060000}"/>
    <cellStyle name="Millares 2 2 3 22" xfId="1652" xr:uid="{00000000-0005-0000-0000-000024060000}"/>
    <cellStyle name="Millares 2 2 3 23" xfId="1653" xr:uid="{00000000-0005-0000-0000-000025060000}"/>
    <cellStyle name="Millares 2 2 3 24" xfId="1654" xr:uid="{00000000-0005-0000-0000-000026060000}"/>
    <cellStyle name="Millares 2 2 3 25" xfId="1655" xr:uid="{00000000-0005-0000-0000-000027060000}"/>
    <cellStyle name="Millares 2 2 3 26" xfId="1656" xr:uid="{00000000-0005-0000-0000-000028060000}"/>
    <cellStyle name="Millares 2 2 3 27" xfId="1657" xr:uid="{00000000-0005-0000-0000-000029060000}"/>
    <cellStyle name="Millares 2 2 3 28" xfId="1658" xr:uid="{00000000-0005-0000-0000-00002A060000}"/>
    <cellStyle name="Millares 2 2 3 29" xfId="1659" xr:uid="{00000000-0005-0000-0000-00002B060000}"/>
    <cellStyle name="Millares 2 2 3 3" xfId="1660" xr:uid="{00000000-0005-0000-0000-00002C060000}"/>
    <cellStyle name="Millares 2 2 3 30" xfId="1661" xr:uid="{00000000-0005-0000-0000-00002D060000}"/>
    <cellStyle name="Millares 2 2 3 31" xfId="1662" xr:uid="{00000000-0005-0000-0000-00002E060000}"/>
    <cellStyle name="Millares 2 2 3 32" xfId="1663" xr:uid="{00000000-0005-0000-0000-00002F060000}"/>
    <cellStyle name="Millares 2 2 3 33" xfId="1664" xr:uid="{00000000-0005-0000-0000-000030060000}"/>
    <cellStyle name="Millares 2 2 3 34" xfId="1665" xr:uid="{00000000-0005-0000-0000-000031060000}"/>
    <cellStyle name="Millares 2 2 3 35" xfId="1666" xr:uid="{00000000-0005-0000-0000-000032060000}"/>
    <cellStyle name="Millares 2 2 3 4" xfId="1667" xr:uid="{00000000-0005-0000-0000-000033060000}"/>
    <cellStyle name="Millares 2 2 3 5" xfId="1668" xr:uid="{00000000-0005-0000-0000-000034060000}"/>
    <cellStyle name="Millares 2 2 3 6" xfId="1669" xr:uid="{00000000-0005-0000-0000-000035060000}"/>
    <cellStyle name="Millares 2 2 3 7" xfId="1670" xr:uid="{00000000-0005-0000-0000-000036060000}"/>
    <cellStyle name="Millares 2 2 3 8" xfId="1671" xr:uid="{00000000-0005-0000-0000-000037060000}"/>
    <cellStyle name="Millares 2 2 3 9" xfId="1672" xr:uid="{00000000-0005-0000-0000-000038060000}"/>
    <cellStyle name="Millares 2 2 30" xfId="1673" xr:uid="{00000000-0005-0000-0000-000039060000}"/>
    <cellStyle name="Millares 2 2 31" xfId="1674" xr:uid="{00000000-0005-0000-0000-00003A060000}"/>
    <cellStyle name="Millares 2 2 32" xfId="1675" xr:uid="{00000000-0005-0000-0000-00003B060000}"/>
    <cellStyle name="Millares 2 2 33" xfId="1676" xr:uid="{00000000-0005-0000-0000-00003C060000}"/>
    <cellStyle name="Millares 2 2 34" xfId="1677" xr:uid="{00000000-0005-0000-0000-00003D060000}"/>
    <cellStyle name="Millares 2 2 35" xfId="1678" xr:uid="{00000000-0005-0000-0000-00003E060000}"/>
    <cellStyle name="Millares 2 2 36" xfId="1679" xr:uid="{00000000-0005-0000-0000-00003F060000}"/>
    <cellStyle name="Millares 2 2 37" xfId="1680" xr:uid="{00000000-0005-0000-0000-000040060000}"/>
    <cellStyle name="Millares 2 2 38" xfId="1681" xr:uid="{00000000-0005-0000-0000-000041060000}"/>
    <cellStyle name="Millares 2 2 39" xfId="1682" xr:uid="{00000000-0005-0000-0000-000042060000}"/>
    <cellStyle name="Millares 2 2 39 10" xfId="1683" xr:uid="{00000000-0005-0000-0000-000043060000}"/>
    <cellStyle name="Millares 2 2 39 2" xfId="1684" xr:uid="{00000000-0005-0000-0000-000044060000}"/>
    <cellStyle name="Millares 2 2 39 3" xfId="1685" xr:uid="{00000000-0005-0000-0000-000045060000}"/>
    <cellStyle name="Millares 2 2 39 4" xfId="1686" xr:uid="{00000000-0005-0000-0000-000046060000}"/>
    <cellStyle name="Millares 2 2 39 5" xfId="1687" xr:uid="{00000000-0005-0000-0000-000047060000}"/>
    <cellStyle name="Millares 2 2 39 6" xfId="1688" xr:uid="{00000000-0005-0000-0000-000048060000}"/>
    <cellStyle name="Millares 2 2 39 7" xfId="1689" xr:uid="{00000000-0005-0000-0000-000049060000}"/>
    <cellStyle name="Millares 2 2 39 8" xfId="1690" xr:uid="{00000000-0005-0000-0000-00004A060000}"/>
    <cellStyle name="Millares 2 2 39 9" xfId="1691" xr:uid="{00000000-0005-0000-0000-00004B060000}"/>
    <cellStyle name="Millares 2 2 4" xfId="1692" xr:uid="{00000000-0005-0000-0000-00004C060000}"/>
    <cellStyle name="Millares 2 2 4 10" xfId="1693" xr:uid="{00000000-0005-0000-0000-00004D060000}"/>
    <cellStyle name="Millares 2 2 4 11" xfId="1694" xr:uid="{00000000-0005-0000-0000-00004E060000}"/>
    <cellStyle name="Millares 2 2 4 12" xfId="1695" xr:uid="{00000000-0005-0000-0000-00004F060000}"/>
    <cellStyle name="Millares 2 2 4 13" xfId="1696" xr:uid="{00000000-0005-0000-0000-000050060000}"/>
    <cellStyle name="Millares 2 2 4 14" xfId="1697" xr:uid="{00000000-0005-0000-0000-000051060000}"/>
    <cellStyle name="Millares 2 2 4 15" xfId="1698" xr:uid="{00000000-0005-0000-0000-000052060000}"/>
    <cellStyle name="Millares 2 2 4 16" xfId="1699" xr:uid="{00000000-0005-0000-0000-000053060000}"/>
    <cellStyle name="Millares 2 2 4 17" xfId="1700" xr:uid="{00000000-0005-0000-0000-000054060000}"/>
    <cellStyle name="Millares 2 2 4 18" xfId="1701" xr:uid="{00000000-0005-0000-0000-000055060000}"/>
    <cellStyle name="Millares 2 2 4 19" xfId="1702" xr:uid="{00000000-0005-0000-0000-000056060000}"/>
    <cellStyle name="Millares 2 2 4 2" xfId="1703" xr:uid="{00000000-0005-0000-0000-000057060000}"/>
    <cellStyle name="Millares 2 2 4 2 10" xfId="1704" xr:uid="{00000000-0005-0000-0000-000058060000}"/>
    <cellStyle name="Millares 2 2 4 2 11" xfId="1705" xr:uid="{00000000-0005-0000-0000-000059060000}"/>
    <cellStyle name="Millares 2 2 4 2 12" xfId="1706" xr:uid="{00000000-0005-0000-0000-00005A060000}"/>
    <cellStyle name="Millares 2 2 4 2 13" xfId="1707" xr:uid="{00000000-0005-0000-0000-00005B060000}"/>
    <cellStyle name="Millares 2 2 4 2 14" xfId="1708" xr:uid="{00000000-0005-0000-0000-00005C060000}"/>
    <cellStyle name="Millares 2 2 4 2 15" xfId="1709" xr:uid="{00000000-0005-0000-0000-00005D060000}"/>
    <cellStyle name="Millares 2 2 4 2 16" xfId="1710" xr:uid="{00000000-0005-0000-0000-00005E060000}"/>
    <cellStyle name="Millares 2 2 4 2 17" xfId="1711" xr:uid="{00000000-0005-0000-0000-00005F060000}"/>
    <cellStyle name="Millares 2 2 4 2 18" xfId="1712" xr:uid="{00000000-0005-0000-0000-000060060000}"/>
    <cellStyle name="Millares 2 2 4 2 19" xfId="1713" xr:uid="{00000000-0005-0000-0000-000061060000}"/>
    <cellStyle name="Millares 2 2 4 2 2" xfId="1714" xr:uid="{00000000-0005-0000-0000-000062060000}"/>
    <cellStyle name="Millares 2 2 4 2 20" xfId="1715" xr:uid="{00000000-0005-0000-0000-000063060000}"/>
    <cellStyle name="Millares 2 2 4 2 3" xfId="1716" xr:uid="{00000000-0005-0000-0000-000064060000}"/>
    <cellStyle name="Millares 2 2 4 2 4" xfId="1717" xr:uid="{00000000-0005-0000-0000-000065060000}"/>
    <cellStyle name="Millares 2 2 4 2 5" xfId="1718" xr:uid="{00000000-0005-0000-0000-000066060000}"/>
    <cellStyle name="Millares 2 2 4 2 6" xfId="1719" xr:uid="{00000000-0005-0000-0000-000067060000}"/>
    <cellStyle name="Millares 2 2 4 2 7" xfId="1720" xr:uid="{00000000-0005-0000-0000-000068060000}"/>
    <cellStyle name="Millares 2 2 4 2 8" xfId="1721" xr:uid="{00000000-0005-0000-0000-000069060000}"/>
    <cellStyle name="Millares 2 2 4 2 9" xfId="1722" xr:uid="{00000000-0005-0000-0000-00006A060000}"/>
    <cellStyle name="Millares 2 2 4 20" xfId="1723" xr:uid="{00000000-0005-0000-0000-00006B060000}"/>
    <cellStyle name="Millares 2 2 4 3" xfId="1724" xr:uid="{00000000-0005-0000-0000-00006C060000}"/>
    <cellStyle name="Millares 2 2 4 4" xfId="1725" xr:uid="{00000000-0005-0000-0000-00006D060000}"/>
    <cellStyle name="Millares 2 2 4 5" xfId="1726" xr:uid="{00000000-0005-0000-0000-00006E060000}"/>
    <cellStyle name="Millares 2 2 4 6" xfId="1727" xr:uid="{00000000-0005-0000-0000-00006F060000}"/>
    <cellStyle name="Millares 2 2 4 7" xfId="1728" xr:uid="{00000000-0005-0000-0000-000070060000}"/>
    <cellStyle name="Millares 2 2 4 8" xfId="1729" xr:uid="{00000000-0005-0000-0000-000071060000}"/>
    <cellStyle name="Millares 2 2 4 9" xfId="1730" xr:uid="{00000000-0005-0000-0000-000072060000}"/>
    <cellStyle name="Millares 2 2 40" xfId="1731" xr:uid="{00000000-0005-0000-0000-000073060000}"/>
    <cellStyle name="Millares 2 2 41" xfId="1732" xr:uid="{00000000-0005-0000-0000-000074060000}"/>
    <cellStyle name="Millares 2 2 42" xfId="1733" xr:uid="{00000000-0005-0000-0000-000075060000}"/>
    <cellStyle name="Millares 2 2 43" xfId="1734" xr:uid="{00000000-0005-0000-0000-000076060000}"/>
    <cellStyle name="Millares 2 2 44" xfId="1735" xr:uid="{00000000-0005-0000-0000-000077060000}"/>
    <cellStyle name="Millares 2 2 45" xfId="1736" xr:uid="{00000000-0005-0000-0000-000078060000}"/>
    <cellStyle name="Millares 2 2 46" xfId="1737" xr:uid="{00000000-0005-0000-0000-000079060000}"/>
    <cellStyle name="Millares 2 2 47" xfId="1738" xr:uid="{00000000-0005-0000-0000-00007A060000}"/>
    <cellStyle name="Millares 2 2 48" xfId="1739" xr:uid="{00000000-0005-0000-0000-00007B060000}"/>
    <cellStyle name="Millares 2 2 49" xfId="1112" xr:uid="{00000000-0005-0000-0000-00007C060000}"/>
    <cellStyle name="Millares 2 2 5" xfId="1740" xr:uid="{00000000-0005-0000-0000-00007D060000}"/>
    <cellStyle name="Millares 2 2 6" xfId="1741" xr:uid="{00000000-0005-0000-0000-00007E060000}"/>
    <cellStyle name="Millares 2 2 7" xfId="1742" xr:uid="{00000000-0005-0000-0000-00007F060000}"/>
    <cellStyle name="Millares 2 2 8" xfId="1743" xr:uid="{00000000-0005-0000-0000-000080060000}"/>
    <cellStyle name="Millares 2 2 9" xfId="1744" xr:uid="{00000000-0005-0000-0000-000081060000}"/>
    <cellStyle name="Millares 2 20" xfId="1745" xr:uid="{00000000-0005-0000-0000-000082060000}"/>
    <cellStyle name="Millares 2 21" xfId="1091" xr:uid="{00000000-0005-0000-0000-000083060000}"/>
    <cellStyle name="Millares 2 22" xfId="1746" xr:uid="{00000000-0005-0000-0000-000084060000}"/>
    <cellStyle name="Millares 2 24" xfId="1747" xr:uid="{00000000-0005-0000-0000-000085060000}"/>
    <cellStyle name="Millares 2 26" xfId="1748" xr:uid="{00000000-0005-0000-0000-000086060000}"/>
    <cellStyle name="Millares 2 28" xfId="1749" xr:uid="{00000000-0005-0000-0000-000087060000}"/>
    <cellStyle name="Millares 2 3" xfId="45" xr:uid="{00000000-0005-0000-0000-000088060000}"/>
    <cellStyle name="Millares 2 3 2" xfId="1751" xr:uid="{00000000-0005-0000-0000-000089060000}"/>
    <cellStyle name="Millares 2 3 3" xfId="1752" xr:uid="{00000000-0005-0000-0000-00008A060000}"/>
    <cellStyle name="Millares 2 3 4" xfId="1753" xr:uid="{00000000-0005-0000-0000-00008B060000}"/>
    <cellStyle name="Millares 2 3 5" xfId="1754" xr:uid="{00000000-0005-0000-0000-00008C060000}"/>
    <cellStyle name="Millares 2 3 6" xfId="1755" xr:uid="{00000000-0005-0000-0000-00008D060000}"/>
    <cellStyle name="Millares 2 3 7" xfId="1750" xr:uid="{00000000-0005-0000-0000-00008E060000}"/>
    <cellStyle name="Millares 2 30" xfId="1756" xr:uid="{00000000-0005-0000-0000-00008F060000}"/>
    <cellStyle name="Millares 2 32" xfId="1757" xr:uid="{00000000-0005-0000-0000-000090060000}"/>
    <cellStyle name="Millares 2 34" xfId="1758" xr:uid="{00000000-0005-0000-0000-000091060000}"/>
    <cellStyle name="Millares 2 36" xfId="1759" xr:uid="{00000000-0005-0000-0000-000092060000}"/>
    <cellStyle name="Millares 2 4" xfId="1760" xr:uid="{00000000-0005-0000-0000-000093060000}"/>
    <cellStyle name="Millares 2 4 2" xfId="1761" xr:uid="{00000000-0005-0000-0000-000094060000}"/>
    <cellStyle name="Millares 2 4 3" xfId="1762" xr:uid="{00000000-0005-0000-0000-000095060000}"/>
    <cellStyle name="Millares 2 4 4" xfId="1763" xr:uid="{00000000-0005-0000-0000-000096060000}"/>
    <cellStyle name="Millares 2 4 5" xfId="1764" xr:uid="{00000000-0005-0000-0000-000097060000}"/>
    <cellStyle name="Millares 2 4 6" xfId="1765" xr:uid="{00000000-0005-0000-0000-000098060000}"/>
    <cellStyle name="Millares 2 4 7" xfId="1766" xr:uid="{00000000-0005-0000-0000-000099060000}"/>
    <cellStyle name="Millares 2 4 8" xfId="1767" xr:uid="{00000000-0005-0000-0000-00009A060000}"/>
    <cellStyle name="Millares 2 5" xfId="1768" xr:uid="{00000000-0005-0000-0000-00009B060000}"/>
    <cellStyle name="Millares 2 6" xfId="1769" xr:uid="{00000000-0005-0000-0000-00009C060000}"/>
    <cellStyle name="Millares 2 6 2" xfId="1770" xr:uid="{00000000-0005-0000-0000-00009D060000}"/>
    <cellStyle name="Millares 2 7" xfId="1771" xr:uid="{00000000-0005-0000-0000-00009E060000}"/>
    <cellStyle name="Millares 2 7 2" xfId="1772" xr:uid="{00000000-0005-0000-0000-00009F060000}"/>
    <cellStyle name="Millares 2 7 3" xfId="1773" xr:uid="{00000000-0005-0000-0000-0000A0060000}"/>
    <cellStyle name="Millares 2 8" xfId="1774" xr:uid="{00000000-0005-0000-0000-0000A1060000}"/>
    <cellStyle name="Millares 2 8 2" xfId="1775" xr:uid="{00000000-0005-0000-0000-0000A2060000}"/>
    <cellStyle name="Millares 2 8 3" xfId="1776" xr:uid="{00000000-0005-0000-0000-0000A3060000}"/>
    <cellStyle name="Millares 2 9" xfId="1777" xr:uid="{00000000-0005-0000-0000-0000A4060000}"/>
    <cellStyle name="Millares 2 9 2" xfId="1778" xr:uid="{00000000-0005-0000-0000-0000A5060000}"/>
    <cellStyle name="Millares 2 9 3" xfId="1779" xr:uid="{00000000-0005-0000-0000-0000A6060000}"/>
    <cellStyle name="Millares 20" xfId="1780" xr:uid="{00000000-0005-0000-0000-0000A7060000}"/>
    <cellStyle name="Millares 20 2" xfId="1781" xr:uid="{00000000-0005-0000-0000-0000A8060000}"/>
    <cellStyle name="Millares 21" xfId="1782" xr:uid="{00000000-0005-0000-0000-0000A9060000}"/>
    <cellStyle name="Millares 21 2" xfId="1783" xr:uid="{00000000-0005-0000-0000-0000AA060000}"/>
    <cellStyle name="Millares 22" xfId="1784" xr:uid="{00000000-0005-0000-0000-0000AB060000}"/>
    <cellStyle name="Millares 28" xfId="1785" xr:uid="{00000000-0005-0000-0000-0000AC060000}"/>
    <cellStyle name="Millares 28 10" xfId="1786" xr:uid="{00000000-0005-0000-0000-0000AD060000}"/>
    <cellStyle name="Millares 28 11" xfId="1787" xr:uid="{00000000-0005-0000-0000-0000AE060000}"/>
    <cellStyle name="Millares 28 12" xfId="1788" xr:uid="{00000000-0005-0000-0000-0000AF060000}"/>
    <cellStyle name="Millares 28 13" xfId="1789" xr:uid="{00000000-0005-0000-0000-0000B0060000}"/>
    <cellStyle name="Millares 28 14" xfId="1790" xr:uid="{00000000-0005-0000-0000-0000B1060000}"/>
    <cellStyle name="Millares 28 15" xfId="1791" xr:uid="{00000000-0005-0000-0000-0000B2060000}"/>
    <cellStyle name="Millares 28 16" xfId="1792" xr:uid="{00000000-0005-0000-0000-0000B3060000}"/>
    <cellStyle name="Millares 28 17" xfId="1793" xr:uid="{00000000-0005-0000-0000-0000B4060000}"/>
    <cellStyle name="Millares 28 18" xfId="1794" xr:uid="{00000000-0005-0000-0000-0000B5060000}"/>
    <cellStyle name="Millares 28 19" xfId="1795" xr:uid="{00000000-0005-0000-0000-0000B6060000}"/>
    <cellStyle name="Millares 28 2" xfId="1796" xr:uid="{00000000-0005-0000-0000-0000B7060000}"/>
    <cellStyle name="Millares 28 2 2" xfId="1797" xr:uid="{00000000-0005-0000-0000-0000B8060000}"/>
    <cellStyle name="Millares 28 2 3" xfId="1798" xr:uid="{00000000-0005-0000-0000-0000B9060000}"/>
    <cellStyle name="Millares 28 20" xfId="1799" xr:uid="{00000000-0005-0000-0000-0000BA060000}"/>
    <cellStyle name="Millares 28 21" xfId="1800" xr:uid="{00000000-0005-0000-0000-0000BB060000}"/>
    <cellStyle name="Millares 28 22" xfId="1801" xr:uid="{00000000-0005-0000-0000-0000BC060000}"/>
    <cellStyle name="Millares 28 23" xfId="1802" xr:uid="{00000000-0005-0000-0000-0000BD060000}"/>
    <cellStyle name="Millares 28 24" xfId="1803" xr:uid="{00000000-0005-0000-0000-0000BE060000}"/>
    <cellStyle name="Millares 28 25" xfId="1804" xr:uid="{00000000-0005-0000-0000-0000BF060000}"/>
    <cellStyle name="Millares 28 3" xfId="1805" xr:uid="{00000000-0005-0000-0000-0000C0060000}"/>
    <cellStyle name="Millares 28 3 2" xfId="1806" xr:uid="{00000000-0005-0000-0000-0000C1060000}"/>
    <cellStyle name="Millares 28 3 3" xfId="1807" xr:uid="{00000000-0005-0000-0000-0000C2060000}"/>
    <cellStyle name="Millares 28 4" xfId="1808" xr:uid="{00000000-0005-0000-0000-0000C3060000}"/>
    <cellStyle name="Millares 28 5" xfId="1809" xr:uid="{00000000-0005-0000-0000-0000C4060000}"/>
    <cellStyle name="Millares 28 6" xfId="1810" xr:uid="{00000000-0005-0000-0000-0000C5060000}"/>
    <cellStyle name="Millares 28 7" xfId="1811" xr:uid="{00000000-0005-0000-0000-0000C6060000}"/>
    <cellStyle name="Millares 28 8" xfId="1812" xr:uid="{00000000-0005-0000-0000-0000C7060000}"/>
    <cellStyle name="Millares 28 9" xfId="1813" xr:uid="{00000000-0005-0000-0000-0000C8060000}"/>
    <cellStyle name="Millares 29" xfId="1814" xr:uid="{00000000-0005-0000-0000-0000C9060000}"/>
    <cellStyle name="Millares 29 10" xfId="1815" xr:uid="{00000000-0005-0000-0000-0000CA060000}"/>
    <cellStyle name="Millares 29 11" xfId="1816" xr:uid="{00000000-0005-0000-0000-0000CB060000}"/>
    <cellStyle name="Millares 29 12" xfId="1817" xr:uid="{00000000-0005-0000-0000-0000CC060000}"/>
    <cellStyle name="Millares 29 13" xfId="1818" xr:uid="{00000000-0005-0000-0000-0000CD060000}"/>
    <cellStyle name="Millares 29 14" xfId="1819" xr:uid="{00000000-0005-0000-0000-0000CE060000}"/>
    <cellStyle name="Millares 29 15" xfId="1820" xr:uid="{00000000-0005-0000-0000-0000CF060000}"/>
    <cellStyle name="Millares 29 16" xfId="1821" xr:uid="{00000000-0005-0000-0000-0000D0060000}"/>
    <cellStyle name="Millares 29 17" xfId="1822" xr:uid="{00000000-0005-0000-0000-0000D1060000}"/>
    <cellStyle name="Millares 29 18" xfId="1823" xr:uid="{00000000-0005-0000-0000-0000D2060000}"/>
    <cellStyle name="Millares 29 19" xfId="1824" xr:uid="{00000000-0005-0000-0000-0000D3060000}"/>
    <cellStyle name="Millares 29 2" xfId="1825" xr:uid="{00000000-0005-0000-0000-0000D4060000}"/>
    <cellStyle name="Millares 29 2 2" xfId="1826" xr:uid="{00000000-0005-0000-0000-0000D5060000}"/>
    <cellStyle name="Millares 29 2 3" xfId="1827" xr:uid="{00000000-0005-0000-0000-0000D6060000}"/>
    <cellStyle name="Millares 29 20" xfId="1828" xr:uid="{00000000-0005-0000-0000-0000D7060000}"/>
    <cellStyle name="Millares 29 21" xfId="1829" xr:uid="{00000000-0005-0000-0000-0000D8060000}"/>
    <cellStyle name="Millares 29 22" xfId="1830" xr:uid="{00000000-0005-0000-0000-0000D9060000}"/>
    <cellStyle name="Millares 29 23" xfId="1831" xr:uid="{00000000-0005-0000-0000-0000DA060000}"/>
    <cellStyle name="Millares 29 24" xfId="1832" xr:uid="{00000000-0005-0000-0000-0000DB060000}"/>
    <cellStyle name="Millares 29 25" xfId="1833" xr:uid="{00000000-0005-0000-0000-0000DC060000}"/>
    <cellStyle name="Millares 29 3" xfId="1834" xr:uid="{00000000-0005-0000-0000-0000DD060000}"/>
    <cellStyle name="Millares 29 3 2" xfId="1835" xr:uid="{00000000-0005-0000-0000-0000DE060000}"/>
    <cellStyle name="Millares 29 3 3" xfId="1836" xr:uid="{00000000-0005-0000-0000-0000DF060000}"/>
    <cellStyle name="Millares 29 4" xfId="1837" xr:uid="{00000000-0005-0000-0000-0000E0060000}"/>
    <cellStyle name="Millares 29 5" xfId="1838" xr:uid="{00000000-0005-0000-0000-0000E1060000}"/>
    <cellStyle name="Millares 29 6" xfId="1839" xr:uid="{00000000-0005-0000-0000-0000E2060000}"/>
    <cellStyle name="Millares 29 7" xfId="1840" xr:uid="{00000000-0005-0000-0000-0000E3060000}"/>
    <cellStyle name="Millares 29 8" xfId="1841" xr:uid="{00000000-0005-0000-0000-0000E4060000}"/>
    <cellStyle name="Millares 29 9" xfId="1842" xr:uid="{00000000-0005-0000-0000-0000E5060000}"/>
    <cellStyle name="Millares 3" xfId="46" xr:uid="{00000000-0005-0000-0000-0000E6060000}"/>
    <cellStyle name="Millares 3 10" xfId="1844" xr:uid="{00000000-0005-0000-0000-0000E7060000}"/>
    <cellStyle name="Millares 3 10 10" xfId="1845" xr:uid="{00000000-0005-0000-0000-0000E8060000}"/>
    <cellStyle name="Millares 3 10 11" xfId="1846" xr:uid="{00000000-0005-0000-0000-0000E9060000}"/>
    <cellStyle name="Millares 3 10 12" xfId="1847" xr:uid="{00000000-0005-0000-0000-0000EA060000}"/>
    <cellStyle name="Millares 3 10 13" xfId="1848" xr:uid="{00000000-0005-0000-0000-0000EB060000}"/>
    <cellStyle name="Millares 3 10 14" xfId="1849" xr:uid="{00000000-0005-0000-0000-0000EC060000}"/>
    <cellStyle name="Millares 3 10 15" xfId="1850" xr:uid="{00000000-0005-0000-0000-0000ED060000}"/>
    <cellStyle name="Millares 3 10 16" xfId="1851" xr:uid="{00000000-0005-0000-0000-0000EE060000}"/>
    <cellStyle name="Millares 3 10 17" xfId="1852" xr:uid="{00000000-0005-0000-0000-0000EF060000}"/>
    <cellStyle name="Millares 3 10 18" xfId="1853" xr:uid="{00000000-0005-0000-0000-0000F0060000}"/>
    <cellStyle name="Millares 3 10 19" xfId="1854" xr:uid="{00000000-0005-0000-0000-0000F1060000}"/>
    <cellStyle name="Millares 3 10 2" xfId="1855" xr:uid="{00000000-0005-0000-0000-0000F2060000}"/>
    <cellStyle name="Millares 3 10 2 10" xfId="1856" xr:uid="{00000000-0005-0000-0000-0000F3060000}"/>
    <cellStyle name="Millares 3 10 2 11" xfId="1857" xr:uid="{00000000-0005-0000-0000-0000F4060000}"/>
    <cellStyle name="Millares 3 10 2 12" xfId="1858" xr:uid="{00000000-0005-0000-0000-0000F5060000}"/>
    <cellStyle name="Millares 3 10 2 13" xfId="1859" xr:uid="{00000000-0005-0000-0000-0000F6060000}"/>
    <cellStyle name="Millares 3 10 2 14" xfId="1860" xr:uid="{00000000-0005-0000-0000-0000F7060000}"/>
    <cellStyle name="Millares 3 10 2 15" xfId="1861" xr:uid="{00000000-0005-0000-0000-0000F8060000}"/>
    <cellStyle name="Millares 3 10 2 16" xfId="1862" xr:uid="{00000000-0005-0000-0000-0000F9060000}"/>
    <cellStyle name="Millares 3 10 2 17" xfId="1863" xr:uid="{00000000-0005-0000-0000-0000FA060000}"/>
    <cellStyle name="Millares 3 10 2 2" xfId="1864" xr:uid="{00000000-0005-0000-0000-0000FB060000}"/>
    <cellStyle name="Millares 3 10 2 3" xfId="1865" xr:uid="{00000000-0005-0000-0000-0000FC060000}"/>
    <cellStyle name="Millares 3 10 2 3 2" xfId="1866" xr:uid="{00000000-0005-0000-0000-0000FD060000}"/>
    <cellStyle name="Millares 3 10 2 4" xfId="1867" xr:uid="{00000000-0005-0000-0000-0000FE060000}"/>
    <cellStyle name="Millares 3 10 2 5" xfId="1868" xr:uid="{00000000-0005-0000-0000-0000FF060000}"/>
    <cellStyle name="Millares 3 10 2 6" xfId="1869" xr:uid="{00000000-0005-0000-0000-000000070000}"/>
    <cellStyle name="Millares 3 10 2 7" xfId="1870" xr:uid="{00000000-0005-0000-0000-000001070000}"/>
    <cellStyle name="Millares 3 10 2 8" xfId="1871" xr:uid="{00000000-0005-0000-0000-000002070000}"/>
    <cellStyle name="Millares 3 10 2 9" xfId="1872" xr:uid="{00000000-0005-0000-0000-000003070000}"/>
    <cellStyle name="Millares 3 10 3" xfId="1873" xr:uid="{00000000-0005-0000-0000-000004070000}"/>
    <cellStyle name="Millares 3 10 4" xfId="1874" xr:uid="{00000000-0005-0000-0000-000005070000}"/>
    <cellStyle name="Millares 3 10 5" xfId="1875" xr:uid="{00000000-0005-0000-0000-000006070000}"/>
    <cellStyle name="Millares 3 10 6" xfId="1876" xr:uid="{00000000-0005-0000-0000-000007070000}"/>
    <cellStyle name="Millares 3 10 7" xfId="1877" xr:uid="{00000000-0005-0000-0000-000008070000}"/>
    <cellStyle name="Millares 3 10 8" xfId="1878" xr:uid="{00000000-0005-0000-0000-000009070000}"/>
    <cellStyle name="Millares 3 10 9" xfId="1879" xr:uid="{00000000-0005-0000-0000-00000A070000}"/>
    <cellStyle name="Millares 3 11" xfId="1880" xr:uid="{00000000-0005-0000-0000-00000B070000}"/>
    <cellStyle name="Millares 3 11 10" xfId="1881" xr:uid="{00000000-0005-0000-0000-00000C070000}"/>
    <cellStyle name="Millares 3 11 11" xfId="1882" xr:uid="{00000000-0005-0000-0000-00000D070000}"/>
    <cellStyle name="Millares 3 11 12" xfId="1883" xr:uid="{00000000-0005-0000-0000-00000E070000}"/>
    <cellStyle name="Millares 3 11 13" xfId="1884" xr:uid="{00000000-0005-0000-0000-00000F070000}"/>
    <cellStyle name="Millares 3 11 14" xfId="1885" xr:uid="{00000000-0005-0000-0000-000010070000}"/>
    <cellStyle name="Millares 3 11 15" xfId="1886" xr:uid="{00000000-0005-0000-0000-000011070000}"/>
    <cellStyle name="Millares 3 11 16" xfId="1887" xr:uid="{00000000-0005-0000-0000-000012070000}"/>
    <cellStyle name="Millares 3 11 17" xfId="1888" xr:uid="{00000000-0005-0000-0000-000013070000}"/>
    <cellStyle name="Millares 3 11 18" xfId="1889" xr:uid="{00000000-0005-0000-0000-000014070000}"/>
    <cellStyle name="Millares 3 11 19" xfId="1890" xr:uid="{00000000-0005-0000-0000-000015070000}"/>
    <cellStyle name="Millares 3 11 2" xfId="1891" xr:uid="{00000000-0005-0000-0000-000016070000}"/>
    <cellStyle name="Millares 3 11 2 10" xfId="1892" xr:uid="{00000000-0005-0000-0000-000017070000}"/>
    <cellStyle name="Millares 3 11 2 11" xfId="1893" xr:uid="{00000000-0005-0000-0000-000018070000}"/>
    <cellStyle name="Millares 3 11 2 12" xfId="1894" xr:uid="{00000000-0005-0000-0000-000019070000}"/>
    <cellStyle name="Millares 3 11 2 13" xfId="1895" xr:uid="{00000000-0005-0000-0000-00001A070000}"/>
    <cellStyle name="Millares 3 11 2 14" xfId="1896" xr:uid="{00000000-0005-0000-0000-00001B070000}"/>
    <cellStyle name="Millares 3 11 2 15" xfId="1897" xr:uid="{00000000-0005-0000-0000-00001C070000}"/>
    <cellStyle name="Millares 3 11 2 16" xfId="1898" xr:uid="{00000000-0005-0000-0000-00001D070000}"/>
    <cellStyle name="Millares 3 11 2 17" xfId="1899" xr:uid="{00000000-0005-0000-0000-00001E070000}"/>
    <cellStyle name="Millares 3 11 2 2" xfId="1900" xr:uid="{00000000-0005-0000-0000-00001F070000}"/>
    <cellStyle name="Millares 3 11 2 3" xfId="1901" xr:uid="{00000000-0005-0000-0000-000020070000}"/>
    <cellStyle name="Millares 3 11 2 3 2" xfId="1902" xr:uid="{00000000-0005-0000-0000-000021070000}"/>
    <cellStyle name="Millares 3 11 2 4" xfId="1903" xr:uid="{00000000-0005-0000-0000-000022070000}"/>
    <cellStyle name="Millares 3 11 2 5" xfId="1904" xr:uid="{00000000-0005-0000-0000-000023070000}"/>
    <cellStyle name="Millares 3 11 2 6" xfId="1905" xr:uid="{00000000-0005-0000-0000-000024070000}"/>
    <cellStyle name="Millares 3 11 2 7" xfId="1906" xr:uid="{00000000-0005-0000-0000-000025070000}"/>
    <cellStyle name="Millares 3 11 2 8" xfId="1907" xr:uid="{00000000-0005-0000-0000-000026070000}"/>
    <cellStyle name="Millares 3 11 2 9" xfId="1908" xr:uid="{00000000-0005-0000-0000-000027070000}"/>
    <cellStyle name="Millares 3 11 3" xfId="1909" xr:uid="{00000000-0005-0000-0000-000028070000}"/>
    <cellStyle name="Millares 3 11 4" xfId="1910" xr:uid="{00000000-0005-0000-0000-000029070000}"/>
    <cellStyle name="Millares 3 11 5" xfId="1911" xr:uid="{00000000-0005-0000-0000-00002A070000}"/>
    <cellStyle name="Millares 3 11 6" xfId="1912" xr:uid="{00000000-0005-0000-0000-00002B070000}"/>
    <cellStyle name="Millares 3 11 7" xfId="1913" xr:uid="{00000000-0005-0000-0000-00002C070000}"/>
    <cellStyle name="Millares 3 11 8" xfId="1914" xr:uid="{00000000-0005-0000-0000-00002D070000}"/>
    <cellStyle name="Millares 3 11 9" xfId="1915" xr:uid="{00000000-0005-0000-0000-00002E070000}"/>
    <cellStyle name="Millares 3 12" xfId="1916" xr:uid="{00000000-0005-0000-0000-00002F070000}"/>
    <cellStyle name="Millares 3 12 10" xfId="1917" xr:uid="{00000000-0005-0000-0000-000030070000}"/>
    <cellStyle name="Millares 3 12 11" xfId="1918" xr:uid="{00000000-0005-0000-0000-000031070000}"/>
    <cellStyle name="Millares 3 12 12" xfId="1919" xr:uid="{00000000-0005-0000-0000-000032070000}"/>
    <cellStyle name="Millares 3 12 13" xfId="1920" xr:uid="{00000000-0005-0000-0000-000033070000}"/>
    <cellStyle name="Millares 3 12 14" xfId="1921" xr:uid="{00000000-0005-0000-0000-000034070000}"/>
    <cellStyle name="Millares 3 12 15" xfId="1922" xr:uid="{00000000-0005-0000-0000-000035070000}"/>
    <cellStyle name="Millares 3 12 16" xfId="1923" xr:uid="{00000000-0005-0000-0000-000036070000}"/>
    <cellStyle name="Millares 3 12 17" xfId="1924" xr:uid="{00000000-0005-0000-0000-000037070000}"/>
    <cellStyle name="Millares 3 12 2" xfId="1925" xr:uid="{00000000-0005-0000-0000-000038070000}"/>
    <cellStyle name="Millares 3 12 3" xfId="1926" xr:uid="{00000000-0005-0000-0000-000039070000}"/>
    <cellStyle name="Millares 3 12 3 2" xfId="1927" xr:uid="{00000000-0005-0000-0000-00003A070000}"/>
    <cellStyle name="Millares 3 12 4" xfId="1928" xr:uid="{00000000-0005-0000-0000-00003B070000}"/>
    <cellStyle name="Millares 3 12 5" xfId="1929" xr:uid="{00000000-0005-0000-0000-00003C070000}"/>
    <cellStyle name="Millares 3 12 6" xfId="1930" xr:uid="{00000000-0005-0000-0000-00003D070000}"/>
    <cellStyle name="Millares 3 12 7" xfId="1931" xr:uid="{00000000-0005-0000-0000-00003E070000}"/>
    <cellStyle name="Millares 3 12 8" xfId="1932" xr:uid="{00000000-0005-0000-0000-00003F070000}"/>
    <cellStyle name="Millares 3 12 9" xfId="1933" xr:uid="{00000000-0005-0000-0000-000040070000}"/>
    <cellStyle name="Millares 3 13" xfId="1934" xr:uid="{00000000-0005-0000-0000-000041070000}"/>
    <cellStyle name="Millares 3 13 10" xfId="1935" xr:uid="{00000000-0005-0000-0000-000042070000}"/>
    <cellStyle name="Millares 3 13 11" xfId="1936" xr:uid="{00000000-0005-0000-0000-000043070000}"/>
    <cellStyle name="Millares 3 13 12" xfId="1937" xr:uid="{00000000-0005-0000-0000-000044070000}"/>
    <cellStyle name="Millares 3 13 13" xfId="1938" xr:uid="{00000000-0005-0000-0000-000045070000}"/>
    <cellStyle name="Millares 3 13 14" xfId="1939" xr:uid="{00000000-0005-0000-0000-000046070000}"/>
    <cellStyle name="Millares 3 13 15" xfId="1940" xr:uid="{00000000-0005-0000-0000-000047070000}"/>
    <cellStyle name="Millares 3 13 16" xfId="1941" xr:uid="{00000000-0005-0000-0000-000048070000}"/>
    <cellStyle name="Millares 3 13 17" xfId="1942" xr:uid="{00000000-0005-0000-0000-000049070000}"/>
    <cellStyle name="Millares 3 13 2" xfId="1943" xr:uid="{00000000-0005-0000-0000-00004A070000}"/>
    <cellStyle name="Millares 3 13 3" xfId="1944" xr:uid="{00000000-0005-0000-0000-00004B070000}"/>
    <cellStyle name="Millares 3 13 3 2" xfId="1945" xr:uid="{00000000-0005-0000-0000-00004C070000}"/>
    <cellStyle name="Millares 3 13 4" xfId="1946" xr:uid="{00000000-0005-0000-0000-00004D070000}"/>
    <cellStyle name="Millares 3 13 5" xfId="1947" xr:uid="{00000000-0005-0000-0000-00004E070000}"/>
    <cellStyle name="Millares 3 13 6" xfId="1948" xr:uid="{00000000-0005-0000-0000-00004F070000}"/>
    <cellStyle name="Millares 3 13 7" xfId="1949" xr:uid="{00000000-0005-0000-0000-000050070000}"/>
    <cellStyle name="Millares 3 13 8" xfId="1950" xr:uid="{00000000-0005-0000-0000-000051070000}"/>
    <cellStyle name="Millares 3 13 9" xfId="1951" xr:uid="{00000000-0005-0000-0000-000052070000}"/>
    <cellStyle name="Millares 3 14" xfId="1952" xr:uid="{00000000-0005-0000-0000-000053070000}"/>
    <cellStyle name="Millares 3 14 10" xfId="1953" xr:uid="{00000000-0005-0000-0000-000054070000}"/>
    <cellStyle name="Millares 3 14 11" xfId="1954" xr:uid="{00000000-0005-0000-0000-000055070000}"/>
    <cellStyle name="Millares 3 14 12" xfId="1955" xr:uid="{00000000-0005-0000-0000-000056070000}"/>
    <cellStyle name="Millares 3 14 13" xfId="1956" xr:uid="{00000000-0005-0000-0000-000057070000}"/>
    <cellStyle name="Millares 3 14 14" xfId="1957" xr:uid="{00000000-0005-0000-0000-000058070000}"/>
    <cellStyle name="Millares 3 14 15" xfId="1958" xr:uid="{00000000-0005-0000-0000-000059070000}"/>
    <cellStyle name="Millares 3 14 16" xfId="1959" xr:uid="{00000000-0005-0000-0000-00005A070000}"/>
    <cellStyle name="Millares 3 14 17" xfId="1960" xr:uid="{00000000-0005-0000-0000-00005B070000}"/>
    <cellStyle name="Millares 3 14 2" xfId="1961" xr:uid="{00000000-0005-0000-0000-00005C070000}"/>
    <cellStyle name="Millares 3 14 3" xfId="1962" xr:uid="{00000000-0005-0000-0000-00005D070000}"/>
    <cellStyle name="Millares 3 14 3 2" xfId="1963" xr:uid="{00000000-0005-0000-0000-00005E070000}"/>
    <cellStyle name="Millares 3 14 4" xfId="1964" xr:uid="{00000000-0005-0000-0000-00005F070000}"/>
    <cellStyle name="Millares 3 14 5" xfId="1965" xr:uid="{00000000-0005-0000-0000-000060070000}"/>
    <cellStyle name="Millares 3 14 6" xfId="1966" xr:uid="{00000000-0005-0000-0000-000061070000}"/>
    <cellStyle name="Millares 3 14 7" xfId="1967" xr:uid="{00000000-0005-0000-0000-000062070000}"/>
    <cellStyle name="Millares 3 14 8" xfId="1968" xr:uid="{00000000-0005-0000-0000-000063070000}"/>
    <cellStyle name="Millares 3 14 9" xfId="1969" xr:uid="{00000000-0005-0000-0000-000064070000}"/>
    <cellStyle name="Millares 3 15" xfId="1970" xr:uid="{00000000-0005-0000-0000-000065070000}"/>
    <cellStyle name="Millares 3 16" xfId="1971" xr:uid="{00000000-0005-0000-0000-000066070000}"/>
    <cellStyle name="Millares 3 17" xfId="1972" xr:uid="{00000000-0005-0000-0000-000067070000}"/>
    <cellStyle name="Millares 3 18" xfId="1973" xr:uid="{00000000-0005-0000-0000-000068070000}"/>
    <cellStyle name="Millares 3 19" xfId="1974" xr:uid="{00000000-0005-0000-0000-000069070000}"/>
    <cellStyle name="Millares 3 2" xfId="1975" xr:uid="{00000000-0005-0000-0000-00006A070000}"/>
    <cellStyle name="Millares 3 2 10" xfId="1976" xr:uid="{00000000-0005-0000-0000-00006B070000}"/>
    <cellStyle name="Millares 3 2 11" xfId="1977" xr:uid="{00000000-0005-0000-0000-00006C070000}"/>
    <cellStyle name="Millares 3 2 12" xfId="1978" xr:uid="{00000000-0005-0000-0000-00006D070000}"/>
    <cellStyle name="Millares 3 2 13" xfId="1979" xr:uid="{00000000-0005-0000-0000-00006E070000}"/>
    <cellStyle name="Millares 3 2 14" xfId="1980" xr:uid="{00000000-0005-0000-0000-00006F070000}"/>
    <cellStyle name="Millares 3 2 15" xfId="1981" xr:uid="{00000000-0005-0000-0000-000070070000}"/>
    <cellStyle name="Millares 3 2 16" xfId="1982" xr:uid="{00000000-0005-0000-0000-000071070000}"/>
    <cellStyle name="Millares 3 2 17" xfId="1983" xr:uid="{00000000-0005-0000-0000-000072070000}"/>
    <cellStyle name="Millares 3 2 18" xfId="1984" xr:uid="{00000000-0005-0000-0000-000073070000}"/>
    <cellStyle name="Millares 3 2 19" xfId="1985" xr:uid="{00000000-0005-0000-0000-000074070000}"/>
    <cellStyle name="Millares 3 2 2" xfId="1986" xr:uid="{00000000-0005-0000-0000-000075070000}"/>
    <cellStyle name="Millares 3 2 2 10" xfId="1987" xr:uid="{00000000-0005-0000-0000-000076070000}"/>
    <cellStyle name="Millares 3 2 2 11" xfId="1988" xr:uid="{00000000-0005-0000-0000-000077070000}"/>
    <cellStyle name="Millares 3 2 2 12" xfId="1989" xr:uid="{00000000-0005-0000-0000-000078070000}"/>
    <cellStyle name="Millares 3 2 2 13" xfId="1990" xr:uid="{00000000-0005-0000-0000-000079070000}"/>
    <cellStyle name="Millares 3 2 2 14" xfId="1991" xr:uid="{00000000-0005-0000-0000-00007A070000}"/>
    <cellStyle name="Millares 3 2 2 15" xfId="1992" xr:uid="{00000000-0005-0000-0000-00007B070000}"/>
    <cellStyle name="Millares 3 2 2 16" xfId="1993" xr:uid="{00000000-0005-0000-0000-00007C070000}"/>
    <cellStyle name="Millares 3 2 2 17" xfId="1994" xr:uid="{00000000-0005-0000-0000-00007D070000}"/>
    <cellStyle name="Millares 3 2 2 18" xfId="1995" xr:uid="{00000000-0005-0000-0000-00007E070000}"/>
    <cellStyle name="Millares 3 2 2 2" xfId="1996" xr:uid="{00000000-0005-0000-0000-00007F070000}"/>
    <cellStyle name="Millares 3 2 2 2 2" xfId="1997" xr:uid="{00000000-0005-0000-0000-000080070000}"/>
    <cellStyle name="Millares 3 2 2 2 2 2" xfId="1998" xr:uid="{00000000-0005-0000-0000-000081070000}"/>
    <cellStyle name="Millares 3 2 2 2 2 2 2" xfId="1999" xr:uid="{00000000-0005-0000-0000-000082070000}"/>
    <cellStyle name="Millares 3 2 2 2 2 2 2 2" xfId="2000" xr:uid="{00000000-0005-0000-0000-000083070000}"/>
    <cellStyle name="Millares 3 2 2 2 2 2 2 3" xfId="2001" xr:uid="{00000000-0005-0000-0000-000084070000}"/>
    <cellStyle name="Millares 3 2 2 2 2 2 3" xfId="2002" xr:uid="{00000000-0005-0000-0000-000085070000}"/>
    <cellStyle name="Millares 3 2 2 2 2 3" xfId="2003" xr:uid="{00000000-0005-0000-0000-000086070000}"/>
    <cellStyle name="Millares 3 2 2 2 2 4" xfId="2004" xr:uid="{00000000-0005-0000-0000-000087070000}"/>
    <cellStyle name="Millares 3 2 2 2 2 5" xfId="2005" xr:uid="{00000000-0005-0000-0000-000088070000}"/>
    <cellStyle name="Millares 3 2 2 2 3" xfId="2006" xr:uid="{00000000-0005-0000-0000-000089070000}"/>
    <cellStyle name="Millares 3 2 2 2 4" xfId="2007" xr:uid="{00000000-0005-0000-0000-00008A070000}"/>
    <cellStyle name="Millares 3 2 2 2 5" xfId="2008" xr:uid="{00000000-0005-0000-0000-00008B070000}"/>
    <cellStyle name="Millares 3 2 2 3" xfId="2009" xr:uid="{00000000-0005-0000-0000-00008C070000}"/>
    <cellStyle name="Millares 3 2 2 4" xfId="2010" xr:uid="{00000000-0005-0000-0000-00008D070000}"/>
    <cellStyle name="Millares 3 2 2 5" xfId="2011" xr:uid="{00000000-0005-0000-0000-00008E070000}"/>
    <cellStyle name="Millares 3 2 2 5 10" xfId="2012" xr:uid="{00000000-0005-0000-0000-00008F070000}"/>
    <cellStyle name="Millares 3 2 2 5 11" xfId="2013" xr:uid="{00000000-0005-0000-0000-000090070000}"/>
    <cellStyle name="Millares 3 2 2 5 12" xfId="2014" xr:uid="{00000000-0005-0000-0000-000091070000}"/>
    <cellStyle name="Millares 3 2 2 5 13" xfId="2015" xr:uid="{00000000-0005-0000-0000-000092070000}"/>
    <cellStyle name="Millares 3 2 2 5 14" xfId="2016" xr:uid="{00000000-0005-0000-0000-000093070000}"/>
    <cellStyle name="Millares 3 2 2 5 15" xfId="2017" xr:uid="{00000000-0005-0000-0000-000094070000}"/>
    <cellStyle name="Millares 3 2 2 5 16" xfId="2018" xr:uid="{00000000-0005-0000-0000-000095070000}"/>
    <cellStyle name="Millares 3 2 2 5 17" xfId="2019" xr:uid="{00000000-0005-0000-0000-000096070000}"/>
    <cellStyle name="Millares 3 2 2 5 18" xfId="2020" xr:uid="{00000000-0005-0000-0000-000097070000}"/>
    <cellStyle name="Millares 3 2 2 5 2" xfId="2021" xr:uid="{00000000-0005-0000-0000-000098070000}"/>
    <cellStyle name="Millares 3 2 2 5 2 10" xfId="2022" xr:uid="{00000000-0005-0000-0000-000099070000}"/>
    <cellStyle name="Millares 3 2 2 5 2 11" xfId="2023" xr:uid="{00000000-0005-0000-0000-00009A070000}"/>
    <cellStyle name="Millares 3 2 2 5 2 12" xfId="2024" xr:uid="{00000000-0005-0000-0000-00009B070000}"/>
    <cellStyle name="Millares 3 2 2 5 2 13" xfId="2025" xr:uid="{00000000-0005-0000-0000-00009C070000}"/>
    <cellStyle name="Millares 3 2 2 5 2 14" xfId="2026" xr:uid="{00000000-0005-0000-0000-00009D070000}"/>
    <cellStyle name="Millares 3 2 2 5 2 15" xfId="2027" xr:uid="{00000000-0005-0000-0000-00009E070000}"/>
    <cellStyle name="Millares 3 2 2 5 2 2" xfId="2028" xr:uid="{00000000-0005-0000-0000-00009F070000}"/>
    <cellStyle name="Millares 3 2 2 5 2 2 2" xfId="2029" xr:uid="{00000000-0005-0000-0000-0000A0070000}"/>
    <cellStyle name="Millares 3 2 2 5 2 2 3" xfId="2030" xr:uid="{00000000-0005-0000-0000-0000A1070000}"/>
    <cellStyle name="Millares 3 2 2 5 2 2 4" xfId="2031" xr:uid="{00000000-0005-0000-0000-0000A2070000}"/>
    <cellStyle name="Millares 3 2 2 5 2 2 5" xfId="2032" xr:uid="{00000000-0005-0000-0000-0000A3070000}"/>
    <cellStyle name="Millares 3 2 2 5 2 2 6" xfId="2033" xr:uid="{00000000-0005-0000-0000-0000A4070000}"/>
    <cellStyle name="Millares 3 2 2 5 2 3" xfId="2034" xr:uid="{00000000-0005-0000-0000-0000A5070000}"/>
    <cellStyle name="Millares 3 2 2 5 2 4" xfId="2035" xr:uid="{00000000-0005-0000-0000-0000A6070000}"/>
    <cellStyle name="Millares 3 2 2 5 2 5" xfId="2036" xr:uid="{00000000-0005-0000-0000-0000A7070000}"/>
    <cellStyle name="Millares 3 2 2 5 2 6" xfId="2037" xr:uid="{00000000-0005-0000-0000-0000A8070000}"/>
    <cellStyle name="Millares 3 2 2 5 2 7" xfId="2038" xr:uid="{00000000-0005-0000-0000-0000A9070000}"/>
    <cellStyle name="Millares 3 2 2 5 2 8" xfId="2039" xr:uid="{00000000-0005-0000-0000-0000AA070000}"/>
    <cellStyle name="Millares 3 2 2 5 2 9" xfId="2040" xr:uid="{00000000-0005-0000-0000-0000AB070000}"/>
    <cellStyle name="Millares 3 2 2 5 3" xfId="2041" xr:uid="{00000000-0005-0000-0000-0000AC070000}"/>
    <cellStyle name="Millares 3 2 2 5 3 10" xfId="2042" xr:uid="{00000000-0005-0000-0000-0000AD070000}"/>
    <cellStyle name="Millares 3 2 2 5 3 2" xfId="2043" xr:uid="{00000000-0005-0000-0000-0000AE070000}"/>
    <cellStyle name="Millares 3 2 2 5 3 3" xfId="2044" xr:uid="{00000000-0005-0000-0000-0000AF070000}"/>
    <cellStyle name="Millares 3 2 2 5 3 4" xfId="2045" xr:uid="{00000000-0005-0000-0000-0000B0070000}"/>
    <cellStyle name="Millares 3 2 2 5 3 5" xfId="2046" xr:uid="{00000000-0005-0000-0000-0000B1070000}"/>
    <cellStyle name="Millares 3 2 2 5 3 6" xfId="2047" xr:uid="{00000000-0005-0000-0000-0000B2070000}"/>
    <cellStyle name="Millares 3 2 2 5 3 7" xfId="2048" xr:uid="{00000000-0005-0000-0000-0000B3070000}"/>
    <cellStyle name="Millares 3 2 2 5 3 8" xfId="2049" xr:uid="{00000000-0005-0000-0000-0000B4070000}"/>
    <cellStyle name="Millares 3 2 2 5 3 9" xfId="2050" xr:uid="{00000000-0005-0000-0000-0000B5070000}"/>
    <cellStyle name="Millares 3 2 2 5 4" xfId="2051" xr:uid="{00000000-0005-0000-0000-0000B6070000}"/>
    <cellStyle name="Millares 3 2 2 5 5" xfId="2052" xr:uid="{00000000-0005-0000-0000-0000B7070000}"/>
    <cellStyle name="Millares 3 2 2 5 6" xfId="2053" xr:uid="{00000000-0005-0000-0000-0000B8070000}"/>
    <cellStyle name="Millares 3 2 2 5 7" xfId="2054" xr:uid="{00000000-0005-0000-0000-0000B9070000}"/>
    <cellStyle name="Millares 3 2 2 5 8" xfId="2055" xr:uid="{00000000-0005-0000-0000-0000BA070000}"/>
    <cellStyle name="Millares 3 2 2 5 9" xfId="2056" xr:uid="{00000000-0005-0000-0000-0000BB070000}"/>
    <cellStyle name="Millares 3 2 2 6" xfId="2057" xr:uid="{00000000-0005-0000-0000-0000BC070000}"/>
    <cellStyle name="Millares 3 2 2 7" xfId="2058" xr:uid="{00000000-0005-0000-0000-0000BD070000}"/>
    <cellStyle name="Millares 3 2 2 8" xfId="2059" xr:uid="{00000000-0005-0000-0000-0000BE070000}"/>
    <cellStyle name="Millares 3 2 2 9" xfId="2060" xr:uid="{00000000-0005-0000-0000-0000BF070000}"/>
    <cellStyle name="Millares 3 2 20" xfId="2061" xr:uid="{00000000-0005-0000-0000-0000C0070000}"/>
    <cellStyle name="Millares 3 2 21" xfId="2062" xr:uid="{00000000-0005-0000-0000-0000C1070000}"/>
    <cellStyle name="Millares 3 2 22" xfId="2063" xr:uid="{00000000-0005-0000-0000-0000C2070000}"/>
    <cellStyle name="Millares 3 2 23" xfId="2064" xr:uid="{00000000-0005-0000-0000-0000C3070000}"/>
    <cellStyle name="Millares 3 2 24" xfId="2065" xr:uid="{00000000-0005-0000-0000-0000C4070000}"/>
    <cellStyle name="Millares 3 2 3" xfId="2066" xr:uid="{00000000-0005-0000-0000-0000C5070000}"/>
    <cellStyle name="Millares 3 2 4" xfId="2067" xr:uid="{00000000-0005-0000-0000-0000C6070000}"/>
    <cellStyle name="Millares 3 2 5" xfId="2068" xr:uid="{00000000-0005-0000-0000-0000C7070000}"/>
    <cellStyle name="Millares 3 2 6" xfId="2069" xr:uid="{00000000-0005-0000-0000-0000C8070000}"/>
    <cellStyle name="Millares 3 2 7" xfId="2070" xr:uid="{00000000-0005-0000-0000-0000C9070000}"/>
    <cellStyle name="Millares 3 2 8" xfId="2071" xr:uid="{00000000-0005-0000-0000-0000CA070000}"/>
    <cellStyle name="Millares 3 2 9" xfId="2072" xr:uid="{00000000-0005-0000-0000-0000CB070000}"/>
    <cellStyle name="Millares 3 20" xfId="2073" xr:uid="{00000000-0005-0000-0000-0000CC070000}"/>
    <cellStyle name="Millares 3 21" xfId="2074" xr:uid="{00000000-0005-0000-0000-0000CD070000}"/>
    <cellStyle name="Millares 3 22" xfId="2075" xr:uid="{00000000-0005-0000-0000-0000CE070000}"/>
    <cellStyle name="Millares 3 23" xfId="2076" xr:uid="{00000000-0005-0000-0000-0000CF070000}"/>
    <cellStyle name="Millares 3 24" xfId="2077" xr:uid="{00000000-0005-0000-0000-0000D0070000}"/>
    <cellStyle name="Millares 3 25" xfId="2078" xr:uid="{00000000-0005-0000-0000-0000D1070000}"/>
    <cellStyle name="Millares 3 26" xfId="2079" xr:uid="{00000000-0005-0000-0000-0000D2070000}"/>
    <cellStyle name="Millares 3 27" xfId="2080" xr:uid="{00000000-0005-0000-0000-0000D3070000}"/>
    <cellStyle name="Millares 3 28" xfId="2081" xr:uid="{00000000-0005-0000-0000-0000D4070000}"/>
    <cellStyle name="Millares 3 29" xfId="2082" xr:uid="{00000000-0005-0000-0000-0000D5070000}"/>
    <cellStyle name="Millares 3 3" xfId="2083" xr:uid="{00000000-0005-0000-0000-0000D6070000}"/>
    <cellStyle name="Millares 3 30" xfId="2084" xr:uid="{00000000-0005-0000-0000-0000D7070000}"/>
    <cellStyle name="Millares 3 31" xfId="1843" xr:uid="{00000000-0005-0000-0000-0000D8070000}"/>
    <cellStyle name="Millares 3 4" xfId="2085" xr:uid="{00000000-0005-0000-0000-0000D9070000}"/>
    <cellStyle name="Millares 3 5" xfId="2086" xr:uid="{00000000-0005-0000-0000-0000DA070000}"/>
    <cellStyle name="Millares 3 6" xfId="2087" xr:uid="{00000000-0005-0000-0000-0000DB070000}"/>
    <cellStyle name="Millares 3 7" xfId="2088" xr:uid="{00000000-0005-0000-0000-0000DC070000}"/>
    <cellStyle name="Millares 3 8" xfId="2089" xr:uid="{00000000-0005-0000-0000-0000DD070000}"/>
    <cellStyle name="Millares 3 9" xfId="2090" xr:uid="{00000000-0005-0000-0000-0000DE070000}"/>
    <cellStyle name="Millares 30" xfId="2091" xr:uid="{00000000-0005-0000-0000-0000DF070000}"/>
    <cellStyle name="Millares 30 10" xfId="2092" xr:uid="{00000000-0005-0000-0000-0000E0070000}"/>
    <cellStyle name="Millares 30 11" xfId="2093" xr:uid="{00000000-0005-0000-0000-0000E1070000}"/>
    <cellStyle name="Millares 30 12" xfId="2094" xr:uid="{00000000-0005-0000-0000-0000E2070000}"/>
    <cellStyle name="Millares 30 13" xfId="2095" xr:uid="{00000000-0005-0000-0000-0000E3070000}"/>
    <cellStyle name="Millares 30 14" xfId="2096" xr:uid="{00000000-0005-0000-0000-0000E4070000}"/>
    <cellStyle name="Millares 30 15" xfId="2097" xr:uid="{00000000-0005-0000-0000-0000E5070000}"/>
    <cellStyle name="Millares 30 16" xfId="2098" xr:uid="{00000000-0005-0000-0000-0000E6070000}"/>
    <cellStyle name="Millares 30 17" xfId="2099" xr:uid="{00000000-0005-0000-0000-0000E7070000}"/>
    <cellStyle name="Millares 30 18" xfId="2100" xr:uid="{00000000-0005-0000-0000-0000E8070000}"/>
    <cellStyle name="Millares 30 19" xfId="2101" xr:uid="{00000000-0005-0000-0000-0000E9070000}"/>
    <cellStyle name="Millares 30 2" xfId="2102" xr:uid="{00000000-0005-0000-0000-0000EA070000}"/>
    <cellStyle name="Millares 30 2 2" xfId="2103" xr:uid="{00000000-0005-0000-0000-0000EB070000}"/>
    <cellStyle name="Millares 30 2 3" xfId="2104" xr:uid="{00000000-0005-0000-0000-0000EC070000}"/>
    <cellStyle name="Millares 30 20" xfId="2105" xr:uid="{00000000-0005-0000-0000-0000ED070000}"/>
    <cellStyle name="Millares 30 21" xfId="2106" xr:uid="{00000000-0005-0000-0000-0000EE070000}"/>
    <cellStyle name="Millares 30 22" xfId="2107" xr:uid="{00000000-0005-0000-0000-0000EF070000}"/>
    <cellStyle name="Millares 30 23" xfId="2108" xr:uid="{00000000-0005-0000-0000-0000F0070000}"/>
    <cellStyle name="Millares 30 24" xfId="2109" xr:uid="{00000000-0005-0000-0000-0000F1070000}"/>
    <cellStyle name="Millares 30 25" xfId="2110" xr:uid="{00000000-0005-0000-0000-0000F2070000}"/>
    <cellStyle name="Millares 30 3" xfId="2111" xr:uid="{00000000-0005-0000-0000-0000F3070000}"/>
    <cellStyle name="Millares 30 3 2" xfId="2112" xr:uid="{00000000-0005-0000-0000-0000F4070000}"/>
    <cellStyle name="Millares 30 3 3" xfId="2113" xr:uid="{00000000-0005-0000-0000-0000F5070000}"/>
    <cellStyle name="Millares 30 4" xfId="2114" xr:uid="{00000000-0005-0000-0000-0000F6070000}"/>
    <cellStyle name="Millares 30 5" xfId="2115" xr:uid="{00000000-0005-0000-0000-0000F7070000}"/>
    <cellStyle name="Millares 30 6" xfId="2116" xr:uid="{00000000-0005-0000-0000-0000F8070000}"/>
    <cellStyle name="Millares 30 7" xfId="2117" xr:uid="{00000000-0005-0000-0000-0000F9070000}"/>
    <cellStyle name="Millares 30 8" xfId="2118" xr:uid="{00000000-0005-0000-0000-0000FA070000}"/>
    <cellStyle name="Millares 30 9" xfId="2119" xr:uid="{00000000-0005-0000-0000-0000FB070000}"/>
    <cellStyle name="Millares 4" xfId="2120" xr:uid="{00000000-0005-0000-0000-0000FC070000}"/>
    <cellStyle name="Millares 4 2" xfId="2121" xr:uid="{00000000-0005-0000-0000-0000FD070000}"/>
    <cellStyle name="Millares 4 3" xfId="2122" xr:uid="{00000000-0005-0000-0000-0000FE070000}"/>
    <cellStyle name="Millares 5" xfId="2123" xr:uid="{00000000-0005-0000-0000-0000FF070000}"/>
    <cellStyle name="Millares 5 10" xfId="2124" xr:uid="{00000000-0005-0000-0000-000000080000}"/>
    <cellStyle name="Millares 5 11" xfId="2125" xr:uid="{00000000-0005-0000-0000-000001080000}"/>
    <cellStyle name="Millares 5 12" xfId="2126" xr:uid="{00000000-0005-0000-0000-000002080000}"/>
    <cellStyle name="Millares 5 13" xfId="2127" xr:uid="{00000000-0005-0000-0000-000003080000}"/>
    <cellStyle name="Millares 5 14" xfId="2128" xr:uid="{00000000-0005-0000-0000-000004080000}"/>
    <cellStyle name="Millares 5 15" xfId="2129" xr:uid="{00000000-0005-0000-0000-000005080000}"/>
    <cellStyle name="Millares 5 16" xfId="2130" xr:uid="{00000000-0005-0000-0000-000006080000}"/>
    <cellStyle name="Millares 5 17" xfId="2131" xr:uid="{00000000-0005-0000-0000-000007080000}"/>
    <cellStyle name="Millares 5 18" xfId="2132" xr:uid="{00000000-0005-0000-0000-000008080000}"/>
    <cellStyle name="Millares 5 19" xfId="2133" xr:uid="{00000000-0005-0000-0000-000009080000}"/>
    <cellStyle name="Millares 5 2" xfId="2134" xr:uid="{00000000-0005-0000-0000-00000A080000}"/>
    <cellStyle name="Millares 5 2 2" xfId="2135" xr:uid="{00000000-0005-0000-0000-00000B080000}"/>
    <cellStyle name="Millares 5 20" xfId="2136" xr:uid="{00000000-0005-0000-0000-00000C080000}"/>
    <cellStyle name="Millares 5 21" xfId="2137" xr:uid="{00000000-0005-0000-0000-00000D080000}"/>
    <cellStyle name="Millares 5 22" xfId="2138" xr:uid="{00000000-0005-0000-0000-00000E080000}"/>
    <cellStyle name="Millares 5 23" xfId="2139" xr:uid="{00000000-0005-0000-0000-00000F080000}"/>
    <cellStyle name="Millares 5 24" xfId="2140" xr:uid="{00000000-0005-0000-0000-000010080000}"/>
    <cellStyle name="Millares 5 25" xfId="2141" xr:uid="{00000000-0005-0000-0000-000011080000}"/>
    <cellStyle name="Millares 5 26" xfId="2142" xr:uid="{00000000-0005-0000-0000-000012080000}"/>
    <cellStyle name="Millares 5 3" xfId="2143" xr:uid="{00000000-0005-0000-0000-000013080000}"/>
    <cellStyle name="Millares 5 4" xfId="2144" xr:uid="{00000000-0005-0000-0000-000014080000}"/>
    <cellStyle name="Millares 5 5" xfId="2145" xr:uid="{00000000-0005-0000-0000-000015080000}"/>
    <cellStyle name="Millares 5 6" xfId="2146" xr:uid="{00000000-0005-0000-0000-000016080000}"/>
    <cellStyle name="Millares 5 7" xfId="2147" xr:uid="{00000000-0005-0000-0000-000017080000}"/>
    <cellStyle name="Millares 5 8" xfId="2148" xr:uid="{00000000-0005-0000-0000-000018080000}"/>
    <cellStyle name="Millares 5 9" xfId="2149" xr:uid="{00000000-0005-0000-0000-000019080000}"/>
    <cellStyle name="Millares 6" xfId="2150" xr:uid="{00000000-0005-0000-0000-00001A080000}"/>
    <cellStyle name="Millares 6 2" xfId="2151" xr:uid="{00000000-0005-0000-0000-00001B080000}"/>
    <cellStyle name="Millares 7" xfId="2152" xr:uid="{00000000-0005-0000-0000-00001C080000}"/>
    <cellStyle name="Millares 7 10" xfId="2153" xr:uid="{00000000-0005-0000-0000-00001D080000}"/>
    <cellStyle name="Millares 7 11" xfId="2154" xr:uid="{00000000-0005-0000-0000-00001E080000}"/>
    <cellStyle name="Millares 7 12" xfId="2155" xr:uid="{00000000-0005-0000-0000-00001F080000}"/>
    <cellStyle name="Millares 7 13" xfId="2156" xr:uid="{00000000-0005-0000-0000-000020080000}"/>
    <cellStyle name="Millares 7 14" xfId="2157" xr:uid="{00000000-0005-0000-0000-000021080000}"/>
    <cellStyle name="Millares 7 15" xfId="2158" xr:uid="{00000000-0005-0000-0000-000022080000}"/>
    <cellStyle name="Millares 7 16" xfId="2159" xr:uid="{00000000-0005-0000-0000-000023080000}"/>
    <cellStyle name="Millares 7 17" xfId="2160" xr:uid="{00000000-0005-0000-0000-000024080000}"/>
    <cellStyle name="Millares 7 18" xfId="2161" xr:uid="{00000000-0005-0000-0000-000025080000}"/>
    <cellStyle name="Millares 7 19" xfId="2162" xr:uid="{00000000-0005-0000-0000-000026080000}"/>
    <cellStyle name="Millares 7 2" xfId="2163" xr:uid="{00000000-0005-0000-0000-000027080000}"/>
    <cellStyle name="Millares 7 20" xfId="2164" xr:uid="{00000000-0005-0000-0000-000028080000}"/>
    <cellStyle name="Millares 7 21" xfId="2165" xr:uid="{00000000-0005-0000-0000-000029080000}"/>
    <cellStyle name="Millares 7 22" xfId="2166" xr:uid="{00000000-0005-0000-0000-00002A080000}"/>
    <cellStyle name="Millares 7 23" xfId="2167" xr:uid="{00000000-0005-0000-0000-00002B080000}"/>
    <cellStyle name="Millares 7 24" xfId="2168" xr:uid="{00000000-0005-0000-0000-00002C080000}"/>
    <cellStyle name="Millares 7 3" xfId="2169" xr:uid="{00000000-0005-0000-0000-00002D080000}"/>
    <cellStyle name="Millares 7 4" xfId="2170" xr:uid="{00000000-0005-0000-0000-00002E080000}"/>
    <cellStyle name="Millares 7 5" xfId="2171" xr:uid="{00000000-0005-0000-0000-00002F080000}"/>
    <cellStyle name="Millares 7 6" xfId="2172" xr:uid="{00000000-0005-0000-0000-000030080000}"/>
    <cellStyle name="Millares 7 7" xfId="2173" xr:uid="{00000000-0005-0000-0000-000031080000}"/>
    <cellStyle name="Millares 7 8" xfId="2174" xr:uid="{00000000-0005-0000-0000-000032080000}"/>
    <cellStyle name="Millares 7 9" xfId="2175" xr:uid="{00000000-0005-0000-0000-000033080000}"/>
    <cellStyle name="Millares 8" xfId="2176" xr:uid="{00000000-0005-0000-0000-000034080000}"/>
    <cellStyle name="Millares 8 10" xfId="2177" xr:uid="{00000000-0005-0000-0000-000035080000}"/>
    <cellStyle name="Millares 8 11" xfId="2178" xr:uid="{00000000-0005-0000-0000-000036080000}"/>
    <cellStyle name="Millares 8 12" xfId="2179" xr:uid="{00000000-0005-0000-0000-000037080000}"/>
    <cellStyle name="Millares 8 13" xfId="2180" xr:uid="{00000000-0005-0000-0000-000038080000}"/>
    <cellStyle name="Millares 8 14" xfId="2181" xr:uid="{00000000-0005-0000-0000-000039080000}"/>
    <cellStyle name="Millares 8 15" xfId="2182" xr:uid="{00000000-0005-0000-0000-00003A080000}"/>
    <cellStyle name="Millares 8 16" xfId="2183" xr:uid="{00000000-0005-0000-0000-00003B080000}"/>
    <cellStyle name="Millares 8 17" xfId="2184" xr:uid="{00000000-0005-0000-0000-00003C080000}"/>
    <cellStyle name="Millares 8 18" xfId="2185" xr:uid="{00000000-0005-0000-0000-00003D080000}"/>
    <cellStyle name="Millares 8 19" xfId="2186" xr:uid="{00000000-0005-0000-0000-00003E080000}"/>
    <cellStyle name="Millares 8 2" xfId="2187" xr:uid="{00000000-0005-0000-0000-00003F080000}"/>
    <cellStyle name="Millares 8 20" xfId="2188" xr:uid="{00000000-0005-0000-0000-000040080000}"/>
    <cellStyle name="Millares 8 21" xfId="2189" xr:uid="{00000000-0005-0000-0000-000041080000}"/>
    <cellStyle name="Millares 8 22" xfId="2190" xr:uid="{00000000-0005-0000-0000-000042080000}"/>
    <cellStyle name="Millares 8 23" xfId="2191" xr:uid="{00000000-0005-0000-0000-000043080000}"/>
    <cellStyle name="Millares 8 24" xfId="2192" xr:uid="{00000000-0005-0000-0000-000044080000}"/>
    <cellStyle name="Millares 8 3" xfId="2193" xr:uid="{00000000-0005-0000-0000-000045080000}"/>
    <cellStyle name="Millares 8 4" xfId="2194" xr:uid="{00000000-0005-0000-0000-000046080000}"/>
    <cellStyle name="Millares 8 5" xfId="2195" xr:uid="{00000000-0005-0000-0000-000047080000}"/>
    <cellStyle name="Millares 8 6" xfId="2196" xr:uid="{00000000-0005-0000-0000-000048080000}"/>
    <cellStyle name="Millares 8 7" xfId="2197" xr:uid="{00000000-0005-0000-0000-000049080000}"/>
    <cellStyle name="Millares 8 8" xfId="2198" xr:uid="{00000000-0005-0000-0000-00004A080000}"/>
    <cellStyle name="Millares 8 9" xfId="2199" xr:uid="{00000000-0005-0000-0000-00004B080000}"/>
    <cellStyle name="Millares 9" xfId="2200" xr:uid="{00000000-0005-0000-0000-00004C080000}"/>
    <cellStyle name="Moneda" xfId="5" builtinId="4"/>
    <cellStyle name="Moneda 2" xfId="6" xr:uid="{00000000-0005-0000-0000-00004E080000}"/>
    <cellStyle name="Moneda 2 10" xfId="31" xr:uid="{00000000-0005-0000-0000-00004F080000}"/>
    <cellStyle name="Moneda 2 10 2" xfId="75" xr:uid="{00000000-0005-0000-0000-000050080000}"/>
    <cellStyle name="Moneda 2 2" xfId="2201" xr:uid="{00000000-0005-0000-0000-000051080000}"/>
    <cellStyle name="Moneda 2 2 2" xfId="47" xr:uid="{00000000-0005-0000-0000-000052080000}"/>
    <cellStyle name="Moneda 2 2 2 2" xfId="2202" xr:uid="{00000000-0005-0000-0000-000053080000}"/>
    <cellStyle name="Moneda 2 2 3" xfId="2203" xr:uid="{00000000-0005-0000-0000-000054080000}"/>
    <cellStyle name="Moneda 2 3" xfId="2204" xr:uid="{00000000-0005-0000-0000-000055080000}"/>
    <cellStyle name="Moneda 2 3 2" xfId="2205" xr:uid="{00000000-0005-0000-0000-000056080000}"/>
    <cellStyle name="Moneda 2 4" xfId="2206" xr:uid="{00000000-0005-0000-0000-000057080000}"/>
    <cellStyle name="Moneda 2 4 2" xfId="2207" xr:uid="{00000000-0005-0000-0000-000058080000}"/>
    <cellStyle name="Moneda 2 5" xfId="2208" xr:uid="{00000000-0005-0000-0000-000059080000}"/>
    <cellStyle name="Moneda 2 5 2" xfId="2209" xr:uid="{00000000-0005-0000-0000-00005A080000}"/>
    <cellStyle name="Moneda 2 6" xfId="2210" xr:uid="{00000000-0005-0000-0000-00005B080000}"/>
    <cellStyle name="Moneda 2 6 2" xfId="2211" xr:uid="{00000000-0005-0000-0000-00005C080000}"/>
    <cellStyle name="Moneda 2 7" xfId="2212" xr:uid="{00000000-0005-0000-0000-00005D080000}"/>
    <cellStyle name="Moneda 2 7 2" xfId="2213" xr:uid="{00000000-0005-0000-0000-00005E080000}"/>
    <cellStyle name="Moneda 2 8" xfId="2214" xr:uid="{00000000-0005-0000-0000-00005F080000}"/>
    <cellStyle name="Moneda 2 8 2" xfId="2215" xr:uid="{00000000-0005-0000-0000-000060080000}"/>
    <cellStyle name="Moneda 2 9" xfId="2216" xr:uid="{00000000-0005-0000-0000-000061080000}"/>
    <cellStyle name="Moneda 26" xfId="2217" xr:uid="{00000000-0005-0000-0000-000062080000}"/>
    <cellStyle name="Moneda 26 2" xfId="2218" xr:uid="{00000000-0005-0000-0000-000063080000}"/>
    <cellStyle name="Moneda 26 2 2" xfId="2219" xr:uid="{00000000-0005-0000-0000-000064080000}"/>
    <cellStyle name="Moneda 26 2 3" xfId="2220" xr:uid="{00000000-0005-0000-0000-000065080000}"/>
    <cellStyle name="Moneda 26 3" xfId="2221" xr:uid="{00000000-0005-0000-0000-000066080000}"/>
    <cellStyle name="Moneda 26 3 2" xfId="2222" xr:uid="{00000000-0005-0000-0000-000067080000}"/>
    <cellStyle name="Moneda 26 3 3" xfId="2223" xr:uid="{00000000-0005-0000-0000-000068080000}"/>
    <cellStyle name="Moneda 26 4" xfId="2224" xr:uid="{00000000-0005-0000-0000-000069080000}"/>
    <cellStyle name="Moneda 3" xfId="48" xr:uid="{00000000-0005-0000-0000-00006A080000}"/>
    <cellStyle name="Moneda 3 2" xfId="2226" xr:uid="{00000000-0005-0000-0000-00006B080000}"/>
    <cellStyle name="Moneda 3 3" xfId="2227" xr:uid="{00000000-0005-0000-0000-00006C080000}"/>
    <cellStyle name="Moneda 3 4" xfId="2228" xr:uid="{00000000-0005-0000-0000-00006D080000}"/>
    <cellStyle name="Moneda 3 5" xfId="2229" xr:uid="{00000000-0005-0000-0000-00006E080000}"/>
    <cellStyle name="Moneda 3 6" xfId="2230" xr:uid="{00000000-0005-0000-0000-00006F080000}"/>
    <cellStyle name="Moneda 3 7" xfId="80" xr:uid="{00000000-0005-0000-0000-000070080000}"/>
    <cellStyle name="Moneda 3 7 2" xfId="2231" xr:uid="{00000000-0005-0000-0000-000071080000}"/>
    <cellStyle name="Moneda 3 8" xfId="2232" xr:uid="{00000000-0005-0000-0000-000072080000}"/>
    <cellStyle name="Moneda 3 9" xfId="2225" xr:uid="{00000000-0005-0000-0000-000073080000}"/>
    <cellStyle name="Moneda 4" xfId="32" xr:uid="{00000000-0005-0000-0000-000074080000}"/>
    <cellStyle name="Moneda 4 2" xfId="49" xr:uid="{00000000-0005-0000-0000-000075080000}"/>
    <cellStyle name="Moneda 4 3" xfId="76" xr:uid="{00000000-0005-0000-0000-000076080000}"/>
    <cellStyle name="Moneda 4 4" xfId="2233" xr:uid="{00000000-0005-0000-0000-000077080000}"/>
    <cellStyle name="Moneda 5" xfId="74" xr:uid="{00000000-0005-0000-0000-000078080000}"/>
    <cellStyle name="Moneda 6" xfId="78" xr:uid="{00000000-0005-0000-0000-000079080000}"/>
    <cellStyle name="Neutral 2" xfId="2234" xr:uid="{00000000-0005-0000-0000-00007A080000}"/>
    <cellStyle name="Neutral 3" xfId="2235" xr:uid="{00000000-0005-0000-0000-00007B080000}"/>
    <cellStyle name="Neutral 4" xfId="2236" xr:uid="{00000000-0005-0000-0000-00007C080000}"/>
    <cellStyle name="Normal" xfId="0" builtinId="0"/>
    <cellStyle name="Normal 10" xfId="33" xr:uid="{00000000-0005-0000-0000-00007E080000}"/>
    <cellStyle name="Normal 10 10" xfId="2238" xr:uid="{00000000-0005-0000-0000-00007F080000}"/>
    <cellStyle name="Normal 10 11" xfId="2239" xr:uid="{00000000-0005-0000-0000-000080080000}"/>
    <cellStyle name="Normal 10 12" xfId="2240" xr:uid="{00000000-0005-0000-0000-000081080000}"/>
    <cellStyle name="Normal 10 13" xfId="2241" xr:uid="{00000000-0005-0000-0000-000082080000}"/>
    <cellStyle name="Normal 10 14" xfId="2242" xr:uid="{00000000-0005-0000-0000-000083080000}"/>
    <cellStyle name="Normal 10 15" xfId="2243" xr:uid="{00000000-0005-0000-0000-000084080000}"/>
    <cellStyle name="Normal 10 16" xfId="2244" xr:uid="{00000000-0005-0000-0000-000085080000}"/>
    <cellStyle name="Normal 10 17" xfId="2245" xr:uid="{00000000-0005-0000-0000-000086080000}"/>
    <cellStyle name="Normal 10 18" xfId="2246" xr:uid="{00000000-0005-0000-0000-000087080000}"/>
    <cellStyle name="Normal 10 19" xfId="2247" xr:uid="{00000000-0005-0000-0000-000088080000}"/>
    <cellStyle name="Normal 10 2" xfId="2248" xr:uid="{00000000-0005-0000-0000-000089080000}"/>
    <cellStyle name="Normal 10 2 10" xfId="11" xr:uid="{00000000-0005-0000-0000-00008A080000}"/>
    <cellStyle name="Normal 10 2 10 10" xfId="2250" xr:uid="{00000000-0005-0000-0000-00008B080000}"/>
    <cellStyle name="Normal 10 2 10 10 10" xfId="2251" xr:uid="{00000000-0005-0000-0000-00008C080000}"/>
    <cellStyle name="Normal 10 2 10 10 11" xfId="2252" xr:uid="{00000000-0005-0000-0000-00008D080000}"/>
    <cellStyle name="Normal 10 2 10 10 12" xfId="2253" xr:uid="{00000000-0005-0000-0000-00008E080000}"/>
    <cellStyle name="Normal 10 2 10 10 13" xfId="2254" xr:uid="{00000000-0005-0000-0000-00008F080000}"/>
    <cellStyle name="Normal 10 2 10 10 14" xfId="2255" xr:uid="{00000000-0005-0000-0000-000090080000}"/>
    <cellStyle name="Normal 10 2 10 10 2" xfId="2256" xr:uid="{00000000-0005-0000-0000-000091080000}"/>
    <cellStyle name="Normal 10 2 10 10 2 10" xfId="2257" xr:uid="{00000000-0005-0000-0000-000092080000}"/>
    <cellStyle name="Normal 10 2 10 10 2 2" xfId="2258" xr:uid="{00000000-0005-0000-0000-000093080000}"/>
    <cellStyle name="Normal 10 2 10 10 2 3" xfId="2259" xr:uid="{00000000-0005-0000-0000-000094080000}"/>
    <cellStyle name="Normal 10 2 10 10 2 4" xfId="2260" xr:uid="{00000000-0005-0000-0000-000095080000}"/>
    <cellStyle name="Normal 10 2 10 10 2 5" xfId="2261" xr:uid="{00000000-0005-0000-0000-000096080000}"/>
    <cellStyle name="Normal 10 2 10 10 2 6" xfId="2262" xr:uid="{00000000-0005-0000-0000-000097080000}"/>
    <cellStyle name="Normal 10 2 10 10 2 7" xfId="2263" xr:uid="{00000000-0005-0000-0000-000098080000}"/>
    <cellStyle name="Normal 10 2 10 10 2 8" xfId="2264" xr:uid="{00000000-0005-0000-0000-000099080000}"/>
    <cellStyle name="Normal 10 2 10 10 2 9" xfId="2265" xr:uid="{00000000-0005-0000-0000-00009A080000}"/>
    <cellStyle name="Normal 10 2 10 10 3" xfId="2266" xr:uid="{00000000-0005-0000-0000-00009B080000}"/>
    <cellStyle name="Normal 10 2 10 10 3 10" xfId="2267" xr:uid="{00000000-0005-0000-0000-00009C080000}"/>
    <cellStyle name="Normal 10 2 10 10 3 2" xfId="2268" xr:uid="{00000000-0005-0000-0000-00009D080000}"/>
    <cellStyle name="Normal 10 2 10 10 3 3" xfId="2269" xr:uid="{00000000-0005-0000-0000-00009E080000}"/>
    <cellStyle name="Normal 10 2 10 10 3 4" xfId="2270" xr:uid="{00000000-0005-0000-0000-00009F080000}"/>
    <cellStyle name="Normal 10 2 10 10 3 5" xfId="2271" xr:uid="{00000000-0005-0000-0000-0000A0080000}"/>
    <cellStyle name="Normal 10 2 10 10 3 6" xfId="2272" xr:uid="{00000000-0005-0000-0000-0000A1080000}"/>
    <cellStyle name="Normal 10 2 10 10 3 7" xfId="2273" xr:uid="{00000000-0005-0000-0000-0000A2080000}"/>
    <cellStyle name="Normal 10 2 10 10 3 8" xfId="2274" xr:uid="{00000000-0005-0000-0000-0000A3080000}"/>
    <cellStyle name="Normal 10 2 10 10 3 9" xfId="2275" xr:uid="{00000000-0005-0000-0000-0000A4080000}"/>
    <cellStyle name="Normal 10 2 10 10 4" xfId="2276" xr:uid="{00000000-0005-0000-0000-0000A5080000}"/>
    <cellStyle name="Normal 10 2 10 10 4 10" xfId="2277" xr:uid="{00000000-0005-0000-0000-0000A6080000}"/>
    <cellStyle name="Normal 10 2 10 10 4 2" xfId="2278" xr:uid="{00000000-0005-0000-0000-0000A7080000}"/>
    <cellStyle name="Normal 10 2 10 10 4 3" xfId="2279" xr:uid="{00000000-0005-0000-0000-0000A8080000}"/>
    <cellStyle name="Normal 10 2 10 10 4 4" xfId="2280" xr:uid="{00000000-0005-0000-0000-0000A9080000}"/>
    <cellStyle name="Normal 10 2 10 10 4 5" xfId="2281" xr:uid="{00000000-0005-0000-0000-0000AA080000}"/>
    <cellStyle name="Normal 10 2 10 10 4 6" xfId="2282" xr:uid="{00000000-0005-0000-0000-0000AB080000}"/>
    <cellStyle name="Normal 10 2 10 10 4 7" xfId="2283" xr:uid="{00000000-0005-0000-0000-0000AC080000}"/>
    <cellStyle name="Normal 10 2 10 10 4 8" xfId="2284" xr:uid="{00000000-0005-0000-0000-0000AD080000}"/>
    <cellStyle name="Normal 10 2 10 10 4 9" xfId="2285" xr:uid="{00000000-0005-0000-0000-0000AE080000}"/>
    <cellStyle name="Normal 10 2 10 10 5" xfId="2286" xr:uid="{00000000-0005-0000-0000-0000AF080000}"/>
    <cellStyle name="Normal 10 2 10 10 5 10" xfId="2287" xr:uid="{00000000-0005-0000-0000-0000B0080000}"/>
    <cellStyle name="Normal 10 2 10 10 5 2" xfId="2288" xr:uid="{00000000-0005-0000-0000-0000B1080000}"/>
    <cellStyle name="Normal 10 2 10 10 5 3" xfId="2289" xr:uid="{00000000-0005-0000-0000-0000B2080000}"/>
    <cellStyle name="Normal 10 2 10 10 5 4" xfId="2290" xr:uid="{00000000-0005-0000-0000-0000B3080000}"/>
    <cellStyle name="Normal 10 2 10 10 5 5" xfId="2291" xr:uid="{00000000-0005-0000-0000-0000B4080000}"/>
    <cellStyle name="Normal 10 2 10 10 5 6" xfId="2292" xr:uid="{00000000-0005-0000-0000-0000B5080000}"/>
    <cellStyle name="Normal 10 2 10 10 5 7" xfId="2293" xr:uid="{00000000-0005-0000-0000-0000B6080000}"/>
    <cellStyle name="Normal 10 2 10 10 5 8" xfId="2294" xr:uid="{00000000-0005-0000-0000-0000B7080000}"/>
    <cellStyle name="Normal 10 2 10 10 5 9" xfId="2295" xr:uid="{00000000-0005-0000-0000-0000B8080000}"/>
    <cellStyle name="Normal 10 2 10 10 6" xfId="2296" xr:uid="{00000000-0005-0000-0000-0000B9080000}"/>
    <cellStyle name="Normal 10 2 10 10 7" xfId="2297" xr:uid="{00000000-0005-0000-0000-0000BA080000}"/>
    <cellStyle name="Normal 10 2 10 10 8" xfId="2298" xr:uid="{00000000-0005-0000-0000-0000BB080000}"/>
    <cellStyle name="Normal 10 2 10 10 9" xfId="2299" xr:uid="{00000000-0005-0000-0000-0000BC080000}"/>
    <cellStyle name="Normal 10 2 10 11" xfId="2300" xr:uid="{00000000-0005-0000-0000-0000BD080000}"/>
    <cellStyle name="Normal 10 2 10 11 10" xfId="2301" xr:uid="{00000000-0005-0000-0000-0000BE080000}"/>
    <cellStyle name="Normal 10 2 10 11 11" xfId="2302" xr:uid="{00000000-0005-0000-0000-0000BF080000}"/>
    <cellStyle name="Normal 10 2 10 11 12" xfId="2303" xr:uid="{00000000-0005-0000-0000-0000C0080000}"/>
    <cellStyle name="Normal 10 2 10 11 13" xfId="2304" xr:uid="{00000000-0005-0000-0000-0000C1080000}"/>
    <cellStyle name="Normal 10 2 10 11 14" xfId="2305" xr:uid="{00000000-0005-0000-0000-0000C2080000}"/>
    <cellStyle name="Normal 10 2 10 11 2" xfId="2306" xr:uid="{00000000-0005-0000-0000-0000C3080000}"/>
    <cellStyle name="Normal 10 2 10 11 2 10" xfId="2307" xr:uid="{00000000-0005-0000-0000-0000C4080000}"/>
    <cellStyle name="Normal 10 2 10 11 2 2" xfId="2308" xr:uid="{00000000-0005-0000-0000-0000C5080000}"/>
    <cellStyle name="Normal 10 2 10 11 2 3" xfId="2309" xr:uid="{00000000-0005-0000-0000-0000C6080000}"/>
    <cellStyle name="Normal 10 2 10 11 2 4" xfId="2310" xr:uid="{00000000-0005-0000-0000-0000C7080000}"/>
    <cellStyle name="Normal 10 2 10 11 2 5" xfId="2311" xr:uid="{00000000-0005-0000-0000-0000C8080000}"/>
    <cellStyle name="Normal 10 2 10 11 2 6" xfId="2312" xr:uid="{00000000-0005-0000-0000-0000C9080000}"/>
    <cellStyle name="Normal 10 2 10 11 2 7" xfId="2313" xr:uid="{00000000-0005-0000-0000-0000CA080000}"/>
    <cellStyle name="Normal 10 2 10 11 2 8" xfId="2314" xr:uid="{00000000-0005-0000-0000-0000CB080000}"/>
    <cellStyle name="Normal 10 2 10 11 2 9" xfId="2315" xr:uid="{00000000-0005-0000-0000-0000CC080000}"/>
    <cellStyle name="Normal 10 2 10 11 3" xfId="2316" xr:uid="{00000000-0005-0000-0000-0000CD080000}"/>
    <cellStyle name="Normal 10 2 10 11 3 10" xfId="2317" xr:uid="{00000000-0005-0000-0000-0000CE080000}"/>
    <cellStyle name="Normal 10 2 10 11 3 2" xfId="2318" xr:uid="{00000000-0005-0000-0000-0000CF080000}"/>
    <cellStyle name="Normal 10 2 10 11 3 3" xfId="2319" xr:uid="{00000000-0005-0000-0000-0000D0080000}"/>
    <cellStyle name="Normal 10 2 10 11 3 4" xfId="2320" xr:uid="{00000000-0005-0000-0000-0000D1080000}"/>
    <cellStyle name="Normal 10 2 10 11 3 5" xfId="2321" xr:uid="{00000000-0005-0000-0000-0000D2080000}"/>
    <cellStyle name="Normal 10 2 10 11 3 6" xfId="2322" xr:uid="{00000000-0005-0000-0000-0000D3080000}"/>
    <cellStyle name="Normal 10 2 10 11 3 7" xfId="2323" xr:uid="{00000000-0005-0000-0000-0000D4080000}"/>
    <cellStyle name="Normal 10 2 10 11 3 8" xfId="2324" xr:uid="{00000000-0005-0000-0000-0000D5080000}"/>
    <cellStyle name="Normal 10 2 10 11 3 9" xfId="2325" xr:uid="{00000000-0005-0000-0000-0000D6080000}"/>
    <cellStyle name="Normal 10 2 10 11 4" xfId="2326" xr:uid="{00000000-0005-0000-0000-0000D7080000}"/>
    <cellStyle name="Normal 10 2 10 11 4 10" xfId="2327" xr:uid="{00000000-0005-0000-0000-0000D8080000}"/>
    <cellStyle name="Normal 10 2 10 11 4 2" xfId="2328" xr:uid="{00000000-0005-0000-0000-0000D9080000}"/>
    <cellStyle name="Normal 10 2 10 11 4 3" xfId="2329" xr:uid="{00000000-0005-0000-0000-0000DA080000}"/>
    <cellStyle name="Normal 10 2 10 11 4 4" xfId="2330" xr:uid="{00000000-0005-0000-0000-0000DB080000}"/>
    <cellStyle name="Normal 10 2 10 11 4 5" xfId="2331" xr:uid="{00000000-0005-0000-0000-0000DC080000}"/>
    <cellStyle name="Normal 10 2 10 11 4 6" xfId="2332" xr:uid="{00000000-0005-0000-0000-0000DD080000}"/>
    <cellStyle name="Normal 10 2 10 11 4 7" xfId="2333" xr:uid="{00000000-0005-0000-0000-0000DE080000}"/>
    <cellStyle name="Normal 10 2 10 11 4 8" xfId="2334" xr:uid="{00000000-0005-0000-0000-0000DF080000}"/>
    <cellStyle name="Normal 10 2 10 11 4 9" xfId="2335" xr:uid="{00000000-0005-0000-0000-0000E0080000}"/>
    <cellStyle name="Normal 10 2 10 11 5" xfId="2336" xr:uid="{00000000-0005-0000-0000-0000E1080000}"/>
    <cellStyle name="Normal 10 2 10 11 5 10" xfId="2337" xr:uid="{00000000-0005-0000-0000-0000E2080000}"/>
    <cellStyle name="Normal 10 2 10 11 5 2" xfId="2338" xr:uid="{00000000-0005-0000-0000-0000E3080000}"/>
    <cellStyle name="Normal 10 2 10 11 5 3" xfId="2339" xr:uid="{00000000-0005-0000-0000-0000E4080000}"/>
    <cellStyle name="Normal 10 2 10 11 5 4" xfId="2340" xr:uid="{00000000-0005-0000-0000-0000E5080000}"/>
    <cellStyle name="Normal 10 2 10 11 5 5" xfId="2341" xr:uid="{00000000-0005-0000-0000-0000E6080000}"/>
    <cellStyle name="Normal 10 2 10 11 5 6" xfId="2342" xr:uid="{00000000-0005-0000-0000-0000E7080000}"/>
    <cellStyle name="Normal 10 2 10 11 5 7" xfId="2343" xr:uid="{00000000-0005-0000-0000-0000E8080000}"/>
    <cellStyle name="Normal 10 2 10 11 5 8" xfId="2344" xr:uid="{00000000-0005-0000-0000-0000E9080000}"/>
    <cellStyle name="Normal 10 2 10 11 5 9" xfId="2345" xr:uid="{00000000-0005-0000-0000-0000EA080000}"/>
    <cellStyle name="Normal 10 2 10 11 6" xfId="2346" xr:uid="{00000000-0005-0000-0000-0000EB080000}"/>
    <cellStyle name="Normal 10 2 10 11 7" xfId="2347" xr:uid="{00000000-0005-0000-0000-0000EC080000}"/>
    <cellStyle name="Normal 10 2 10 11 8" xfId="2348" xr:uid="{00000000-0005-0000-0000-0000ED080000}"/>
    <cellStyle name="Normal 10 2 10 11 9" xfId="2349" xr:uid="{00000000-0005-0000-0000-0000EE080000}"/>
    <cellStyle name="Normal 10 2 10 12" xfId="2350" xr:uid="{00000000-0005-0000-0000-0000EF080000}"/>
    <cellStyle name="Normal 10 2 10 12 10" xfId="2351" xr:uid="{00000000-0005-0000-0000-0000F0080000}"/>
    <cellStyle name="Normal 10 2 10 12 11" xfId="2352" xr:uid="{00000000-0005-0000-0000-0000F1080000}"/>
    <cellStyle name="Normal 10 2 10 12 12" xfId="2353" xr:uid="{00000000-0005-0000-0000-0000F2080000}"/>
    <cellStyle name="Normal 10 2 10 12 13" xfId="2354" xr:uid="{00000000-0005-0000-0000-0000F3080000}"/>
    <cellStyle name="Normal 10 2 10 12 14" xfId="2355" xr:uid="{00000000-0005-0000-0000-0000F4080000}"/>
    <cellStyle name="Normal 10 2 10 12 2" xfId="2356" xr:uid="{00000000-0005-0000-0000-0000F5080000}"/>
    <cellStyle name="Normal 10 2 10 12 2 10" xfId="2357" xr:uid="{00000000-0005-0000-0000-0000F6080000}"/>
    <cellStyle name="Normal 10 2 10 12 2 2" xfId="2358" xr:uid="{00000000-0005-0000-0000-0000F7080000}"/>
    <cellStyle name="Normal 10 2 10 12 2 3" xfId="2359" xr:uid="{00000000-0005-0000-0000-0000F8080000}"/>
    <cellStyle name="Normal 10 2 10 12 2 4" xfId="2360" xr:uid="{00000000-0005-0000-0000-0000F9080000}"/>
    <cellStyle name="Normal 10 2 10 12 2 5" xfId="2361" xr:uid="{00000000-0005-0000-0000-0000FA080000}"/>
    <cellStyle name="Normal 10 2 10 12 2 6" xfId="2362" xr:uid="{00000000-0005-0000-0000-0000FB080000}"/>
    <cellStyle name="Normal 10 2 10 12 2 7" xfId="2363" xr:uid="{00000000-0005-0000-0000-0000FC080000}"/>
    <cellStyle name="Normal 10 2 10 12 2 8" xfId="2364" xr:uid="{00000000-0005-0000-0000-0000FD080000}"/>
    <cellStyle name="Normal 10 2 10 12 2 9" xfId="2365" xr:uid="{00000000-0005-0000-0000-0000FE080000}"/>
    <cellStyle name="Normal 10 2 10 12 3" xfId="2366" xr:uid="{00000000-0005-0000-0000-0000FF080000}"/>
    <cellStyle name="Normal 10 2 10 12 3 10" xfId="2367" xr:uid="{00000000-0005-0000-0000-000000090000}"/>
    <cellStyle name="Normal 10 2 10 12 3 2" xfId="2368" xr:uid="{00000000-0005-0000-0000-000001090000}"/>
    <cellStyle name="Normal 10 2 10 12 3 3" xfId="2369" xr:uid="{00000000-0005-0000-0000-000002090000}"/>
    <cellStyle name="Normal 10 2 10 12 3 4" xfId="2370" xr:uid="{00000000-0005-0000-0000-000003090000}"/>
    <cellStyle name="Normal 10 2 10 12 3 5" xfId="2371" xr:uid="{00000000-0005-0000-0000-000004090000}"/>
    <cellStyle name="Normal 10 2 10 12 3 6" xfId="2372" xr:uid="{00000000-0005-0000-0000-000005090000}"/>
    <cellStyle name="Normal 10 2 10 12 3 7" xfId="2373" xr:uid="{00000000-0005-0000-0000-000006090000}"/>
    <cellStyle name="Normal 10 2 10 12 3 8" xfId="2374" xr:uid="{00000000-0005-0000-0000-000007090000}"/>
    <cellStyle name="Normal 10 2 10 12 3 9" xfId="2375" xr:uid="{00000000-0005-0000-0000-000008090000}"/>
    <cellStyle name="Normal 10 2 10 12 4" xfId="2376" xr:uid="{00000000-0005-0000-0000-000009090000}"/>
    <cellStyle name="Normal 10 2 10 12 4 10" xfId="2377" xr:uid="{00000000-0005-0000-0000-00000A090000}"/>
    <cellStyle name="Normal 10 2 10 12 4 2" xfId="2378" xr:uid="{00000000-0005-0000-0000-00000B090000}"/>
    <cellStyle name="Normal 10 2 10 12 4 3" xfId="2379" xr:uid="{00000000-0005-0000-0000-00000C090000}"/>
    <cellStyle name="Normal 10 2 10 12 4 4" xfId="2380" xr:uid="{00000000-0005-0000-0000-00000D090000}"/>
    <cellStyle name="Normal 10 2 10 12 4 5" xfId="2381" xr:uid="{00000000-0005-0000-0000-00000E090000}"/>
    <cellStyle name="Normal 10 2 10 12 4 6" xfId="2382" xr:uid="{00000000-0005-0000-0000-00000F090000}"/>
    <cellStyle name="Normal 10 2 10 12 4 7" xfId="2383" xr:uid="{00000000-0005-0000-0000-000010090000}"/>
    <cellStyle name="Normal 10 2 10 12 4 8" xfId="2384" xr:uid="{00000000-0005-0000-0000-000011090000}"/>
    <cellStyle name="Normal 10 2 10 12 4 9" xfId="2385" xr:uid="{00000000-0005-0000-0000-000012090000}"/>
    <cellStyle name="Normal 10 2 10 12 5" xfId="2386" xr:uid="{00000000-0005-0000-0000-000013090000}"/>
    <cellStyle name="Normal 10 2 10 12 5 10" xfId="2387" xr:uid="{00000000-0005-0000-0000-000014090000}"/>
    <cellStyle name="Normal 10 2 10 12 5 2" xfId="2388" xr:uid="{00000000-0005-0000-0000-000015090000}"/>
    <cellStyle name="Normal 10 2 10 12 5 3" xfId="2389" xr:uid="{00000000-0005-0000-0000-000016090000}"/>
    <cellStyle name="Normal 10 2 10 12 5 4" xfId="2390" xr:uid="{00000000-0005-0000-0000-000017090000}"/>
    <cellStyle name="Normal 10 2 10 12 5 5" xfId="2391" xr:uid="{00000000-0005-0000-0000-000018090000}"/>
    <cellStyle name="Normal 10 2 10 12 5 6" xfId="2392" xr:uid="{00000000-0005-0000-0000-000019090000}"/>
    <cellStyle name="Normal 10 2 10 12 5 7" xfId="2393" xr:uid="{00000000-0005-0000-0000-00001A090000}"/>
    <cellStyle name="Normal 10 2 10 12 5 8" xfId="2394" xr:uid="{00000000-0005-0000-0000-00001B090000}"/>
    <cellStyle name="Normal 10 2 10 12 5 9" xfId="2395" xr:uid="{00000000-0005-0000-0000-00001C090000}"/>
    <cellStyle name="Normal 10 2 10 12 6" xfId="2396" xr:uid="{00000000-0005-0000-0000-00001D090000}"/>
    <cellStyle name="Normal 10 2 10 12 7" xfId="2397" xr:uid="{00000000-0005-0000-0000-00001E090000}"/>
    <cellStyle name="Normal 10 2 10 12 8" xfId="2398" xr:uid="{00000000-0005-0000-0000-00001F090000}"/>
    <cellStyle name="Normal 10 2 10 12 9" xfId="2399" xr:uid="{00000000-0005-0000-0000-000020090000}"/>
    <cellStyle name="Normal 10 2 10 13" xfId="2400" xr:uid="{00000000-0005-0000-0000-000021090000}"/>
    <cellStyle name="Normal 10 2 10 13 10" xfId="2401" xr:uid="{00000000-0005-0000-0000-000022090000}"/>
    <cellStyle name="Normal 10 2 10 13 11" xfId="2402" xr:uid="{00000000-0005-0000-0000-000023090000}"/>
    <cellStyle name="Normal 10 2 10 13 12" xfId="2403" xr:uid="{00000000-0005-0000-0000-000024090000}"/>
    <cellStyle name="Normal 10 2 10 13 13" xfId="2404" xr:uid="{00000000-0005-0000-0000-000025090000}"/>
    <cellStyle name="Normal 10 2 10 13 14" xfId="2405" xr:uid="{00000000-0005-0000-0000-000026090000}"/>
    <cellStyle name="Normal 10 2 10 13 2" xfId="2406" xr:uid="{00000000-0005-0000-0000-000027090000}"/>
    <cellStyle name="Normal 10 2 10 13 2 10" xfId="2407" xr:uid="{00000000-0005-0000-0000-000028090000}"/>
    <cellStyle name="Normal 10 2 10 13 2 2" xfId="2408" xr:uid="{00000000-0005-0000-0000-000029090000}"/>
    <cellStyle name="Normal 10 2 10 13 2 3" xfId="2409" xr:uid="{00000000-0005-0000-0000-00002A090000}"/>
    <cellStyle name="Normal 10 2 10 13 2 4" xfId="2410" xr:uid="{00000000-0005-0000-0000-00002B090000}"/>
    <cellStyle name="Normal 10 2 10 13 2 5" xfId="2411" xr:uid="{00000000-0005-0000-0000-00002C090000}"/>
    <cellStyle name="Normal 10 2 10 13 2 6" xfId="2412" xr:uid="{00000000-0005-0000-0000-00002D090000}"/>
    <cellStyle name="Normal 10 2 10 13 2 7" xfId="2413" xr:uid="{00000000-0005-0000-0000-00002E090000}"/>
    <cellStyle name="Normal 10 2 10 13 2 8" xfId="2414" xr:uid="{00000000-0005-0000-0000-00002F090000}"/>
    <cellStyle name="Normal 10 2 10 13 2 9" xfId="2415" xr:uid="{00000000-0005-0000-0000-000030090000}"/>
    <cellStyle name="Normal 10 2 10 13 3" xfId="2416" xr:uid="{00000000-0005-0000-0000-000031090000}"/>
    <cellStyle name="Normal 10 2 10 13 3 10" xfId="2417" xr:uid="{00000000-0005-0000-0000-000032090000}"/>
    <cellStyle name="Normal 10 2 10 13 3 2" xfId="2418" xr:uid="{00000000-0005-0000-0000-000033090000}"/>
    <cellStyle name="Normal 10 2 10 13 3 3" xfId="2419" xr:uid="{00000000-0005-0000-0000-000034090000}"/>
    <cellStyle name="Normal 10 2 10 13 3 4" xfId="2420" xr:uid="{00000000-0005-0000-0000-000035090000}"/>
    <cellStyle name="Normal 10 2 10 13 3 5" xfId="2421" xr:uid="{00000000-0005-0000-0000-000036090000}"/>
    <cellStyle name="Normal 10 2 10 13 3 6" xfId="2422" xr:uid="{00000000-0005-0000-0000-000037090000}"/>
    <cellStyle name="Normal 10 2 10 13 3 7" xfId="2423" xr:uid="{00000000-0005-0000-0000-000038090000}"/>
    <cellStyle name="Normal 10 2 10 13 3 8" xfId="2424" xr:uid="{00000000-0005-0000-0000-000039090000}"/>
    <cellStyle name="Normal 10 2 10 13 3 9" xfId="2425" xr:uid="{00000000-0005-0000-0000-00003A090000}"/>
    <cellStyle name="Normal 10 2 10 13 4" xfId="2426" xr:uid="{00000000-0005-0000-0000-00003B090000}"/>
    <cellStyle name="Normal 10 2 10 13 4 10" xfId="2427" xr:uid="{00000000-0005-0000-0000-00003C090000}"/>
    <cellStyle name="Normal 10 2 10 13 4 2" xfId="2428" xr:uid="{00000000-0005-0000-0000-00003D090000}"/>
    <cellStyle name="Normal 10 2 10 13 4 3" xfId="2429" xr:uid="{00000000-0005-0000-0000-00003E090000}"/>
    <cellStyle name="Normal 10 2 10 13 4 4" xfId="2430" xr:uid="{00000000-0005-0000-0000-00003F090000}"/>
    <cellStyle name="Normal 10 2 10 13 4 5" xfId="2431" xr:uid="{00000000-0005-0000-0000-000040090000}"/>
    <cellStyle name="Normal 10 2 10 13 4 6" xfId="2432" xr:uid="{00000000-0005-0000-0000-000041090000}"/>
    <cellStyle name="Normal 10 2 10 13 4 7" xfId="2433" xr:uid="{00000000-0005-0000-0000-000042090000}"/>
    <cellStyle name="Normal 10 2 10 13 4 8" xfId="2434" xr:uid="{00000000-0005-0000-0000-000043090000}"/>
    <cellStyle name="Normal 10 2 10 13 4 9" xfId="2435" xr:uid="{00000000-0005-0000-0000-000044090000}"/>
    <cellStyle name="Normal 10 2 10 13 5" xfId="2436" xr:uid="{00000000-0005-0000-0000-000045090000}"/>
    <cellStyle name="Normal 10 2 10 13 5 10" xfId="2437" xr:uid="{00000000-0005-0000-0000-000046090000}"/>
    <cellStyle name="Normal 10 2 10 13 5 2" xfId="2438" xr:uid="{00000000-0005-0000-0000-000047090000}"/>
    <cellStyle name="Normal 10 2 10 13 5 3" xfId="2439" xr:uid="{00000000-0005-0000-0000-000048090000}"/>
    <cellStyle name="Normal 10 2 10 13 5 4" xfId="2440" xr:uid="{00000000-0005-0000-0000-000049090000}"/>
    <cellStyle name="Normal 10 2 10 13 5 5" xfId="2441" xr:uid="{00000000-0005-0000-0000-00004A090000}"/>
    <cellStyle name="Normal 10 2 10 13 5 6" xfId="2442" xr:uid="{00000000-0005-0000-0000-00004B090000}"/>
    <cellStyle name="Normal 10 2 10 13 5 7" xfId="2443" xr:uid="{00000000-0005-0000-0000-00004C090000}"/>
    <cellStyle name="Normal 10 2 10 13 5 8" xfId="2444" xr:uid="{00000000-0005-0000-0000-00004D090000}"/>
    <cellStyle name="Normal 10 2 10 13 5 9" xfId="2445" xr:uid="{00000000-0005-0000-0000-00004E090000}"/>
    <cellStyle name="Normal 10 2 10 13 6" xfId="2446" xr:uid="{00000000-0005-0000-0000-00004F090000}"/>
    <cellStyle name="Normal 10 2 10 13 7" xfId="2447" xr:uid="{00000000-0005-0000-0000-000050090000}"/>
    <cellStyle name="Normal 10 2 10 13 8" xfId="2448" xr:uid="{00000000-0005-0000-0000-000051090000}"/>
    <cellStyle name="Normal 10 2 10 13 9" xfId="2449" xr:uid="{00000000-0005-0000-0000-000052090000}"/>
    <cellStyle name="Normal 10 2 10 14" xfId="2450" xr:uid="{00000000-0005-0000-0000-000053090000}"/>
    <cellStyle name="Normal 10 2 10 14 10" xfId="2451" xr:uid="{00000000-0005-0000-0000-000054090000}"/>
    <cellStyle name="Normal 10 2 10 14 11" xfId="2452" xr:uid="{00000000-0005-0000-0000-000055090000}"/>
    <cellStyle name="Normal 10 2 10 14 12" xfId="2453" xr:uid="{00000000-0005-0000-0000-000056090000}"/>
    <cellStyle name="Normal 10 2 10 14 13" xfId="2454" xr:uid="{00000000-0005-0000-0000-000057090000}"/>
    <cellStyle name="Normal 10 2 10 14 14" xfId="2455" xr:uid="{00000000-0005-0000-0000-000058090000}"/>
    <cellStyle name="Normal 10 2 10 14 2" xfId="2456" xr:uid="{00000000-0005-0000-0000-000059090000}"/>
    <cellStyle name="Normal 10 2 10 14 2 10" xfId="2457" xr:uid="{00000000-0005-0000-0000-00005A090000}"/>
    <cellStyle name="Normal 10 2 10 14 2 2" xfId="2458" xr:uid="{00000000-0005-0000-0000-00005B090000}"/>
    <cellStyle name="Normal 10 2 10 14 2 3" xfId="2459" xr:uid="{00000000-0005-0000-0000-00005C090000}"/>
    <cellStyle name="Normal 10 2 10 14 2 4" xfId="2460" xr:uid="{00000000-0005-0000-0000-00005D090000}"/>
    <cellStyle name="Normal 10 2 10 14 2 5" xfId="2461" xr:uid="{00000000-0005-0000-0000-00005E090000}"/>
    <cellStyle name="Normal 10 2 10 14 2 6" xfId="2462" xr:uid="{00000000-0005-0000-0000-00005F090000}"/>
    <cellStyle name="Normal 10 2 10 14 2 7" xfId="2463" xr:uid="{00000000-0005-0000-0000-000060090000}"/>
    <cellStyle name="Normal 10 2 10 14 2 8" xfId="2464" xr:uid="{00000000-0005-0000-0000-000061090000}"/>
    <cellStyle name="Normal 10 2 10 14 2 9" xfId="2465" xr:uid="{00000000-0005-0000-0000-000062090000}"/>
    <cellStyle name="Normal 10 2 10 14 3" xfId="2466" xr:uid="{00000000-0005-0000-0000-000063090000}"/>
    <cellStyle name="Normal 10 2 10 14 3 10" xfId="2467" xr:uid="{00000000-0005-0000-0000-000064090000}"/>
    <cellStyle name="Normal 10 2 10 14 3 2" xfId="2468" xr:uid="{00000000-0005-0000-0000-000065090000}"/>
    <cellStyle name="Normal 10 2 10 14 3 3" xfId="2469" xr:uid="{00000000-0005-0000-0000-000066090000}"/>
    <cellStyle name="Normal 10 2 10 14 3 4" xfId="2470" xr:uid="{00000000-0005-0000-0000-000067090000}"/>
    <cellStyle name="Normal 10 2 10 14 3 5" xfId="2471" xr:uid="{00000000-0005-0000-0000-000068090000}"/>
    <cellStyle name="Normal 10 2 10 14 3 6" xfId="2472" xr:uid="{00000000-0005-0000-0000-000069090000}"/>
    <cellStyle name="Normal 10 2 10 14 3 7" xfId="2473" xr:uid="{00000000-0005-0000-0000-00006A090000}"/>
    <cellStyle name="Normal 10 2 10 14 3 8" xfId="2474" xr:uid="{00000000-0005-0000-0000-00006B090000}"/>
    <cellStyle name="Normal 10 2 10 14 3 9" xfId="2475" xr:uid="{00000000-0005-0000-0000-00006C090000}"/>
    <cellStyle name="Normal 10 2 10 14 4" xfId="2476" xr:uid="{00000000-0005-0000-0000-00006D090000}"/>
    <cellStyle name="Normal 10 2 10 14 4 10" xfId="2477" xr:uid="{00000000-0005-0000-0000-00006E090000}"/>
    <cellStyle name="Normal 10 2 10 14 4 2" xfId="2478" xr:uid="{00000000-0005-0000-0000-00006F090000}"/>
    <cellStyle name="Normal 10 2 10 14 4 3" xfId="2479" xr:uid="{00000000-0005-0000-0000-000070090000}"/>
    <cellStyle name="Normal 10 2 10 14 4 4" xfId="2480" xr:uid="{00000000-0005-0000-0000-000071090000}"/>
    <cellStyle name="Normal 10 2 10 14 4 5" xfId="2481" xr:uid="{00000000-0005-0000-0000-000072090000}"/>
    <cellStyle name="Normal 10 2 10 14 4 6" xfId="2482" xr:uid="{00000000-0005-0000-0000-000073090000}"/>
    <cellStyle name="Normal 10 2 10 14 4 7" xfId="2483" xr:uid="{00000000-0005-0000-0000-000074090000}"/>
    <cellStyle name="Normal 10 2 10 14 4 8" xfId="2484" xr:uid="{00000000-0005-0000-0000-000075090000}"/>
    <cellStyle name="Normal 10 2 10 14 4 9" xfId="2485" xr:uid="{00000000-0005-0000-0000-000076090000}"/>
    <cellStyle name="Normal 10 2 10 14 5" xfId="2486" xr:uid="{00000000-0005-0000-0000-000077090000}"/>
    <cellStyle name="Normal 10 2 10 14 5 10" xfId="2487" xr:uid="{00000000-0005-0000-0000-000078090000}"/>
    <cellStyle name="Normal 10 2 10 14 5 2" xfId="2488" xr:uid="{00000000-0005-0000-0000-000079090000}"/>
    <cellStyle name="Normal 10 2 10 14 5 3" xfId="2489" xr:uid="{00000000-0005-0000-0000-00007A090000}"/>
    <cellStyle name="Normal 10 2 10 14 5 4" xfId="2490" xr:uid="{00000000-0005-0000-0000-00007B090000}"/>
    <cellStyle name="Normal 10 2 10 14 5 5" xfId="2491" xr:uid="{00000000-0005-0000-0000-00007C090000}"/>
    <cellStyle name="Normal 10 2 10 14 5 6" xfId="2492" xr:uid="{00000000-0005-0000-0000-00007D090000}"/>
    <cellStyle name="Normal 10 2 10 14 5 7" xfId="2493" xr:uid="{00000000-0005-0000-0000-00007E090000}"/>
    <cellStyle name="Normal 10 2 10 14 5 8" xfId="2494" xr:uid="{00000000-0005-0000-0000-00007F090000}"/>
    <cellStyle name="Normal 10 2 10 14 5 9" xfId="2495" xr:uid="{00000000-0005-0000-0000-000080090000}"/>
    <cellStyle name="Normal 10 2 10 14 6" xfId="2496" xr:uid="{00000000-0005-0000-0000-000081090000}"/>
    <cellStyle name="Normal 10 2 10 14 7" xfId="2497" xr:uid="{00000000-0005-0000-0000-000082090000}"/>
    <cellStyle name="Normal 10 2 10 14 8" xfId="2498" xr:uid="{00000000-0005-0000-0000-000083090000}"/>
    <cellStyle name="Normal 10 2 10 14 9" xfId="2499" xr:uid="{00000000-0005-0000-0000-000084090000}"/>
    <cellStyle name="Normal 10 2 10 15" xfId="2500" xr:uid="{00000000-0005-0000-0000-000085090000}"/>
    <cellStyle name="Normal 10 2 10 15 10" xfId="2501" xr:uid="{00000000-0005-0000-0000-000086090000}"/>
    <cellStyle name="Normal 10 2 10 15 11" xfId="2502" xr:uid="{00000000-0005-0000-0000-000087090000}"/>
    <cellStyle name="Normal 10 2 10 15 12" xfId="2503" xr:uid="{00000000-0005-0000-0000-000088090000}"/>
    <cellStyle name="Normal 10 2 10 15 13" xfId="2504" xr:uid="{00000000-0005-0000-0000-000089090000}"/>
    <cellStyle name="Normal 10 2 10 15 14" xfId="2505" xr:uid="{00000000-0005-0000-0000-00008A090000}"/>
    <cellStyle name="Normal 10 2 10 15 2" xfId="2506" xr:uid="{00000000-0005-0000-0000-00008B090000}"/>
    <cellStyle name="Normal 10 2 10 15 2 10" xfId="2507" xr:uid="{00000000-0005-0000-0000-00008C090000}"/>
    <cellStyle name="Normal 10 2 10 15 2 2" xfId="2508" xr:uid="{00000000-0005-0000-0000-00008D090000}"/>
    <cellStyle name="Normal 10 2 10 15 2 3" xfId="2509" xr:uid="{00000000-0005-0000-0000-00008E090000}"/>
    <cellStyle name="Normal 10 2 10 15 2 4" xfId="2510" xr:uid="{00000000-0005-0000-0000-00008F090000}"/>
    <cellStyle name="Normal 10 2 10 15 2 5" xfId="2511" xr:uid="{00000000-0005-0000-0000-000090090000}"/>
    <cellStyle name="Normal 10 2 10 15 2 6" xfId="2512" xr:uid="{00000000-0005-0000-0000-000091090000}"/>
    <cellStyle name="Normal 10 2 10 15 2 7" xfId="2513" xr:uid="{00000000-0005-0000-0000-000092090000}"/>
    <cellStyle name="Normal 10 2 10 15 2 8" xfId="2514" xr:uid="{00000000-0005-0000-0000-000093090000}"/>
    <cellStyle name="Normal 10 2 10 15 2 9" xfId="2515" xr:uid="{00000000-0005-0000-0000-000094090000}"/>
    <cellStyle name="Normal 10 2 10 15 3" xfId="2516" xr:uid="{00000000-0005-0000-0000-000095090000}"/>
    <cellStyle name="Normal 10 2 10 15 3 10" xfId="2517" xr:uid="{00000000-0005-0000-0000-000096090000}"/>
    <cellStyle name="Normal 10 2 10 15 3 2" xfId="2518" xr:uid="{00000000-0005-0000-0000-000097090000}"/>
    <cellStyle name="Normal 10 2 10 15 3 3" xfId="2519" xr:uid="{00000000-0005-0000-0000-000098090000}"/>
    <cellStyle name="Normal 10 2 10 15 3 4" xfId="2520" xr:uid="{00000000-0005-0000-0000-000099090000}"/>
    <cellStyle name="Normal 10 2 10 15 3 5" xfId="2521" xr:uid="{00000000-0005-0000-0000-00009A090000}"/>
    <cellStyle name="Normal 10 2 10 15 3 6" xfId="2522" xr:uid="{00000000-0005-0000-0000-00009B090000}"/>
    <cellStyle name="Normal 10 2 10 15 3 7" xfId="2523" xr:uid="{00000000-0005-0000-0000-00009C090000}"/>
    <cellStyle name="Normal 10 2 10 15 3 8" xfId="2524" xr:uid="{00000000-0005-0000-0000-00009D090000}"/>
    <cellStyle name="Normal 10 2 10 15 3 9" xfId="2525" xr:uid="{00000000-0005-0000-0000-00009E090000}"/>
    <cellStyle name="Normal 10 2 10 15 4" xfId="2526" xr:uid="{00000000-0005-0000-0000-00009F090000}"/>
    <cellStyle name="Normal 10 2 10 15 4 10" xfId="2527" xr:uid="{00000000-0005-0000-0000-0000A0090000}"/>
    <cellStyle name="Normal 10 2 10 15 4 2" xfId="2528" xr:uid="{00000000-0005-0000-0000-0000A1090000}"/>
    <cellStyle name="Normal 10 2 10 15 4 3" xfId="2529" xr:uid="{00000000-0005-0000-0000-0000A2090000}"/>
    <cellStyle name="Normal 10 2 10 15 4 4" xfId="2530" xr:uid="{00000000-0005-0000-0000-0000A3090000}"/>
    <cellStyle name="Normal 10 2 10 15 4 5" xfId="2531" xr:uid="{00000000-0005-0000-0000-0000A4090000}"/>
    <cellStyle name="Normal 10 2 10 15 4 6" xfId="2532" xr:uid="{00000000-0005-0000-0000-0000A5090000}"/>
    <cellStyle name="Normal 10 2 10 15 4 7" xfId="2533" xr:uid="{00000000-0005-0000-0000-0000A6090000}"/>
    <cellStyle name="Normal 10 2 10 15 4 8" xfId="2534" xr:uid="{00000000-0005-0000-0000-0000A7090000}"/>
    <cellStyle name="Normal 10 2 10 15 4 9" xfId="2535" xr:uid="{00000000-0005-0000-0000-0000A8090000}"/>
    <cellStyle name="Normal 10 2 10 15 5" xfId="2536" xr:uid="{00000000-0005-0000-0000-0000A9090000}"/>
    <cellStyle name="Normal 10 2 10 15 5 10" xfId="2537" xr:uid="{00000000-0005-0000-0000-0000AA090000}"/>
    <cellStyle name="Normal 10 2 10 15 5 2" xfId="2538" xr:uid="{00000000-0005-0000-0000-0000AB090000}"/>
    <cellStyle name="Normal 10 2 10 15 5 3" xfId="2539" xr:uid="{00000000-0005-0000-0000-0000AC090000}"/>
    <cellStyle name="Normal 10 2 10 15 5 4" xfId="2540" xr:uid="{00000000-0005-0000-0000-0000AD090000}"/>
    <cellStyle name="Normal 10 2 10 15 5 5" xfId="2541" xr:uid="{00000000-0005-0000-0000-0000AE090000}"/>
    <cellStyle name="Normal 10 2 10 15 5 6" xfId="2542" xr:uid="{00000000-0005-0000-0000-0000AF090000}"/>
    <cellStyle name="Normal 10 2 10 15 5 7" xfId="2543" xr:uid="{00000000-0005-0000-0000-0000B0090000}"/>
    <cellStyle name="Normal 10 2 10 15 5 8" xfId="2544" xr:uid="{00000000-0005-0000-0000-0000B1090000}"/>
    <cellStyle name="Normal 10 2 10 15 5 9" xfId="2545" xr:uid="{00000000-0005-0000-0000-0000B2090000}"/>
    <cellStyle name="Normal 10 2 10 15 6" xfId="2546" xr:uid="{00000000-0005-0000-0000-0000B3090000}"/>
    <cellStyle name="Normal 10 2 10 15 7" xfId="2547" xr:uid="{00000000-0005-0000-0000-0000B4090000}"/>
    <cellStyle name="Normal 10 2 10 15 8" xfId="2548" xr:uid="{00000000-0005-0000-0000-0000B5090000}"/>
    <cellStyle name="Normal 10 2 10 15 9" xfId="2549" xr:uid="{00000000-0005-0000-0000-0000B6090000}"/>
    <cellStyle name="Normal 10 2 10 16" xfId="2550" xr:uid="{00000000-0005-0000-0000-0000B7090000}"/>
    <cellStyle name="Normal 10 2 10 16 10" xfId="2551" xr:uid="{00000000-0005-0000-0000-0000B8090000}"/>
    <cellStyle name="Normal 10 2 10 16 11" xfId="2552" xr:uid="{00000000-0005-0000-0000-0000B9090000}"/>
    <cellStyle name="Normal 10 2 10 16 12" xfId="2553" xr:uid="{00000000-0005-0000-0000-0000BA090000}"/>
    <cellStyle name="Normal 10 2 10 16 13" xfId="2554" xr:uid="{00000000-0005-0000-0000-0000BB090000}"/>
    <cellStyle name="Normal 10 2 10 16 14" xfId="2555" xr:uid="{00000000-0005-0000-0000-0000BC090000}"/>
    <cellStyle name="Normal 10 2 10 16 2" xfId="2556" xr:uid="{00000000-0005-0000-0000-0000BD090000}"/>
    <cellStyle name="Normal 10 2 10 16 2 10" xfId="2557" xr:uid="{00000000-0005-0000-0000-0000BE090000}"/>
    <cellStyle name="Normal 10 2 10 16 2 2" xfId="2558" xr:uid="{00000000-0005-0000-0000-0000BF090000}"/>
    <cellStyle name="Normal 10 2 10 16 2 3" xfId="2559" xr:uid="{00000000-0005-0000-0000-0000C0090000}"/>
    <cellStyle name="Normal 10 2 10 16 2 4" xfId="2560" xr:uid="{00000000-0005-0000-0000-0000C1090000}"/>
    <cellStyle name="Normal 10 2 10 16 2 5" xfId="2561" xr:uid="{00000000-0005-0000-0000-0000C2090000}"/>
    <cellStyle name="Normal 10 2 10 16 2 6" xfId="2562" xr:uid="{00000000-0005-0000-0000-0000C3090000}"/>
    <cellStyle name="Normal 10 2 10 16 2 7" xfId="2563" xr:uid="{00000000-0005-0000-0000-0000C4090000}"/>
    <cellStyle name="Normal 10 2 10 16 2 8" xfId="2564" xr:uid="{00000000-0005-0000-0000-0000C5090000}"/>
    <cellStyle name="Normal 10 2 10 16 2 9" xfId="2565" xr:uid="{00000000-0005-0000-0000-0000C6090000}"/>
    <cellStyle name="Normal 10 2 10 16 3" xfId="2566" xr:uid="{00000000-0005-0000-0000-0000C7090000}"/>
    <cellStyle name="Normal 10 2 10 16 3 10" xfId="2567" xr:uid="{00000000-0005-0000-0000-0000C8090000}"/>
    <cellStyle name="Normal 10 2 10 16 3 2" xfId="2568" xr:uid="{00000000-0005-0000-0000-0000C9090000}"/>
    <cellStyle name="Normal 10 2 10 16 3 3" xfId="2569" xr:uid="{00000000-0005-0000-0000-0000CA090000}"/>
    <cellStyle name="Normal 10 2 10 16 3 4" xfId="2570" xr:uid="{00000000-0005-0000-0000-0000CB090000}"/>
    <cellStyle name="Normal 10 2 10 16 3 5" xfId="2571" xr:uid="{00000000-0005-0000-0000-0000CC090000}"/>
    <cellStyle name="Normal 10 2 10 16 3 6" xfId="2572" xr:uid="{00000000-0005-0000-0000-0000CD090000}"/>
    <cellStyle name="Normal 10 2 10 16 3 7" xfId="2573" xr:uid="{00000000-0005-0000-0000-0000CE090000}"/>
    <cellStyle name="Normal 10 2 10 16 3 8" xfId="2574" xr:uid="{00000000-0005-0000-0000-0000CF090000}"/>
    <cellStyle name="Normal 10 2 10 16 3 9" xfId="2575" xr:uid="{00000000-0005-0000-0000-0000D0090000}"/>
    <cellStyle name="Normal 10 2 10 16 4" xfId="2576" xr:uid="{00000000-0005-0000-0000-0000D1090000}"/>
    <cellStyle name="Normal 10 2 10 16 4 10" xfId="2577" xr:uid="{00000000-0005-0000-0000-0000D2090000}"/>
    <cellStyle name="Normal 10 2 10 16 4 2" xfId="2578" xr:uid="{00000000-0005-0000-0000-0000D3090000}"/>
    <cellStyle name="Normal 10 2 10 16 4 3" xfId="2579" xr:uid="{00000000-0005-0000-0000-0000D4090000}"/>
    <cellStyle name="Normal 10 2 10 16 4 4" xfId="2580" xr:uid="{00000000-0005-0000-0000-0000D5090000}"/>
    <cellStyle name="Normal 10 2 10 16 4 5" xfId="2581" xr:uid="{00000000-0005-0000-0000-0000D6090000}"/>
    <cellStyle name="Normal 10 2 10 16 4 6" xfId="2582" xr:uid="{00000000-0005-0000-0000-0000D7090000}"/>
    <cellStyle name="Normal 10 2 10 16 4 7" xfId="2583" xr:uid="{00000000-0005-0000-0000-0000D8090000}"/>
    <cellStyle name="Normal 10 2 10 16 4 8" xfId="2584" xr:uid="{00000000-0005-0000-0000-0000D9090000}"/>
    <cellStyle name="Normal 10 2 10 16 4 9" xfId="2585" xr:uid="{00000000-0005-0000-0000-0000DA090000}"/>
    <cellStyle name="Normal 10 2 10 16 5" xfId="2586" xr:uid="{00000000-0005-0000-0000-0000DB090000}"/>
    <cellStyle name="Normal 10 2 10 16 5 10" xfId="2587" xr:uid="{00000000-0005-0000-0000-0000DC090000}"/>
    <cellStyle name="Normal 10 2 10 16 5 2" xfId="2588" xr:uid="{00000000-0005-0000-0000-0000DD090000}"/>
    <cellStyle name="Normal 10 2 10 16 5 3" xfId="2589" xr:uid="{00000000-0005-0000-0000-0000DE090000}"/>
    <cellStyle name="Normal 10 2 10 16 5 4" xfId="2590" xr:uid="{00000000-0005-0000-0000-0000DF090000}"/>
    <cellStyle name="Normal 10 2 10 16 5 5" xfId="2591" xr:uid="{00000000-0005-0000-0000-0000E0090000}"/>
    <cellStyle name="Normal 10 2 10 16 5 6" xfId="2592" xr:uid="{00000000-0005-0000-0000-0000E1090000}"/>
    <cellStyle name="Normal 10 2 10 16 5 7" xfId="2593" xr:uid="{00000000-0005-0000-0000-0000E2090000}"/>
    <cellStyle name="Normal 10 2 10 16 5 8" xfId="2594" xr:uid="{00000000-0005-0000-0000-0000E3090000}"/>
    <cellStyle name="Normal 10 2 10 16 5 9" xfId="2595" xr:uid="{00000000-0005-0000-0000-0000E4090000}"/>
    <cellStyle name="Normal 10 2 10 16 6" xfId="2596" xr:uid="{00000000-0005-0000-0000-0000E5090000}"/>
    <cellStyle name="Normal 10 2 10 16 7" xfId="2597" xr:uid="{00000000-0005-0000-0000-0000E6090000}"/>
    <cellStyle name="Normal 10 2 10 16 8" xfId="2598" xr:uid="{00000000-0005-0000-0000-0000E7090000}"/>
    <cellStyle name="Normal 10 2 10 16 9" xfId="2599" xr:uid="{00000000-0005-0000-0000-0000E8090000}"/>
    <cellStyle name="Normal 10 2 10 17" xfId="2600" xr:uid="{00000000-0005-0000-0000-0000E9090000}"/>
    <cellStyle name="Normal 10 2 10 17 10" xfId="2601" xr:uid="{00000000-0005-0000-0000-0000EA090000}"/>
    <cellStyle name="Normal 10 2 10 17 11" xfId="2602" xr:uid="{00000000-0005-0000-0000-0000EB090000}"/>
    <cellStyle name="Normal 10 2 10 17 12" xfId="2603" xr:uid="{00000000-0005-0000-0000-0000EC090000}"/>
    <cellStyle name="Normal 10 2 10 17 13" xfId="2604" xr:uid="{00000000-0005-0000-0000-0000ED090000}"/>
    <cellStyle name="Normal 10 2 10 17 14" xfId="2605" xr:uid="{00000000-0005-0000-0000-0000EE090000}"/>
    <cellStyle name="Normal 10 2 10 17 2" xfId="2606" xr:uid="{00000000-0005-0000-0000-0000EF090000}"/>
    <cellStyle name="Normal 10 2 10 17 2 10" xfId="2607" xr:uid="{00000000-0005-0000-0000-0000F0090000}"/>
    <cellStyle name="Normal 10 2 10 17 2 2" xfId="2608" xr:uid="{00000000-0005-0000-0000-0000F1090000}"/>
    <cellStyle name="Normal 10 2 10 17 2 3" xfId="2609" xr:uid="{00000000-0005-0000-0000-0000F2090000}"/>
    <cellStyle name="Normal 10 2 10 17 2 4" xfId="2610" xr:uid="{00000000-0005-0000-0000-0000F3090000}"/>
    <cellStyle name="Normal 10 2 10 17 2 5" xfId="2611" xr:uid="{00000000-0005-0000-0000-0000F4090000}"/>
    <cellStyle name="Normal 10 2 10 17 2 6" xfId="2612" xr:uid="{00000000-0005-0000-0000-0000F5090000}"/>
    <cellStyle name="Normal 10 2 10 17 2 7" xfId="2613" xr:uid="{00000000-0005-0000-0000-0000F6090000}"/>
    <cellStyle name="Normal 10 2 10 17 2 8" xfId="2614" xr:uid="{00000000-0005-0000-0000-0000F7090000}"/>
    <cellStyle name="Normal 10 2 10 17 2 9" xfId="2615" xr:uid="{00000000-0005-0000-0000-0000F8090000}"/>
    <cellStyle name="Normal 10 2 10 17 3" xfId="2616" xr:uid="{00000000-0005-0000-0000-0000F9090000}"/>
    <cellStyle name="Normal 10 2 10 17 3 10" xfId="2617" xr:uid="{00000000-0005-0000-0000-0000FA090000}"/>
    <cellStyle name="Normal 10 2 10 17 3 2" xfId="2618" xr:uid="{00000000-0005-0000-0000-0000FB090000}"/>
    <cellStyle name="Normal 10 2 10 17 3 3" xfId="2619" xr:uid="{00000000-0005-0000-0000-0000FC090000}"/>
    <cellStyle name="Normal 10 2 10 17 3 4" xfId="2620" xr:uid="{00000000-0005-0000-0000-0000FD090000}"/>
    <cellStyle name="Normal 10 2 10 17 3 5" xfId="2621" xr:uid="{00000000-0005-0000-0000-0000FE090000}"/>
    <cellStyle name="Normal 10 2 10 17 3 6" xfId="2622" xr:uid="{00000000-0005-0000-0000-0000FF090000}"/>
    <cellStyle name="Normal 10 2 10 17 3 7" xfId="2623" xr:uid="{00000000-0005-0000-0000-0000000A0000}"/>
    <cellStyle name="Normal 10 2 10 17 3 8" xfId="2624" xr:uid="{00000000-0005-0000-0000-0000010A0000}"/>
    <cellStyle name="Normal 10 2 10 17 3 9" xfId="2625" xr:uid="{00000000-0005-0000-0000-0000020A0000}"/>
    <cellStyle name="Normal 10 2 10 17 4" xfId="2626" xr:uid="{00000000-0005-0000-0000-0000030A0000}"/>
    <cellStyle name="Normal 10 2 10 17 4 10" xfId="2627" xr:uid="{00000000-0005-0000-0000-0000040A0000}"/>
    <cellStyle name="Normal 10 2 10 17 4 2" xfId="2628" xr:uid="{00000000-0005-0000-0000-0000050A0000}"/>
    <cellStyle name="Normal 10 2 10 17 4 3" xfId="2629" xr:uid="{00000000-0005-0000-0000-0000060A0000}"/>
    <cellStyle name="Normal 10 2 10 17 4 4" xfId="2630" xr:uid="{00000000-0005-0000-0000-0000070A0000}"/>
    <cellStyle name="Normal 10 2 10 17 4 5" xfId="2631" xr:uid="{00000000-0005-0000-0000-0000080A0000}"/>
    <cellStyle name="Normal 10 2 10 17 4 6" xfId="2632" xr:uid="{00000000-0005-0000-0000-0000090A0000}"/>
    <cellStyle name="Normal 10 2 10 17 4 7" xfId="2633" xr:uid="{00000000-0005-0000-0000-00000A0A0000}"/>
    <cellStyle name="Normal 10 2 10 17 4 8" xfId="2634" xr:uid="{00000000-0005-0000-0000-00000B0A0000}"/>
    <cellStyle name="Normal 10 2 10 17 4 9" xfId="2635" xr:uid="{00000000-0005-0000-0000-00000C0A0000}"/>
    <cellStyle name="Normal 10 2 10 17 5" xfId="2636" xr:uid="{00000000-0005-0000-0000-00000D0A0000}"/>
    <cellStyle name="Normal 10 2 10 17 5 10" xfId="2637" xr:uid="{00000000-0005-0000-0000-00000E0A0000}"/>
    <cellStyle name="Normal 10 2 10 17 5 2" xfId="2638" xr:uid="{00000000-0005-0000-0000-00000F0A0000}"/>
    <cellStyle name="Normal 10 2 10 17 5 3" xfId="2639" xr:uid="{00000000-0005-0000-0000-0000100A0000}"/>
    <cellStyle name="Normal 10 2 10 17 5 4" xfId="2640" xr:uid="{00000000-0005-0000-0000-0000110A0000}"/>
    <cellStyle name="Normal 10 2 10 17 5 5" xfId="2641" xr:uid="{00000000-0005-0000-0000-0000120A0000}"/>
    <cellStyle name="Normal 10 2 10 17 5 6" xfId="2642" xr:uid="{00000000-0005-0000-0000-0000130A0000}"/>
    <cellStyle name="Normal 10 2 10 17 5 7" xfId="2643" xr:uid="{00000000-0005-0000-0000-0000140A0000}"/>
    <cellStyle name="Normal 10 2 10 17 5 8" xfId="2644" xr:uid="{00000000-0005-0000-0000-0000150A0000}"/>
    <cellStyle name="Normal 10 2 10 17 5 9" xfId="2645" xr:uid="{00000000-0005-0000-0000-0000160A0000}"/>
    <cellStyle name="Normal 10 2 10 17 6" xfId="2646" xr:uid="{00000000-0005-0000-0000-0000170A0000}"/>
    <cellStyle name="Normal 10 2 10 17 7" xfId="2647" xr:uid="{00000000-0005-0000-0000-0000180A0000}"/>
    <cellStyle name="Normal 10 2 10 17 8" xfId="2648" xr:uid="{00000000-0005-0000-0000-0000190A0000}"/>
    <cellStyle name="Normal 10 2 10 17 9" xfId="2649" xr:uid="{00000000-0005-0000-0000-00001A0A0000}"/>
    <cellStyle name="Normal 10 2 10 18" xfId="2650" xr:uid="{00000000-0005-0000-0000-00001B0A0000}"/>
    <cellStyle name="Normal 10 2 10 18 10" xfId="2651" xr:uid="{00000000-0005-0000-0000-00001C0A0000}"/>
    <cellStyle name="Normal 10 2 10 18 11" xfId="2652" xr:uid="{00000000-0005-0000-0000-00001D0A0000}"/>
    <cellStyle name="Normal 10 2 10 18 12" xfId="2653" xr:uid="{00000000-0005-0000-0000-00001E0A0000}"/>
    <cellStyle name="Normal 10 2 10 18 13" xfId="2654" xr:uid="{00000000-0005-0000-0000-00001F0A0000}"/>
    <cellStyle name="Normal 10 2 10 18 14" xfId="2655" xr:uid="{00000000-0005-0000-0000-0000200A0000}"/>
    <cellStyle name="Normal 10 2 10 18 2" xfId="2656" xr:uid="{00000000-0005-0000-0000-0000210A0000}"/>
    <cellStyle name="Normal 10 2 10 18 2 10" xfId="2657" xr:uid="{00000000-0005-0000-0000-0000220A0000}"/>
    <cellStyle name="Normal 10 2 10 18 2 2" xfId="2658" xr:uid="{00000000-0005-0000-0000-0000230A0000}"/>
    <cellStyle name="Normal 10 2 10 18 2 3" xfId="2659" xr:uid="{00000000-0005-0000-0000-0000240A0000}"/>
    <cellStyle name="Normal 10 2 10 18 2 4" xfId="2660" xr:uid="{00000000-0005-0000-0000-0000250A0000}"/>
    <cellStyle name="Normal 10 2 10 18 2 5" xfId="2661" xr:uid="{00000000-0005-0000-0000-0000260A0000}"/>
    <cellStyle name="Normal 10 2 10 18 2 6" xfId="2662" xr:uid="{00000000-0005-0000-0000-0000270A0000}"/>
    <cellStyle name="Normal 10 2 10 18 2 7" xfId="2663" xr:uid="{00000000-0005-0000-0000-0000280A0000}"/>
    <cellStyle name="Normal 10 2 10 18 2 8" xfId="2664" xr:uid="{00000000-0005-0000-0000-0000290A0000}"/>
    <cellStyle name="Normal 10 2 10 18 2 9" xfId="2665" xr:uid="{00000000-0005-0000-0000-00002A0A0000}"/>
    <cellStyle name="Normal 10 2 10 18 3" xfId="2666" xr:uid="{00000000-0005-0000-0000-00002B0A0000}"/>
    <cellStyle name="Normal 10 2 10 18 3 10" xfId="2667" xr:uid="{00000000-0005-0000-0000-00002C0A0000}"/>
    <cellStyle name="Normal 10 2 10 18 3 2" xfId="2668" xr:uid="{00000000-0005-0000-0000-00002D0A0000}"/>
    <cellStyle name="Normal 10 2 10 18 3 3" xfId="2669" xr:uid="{00000000-0005-0000-0000-00002E0A0000}"/>
    <cellStyle name="Normal 10 2 10 18 3 4" xfId="2670" xr:uid="{00000000-0005-0000-0000-00002F0A0000}"/>
    <cellStyle name="Normal 10 2 10 18 3 5" xfId="2671" xr:uid="{00000000-0005-0000-0000-0000300A0000}"/>
    <cellStyle name="Normal 10 2 10 18 3 6" xfId="2672" xr:uid="{00000000-0005-0000-0000-0000310A0000}"/>
    <cellStyle name="Normal 10 2 10 18 3 7" xfId="2673" xr:uid="{00000000-0005-0000-0000-0000320A0000}"/>
    <cellStyle name="Normal 10 2 10 18 3 8" xfId="2674" xr:uid="{00000000-0005-0000-0000-0000330A0000}"/>
    <cellStyle name="Normal 10 2 10 18 3 9" xfId="2675" xr:uid="{00000000-0005-0000-0000-0000340A0000}"/>
    <cellStyle name="Normal 10 2 10 18 4" xfId="2676" xr:uid="{00000000-0005-0000-0000-0000350A0000}"/>
    <cellStyle name="Normal 10 2 10 18 4 10" xfId="2677" xr:uid="{00000000-0005-0000-0000-0000360A0000}"/>
    <cellStyle name="Normal 10 2 10 18 4 2" xfId="2678" xr:uid="{00000000-0005-0000-0000-0000370A0000}"/>
    <cellStyle name="Normal 10 2 10 18 4 3" xfId="2679" xr:uid="{00000000-0005-0000-0000-0000380A0000}"/>
    <cellStyle name="Normal 10 2 10 18 4 4" xfId="2680" xr:uid="{00000000-0005-0000-0000-0000390A0000}"/>
    <cellStyle name="Normal 10 2 10 18 4 5" xfId="2681" xr:uid="{00000000-0005-0000-0000-00003A0A0000}"/>
    <cellStyle name="Normal 10 2 10 18 4 6" xfId="2682" xr:uid="{00000000-0005-0000-0000-00003B0A0000}"/>
    <cellStyle name="Normal 10 2 10 18 4 7" xfId="2683" xr:uid="{00000000-0005-0000-0000-00003C0A0000}"/>
    <cellStyle name="Normal 10 2 10 18 4 8" xfId="2684" xr:uid="{00000000-0005-0000-0000-00003D0A0000}"/>
    <cellStyle name="Normal 10 2 10 18 4 9" xfId="2685" xr:uid="{00000000-0005-0000-0000-00003E0A0000}"/>
    <cellStyle name="Normal 10 2 10 18 5" xfId="2686" xr:uid="{00000000-0005-0000-0000-00003F0A0000}"/>
    <cellStyle name="Normal 10 2 10 18 5 10" xfId="2687" xr:uid="{00000000-0005-0000-0000-0000400A0000}"/>
    <cellStyle name="Normal 10 2 10 18 5 2" xfId="2688" xr:uid="{00000000-0005-0000-0000-0000410A0000}"/>
    <cellStyle name="Normal 10 2 10 18 5 3" xfId="2689" xr:uid="{00000000-0005-0000-0000-0000420A0000}"/>
    <cellStyle name="Normal 10 2 10 18 5 4" xfId="2690" xr:uid="{00000000-0005-0000-0000-0000430A0000}"/>
    <cellStyle name="Normal 10 2 10 18 5 5" xfId="2691" xr:uid="{00000000-0005-0000-0000-0000440A0000}"/>
    <cellStyle name="Normal 10 2 10 18 5 6" xfId="2692" xr:uid="{00000000-0005-0000-0000-0000450A0000}"/>
    <cellStyle name="Normal 10 2 10 18 5 7" xfId="2693" xr:uid="{00000000-0005-0000-0000-0000460A0000}"/>
    <cellStyle name="Normal 10 2 10 18 5 8" xfId="2694" xr:uid="{00000000-0005-0000-0000-0000470A0000}"/>
    <cellStyle name="Normal 10 2 10 18 5 9" xfId="2695" xr:uid="{00000000-0005-0000-0000-0000480A0000}"/>
    <cellStyle name="Normal 10 2 10 18 6" xfId="2696" xr:uid="{00000000-0005-0000-0000-0000490A0000}"/>
    <cellStyle name="Normal 10 2 10 18 7" xfId="2697" xr:uid="{00000000-0005-0000-0000-00004A0A0000}"/>
    <cellStyle name="Normal 10 2 10 18 8" xfId="2698" xr:uid="{00000000-0005-0000-0000-00004B0A0000}"/>
    <cellStyle name="Normal 10 2 10 18 9" xfId="2699" xr:uid="{00000000-0005-0000-0000-00004C0A0000}"/>
    <cellStyle name="Normal 10 2 10 19" xfId="2700" xr:uid="{00000000-0005-0000-0000-00004D0A0000}"/>
    <cellStyle name="Normal 10 2 10 19 10" xfId="2701" xr:uid="{00000000-0005-0000-0000-00004E0A0000}"/>
    <cellStyle name="Normal 10 2 10 19 11" xfId="2702" xr:uid="{00000000-0005-0000-0000-00004F0A0000}"/>
    <cellStyle name="Normal 10 2 10 19 12" xfId="2703" xr:uid="{00000000-0005-0000-0000-0000500A0000}"/>
    <cellStyle name="Normal 10 2 10 19 13" xfId="2704" xr:uid="{00000000-0005-0000-0000-0000510A0000}"/>
    <cellStyle name="Normal 10 2 10 19 14" xfId="2705" xr:uid="{00000000-0005-0000-0000-0000520A0000}"/>
    <cellStyle name="Normal 10 2 10 19 2" xfId="2706" xr:uid="{00000000-0005-0000-0000-0000530A0000}"/>
    <cellStyle name="Normal 10 2 10 19 2 10" xfId="2707" xr:uid="{00000000-0005-0000-0000-0000540A0000}"/>
    <cellStyle name="Normal 10 2 10 19 2 2" xfId="2708" xr:uid="{00000000-0005-0000-0000-0000550A0000}"/>
    <cellStyle name="Normal 10 2 10 19 2 3" xfId="2709" xr:uid="{00000000-0005-0000-0000-0000560A0000}"/>
    <cellStyle name="Normal 10 2 10 19 2 4" xfId="2710" xr:uid="{00000000-0005-0000-0000-0000570A0000}"/>
    <cellStyle name="Normal 10 2 10 19 2 5" xfId="2711" xr:uid="{00000000-0005-0000-0000-0000580A0000}"/>
    <cellStyle name="Normal 10 2 10 19 2 6" xfId="2712" xr:uid="{00000000-0005-0000-0000-0000590A0000}"/>
    <cellStyle name="Normal 10 2 10 19 2 7" xfId="2713" xr:uid="{00000000-0005-0000-0000-00005A0A0000}"/>
    <cellStyle name="Normal 10 2 10 19 2 8" xfId="2714" xr:uid="{00000000-0005-0000-0000-00005B0A0000}"/>
    <cellStyle name="Normal 10 2 10 19 2 9" xfId="2715" xr:uid="{00000000-0005-0000-0000-00005C0A0000}"/>
    <cellStyle name="Normal 10 2 10 19 3" xfId="2716" xr:uid="{00000000-0005-0000-0000-00005D0A0000}"/>
    <cellStyle name="Normal 10 2 10 19 3 10" xfId="2717" xr:uid="{00000000-0005-0000-0000-00005E0A0000}"/>
    <cellStyle name="Normal 10 2 10 19 3 2" xfId="2718" xr:uid="{00000000-0005-0000-0000-00005F0A0000}"/>
    <cellStyle name="Normal 10 2 10 19 3 3" xfId="2719" xr:uid="{00000000-0005-0000-0000-0000600A0000}"/>
    <cellStyle name="Normal 10 2 10 19 3 4" xfId="2720" xr:uid="{00000000-0005-0000-0000-0000610A0000}"/>
    <cellStyle name="Normal 10 2 10 19 3 5" xfId="2721" xr:uid="{00000000-0005-0000-0000-0000620A0000}"/>
    <cellStyle name="Normal 10 2 10 19 3 6" xfId="2722" xr:uid="{00000000-0005-0000-0000-0000630A0000}"/>
    <cellStyle name="Normal 10 2 10 19 3 7" xfId="2723" xr:uid="{00000000-0005-0000-0000-0000640A0000}"/>
    <cellStyle name="Normal 10 2 10 19 3 8" xfId="2724" xr:uid="{00000000-0005-0000-0000-0000650A0000}"/>
    <cellStyle name="Normal 10 2 10 19 3 9" xfId="2725" xr:uid="{00000000-0005-0000-0000-0000660A0000}"/>
    <cellStyle name="Normal 10 2 10 19 4" xfId="2726" xr:uid="{00000000-0005-0000-0000-0000670A0000}"/>
    <cellStyle name="Normal 10 2 10 19 4 10" xfId="2727" xr:uid="{00000000-0005-0000-0000-0000680A0000}"/>
    <cellStyle name="Normal 10 2 10 19 4 2" xfId="2728" xr:uid="{00000000-0005-0000-0000-0000690A0000}"/>
    <cellStyle name="Normal 10 2 10 19 4 3" xfId="2729" xr:uid="{00000000-0005-0000-0000-00006A0A0000}"/>
    <cellStyle name="Normal 10 2 10 19 4 4" xfId="2730" xr:uid="{00000000-0005-0000-0000-00006B0A0000}"/>
    <cellStyle name="Normal 10 2 10 19 4 5" xfId="2731" xr:uid="{00000000-0005-0000-0000-00006C0A0000}"/>
    <cellStyle name="Normal 10 2 10 19 4 6" xfId="2732" xr:uid="{00000000-0005-0000-0000-00006D0A0000}"/>
    <cellStyle name="Normal 10 2 10 19 4 7" xfId="2733" xr:uid="{00000000-0005-0000-0000-00006E0A0000}"/>
    <cellStyle name="Normal 10 2 10 19 4 8" xfId="2734" xr:uid="{00000000-0005-0000-0000-00006F0A0000}"/>
    <cellStyle name="Normal 10 2 10 19 4 9" xfId="2735" xr:uid="{00000000-0005-0000-0000-0000700A0000}"/>
    <cellStyle name="Normal 10 2 10 19 5" xfId="2736" xr:uid="{00000000-0005-0000-0000-0000710A0000}"/>
    <cellStyle name="Normal 10 2 10 19 5 10" xfId="2737" xr:uid="{00000000-0005-0000-0000-0000720A0000}"/>
    <cellStyle name="Normal 10 2 10 19 5 2" xfId="2738" xr:uid="{00000000-0005-0000-0000-0000730A0000}"/>
    <cellStyle name="Normal 10 2 10 19 5 3" xfId="2739" xr:uid="{00000000-0005-0000-0000-0000740A0000}"/>
    <cellStyle name="Normal 10 2 10 19 5 4" xfId="2740" xr:uid="{00000000-0005-0000-0000-0000750A0000}"/>
    <cellStyle name="Normal 10 2 10 19 5 5" xfId="2741" xr:uid="{00000000-0005-0000-0000-0000760A0000}"/>
    <cellStyle name="Normal 10 2 10 19 5 6" xfId="2742" xr:uid="{00000000-0005-0000-0000-0000770A0000}"/>
    <cellStyle name="Normal 10 2 10 19 5 7" xfId="2743" xr:uid="{00000000-0005-0000-0000-0000780A0000}"/>
    <cellStyle name="Normal 10 2 10 19 5 8" xfId="2744" xr:uid="{00000000-0005-0000-0000-0000790A0000}"/>
    <cellStyle name="Normal 10 2 10 19 5 9" xfId="2745" xr:uid="{00000000-0005-0000-0000-00007A0A0000}"/>
    <cellStyle name="Normal 10 2 10 19 6" xfId="2746" xr:uid="{00000000-0005-0000-0000-00007B0A0000}"/>
    <cellStyle name="Normal 10 2 10 19 7" xfId="2747" xr:uid="{00000000-0005-0000-0000-00007C0A0000}"/>
    <cellStyle name="Normal 10 2 10 19 8" xfId="2748" xr:uid="{00000000-0005-0000-0000-00007D0A0000}"/>
    <cellStyle name="Normal 10 2 10 19 9" xfId="2749" xr:uid="{00000000-0005-0000-0000-00007E0A0000}"/>
    <cellStyle name="Normal 10 2 10 2" xfId="50" xr:uid="{00000000-0005-0000-0000-00007F0A0000}"/>
    <cellStyle name="Normal 10 2 10 2 10" xfId="2751" xr:uid="{00000000-0005-0000-0000-0000800A0000}"/>
    <cellStyle name="Normal 10 2 10 2 10 10" xfId="2752" xr:uid="{00000000-0005-0000-0000-0000810A0000}"/>
    <cellStyle name="Normal 10 2 10 2 10 11" xfId="2753" xr:uid="{00000000-0005-0000-0000-0000820A0000}"/>
    <cellStyle name="Normal 10 2 10 2 10 12" xfId="2754" xr:uid="{00000000-0005-0000-0000-0000830A0000}"/>
    <cellStyle name="Normal 10 2 10 2 10 13" xfId="2755" xr:uid="{00000000-0005-0000-0000-0000840A0000}"/>
    <cellStyle name="Normal 10 2 10 2 10 14" xfId="2756" xr:uid="{00000000-0005-0000-0000-0000850A0000}"/>
    <cellStyle name="Normal 10 2 10 2 10 2" xfId="2757" xr:uid="{00000000-0005-0000-0000-0000860A0000}"/>
    <cellStyle name="Normal 10 2 10 2 10 2 10" xfId="2758" xr:uid="{00000000-0005-0000-0000-0000870A0000}"/>
    <cellStyle name="Normal 10 2 10 2 10 2 2" xfId="2759" xr:uid="{00000000-0005-0000-0000-0000880A0000}"/>
    <cellStyle name="Normal 10 2 10 2 10 2 3" xfId="2760" xr:uid="{00000000-0005-0000-0000-0000890A0000}"/>
    <cellStyle name="Normal 10 2 10 2 10 2 4" xfId="2761" xr:uid="{00000000-0005-0000-0000-00008A0A0000}"/>
    <cellStyle name="Normal 10 2 10 2 10 2 5" xfId="2762" xr:uid="{00000000-0005-0000-0000-00008B0A0000}"/>
    <cellStyle name="Normal 10 2 10 2 10 2 6" xfId="2763" xr:uid="{00000000-0005-0000-0000-00008C0A0000}"/>
    <cellStyle name="Normal 10 2 10 2 10 2 7" xfId="2764" xr:uid="{00000000-0005-0000-0000-00008D0A0000}"/>
    <cellStyle name="Normal 10 2 10 2 10 2 8" xfId="2765" xr:uid="{00000000-0005-0000-0000-00008E0A0000}"/>
    <cellStyle name="Normal 10 2 10 2 10 2 9" xfId="2766" xr:uid="{00000000-0005-0000-0000-00008F0A0000}"/>
    <cellStyle name="Normal 10 2 10 2 10 3" xfId="2767" xr:uid="{00000000-0005-0000-0000-0000900A0000}"/>
    <cellStyle name="Normal 10 2 10 2 10 3 10" xfId="2768" xr:uid="{00000000-0005-0000-0000-0000910A0000}"/>
    <cellStyle name="Normal 10 2 10 2 10 3 2" xfId="2769" xr:uid="{00000000-0005-0000-0000-0000920A0000}"/>
    <cellStyle name="Normal 10 2 10 2 10 3 3" xfId="2770" xr:uid="{00000000-0005-0000-0000-0000930A0000}"/>
    <cellStyle name="Normal 10 2 10 2 10 3 4" xfId="2771" xr:uid="{00000000-0005-0000-0000-0000940A0000}"/>
    <cellStyle name="Normal 10 2 10 2 10 3 5" xfId="2772" xr:uid="{00000000-0005-0000-0000-0000950A0000}"/>
    <cellStyle name="Normal 10 2 10 2 10 3 6" xfId="2773" xr:uid="{00000000-0005-0000-0000-0000960A0000}"/>
    <cellStyle name="Normal 10 2 10 2 10 3 7" xfId="2774" xr:uid="{00000000-0005-0000-0000-0000970A0000}"/>
    <cellStyle name="Normal 10 2 10 2 10 3 8" xfId="2775" xr:uid="{00000000-0005-0000-0000-0000980A0000}"/>
    <cellStyle name="Normal 10 2 10 2 10 3 9" xfId="2776" xr:uid="{00000000-0005-0000-0000-0000990A0000}"/>
    <cellStyle name="Normal 10 2 10 2 10 4" xfId="2777" xr:uid="{00000000-0005-0000-0000-00009A0A0000}"/>
    <cellStyle name="Normal 10 2 10 2 10 4 10" xfId="2778" xr:uid="{00000000-0005-0000-0000-00009B0A0000}"/>
    <cellStyle name="Normal 10 2 10 2 10 4 2" xfId="2779" xr:uid="{00000000-0005-0000-0000-00009C0A0000}"/>
    <cellStyle name="Normal 10 2 10 2 10 4 3" xfId="2780" xr:uid="{00000000-0005-0000-0000-00009D0A0000}"/>
    <cellStyle name="Normal 10 2 10 2 10 4 4" xfId="2781" xr:uid="{00000000-0005-0000-0000-00009E0A0000}"/>
    <cellStyle name="Normal 10 2 10 2 10 4 5" xfId="2782" xr:uid="{00000000-0005-0000-0000-00009F0A0000}"/>
    <cellStyle name="Normal 10 2 10 2 10 4 6" xfId="2783" xr:uid="{00000000-0005-0000-0000-0000A00A0000}"/>
    <cellStyle name="Normal 10 2 10 2 10 4 7" xfId="2784" xr:uid="{00000000-0005-0000-0000-0000A10A0000}"/>
    <cellStyle name="Normal 10 2 10 2 10 4 8" xfId="2785" xr:uid="{00000000-0005-0000-0000-0000A20A0000}"/>
    <cellStyle name="Normal 10 2 10 2 10 4 9" xfId="2786" xr:uid="{00000000-0005-0000-0000-0000A30A0000}"/>
    <cellStyle name="Normal 10 2 10 2 10 5" xfId="2787" xr:uid="{00000000-0005-0000-0000-0000A40A0000}"/>
    <cellStyle name="Normal 10 2 10 2 10 5 10" xfId="2788" xr:uid="{00000000-0005-0000-0000-0000A50A0000}"/>
    <cellStyle name="Normal 10 2 10 2 10 5 2" xfId="2789" xr:uid="{00000000-0005-0000-0000-0000A60A0000}"/>
    <cellStyle name="Normal 10 2 10 2 10 5 3" xfId="2790" xr:uid="{00000000-0005-0000-0000-0000A70A0000}"/>
    <cellStyle name="Normal 10 2 10 2 10 5 4" xfId="2791" xr:uid="{00000000-0005-0000-0000-0000A80A0000}"/>
    <cellStyle name="Normal 10 2 10 2 10 5 5" xfId="2792" xr:uid="{00000000-0005-0000-0000-0000A90A0000}"/>
    <cellStyle name="Normal 10 2 10 2 10 5 6" xfId="2793" xr:uid="{00000000-0005-0000-0000-0000AA0A0000}"/>
    <cellStyle name="Normal 10 2 10 2 10 5 7" xfId="2794" xr:uid="{00000000-0005-0000-0000-0000AB0A0000}"/>
    <cellStyle name="Normal 10 2 10 2 10 5 8" xfId="2795" xr:uid="{00000000-0005-0000-0000-0000AC0A0000}"/>
    <cellStyle name="Normal 10 2 10 2 10 5 9" xfId="2796" xr:uid="{00000000-0005-0000-0000-0000AD0A0000}"/>
    <cellStyle name="Normal 10 2 10 2 10 6" xfId="2797" xr:uid="{00000000-0005-0000-0000-0000AE0A0000}"/>
    <cellStyle name="Normal 10 2 10 2 10 7" xfId="2798" xr:uid="{00000000-0005-0000-0000-0000AF0A0000}"/>
    <cellStyle name="Normal 10 2 10 2 10 8" xfId="2799" xr:uid="{00000000-0005-0000-0000-0000B00A0000}"/>
    <cellStyle name="Normal 10 2 10 2 10 9" xfId="2800" xr:uid="{00000000-0005-0000-0000-0000B10A0000}"/>
    <cellStyle name="Normal 10 2 10 2 11" xfId="2801" xr:uid="{00000000-0005-0000-0000-0000B20A0000}"/>
    <cellStyle name="Normal 10 2 10 2 11 10" xfId="2802" xr:uid="{00000000-0005-0000-0000-0000B30A0000}"/>
    <cellStyle name="Normal 10 2 10 2 11 11" xfId="2803" xr:uid="{00000000-0005-0000-0000-0000B40A0000}"/>
    <cellStyle name="Normal 10 2 10 2 11 12" xfId="2804" xr:uid="{00000000-0005-0000-0000-0000B50A0000}"/>
    <cellStyle name="Normal 10 2 10 2 11 13" xfId="2805" xr:uid="{00000000-0005-0000-0000-0000B60A0000}"/>
    <cellStyle name="Normal 10 2 10 2 11 14" xfId="2806" xr:uid="{00000000-0005-0000-0000-0000B70A0000}"/>
    <cellStyle name="Normal 10 2 10 2 11 2" xfId="2807" xr:uid="{00000000-0005-0000-0000-0000B80A0000}"/>
    <cellStyle name="Normal 10 2 10 2 11 2 10" xfId="2808" xr:uid="{00000000-0005-0000-0000-0000B90A0000}"/>
    <cellStyle name="Normal 10 2 10 2 11 2 2" xfId="2809" xr:uid="{00000000-0005-0000-0000-0000BA0A0000}"/>
    <cellStyle name="Normal 10 2 10 2 11 2 3" xfId="2810" xr:uid="{00000000-0005-0000-0000-0000BB0A0000}"/>
    <cellStyle name="Normal 10 2 10 2 11 2 4" xfId="2811" xr:uid="{00000000-0005-0000-0000-0000BC0A0000}"/>
    <cellStyle name="Normal 10 2 10 2 11 2 5" xfId="2812" xr:uid="{00000000-0005-0000-0000-0000BD0A0000}"/>
    <cellStyle name="Normal 10 2 10 2 11 2 6" xfId="2813" xr:uid="{00000000-0005-0000-0000-0000BE0A0000}"/>
    <cellStyle name="Normal 10 2 10 2 11 2 7" xfId="2814" xr:uid="{00000000-0005-0000-0000-0000BF0A0000}"/>
    <cellStyle name="Normal 10 2 10 2 11 2 8" xfId="2815" xr:uid="{00000000-0005-0000-0000-0000C00A0000}"/>
    <cellStyle name="Normal 10 2 10 2 11 2 9" xfId="2816" xr:uid="{00000000-0005-0000-0000-0000C10A0000}"/>
    <cellStyle name="Normal 10 2 10 2 11 3" xfId="2817" xr:uid="{00000000-0005-0000-0000-0000C20A0000}"/>
    <cellStyle name="Normal 10 2 10 2 11 3 10" xfId="2818" xr:uid="{00000000-0005-0000-0000-0000C30A0000}"/>
    <cellStyle name="Normal 10 2 10 2 11 3 2" xfId="2819" xr:uid="{00000000-0005-0000-0000-0000C40A0000}"/>
    <cellStyle name="Normal 10 2 10 2 11 3 3" xfId="2820" xr:uid="{00000000-0005-0000-0000-0000C50A0000}"/>
    <cellStyle name="Normal 10 2 10 2 11 3 4" xfId="2821" xr:uid="{00000000-0005-0000-0000-0000C60A0000}"/>
    <cellStyle name="Normal 10 2 10 2 11 3 5" xfId="2822" xr:uid="{00000000-0005-0000-0000-0000C70A0000}"/>
    <cellStyle name="Normal 10 2 10 2 11 3 6" xfId="2823" xr:uid="{00000000-0005-0000-0000-0000C80A0000}"/>
    <cellStyle name="Normal 10 2 10 2 11 3 7" xfId="2824" xr:uid="{00000000-0005-0000-0000-0000C90A0000}"/>
    <cellStyle name="Normal 10 2 10 2 11 3 8" xfId="2825" xr:uid="{00000000-0005-0000-0000-0000CA0A0000}"/>
    <cellStyle name="Normal 10 2 10 2 11 3 9" xfId="2826" xr:uid="{00000000-0005-0000-0000-0000CB0A0000}"/>
    <cellStyle name="Normal 10 2 10 2 11 4" xfId="2827" xr:uid="{00000000-0005-0000-0000-0000CC0A0000}"/>
    <cellStyle name="Normal 10 2 10 2 11 4 10" xfId="2828" xr:uid="{00000000-0005-0000-0000-0000CD0A0000}"/>
    <cellStyle name="Normal 10 2 10 2 11 4 2" xfId="2829" xr:uid="{00000000-0005-0000-0000-0000CE0A0000}"/>
    <cellStyle name="Normal 10 2 10 2 11 4 3" xfId="2830" xr:uid="{00000000-0005-0000-0000-0000CF0A0000}"/>
    <cellStyle name="Normal 10 2 10 2 11 4 4" xfId="2831" xr:uid="{00000000-0005-0000-0000-0000D00A0000}"/>
    <cellStyle name="Normal 10 2 10 2 11 4 5" xfId="2832" xr:uid="{00000000-0005-0000-0000-0000D10A0000}"/>
    <cellStyle name="Normal 10 2 10 2 11 4 6" xfId="2833" xr:uid="{00000000-0005-0000-0000-0000D20A0000}"/>
    <cellStyle name="Normal 10 2 10 2 11 4 7" xfId="2834" xr:uid="{00000000-0005-0000-0000-0000D30A0000}"/>
    <cellStyle name="Normal 10 2 10 2 11 4 8" xfId="2835" xr:uid="{00000000-0005-0000-0000-0000D40A0000}"/>
    <cellStyle name="Normal 10 2 10 2 11 4 9" xfId="2836" xr:uid="{00000000-0005-0000-0000-0000D50A0000}"/>
    <cellStyle name="Normal 10 2 10 2 11 5" xfId="2837" xr:uid="{00000000-0005-0000-0000-0000D60A0000}"/>
    <cellStyle name="Normal 10 2 10 2 11 5 10" xfId="2838" xr:uid="{00000000-0005-0000-0000-0000D70A0000}"/>
    <cellStyle name="Normal 10 2 10 2 11 5 2" xfId="2839" xr:uid="{00000000-0005-0000-0000-0000D80A0000}"/>
    <cellStyle name="Normal 10 2 10 2 11 5 3" xfId="2840" xr:uid="{00000000-0005-0000-0000-0000D90A0000}"/>
    <cellStyle name="Normal 10 2 10 2 11 5 4" xfId="2841" xr:uid="{00000000-0005-0000-0000-0000DA0A0000}"/>
    <cellStyle name="Normal 10 2 10 2 11 5 5" xfId="2842" xr:uid="{00000000-0005-0000-0000-0000DB0A0000}"/>
    <cellStyle name="Normal 10 2 10 2 11 5 6" xfId="2843" xr:uid="{00000000-0005-0000-0000-0000DC0A0000}"/>
    <cellStyle name="Normal 10 2 10 2 11 5 7" xfId="2844" xr:uid="{00000000-0005-0000-0000-0000DD0A0000}"/>
    <cellStyle name="Normal 10 2 10 2 11 5 8" xfId="2845" xr:uid="{00000000-0005-0000-0000-0000DE0A0000}"/>
    <cellStyle name="Normal 10 2 10 2 11 5 9" xfId="2846" xr:uid="{00000000-0005-0000-0000-0000DF0A0000}"/>
    <cellStyle name="Normal 10 2 10 2 11 6" xfId="2847" xr:uid="{00000000-0005-0000-0000-0000E00A0000}"/>
    <cellStyle name="Normal 10 2 10 2 11 7" xfId="2848" xr:uid="{00000000-0005-0000-0000-0000E10A0000}"/>
    <cellStyle name="Normal 10 2 10 2 11 8" xfId="2849" xr:uid="{00000000-0005-0000-0000-0000E20A0000}"/>
    <cellStyle name="Normal 10 2 10 2 11 9" xfId="2850" xr:uid="{00000000-0005-0000-0000-0000E30A0000}"/>
    <cellStyle name="Normal 10 2 10 2 12" xfId="2851" xr:uid="{00000000-0005-0000-0000-0000E40A0000}"/>
    <cellStyle name="Normal 10 2 10 2 12 10" xfId="2852" xr:uid="{00000000-0005-0000-0000-0000E50A0000}"/>
    <cellStyle name="Normal 10 2 10 2 12 11" xfId="2853" xr:uid="{00000000-0005-0000-0000-0000E60A0000}"/>
    <cellStyle name="Normal 10 2 10 2 12 12" xfId="2854" xr:uid="{00000000-0005-0000-0000-0000E70A0000}"/>
    <cellStyle name="Normal 10 2 10 2 12 13" xfId="2855" xr:uid="{00000000-0005-0000-0000-0000E80A0000}"/>
    <cellStyle name="Normal 10 2 10 2 12 14" xfId="2856" xr:uid="{00000000-0005-0000-0000-0000E90A0000}"/>
    <cellStyle name="Normal 10 2 10 2 12 2" xfId="2857" xr:uid="{00000000-0005-0000-0000-0000EA0A0000}"/>
    <cellStyle name="Normal 10 2 10 2 12 2 10" xfId="2858" xr:uid="{00000000-0005-0000-0000-0000EB0A0000}"/>
    <cellStyle name="Normal 10 2 10 2 12 2 2" xfId="2859" xr:uid="{00000000-0005-0000-0000-0000EC0A0000}"/>
    <cellStyle name="Normal 10 2 10 2 12 2 3" xfId="2860" xr:uid="{00000000-0005-0000-0000-0000ED0A0000}"/>
    <cellStyle name="Normal 10 2 10 2 12 2 4" xfId="2861" xr:uid="{00000000-0005-0000-0000-0000EE0A0000}"/>
    <cellStyle name="Normal 10 2 10 2 12 2 5" xfId="2862" xr:uid="{00000000-0005-0000-0000-0000EF0A0000}"/>
    <cellStyle name="Normal 10 2 10 2 12 2 6" xfId="2863" xr:uid="{00000000-0005-0000-0000-0000F00A0000}"/>
    <cellStyle name="Normal 10 2 10 2 12 2 7" xfId="2864" xr:uid="{00000000-0005-0000-0000-0000F10A0000}"/>
    <cellStyle name="Normal 10 2 10 2 12 2 8" xfId="2865" xr:uid="{00000000-0005-0000-0000-0000F20A0000}"/>
    <cellStyle name="Normal 10 2 10 2 12 2 9" xfId="2866" xr:uid="{00000000-0005-0000-0000-0000F30A0000}"/>
    <cellStyle name="Normal 10 2 10 2 12 3" xfId="2867" xr:uid="{00000000-0005-0000-0000-0000F40A0000}"/>
    <cellStyle name="Normal 10 2 10 2 12 3 10" xfId="2868" xr:uid="{00000000-0005-0000-0000-0000F50A0000}"/>
    <cellStyle name="Normal 10 2 10 2 12 3 2" xfId="2869" xr:uid="{00000000-0005-0000-0000-0000F60A0000}"/>
    <cellStyle name="Normal 10 2 10 2 12 3 3" xfId="2870" xr:uid="{00000000-0005-0000-0000-0000F70A0000}"/>
    <cellStyle name="Normal 10 2 10 2 12 3 4" xfId="2871" xr:uid="{00000000-0005-0000-0000-0000F80A0000}"/>
    <cellStyle name="Normal 10 2 10 2 12 3 5" xfId="2872" xr:uid="{00000000-0005-0000-0000-0000F90A0000}"/>
    <cellStyle name="Normal 10 2 10 2 12 3 6" xfId="2873" xr:uid="{00000000-0005-0000-0000-0000FA0A0000}"/>
    <cellStyle name="Normal 10 2 10 2 12 3 7" xfId="2874" xr:uid="{00000000-0005-0000-0000-0000FB0A0000}"/>
    <cellStyle name="Normal 10 2 10 2 12 3 8" xfId="2875" xr:uid="{00000000-0005-0000-0000-0000FC0A0000}"/>
    <cellStyle name="Normal 10 2 10 2 12 3 9" xfId="2876" xr:uid="{00000000-0005-0000-0000-0000FD0A0000}"/>
    <cellStyle name="Normal 10 2 10 2 12 4" xfId="2877" xr:uid="{00000000-0005-0000-0000-0000FE0A0000}"/>
    <cellStyle name="Normal 10 2 10 2 12 4 10" xfId="2878" xr:uid="{00000000-0005-0000-0000-0000FF0A0000}"/>
    <cellStyle name="Normal 10 2 10 2 12 4 2" xfId="2879" xr:uid="{00000000-0005-0000-0000-0000000B0000}"/>
    <cellStyle name="Normal 10 2 10 2 12 4 3" xfId="2880" xr:uid="{00000000-0005-0000-0000-0000010B0000}"/>
    <cellStyle name="Normal 10 2 10 2 12 4 4" xfId="2881" xr:uid="{00000000-0005-0000-0000-0000020B0000}"/>
    <cellStyle name="Normal 10 2 10 2 12 4 5" xfId="2882" xr:uid="{00000000-0005-0000-0000-0000030B0000}"/>
    <cellStyle name="Normal 10 2 10 2 12 4 6" xfId="2883" xr:uid="{00000000-0005-0000-0000-0000040B0000}"/>
    <cellStyle name="Normal 10 2 10 2 12 4 7" xfId="2884" xr:uid="{00000000-0005-0000-0000-0000050B0000}"/>
    <cellStyle name="Normal 10 2 10 2 12 4 8" xfId="2885" xr:uid="{00000000-0005-0000-0000-0000060B0000}"/>
    <cellStyle name="Normal 10 2 10 2 12 4 9" xfId="2886" xr:uid="{00000000-0005-0000-0000-0000070B0000}"/>
    <cellStyle name="Normal 10 2 10 2 12 5" xfId="2887" xr:uid="{00000000-0005-0000-0000-0000080B0000}"/>
    <cellStyle name="Normal 10 2 10 2 12 5 10" xfId="2888" xr:uid="{00000000-0005-0000-0000-0000090B0000}"/>
    <cellStyle name="Normal 10 2 10 2 12 5 2" xfId="2889" xr:uid="{00000000-0005-0000-0000-00000A0B0000}"/>
    <cellStyle name="Normal 10 2 10 2 12 5 3" xfId="2890" xr:uid="{00000000-0005-0000-0000-00000B0B0000}"/>
    <cellStyle name="Normal 10 2 10 2 12 5 4" xfId="2891" xr:uid="{00000000-0005-0000-0000-00000C0B0000}"/>
    <cellStyle name="Normal 10 2 10 2 12 5 5" xfId="2892" xr:uid="{00000000-0005-0000-0000-00000D0B0000}"/>
    <cellStyle name="Normal 10 2 10 2 12 5 6" xfId="2893" xr:uid="{00000000-0005-0000-0000-00000E0B0000}"/>
    <cellStyle name="Normal 10 2 10 2 12 5 7" xfId="2894" xr:uid="{00000000-0005-0000-0000-00000F0B0000}"/>
    <cellStyle name="Normal 10 2 10 2 12 5 8" xfId="2895" xr:uid="{00000000-0005-0000-0000-0000100B0000}"/>
    <cellStyle name="Normal 10 2 10 2 12 5 9" xfId="2896" xr:uid="{00000000-0005-0000-0000-0000110B0000}"/>
    <cellStyle name="Normal 10 2 10 2 12 6" xfId="2897" xr:uid="{00000000-0005-0000-0000-0000120B0000}"/>
    <cellStyle name="Normal 10 2 10 2 12 7" xfId="2898" xr:uid="{00000000-0005-0000-0000-0000130B0000}"/>
    <cellStyle name="Normal 10 2 10 2 12 8" xfId="2899" xr:uid="{00000000-0005-0000-0000-0000140B0000}"/>
    <cellStyle name="Normal 10 2 10 2 12 9" xfId="2900" xr:uid="{00000000-0005-0000-0000-0000150B0000}"/>
    <cellStyle name="Normal 10 2 10 2 13" xfId="2901" xr:uid="{00000000-0005-0000-0000-0000160B0000}"/>
    <cellStyle name="Normal 10 2 10 2 13 10" xfId="2902" xr:uid="{00000000-0005-0000-0000-0000170B0000}"/>
    <cellStyle name="Normal 10 2 10 2 13 11" xfId="2903" xr:uid="{00000000-0005-0000-0000-0000180B0000}"/>
    <cellStyle name="Normal 10 2 10 2 13 12" xfId="2904" xr:uid="{00000000-0005-0000-0000-0000190B0000}"/>
    <cellStyle name="Normal 10 2 10 2 13 13" xfId="2905" xr:uid="{00000000-0005-0000-0000-00001A0B0000}"/>
    <cellStyle name="Normal 10 2 10 2 13 14" xfId="2906" xr:uid="{00000000-0005-0000-0000-00001B0B0000}"/>
    <cellStyle name="Normal 10 2 10 2 13 2" xfId="2907" xr:uid="{00000000-0005-0000-0000-00001C0B0000}"/>
    <cellStyle name="Normal 10 2 10 2 13 2 10" xfId="2908" xr:uid="{00000000-0005-0000-0000-00001D0B0000}"/>
    <cellStyle name="Normal 10 2 10 2 13 2 2" xfId="2909" xr:uid="{00000000-0005-0000-0000-00001E0B0000}"/>
    <cellStyle name="Normal 10 2 10 2 13 2 3" xfId="2910" xr:uid="{00000000-0005-0000-0000-00001F0B0000}"/>
    <cellStyle name="Normal 10 2 10 2 13 2 4" xfId="2911" xr:uid="{00000000-0005-0000-0000-0000200B0000}"/>
    <cellStyle name="Normal 10 2 10 2 13 2 5" xfId="2912" xr:uid="{00000000-0005-0000-0000-0000210B0000}"/>
    <cellStyle name="Normal 10 2 10 2 13 2 6" xfId="2913" xr:uid="{00000000-0005-0000-0000-0000220B0000}"/>
    <cellStyle name="Normal 10 2 10 2 13 2 7" xfId="2914" xr:uid="{00000000-0005-0000-0000-0000230B0000}"/>
    <cellStyle name="Normal 10 2 10 2 13 2 8" xfId="2915" xr:uid="{00000000-0005-0000-0000-0000240B0000}"/>
    <cellStyle name="Normal 10 2 10 2 13 2 9" xfId="2916" xr:uid="{00000000-0005-0000-0000-0000250B0000}"/>
    <cellStyle name="Normal 10 2 10 2 13 3" xfId="2917" xr:uid="{00000000-0005-0000-0000-0000260B0000}"/>
    <cellStyle name="Normal 10 2 10 2 13 3 10" xfId="2918" xr:uid="{00000000-0005-0000-0000-0000270B0000}"/>
    <cellStyle name="Normal 10 2 10 2 13 3 2" xfId="2919" xr:uid="{00000000-0005-0000-0000-0000280B0000}"/>
    <cellStyle name="Normal 10 2 10 2 13 3 3" xfId="2920" xr:uid="{00000000-0005-0000-0000-0000290B0000}"/>
    <cellStyle name="Normal 10 2 10 2 13 3 4" xfId="2921" xr:uid="{00000000-0005-0000-0000-00002A0B0000}"/>
    <cellStyle name="Normal 10 2 10 2 13 3 5" xfId="2922" xr:uid="{00000000-0005-0000-0000-00002B0B0000}"/>
    <cellStyle name="Normal 10 2 10 2 13 3 6" xfId="2923" xr:uid="{00000000-0005-0000-0000-00002C0B0000}"/>
    <cellStyle name="Normal 10 2 10 2 13 3 7" xfId="2924" xr:uid="{00000000-0005-0000-0000-00002D0B0000}"/>
    <cellStyle name="Normal 10 2 10 2 13 3 8" xfId="2925" xr:uid="{00000000-0005-0000-0000-00002E0B0000}"/>
    <cellStyle name="Normal 10 2 10 2 13 3 9" xfId="2926" xr:uid="{00000000-0005-0000-0000-00002F0B0000}"/>
    <cellStyle name="Normal 10 2 10 2 13 4" xfId="2927" xr:uid="{00000000-0005-0000-0000-0000300B0000}"/>
    <cellStyle name="Normal 10 2 10 2 13 4 10" xfId="2928" xr:uid="{00000000-0005-0000-0000-0000310B0000}"/>
    <cellStyle name="Normal 10 2 10 2 13 4 2" xfId="2929" xr:uid="{00000000-0005-0000-0000-0000320B0000}"/>
    <cellStyle name="Normal 10 2 10 2 13 4 3" xfId="2930" xr:uid="{00000000-0005-0000-0000-0000330B0000}"/>
    <cellStyle name="Normal 10 2 10 2 13 4 4" xfId="2931" xr:uid="{00000000-0005-0000-0000-0000340B0000}"/>
    <cellStyle name="Normal 10 2 10 2 13 4 5" xfId="2932" xr:uid="{00000000-0005-0000-0000-0000350B0000}"/>
    <cellStyle name="Normal 10 2 10 2 13 4 6" xfId="2933" xr:uid="{00000000-0005-0000-0000-0000360B0000}"/>
    <cellStyle name="Normal 10 2 10 2 13 4 7" xfId="2934" xr:uid="{00000000-0005-0000-0000-0000370B0000}"/>
    <cellStyle name="Normal 10 2 10 2 13 4 8" xfId="2935" xr:uid="{00000000-0005-0000-0000-0000380B0000}"/>
    <cellStyle name="Normal 10 2 10 2 13 4 9" xfId="2936" xr:uid="{00000000-0005-0000-0000-0000390B0000}"/>
    <cellStyle name="Normal 10 2 10 2 13 5" xfId="2937" xr:uid="{00000000-0005-0000-0000-00003A0B0000}"/>
    <cellStyle name="Normal 10 2 10 2 13 5 10" xfId="2938" xr:uid="{00000000-0005-0000-0000-00003B0B0000}"/>
    <cellStyle name="Normal 10 2 10 2 13 5 2" xfId="2939" xr:uid="{00000000-0005-0000-0000-00003C0B0000}"/>
    <cellStyle name="Normal 10 2 10 2 13 5 3" xfId="2940" xr:uid="{00000000-0005-0000-0000-00003D0B0000}"/>
    <cellStyle name="Normal 10 2 10 2 13 5 4" xfId="2941" xr:uid="{00000000-0005-0000-0000-00003E0B0000}"/>
    <cellStyle name="Normal 10 2 10 2 13 5 5" xfId="2942" xr:uid="{00000000-0005-0000-0000-00003F0B0000}"/>
    <cellStyle name="Normal 10 2 10 2 13 5 6" xfId="2943" xr:uid="{00000000-0005-0000-0000-0000400B0000}"/>
    <cellStyle name="Normal 10 2 10 2 13 5 7" xfId="2944" xr:uid="{00000000-0005-0000-0000-0000410B0000}"/>
    <cellStyle name="Normal 10 2 10 2 13 5 8" xfId="2945" xr:uid="{00000000-0005-0000-0000-0000420B0000}"/>
    <cellStyle name="Normal 10 2 10 2 13 5 9" xfId="2946" xr:uid="{00000000-0005-0000-0000-0000430B0000}"/>
    <cellStyle name="Normal 10 2 10 2 13 6" xfId="2947" xr:uid="{00000000-0005-0000-0000-0000440B0000}"/>
    <cellStyle name="Normal 10 2 10 2 13 7" xfId="2948" xr:uid="{00000000-0005-0000-0000-0000450B0000}"/>
    <cellStyle name="Normal 10 2 10 2 13 8" xfId="2949" xr:uid="{00000000-0005-0000-0000-0000460B0000}"/>
    <cellStyle name="Normal 10 2 10 2 13 9" xfId="2950" xr:uid="{00000000-0005-0000-0000-0000470B0000}"/>
    <cellStyle name="Normal 10 2 10 2 14" xfId="2951" xr:uid="{00000000-0005-0000-0000-0000480B0000}"/>
    <cellStyle name="Normal 10 2 10 2 14 10" xfId="2952" xr:uid="{00000000-0005-0000-0000-0000490B0000}"/>
    <cellStyle name="Normal 10 2 10 2 14 11" xfId="2953" xr:uid="{00000000-0005-0000-0000-00004A0B0000}"/>
    <cellStyle name="Normal 10 2 10 2 14 12" xfId="2954" xr:uid="{00000000-0005-0000-0000-00004B0B0000}"/>
    <cellStyle name="Normal 10 2 10 2 14 13" xfId="2955" xr:uid="{00000000-0005-0000-0000-00004C0B0000}"/>
    <cellStyle name="Normal 10 2 10 2 14 14" xfId="2956" xr:uid="{00000000-0005-0000-0000-00004D0B0000}"/>
    <cellStyle name="Normal 10 2 10 2 14 2" xfId="2957" xr:uid="{00000000-0005-0000-0000-00004E0B0000}"/>
    <cellStyle name="Normal 10 2 10 2 14 2 10" xfId="2958" xr:uid="{00000000-0005-0000-0000-00004F0B0000}"/>
    <cellStyle name="Normal 10 2 10 2 14 2 2" xfId="2959" xr:uid="{00000000-0005-0000-0000-0000500B0000}"/>
    <cellStyle name="Normal 10 2 10 2 14 2 3" xfId="2960" xr:uid="{00000000-0005-0000-0000-0000510B0000}"/>
    <cellStyle name="Normal 10 2 10 2 14 2 4" xfId="2961" xr:uid="{00000000-0005-0000-0000-0000520B0000}"/>
    <cellStyle name="Normal 10 2 10 2 14 2 5" xfId="2962" xr:uid="{00000000-0005-0000-0000-0000530B0000}"/>
    <cellStyle name="Normal 10 2 10 2 14 2 6" xfId="2963" xr:uid="{00000000-0005-0000-0000-0000540B0000}"/>
    <cellStyle name="Normal 10 2 10 2 14 2 7" xfId="2964" xr:uid="{00000000-0005-0000-0000-0000550B0000}"/>
    <cellStyle name="Normal 10 2 10 2 14 2 8" xfId="2965" xr:uid="{00000000-0005-0000-0000-0000560B0000}"/>
    <cellStyle name="Normal 10 2 10 2 14 2 9" xfId="2966" xr:uid="{00000000-0005-0000-0000-0000570B0000}"/>
    <cellStyle name="Normal 10 2 10 2 14 3" xfId="2967" xr:uid="{00000000-0005-0000-0000-0000580B0000}"/>
    <cellStyle name="Normal 10 2 10 2 14 3 10" xfId="2968" xr:uid="{00000000-0005-0000-0000-0000590B0000}"/>
    <cellStyle name="Normal 10 2 10 2 14 3 2" xfId="2969" xr:uid="{00000000-0005-0000-0000-00005A0B0000}"/>
    <cellStyle name="Normal 10 2 10 2 14 3 3" xfId="2970" xr:uid="{00000000-0005-0000-0000-00005B0B0000}"/>
    <cellStyle name="Normal 10 2 10 2 14 3 4" xfId="2971" xr:uid="{00000000-0005-0000-0000-00005C0B0000}"/>
    <cellStyle name="Normal 10 2 10 2 14 3 5" xfId="2972" xr:uid="{00000000-0005-0000-0000-00005D0B0000}"/>
    <cellStyle name="Normal 10 2 10 2 14 3 6" xfId="2973" xr:uid="{00000000-0005-0000-0000-00005E0B0000}"/>
    <cellStyle name="Normal 10 2 10 2 14 3 7" xfId="2974" xr:uid="{00000000-0005-0000-0000-00005F0B0000}"/>
    <cellStyle name="Normal 10 2 10 2 14 3 8" xfId="2975" xr:uid="{00000000-0005-0000-0000-0000600B0000}"/>
    <cellStyle name="Normal 10 2 10 2 14 3 9" xfId="2976" xr:uid="{00000000-0005-0000-0000-0000610B0000}"/>
    <cellStyle name="Normal 10 2 10 2 14 4" xfId="2977" xr:uid="{00000000-0005-0000-0000-0000620B0000}"/>
    <cellStyle name="Normal 10 2 10 2 14 4 10" xfId="2978" xr:uid="{00000000-0005-0000-0000-0000630B0000}"/>
    <cellStyle name="Normal 10 2 10 2 14 4 2" xfId="2979" xr:uid="{00000000-0005-0000-0000-0000640B0000}"/>
    <cellStyle name="Normal 10 2 10 2 14 4 3" xfId="2980" xr:uid="{00000000-0005-0000-0000-0000650B0000}"/>
    <cellStyle name="Normal 10 2 10 2 14 4 4" xfId="2981" xr:uid="{00000000-0005-0000-0000-0000660B0000}"/>
    <cellStyle name="Normal 10 2 10 2 14 4 5" xfId="2982" xr:uid="{00000000-0005-0000-0000-0000670B0000}"/>
    <cellStyle name="Normal 10 2 10 2 14 4 6" xfId="2983" xr:uid="{00000000-0005-0000-0000-0000680B0000}"/>
    <cellStyle name="Normal 10 2 10 2 14 4 7" xfId="2984" xr:uid="{00000000-0005-0000-0000-0000690B0000}"/>
    <cellStyle name="Normal 10 2 10 2 14 4 8" xfId="2985" xr:uid="{00000000-0005-0000-0000-00006A0B0000}"/>
    <cellStyle name="Normal 10 2 10 2 14 4 9" xfId="2986" xr:uid="{00000000-0005-0000-0000-00006B0B0000}"/>
    <cellStyle name="Normal 10 2 10 2 14 5" xfId="2987" xr:uid="{00000000-0005-0000-0000-00006C0B0000}"/>
    <cellStyle name="Normal 10 2 10 2 14 5 10" xfId="2988" xr:uid="{00000000-0005-0000-0000-00006D0B0000}"/>
    <cellStyle name="Normal 10 2 10 2 14 5 2" xfId="2989" xr:uid="{00000000-0005-0000-0000-00006E0B0000}"/>
    <cellStyle name="Normal 10 2 10 2 14 5 3" xfId="2990" xr:uid="{00000000-0005-0000-0000-00006F0B0000}"/>
    <cellStyle name="Normal 10 2 10 2 14 5 4" xfId="2991" xr:uid="{00000000-0005-0000-0000-0000700B0000}"/>
    <cellStyle name="Normal 10 2 10 2 14 5 5" xfId="2992" xr:uid="{00000000-0005-0000-0000-0000710B0000}"/>
    <cellStyle name="Normal 10 2 10 2 14 5 6" xfId="2993" xr:uid="{00000000-0005-0000-0000-0000720B0000}"/>
    <cellStyle name="Normal 10 2 10 2 14 5 7" xfId="2994" xr:uid="{00000000-0005-0000-0000-0000730B0000}"/>
    <cellStyle name="Normal 10 2 10 2 14 5 8" xfId="2995" xr:uid="{00000000-0005-0000-0000-0000740B0000}"/>
    <cellStyle name="Normal 10 2 10 2 14 5 9" xfId="2996" xr:uid="{00000000-0005-0000-0000-0000750B0000}"/>
    <cellStyle name="Normal 10 2 10 2 14 6" xfId="2997" xr:uid="{00000000-0005-0000-0000-0000760B0000}"/>
    <cellStyle name="Normal 10 2 10 2 14 7" xfId="2998" xr:uid="{00000000-0005-0000-0000-0000770B0000}"/>
    <cellStyle name="Normal 10 2 10 2 14 8" xfId="2999" xr:uid="{00000000-0005-0000-0000-0000780B0000}"/>
    <cellStyle name="Normal 10 2 10 2 14 9" xfId="3000" xr:uid="{00000000-0005-0000-0000-0000790B0000}"/>
    <cellStyle name="Normal 10 2 10 2 15" xfId="3001" xr:uid="{00000000-0005-0000-0000-00007A0B0000}"/>
    <cellStyle name="Normal 10 2 10 2 15 10" xfId="3002" xr:uid="{00000000-0005-0000-0000-00007B0B0000}"/>
    <cellStyle name="Normal 10 2 10 2 15 11" xfId="3003" xr:uid="{00000000-0005-0000-0000-00007C0B0000}"/>
    <cellStyle name="Normal 10 2 10 2 15 12" xfId="3004" xr:uid="{00000000-0005-0000-0000-00007D0B0000}"/>
    <cellStyle name="Normal 10 2 10 2 15 13" xfId="3005" xr:uid="{00000000-0005-0000-0000-00007E0B0000}"/>
    <cellStyle name="Normal 10 2 10 2 15 14" xfId="3006" xr:uid="{00000000-0005-0000-0000-00007F0B0000}"/>
    <cellStyle name="Normal 10 2 10 2 15 2" xfId="3007" xr:uid="{00000000-0005-0000-0000-0000800B0000}"/>
    <cellStyle name="Normal 10 2 10 2 15 2 10" xfId="3008" xr:uid="{00000000-0005-0000-0000-0000810B0000}"/>
    <cellStyle name="Normal 10 2 10 2 15 2 2" xfId="3009" xr:uid="{00000000-0005-0000-0000-0000820B0000}"/>
    <cellStyle name="Normal 10 2 10 2 15 2 3" xfId="3010" xr:uid="{00000000-0005-0000-0000-0000830B0000}"/>
    <cellStyle name="Normal 10 2 10 2 15 2 4" xfId="3011" xr:uid="{00000000-0005-0000-0000-0000840B0000}"/>
    <cellStyle name="Normal 10 2 10 2 15 2 5" xfId="3012" xr:uid="{00000000-0005-0000-0000-0000850B0000}"/>
    <cellStyle name="Normal 10 2 10 2 15 2 6" xfId="3013" xr:uid="{00000000-0005-0000-0000-0000860B0000}"/>
    <cellStyle name="Normal 10 2 10 2 15 2 7" xfId="3014" xr:uid="{00000000-0005-0000-0000-0000870B0000}"/>
    <cellStyle name="Normal 10 2 10 2 15 2 8" xfId="3015" xr:uid="{00000000-0005-0000-0000-0000880B0000}"/>
    <cellStyle name="Normal 10 2 10 2 15 2 9" xfId="3016" xr:uid="{00000000-0005-0000-0000-0000890B0000}"/>
    <cellStyle name="Normal 10 2 10 2 15 3" xfId="3017" xr:uid="{00000000-0005-0000-0000-00008A0B0000}"/>
    <cellStyle name="Normal 10 2 10 2 15 3 10" xfId="3018" xr:uid="{00000000-0005-0000-0000-00008B0B0000}"/>
    <cellStyle name="Normal 10 2 10 2 15 3 2" xfId="3019" xr:uid="{00000000-0005-0000-0000-00008C0B0000}"/>
    <cellStyle name="Normal 10 2 10 2 15 3 3" xfId="3020" xr:uid="{00000000-0005-0000-0000-00008D0B0000}"/>
    <cellStyle name="Normal 10 2 10 2 15 3 4" xfId="3021" xr:uid="{00000000-0005-0000-0000-00008E0B0000}"/>
    <cellStyle name="Normal 10 2 10 2 15 3 5" xfId="3022" xr:uid="{00000000-0005-0000-0000-00008F0B0000}"/>
    <cellStyle name="Normal 10 2 10 2 15 3 6" xfId="3023" xr:uid="{00000000-0005-0000-0000-0000900B0000}"/>
    <cellStyle name="Normal 10 2 10 2 15 3 7" xfId="3024" xr:uid="{00000000-0005-0000-0000-0000910B0000}"/>
    <cellStyle name="Normal 10 2 10 2 15 3 8" xfId="3025" xr:uid="{00000000-0005-0000-0000-0000920B0000}"/>
    <cellStyle name="Normal 10 2 10 2 15 3 9" xfId="3026" xr:uid="{00000000-0005-0000-0000-0000930B0000}"/>
    <cellStyle name="Normal 10 2 10 2 15 4" xfId="3027" xr:uid="{00000000-0005-0000-0000-0000940B0000}"/>
    <cellStyle name="Normal 10 2 10 2 15 4 10" xfId="3028" xr:uid="{00000000-0005-0000-0000-0000950B0000}"/>
    <cellStyle name="Normal 10 2 10 2 15 4 2" xfId="3029" xr:uid="{00000000-0005-0000-0000-0000960B0000}"/>
    <cellStyle name="Normal 10 2 10 2 15 4 3" xfId="3030" xr:uid="{00000000-0005-0000-0000-0000970B0000}"/>
    <cellStyle name="Normal 10 2 10 2 15 4 4" xfId="3031" xr:uid="{00000000-0005-0000-0000-0000980B0000}"/>
    <cellStyle name="Normal 10 2 10 2 15 4 5" xfId="3032" xr:uid="{00000000-0005-0000-0000-0000990B0000}"/>
    <cellStyle name="Normal 10 2 10 2 15 4 6" xfId="3033" xr:uid="{00000000-0005-0000-0000-00009A0B0000}"/>
    <cellStyle name="Normal 10 2 10 2 15 4 7" xfId="3034" xr:uid="{00000000-0005-0000-0000-00009B0B0000}"/>
    <cellStyle name="Normal 10 2 10 2 15 4 8" xfId="3035" xr:uid="{00000000-0005-0000-0000-00009C0B0000}"/>
    <cellStyle name="Normal 10 2 10 2 15 4 9" xfId="3036" xr:uid="{00000000-0005-0000-0000-00009D0B0000}"/>
    <cellStyle name="Normal 10 2 10 2 15 5" xfId="3037" xr:uid="{00000000-0005-0000-0000-00009E0B0000}"/>
    <cellStyle name="Normal 10 2 10 2 15 5 10" xfId="3038" xr:uid="{00000000-0005-0000-0000-00009F0B0000}"/>
    <cellStyle name="Normal 10 2 10 2 15 5 2" xfId="3039" xr:uid="{00000000-0005-0000-0000-0000A00B0000}"/>
    <cellStyle name="Normal 10 2 10 2 15 5 3" xfId="3040" xr:uid="{00000000-0005-0000-0000-0000A10B0000}"/>
    <cellStyle name="Normal 10 2 10 2 15 5 4" xfId="3041" xr:uid="{00000000-0005-0000-0000-0000A20B0000}"/>
    <cellStyle name="Normal 10 2 10 2 15 5 5" xfId="3042" xr:uid="{00000000-0005-0000-0000-0000A30B0000}"/>
    <cellStyle name="Normal 10 2 10 2 15 5 6" xfId="3043" xr:uid="{00000000-0005-0000-0000-0000A40B0000}"/>
    <cellStyle name="Normal 10 2 10 2 15 5 7" xfId="3044" xr:uid="{00000000-0005-0000-0000-0000A50B0000}"/>
    <cellStyle name="Normal 10 2 10 2 15 5 8" xfId="3045" xr:uid="{00000000-0005-0000-0000-0000A60B0000}"/>
    <cellStyle name="Normal 10 2 10 2 15 5 9" xfId="3046" xr:uid="{00000000-0005-0000-0000-0000A70B0000}"/>
    <cellStyle name="Normal 10 2 10 2 15 6" xfId="3047" xr:uid="{00000000-0005-0000-0000-0000A80B0000}"/>
    <cellStyle name="Normal 10 2 10 2 15 7" xfId="3048" xr:uid="{00000000-0005-0000-0000-0000A90B0000}"/>
    <cellStyle name="Normal 10 2 10 2 15 8" xfId="3049" xr:uid="{00000000-0005-0000-0000-0000AA0B0000}"/>
    <cellStyle name="Normal 10 2 10 2 15 9" xfId="3050" xr:uid="{00000000-0005-0000-0000-0000AB0B0000}"/>
    <cellStyle name="Normal 10 2 10 2 16" xfId="3051" xr:uid="{00000000-0005-0000-0000-0000AC0B0000}"/>
    <cellStyle name="Normal 10 2 10 2 16 10" xfId="3052" xr:uid="{00000000-0005-0000-0000-0000AD0B0000}"/>
    <cellStyle name="Normal 10 2 10 2 16 11" xfId="3053" xr:uid="{00000000-0005-0000-0000-0000AE0B0000}"/>
    <cellStyle name="Normal 10 2 10 2 16 12" xfId="3054" xr:uid="{00000000-0005-0000-0000-0000AF0B0000}"/>
    <cellStyle name="Normal 10 2 10 2 16 13" xfId="3055" xr:uid="{00000000-0005-0000-0000-0000B00B0000}"/>
    <cellStyle name="Normal 10 2 10 2 16 14" xfId="3056" xr:uid="{00000000-0005-0000-0000-0000B10B0000}"/>
    <cellStyle name="Normal 10 2 10 2 16 2" xfId="3057" xr:uid="{00000000-0005-0000-0000-0000B20B0000}"/>
    <cellStyle name="Normal 10 2 10 2 16 2 10" xfId="3058" xr:uid="{00000000-0005-0000-0000-0000B30B0000}"/>
    <cellStyle name="Normal 10 2 10 2 16 2 2" xfId="3059" xr:uid="{00000000-0005-0000-0000-0000B40B0000}"/>
    <cellStyle name="Normal 10 2 10 2 16 2 3" xfId="3060" xr:uid="{00000000-0005-0000-0000-0000B50B0000}"/>
    <cellStyle name="Normal 10 2 10 2 16 2 4" xfId="3061" xr:uid="{00000000-0005-0000-0000-0000B60B0000}"/>
    <cellStyle name="Normal 10 2 10 2 16 2 5" xfId="3062" xr:uid="{00000000-0005-0000-0000-0000B70B0000}"/>
    <cellStyle name="Normal 10 2 10 2 16 2 6" xfId="3063" xr:uid="{00000000-0005-0000-0000-0000B80B0000}"/>
    <cellStyle name="Normal 10 2 10 2 16 2 7" xfId="3064" xr:uid="{00000000-0005-0000-0000-0000B90B0000}"/>
    <cellStyle name="Normal 10 2 10 2 16 2 8" xfId="3065" xr:uid="{00000000-0005-0000-0000-0000BA0B0000}"/>
    <cellStyle name="Normal 10 2 10 2 16 2 9" xfId="3066" xr:uid="{00000000-0005-0000-0000-0000BB0B0000}"/>
    <cellStyle name="Normal 10 2 10 2 16 3" xfId="3067" xr:uid="{00000000-0005-0000-0000-0000BC0B0000}"/>
    <cellStyle name="Normal 10 2 10 2 16 3 10" xfId="3068" xr:uid="{00000000-0005-0000-0000-0000BD0B0000}"/>
    <cellStyle name="Normal 10 2 10 2 16 3 2" xfId="3069" xr:uid="{00000000-0005-0000-0000-0000BE0B0000}"/>
    <cellStyle name="Normal 10 2 10 2 16 3 3" xfId="3070" xr:uid="{00000000-0005-0000-0000-0000BF0B0000}"/>
    <cellStyle name="Normal 10 2 10 2 16 3 4" xfId="3071" xr:uid="{00000000-0005-0000-0000-0000C00B0000}"/>
    <cellStyle name="Normal 10 2 10 2 16 3 5" xfId="3072" xr:uid="{00000000-0005-0000-0000-0000C10B0000}"/>
    <cellStyle name="Normal 10 2 10 2 16 3 6" xfId="3073" xr:uid="{00000000-0005-0000-0000-0000C20B0000}"/>
    <cellStyle name="Normal 10 2 10 2 16 3 7" xfId="3074" xr:uid="{00000000-0005-0000-0000-0000C30B0000}"/>
    <cellStyle name="Normal 10 2 10 2 16 3 8" xfId="3075" xr:uid="{00000000-0005-0000-0000-0000C40B0000}"/>
    <cellStyle name="Normal 10 2 10 2 16 3 9" xfId="3076" xr:uid="{00000000-0005-0000-0000-0000C50B0000}"/>
    <cellStyle name="Normal 10 2 10 2 16 4" xfId="3077" xr:uid="{00000000-0005-0000-0000-0000C60B0000}"/>
    <cellStyle name="Normal 10 2 10 2 16 4 10" xfId="3078" xr:uid="{00000000-0005-0000-0000-0000C70B0000}"/>
    <cellStyle name="Normal 10 2 10 2 16 4 2" xfId="3079" xr:uid="{00000000-0005-0000-0000-0000C80B0000}"/>
    <cellStyle name="Normal 10 2 10 2 16 4 3" xfId="3080" xr:uid="{00000000-0005-0000-0000-0000C90B0000}"/>
    <cellStyle name="Normal 10 2 10 2 16 4 4" xfId="3081" xr:uid="{00000000-0005-0000-0000-0000CA0B0000}"/>
    <cellStyle name="Normal 10 2 10 2 16 4 5" xfId="3082" xr:uid="{00000000-0005-0000-0000-0000CB0B0000}"/>
    <cellStyle name="Normal 10 2 10 2 16 4 6" xfId="3083" xr:uid="{00000000-0005-0000-0000-0000CC0B0000}"/>
    <cellStyle name="Normal 10 2 10 2 16 4 7" xfId="3084" xr:uid="{00000000-0005-0000-0000-0000CD0B0000}"/>
    <cellStyle name="Normal 10 2 10 2 16 4 8" xfId="3085" xr:uid="{00000000-0005-0000-0000-0000CE0B0000}"/>
    <cellStyle name="Normal 10 2 10 2 16 4 9" xfId="3086" xr:uid="{00000000-0005-0000-0000-0000CF0B0000}"/>
    <cellStyle name="Normal 10 2 10 2 16 5" xfId="3087" xr:uid="{00000000-0005-0000-0000-0000D00B0000}"/>
    <cellStyle name="Normal 10 2 10 2 16 5 10" xfId="3088" xr:uid="{00000000-0005-0000-0000-0000D10B0000}"/>
    <cellStyle name="Normal 10 2 10 2 16 5 2" xfId="3089" xr:uid="{00000000-0005-0000-0000-0000D20B0000}"/>
    <cellStyle name="Normal 10 2 10 2 16 5 3" xfId="3090" xr:uid="{00000000-0005-0000-0000-0000D30B0000}"/>
    <cellStyle name="Normal 10 2 10 2 16 5 4" xfId="3091" xr:uid="{00000000-0005-0000-0000-0000D40B0000}"/>
    <cellStyle name="Normal 10 2 10 2 16 5 5" xfId="3092" xr:uid="{00000000-0005-0000-0000-0000D50B0000}"/>
    <cellStyle name="Normal 10 2 10 2 16 5 6" xfId="3093" xr:uid="{00000000-0005-0000-0000-0000D60B0000}"/>
    <cellStyle name="Normal 10 2 10 2 16 5 7" xfId="3094" xr:uid="{00000000-0005-0000-0000-0000D70B0000}"/>
    <cellStyle name="Normal 10 2 10 2 16 5 8" xfId="3095" xr:uid="{00000000-0005-0000-0000-0000D80B0000}"/>
    <cellStyle name="Normal 10 2 10 2 16 5 9" xfId="3096" xr:uid="{00000000-0005-0000-0000-0000D90B0000}"/>
    <cellStyle name="Normal 10 2 10 2 16 6" xfId="3097" xr:uid="{00000000-0005-0000-0000-0000DA0B0000}"/>
    <cellStyle name="Normal 10 2 10 2 16 7" xfId="3098" xr:uid="{00000000-0005-0000-0000-0000DB0B0000}"/>
    <cellStyle name="Normal 10 2 10 2 16 8" xfId="3099" xr:uid="{00000000-0005-0000-0000-0000DC0B0000}"/>
    <cellStyle name="Normal 10 2 10 2 16 9" xfId="3100" xr:uid="{00000000-0005-0000-0000-0000DD0B0000}"/>
    <cellStyle name="Normal 10 2 10 2 17" xfId="3101" xr:uid="{00000000-0005-0000-0000-0000DE0B0000}"/>
    <cellStyle name="Normal 10 2 10 2 17 10" xfId="3102" xr:uid="{00000000-0005-0000-0000-0000DF0B0000}"/>
    <cellStyle name="Normal 10 2 10 2 17 11" xfId="3103" xr:uid="{00000000-0005-0000-0000-0000E00B0000}"/>
    <cellStyle name="Normal 10 2 10 2 17 12" xfId="3104" xr:uid="{00000000-0005-0000-0000-0000E10B0000}"/>
    <cellStyle name="Normal 10 2 10 2 17 13" xfId="3105" xr:uid="{00000000-0005-0000-0000-0000E20B0000}"/>
    <cellStyle name="Normal 10 2 10 2 17 14" xfId="3106" xr:uid="{00000000-0005-0000-0000-0000E30B0000}"/>
    <cellStyle name="Normal 10 2 10 2 17 2" xfId="3107" xr:uid="{00000000-0005-0000-0000-0000E40B0000}"/>
    <cellStyle name="Normal 10 2 10 2 17 2 10" xfId="3108" xr:uid="{00000000-0005-0000-0000-0000E50B0000}"/>
    <cellStyle name="Normal 10 2 10 2 17 2 2" xfId="3109" xr:uid="{00000000-0005-0000-0000-0000E60B0000}"/>
    <cellStyle name="Normal 10 2 10 2 17 2 3" xfId="3110" xr:uid="{00000000-0005-0000-0000-0000E70B0000}"/>
    <cellStyle name="Normal 10 2 10 2 17 2 4" xfId="3111" xr:uid="{00000000-0005-0000-0000-0000E80B0000}"/>
    <cellStyle name="Normal 10 2 10 2 17 2 5" xfId="3112" xr:uid="{00000000-0005-0000-0000-0000E90B0000}"/>
    <cellStyle name="Normal 10 2 10 2 17 2 6" xfId="3113" xr:uid="{00000000-0005-0000-0000-0000EA0B0000}"/>
    <cellStyle name="Normal 10 2 10 2 17 2 7" xfId="3114" xr:uid="{00000000-0005-0000-0000-0000EB0B0000}"/>
    <cellStyle name="Normal 10 2 10 2 17 2 8" xfId="3115" xr:uid="{00000000-0005-0000-0000-0000EC0B0000}"/>
    <cellStyle name="Normal 10 2 10 2 17 2 9" xfId="3116" xr:uid="{00000000-0005-0000-0000-0000ED0B0000}"/>
    <cellStyle name="Normal 10 2 10 2 17 3" xfId="3117" xr:uid="{00000000-0005-0000-0000-0000EE0B0000}"/>
    <cellStyle name="Normal 10 2 10 2 17 3 10" xfId="3118" xr:uid="{00000000-0005-0000-0000-0000EF0B0000}"/>
    <cellStyle name="Normal 10 2 10 2 17 3 2" xfId="3119" xr:uid="{00000000-0005-0000-0000-0000F00B0000}"/>
    <cellStyle name="Normal 10 2 10 2 17 3 3" xfId="3120" xr:uid="{00000000-0005-0000-0000-0000F10B0000}"/>
    <cellStyle name="Normal 10 2 10 2 17 3 4" xfId="3121" xr:uid="{00000000-0005-0000-0000-0000F20B0000}"/>
    <cellStyle name="Normal 10 2 10 2 17 3 5" xfId="3122" xr:uid="{00000000-0005-0000-0000-0000F30B0000}"/>
    <cellStyle name="Normal 10 2 10 2 17 3 6" xfId="3123" xr:uid="{00000000-0005-0000-0000-0000F40B0000}"/>
    <cellStyle name="Normal 10 2 10 2 17 3 7" xfId="3124" xr:uid="{00000000-0005-0000-0000-0000F50B0000}"/>
    <cellStyle name="Normal 10 2 10 2 17 3 8" xfId="3125" xr:uid="{00000000-0005-0000-0000-0000F60B0000}"/>
    <cellStyle name="Normal 10 2 10 2 17 3 9" xfId="3126" xr:uid="{00000000-0005-0000-0000-0000F70B0000}"/>
    <cellStyle name="Normal 10 2 10 2 17 4" xfId="3127" xr:uid="{00000000-0005-0000-0000-0000F80B0000}"/>
    <cellStyle name="Normal 10 2 10 2 17 4 10" xfId="3128" xr:uid="{00000000-0005-0000-0000-0000F90B0000}"/>
    <cellStyle name="Normal 10 2 10 2 17 4 2" xfId="3129" xr:uid="{00000000-0005-0000-0000-0000FA0B0000}"/>
    <cellStyle name="Normal 10 2 10 2 17 4 3" xfId="3130" xr:uid="{00000000-0005-0000-0000-0000FB0B0000}"/>
    <cellStyle name="Normal 10 2 10 2 17 4 4" xfId="3131" xr:uid="{00000000-0005-0000-0000-0000FC0B0000}"/>
    <cellStyle name="Normal 10 2 10 2 17 4 5" xfId="3132" xr:uid="{00000000-0005-0000-0000-0000FD0B0000}"/>
    <cellStyle name="Normal 10 2 10 2 17 4 6" xfId="3133" xr:uid="{00000000-0005-0000-0000-0000FE0B0000}"/>
    <cellStyle name="Normal 10 2 10 2 17 4 7" xfId="3134" xr:uid="{00000000-0005-0000-0000-0000FF0B0000}"/>
    <cellStyle name="Normal 10 2 10 2 17 4 8" xfId="3135" xr:uid="{00000000-0005-0000-0000-0000000C0000}"/>
    <cellStyle name="Normal 10 2 10 2 17 4 9" xfId="3136" xr:uid="{00000000-0005-0000-0000-0000010C0000}"/>
    <cellStyle name="Normal 10 2 10 2 17 5" xfId="3137" xr:uid="{00000000-0005-0000-0000-0000020C0000}"/>
    <cellStyle name="Normal 10 2 10 2 17 5 10" xfId="3138" xr:uid="{00000000-0005-0000-0000-0000030C0000}"/>
    <cellStyle name="Normal 10 2 10 2 17 5 2" xfId="3139" xr:uid="{00000000-0005-0000-0000-0000040C0000}"/>
    <cellStyle name="Normal 10 2 10 2 17 5 3" xfId="3140" xr:uid="{00000000-0005-0000-0000-0000050C0000}"/>
    <cellStyle name="Normal 10 2 10 2 17 5 4" xfId="3141" xr:uid="{00000000-0005-0000-0000-0000060C0000}"/>
    <cellStyle name="Normal 10 2 10 2 17 5 5" xfId="3142" xr:uid="{00000000-0005-0000-0000-0000070C0000}"/>
    <cellStyle name="Normal 10 2 10 2 17 5 6" xfId="3143" xr:uid="{00000000-0005-0000-0000-0000080C0000}"/>
    <cellStyle name="Normal 10 2 10 2 17 5 7" xfId="3144" xr:uid="{00000000-0005-0000-0000-0000090C0000}"/>
    <cellStyle name="Normal 10 2 10 2 17 5 8" xfId="3145" xr:uid="{00000000-0005-0000-0000-00000A0C0000}"/>
    <cellStyle name="Normal 10 2 10 2 17 5 9" xfId="3146" xr:uid="{00000000-0005-0000-0000-00000B0C0000}"/>
    <cellStyle name="Normal 10 2 10 2 17 6" xfId="3147" xr:uid="{00000000-0005-0000-0000-00000C0C0000}"/>
    <cellStyle name="Normal 10 2 10 2 17 7" xfId="3148" xr:uid="{00000000-0005-0000-0000-00000D0C0000}"/>
    <cellStyle name="Normal 10 2 10 2 17 8" xfId="3149" xr:uid="{00000000-0005-0000-0000-00000E0C0000}"/>
    <cellStyle name="Normal 10 2 10 2 17 9" xfId="3150" xr:uid="{00000000-0005-0000-0000-00000F0C0000}"/>
    <cellStyle name="Normal 10 2 10 2 18" xfId="3151" xr:uid="{00000000-0005-0000-0000-0000100C0000}"/>
    <cellStyle name="Normal 10 2 10 2 18 10" xfId="3152" xr:uid="{00000000-0005-0000-0000-0000110C0000}"/>
    <cellStyle name="Normal 10 2 10 2 18 11" xfId="3153" xr:uid="{00000000-0005-0000-0000-0000120C0000}"/>
    <cellStyle name="Normal 10 2 10 2 18 12" xfId="3154" xr:uid="{00000000-0005-0000-0000-0000130C0000}"/>
    <cellStyle name="Normal 10 2 10 2 18 13" xfId="3155" xr:uid="{00000000-0005-0000-0000-0000140C0000}"/>
    <cellStyle name="Normal 10 2 10 2 18 14" xfId="3156" xr:uid="{00000000-0005-0000-0000-0000150C0000}"/>
    <cellStyle name="Normal 10 2 10 2 18 2" xfId="3157" xr:uid="{00000000-0005-0000-0000-0000160C0000}"/>
    <cellStyle name="Normal 10 2 10 2 18 2 10" xfId="3158" xr:uid="{00000000-0005-0000-0000-0000170C0000}"/>
    <cellStyle name="Normal 10 2 10 2 18 2 2" xfId="3159" xr:uid="{00000000-0005-0000-0000-0000180C0000}"/>
    <cellStyle name="Normal 10 2 10 2 18 2 3" xfId="3160" xr:uid="{00000000-0005-0000-0000-0000190C0000}"/>
    <cellStyle name="Normal 10 2 10 2 18 2 4" xfId="3161" xr:uid="{00000000-0005-0000-0000-00001A0C0000}"/>
    <cellStyle name="Normal 10 2 10 2 18 2 5" xfId="3162" xr:uid="{00000000-0005-0000-0000-00001B0C0000}"/>
    <cellStyle name="Normal 10 2 10 2 18 2 6" xfId="3163" xr:uid="{00000000-0005-0000-0000-00001C0C0000}"/>
    <cellStyle name="Normal 10 2 10 2 18 2 7" xfId="3164" xr:uid="{00000000-0005-0000-0000-00001D0C0000}"/>
    <cellStyle name="Normal 10 2 10 2 18 2 8" xfId="3165" xr:uid="{00000000-0005-0000-0000-00001E0C0000}"/>
    <cellStyle name="Normal 10 2 10 2 18 2 9" xfId="3166" xr:uid="{00000000-0005-0000-0000-00001F0C0000}"/>
    <cellStyle name="Normal 10 2 10 2 18 3" xfId="3167" xr:uid="{00000000-0005-0000-0000-0000200C0000}"/>
    <cellStyle name="Normal 10 2 10 2 18 3 10" xfId="3168" xr:uid="{00000000-0005-0000-0000-0000210C0000}"/>
    <cellStyle name="Normal 10 2 10 2 18 3 2" xfId="3169" xr:uid="{00000000-0005-0000-0000-0000220C0000}"/>
    <cellStyle name="Normal 10 2 10 2 18 3 3" xfId="3170" xr:uid="{00000000-0005-0000-0000-0000230C0000}"/>
    <cellStyle name="Normal 10 2 10 2 18 3 4" xfId="3171" xr:uid="{00000000-0005-0000-0000-0000240C0000}"/>
    <cellStyle name="Normal 10 2 10 2 18 3 5" xfId="3172" xr:uid="{00000000-0005-0000-0000-0000250C0000}"/>
    <cellStyle name="Normal 10 2 10 2 18 3 6" xfId="3173" xr:uid="{00000000-0005-0000-0000-0000260C0000}"/>
    <cellStyle name="Normal 10 2 10 2 18 3 7" xfId="3174" xr:uid="{00000000-0005-0000-0000-0000270C0000}"/>
    <cellStyle name="Normal 10 2 10 2 18 3 8" xfId="3175" xr:uid="{00000000-0005-0000-0000-0000280C0000}"/>
    <cellStyle name="Normal 10 2 10 2 18 3 9" xfId="3176" xr:uid="{00000000-0005-0000-0000-0000290C0000}"/>
    <cellStyle name="Normal 10 2 10 2 18 4" xfId="3177" xr:uid="{00000000-0005-0000-0000-00002A0C0000}"/>
    <cellStyle name="Normal 10 2 10 2 18 4 10" xfId="3178" xr:uid="{00000000-0005-0000-0000-00002B0C0000}"/>
    <cellStyle name="Normal 10 2 10 2 18 4 2" xfId="3179" xr:uid="{00000000-0005-0000-0000-00002C0C0000}"/>
    <cellStyle name="Normal 10 2 10 2 18 4 3" xfId="3180" xr:uid="{00000000-0005-0000-0000-00002D0C0000}"/>
    <cellStyle name="Normal 10 2 10 2 18 4 4" xfId="3181" xr:uid="{00000000-0005-0000-0000-00002E0C0000}"/>
    <cellStyle name="Normal 10 2 10 2 18 4 5" xfId="3182" xr:uid="{00000000-0005-0000-0000-00002F0C0000}"/>
    <cellStyle name="Normal 10 2 10 2 18 4 6" xfId="3183" xr:uid="{00000000-0005-0000-0000-0000300C0000}"/>
    <cellStyle name="Normal 10 2 10 2 18 4 7" xfId="3184" xr:uid="{00000000-0005-0000-0000-0000310C0000}"/>
    <cellStyle name="Normal 10 2 10 2 18 4 8" xfId="3185" xr:uid="{00000000-0005-0000-0000-0000320C0000}"/>
    <cellStyle name="Normal 10 2 10 2 18 4 9" xfId="3186" xr:uid="{00000000-0005-0000-0000-0000330C0000}"/>
    <cellStyle name="Normal 10 2 10 2 18 5" xfId="3187" xr:uid="{00000000-0005-0000-0000-0000340C0000}"/>
    <cellStyle name="Normal 10 2 10 2 18 5 10" xfId="3188" xr:uid="{00000000-0005-0000-0000-0000350C0000}"/>
    <cellStyle name="Normal 10 2 10 2 18 5 2" xfId="3189" xr:uid="{00000000-0005-0000-0000-0000360C0000}"/>
    <cellStyle name="Normal 10 2 10 2 18 5 3" xfId="3190" xr:uid="{00000000-0005-0000-0000-0000370C0000}"/>
    <cellStyle name="Normal 10 2 10 2 18 5 4" xfId="3191" xr:uid="{00000000-0005-0000-0000-0000380C0000}"/>
    <cellStyle name="Normal 10 2 10 2 18 5 5" xfId="3192" xr:uid="{00000000-0005-0000-0000-0000390C0000}"/>
    <cellStyle name="Normal 10 2 10 2 18 5 6" xfId="3193" xr:uid="{00000000-0005-0000-0000-00003A0C0000}"/>
    <cellStyle name="Normal 10 2 10 2 18 5 7" xfId="3194" xr:uid="{00000000-0005-0000-0000-00003B0C0000}"/>
    <cellStyle name="Normal 10 2 10 2 18 5 8" xfId="3195" xr:uid="{00000000-0005-0000-0000-00003C0C0000}"/>
    <cellStyle name="Normal 10 2 10 2 18 5 9" xfId="3196" xr:uid="{00000000-0005-0000-0000-00003D0C0000}"/>
    <cellStyle name="Normal 10 2 10 2 18 6" xfId="3197" xr:uid="{00000000-0005-0000-0000-00003E0C0000}"/>
    <cellStyle name="Normal 10 2 10 2 18 7" xfId="3198" xr:uid="{00000000-0005-0000-0000-00003F0C0000}"/>
    <cellStyle name="Normal 10 2 10 2 18 8" xfId="3199" xr:uid="{00000000-0005-0000-0000-0000400C0000}"/>
    <cellStyle name="Normal 10 2 10 2 18 9" xfId="3200" xr:uid="{00000000-0005-0000-0000-0000410C0000}"/>
    <cellStyle name="Normal 10 2 10 2 19" xfId="3201" xr:uid="{00000000-0005-0000-0000-0000420C0000}"/>
    <cellStyle name="Normal 10 2 10 2 19 10" xfId="3202" xr:uid="{00000000-0005-0000-0000-0000430C0000}"/>
    <cellStyle name="Normal 10 2 10 2 19 11" xfId="3203" xr:uid="{00000000-0005-0000-0000-0000440C0000}"/>
    <cellStyle name="Normal 10 2 10 2 19 12" xfId="3204" xr:uid="{00000000-0005-0000-0000-0000450C0000}"/>
    <cellStyle name="Normal 10 2 10 2 19 13" xfId="3205" xr:uid="{00000000-0005-0000-0000-0000460C0000}"/>
    <cellStyle name="Normal 10 2 10 2 19 14" xfId="3206" xr:uid="{00000000-0005-0000-0000-0000470C0000}"/>
    <cellStyle name="Normal 10 2 10 2 19 2" xfId="3207" xr:uid="{00000000-0005-0000-0000-0000480C0000}"/>
    <cellStyle name="Normal 10 2 10 2 19 2 10" xfId="3208" xr:uid="{00000000-0005-0000-0000-0000490C0000}"/>
    <cellStyle name="Normal 10 2 10 2 19 2 2" xfId="3209" xr:uid="{00000000-0005-0000-0000-00004A0C0000}"/>
    <cellStyle name="Normal 10 2 10 2 19 2 3" xfId="3210" xr:uid="{00000000-0005-0000-0000-00004B0C0000}"/>
    <cellStyle name="Normal 10 2 10 2 19 2 4" xfId="3211" xr:uid="{00000000-0005-0000-0000-00004C0C0000}"/>
    <cellStyle name="Normal 10 2 10 2 19 2 5" xfId="3212" xr:uid="{00000000-0005-0000-0000-00004D0C0000}"/>
    <cellStyle name="Normal 10 2 10 2 19 2 6" xfId="3213" xr:uid="{00000000-0005-0000-0000-00004E0C0000}"/>
    <cellStyle name="Normal 10 2 10 2 19 2 7" xfId="3214" xr:uid="{00000000-0005-0000-0000-00004F0C0000}"/>
    <cellStyle name="Normal 10 2 10 2 19 2 8" xfId="3215" xr:uid="{00000000-0005-0000-0000-0000500C0000}"/>
    <cellStyle name="Normal 10 2 10 2 19 2 9" xfId="3216" xr:uid="{00000000-0005-0000-0000-0000510C0000}"/>
    <cellStyle name="Normal 10 2 10 2 19 3" xfId="3217" xr:uid="{00000000-0005-0000-0000-0000520C0000}"/>
    <cellStyle name="Normal 10 2 10 2 19 3 10" xfId="3218" xr:uid="{00000000-0005-0000-0000-0000530C0000}"/>
    <cellStyle name="Normal 10 2 10 2 19 3 2" xfId="3219" xr:uid="{00000000-0005-0000-0000-0000540C0000}"/>
    <cellStyle name="Normal 10 2 10 2 19 3 3" xfId="3220" xr:uid="{00000000-0005-0000-0000-0000550C0000}"/>
    <cellStyle name="Normal 10 2 10 2 19 3 4" xfId="3221" xr:uid="{00000000-0005-0000-0000-0000560C0000}"/>
    <cellStyle name="Normal 10 2 10 2 19 3 5" xfId="3222" xr:uid="{00000000-0005-0000-0000-0000570C0000}"/>
    <cellStyle name="Normal 10 2 10 2 19 3 6" xfId="3223" xr:uid="{00000000-0005-0000-0000-0000580C0000}"/>
    <cellStyle name="Normal 10 2 10 2 19 3 7" xfId="3224" xr:uid="{00000000-0005-0000-0000-0000590C0000}"/>
    <cellStyle name="Normal 10 2 10 2 19 3 8" xfId="3225" xr:uid="{00000000-0005-0000-0000-00005A0C0000}"/>
    <cellStyle name="Normal 10 2 10 2 19 3 9" xfId="3226" xr:uid="{00000000-0005-0000-0000-00005B0C0000}"/>
    <cellStyle name="Normal 10 2 10 2 19 4" xfId="3227" xr:uid="{00000000-0005-0000-0000-00005C0C0000}"/>
    <cellStyle name="Normal 10 2 10 2 19 4 10" xfId="3228" xr:uid="{00000000-0005-0000-0000-00005D0C0000}"/>
    <cellStyle name="Normal 10 2 10 2 19 4 2" xfId="3229" xr:uid="{00000000-0005-0000-0000-00005E0C0000}"/>
    <cellStyle name="Normal 10 2 10 2 19 4 3" xfId="3230" xr:uid="{00000000-0005-0000-0000-00005F0C0000}"/>
    <cellStyle name="Normal 10 2 10 2 19 4 4" xfId="3231" xr:uid="{00000000-0005-0000-0000-0000600C0000}"/>
    <cellStyle name="Normal 10 2 10 2 19 4 5" xfId="3232" xr:uid="{00000000-0005-0000-0000-0000610C0000}"/>
    <cellStyle name="Normal 10 2 10 2 19 4 6" xfId="3233" xr:uid="{00000000-0005-0000-0000-0000620C0000}"/>
    <cellStyle name="Normal 10 2 10 2 19 4 7" xfId="3234" xr:uid="{00000000-0005-0000-0000-0000630C0000}"/>
    <cellStyle name="Normal 10 2 10 2 19 4 8" xfId="3235" xr:uid="{00000000-0005-0000-0000-0000640C0000}"/>
    <cellStyle name="Normal 10 2 10 2 19 4 9" xfId="3236" xr:uid="{00000000-0005-0000-0000-0000650C0000}"/>
    <cellStyle name="Normal 10 2 10 2 19 5" xfId="3237" xr:uid="{00000000-0005-0000-0000-0000660C0000}"/>
    <cellStyle name="Normal 10 2 10 2 19 5 10" xfId="3238" xr:uid="{00000000-0005-0000-0000-0000670C0000}"/>
    <cellStyle name="Normal 10 2 10 2 19 5 2" xfId="3239" xr:uid="{00000000-0005-0000-0000-0000680C0000}"/>
    <cellStyle name="Normal 10 2 10 2 19 5 3" xfId="3240" xr:uid="{00000000-0005-0000-0000-0000690C0000}"/>
    <cellStyle name="Normal 10 2 10 2 19 5 4" xfId="3241" xr:uid="{00000000-0005-0000-0000-00006A0C0000}"/>
    <cellStyle name="Normal 10 2 10 2 19 5 5" xfId="3242" xr:uid="{00000000-0005-0000-0000-00006B0C0000}"/>
    <cellStyle name="Normal 10 2 10 2 19 5 6" xfId="3243" xr:uid="{00000000-0005-0000-0000-00006C0C0000}"/>
    <cellStyle name="Normal 10 2 10 2 19 5 7" xfId="3244" xr:uid="{00000000-0005-0000-0000-00006D0C0000}"/>
    <cellStyle name="Normal 10 2 10 2 19 5 8" xfId="3245" xr:uid="{00000000-0005-0000-0000-00006E0C0000}"/>
    <cellStyle name="Normal 10 2 10 2 19 5 9" xfId="3246" xr:uid="{00000000-0005-0000-0000-00006F0C0000}"/>
    <cellStyle name="Normal 10 2 10 2 19 6" xfId="3247" xr:uid="{00000000-0005-0000-0000-0000700C0000}"/>
    <cellStyle name="Normal 10 2 10 2 19 7" xfId="3248" xr:uid="{00000000-0005-0000-0000-0000710C0000}"/>
    <cellStyle name="Normal 10 2 10 2 19 8" xfId="3249" xr:uid="{00000000-0005-0000-0000-0000720C0000}"/>
    <cellStyle name="Normal 10 2 10 2 19 9" xfId="3250" xr:uid="{00000000-0005-0000-0000-0000730C0000}"/>
    <cellStyle name="Normal 10 2 10 2 2" xfId="3251" xr:uid="{00000000-0005-0000-0000-0000740C0000}"/>
    <cellStyle name="Normal 10 2 10 2 2 10" xfId="3252" xr:uid="{00000000-0005-0000-0000-0000750C0000}"/>
    <cellStyle name="Normal 10 2 10 2 2 11" xfId="3253" xr:uid="{00000000-0005-0000-0000-0000760C0000}"/>
    <cellStyle name="Normal 10 2 10 2 2 12" xfId="3254" xr:uid="{00000000-0005-0000-0000-0000770C0000}"/>
    <cellStyle name="Normal 10 2 10 2 2 13" xfId="3255" xr:uid="{00000000-0005-0000-0000-0000780C0000}"/>
    <cellStyle name="Normal 10 2 10 2 2 14" xfId="3256" xr:uid="{00000000-0005-0000-0000-0000790C0000}"/>
    <cellStyle name="Normal 10 2 10 2 2 2" xfId="3257" xr:uid="{00000000-0005-0000-0000-00007A0C0000}"/>
    <cellStyle name="Normal 10 2 10 2 2 2 10" xfId="3258" xr:uid="{00000000-0005-0000-0000-00007B0C0000}"/>
    <cellStyle name="Normal 10 2 10 2 2 2 2" xfId="3259" xr:uid="{00000000-0005-0000-0000-00007C0C0000}"/>
    <cellStyle name="Normal 10 2 10 2 2 2 3" xfId="3260" xr:uid="{00000000-0005-0000-0000-00007D0C0000}"/>
    <cellStyle name="Normal 10 2 10 2 2 2 4" xfId="3261" xr:uid="{00000000-0005-0000-0000-00007E0C0000}"/>
    <cellStyle name="Normal 10 2 10 2 2 2 5" xfId="3262" xr:uid="{00000000-0005-0000-0000-00007F0C0000}"/>
    <cellStyle name="Normal 10 2 10 2 2 2 6" xfId="3263" xr:uid="{00000000-0005-0000-0000-0000800C0000}"/>
    <cellStyle name="Normal 10 2 10 2 2 2 7" xfId="3264" xr:uid="{00000000-0005-0000-0000-0000810C0000}"/>
    <cellStyle name="Normal 10 2 10 2 2 2 8" xfId="3265" xr:uid="{00000000-0005-0000-0000-0000820C0000}"/>
    <cellStyle name="Normal 10 2 10 2 2 2 9" xfId="3266" xr:uid="{00000000-0005-0000-0000-0000830C0000}"/>
    <cellStyle name="Normal 10 2 10 2 2 3" xfId="3267" xr:uid="{00000000-0005-0000-0000-0000840C0000}"/>
    <cellStyle name="Normal 10 2 10 2 2 3 10" xfId="3268" xr:uid="{00000000-0005-0000-0000-0000850C0000}"/>
    <cellStyle name="Normal 10 2 10 2 2 3 2" xfId="3269" xr:uid="{00000000-0005-0000-0000-0000860C0000}"/>
    <cellStyle name="Normal 10 2 10 2 2 3 3" xfId="3270" xr:uid="{00000000-0005-0000-0000-0000870C0000}"/>
    <cellStyle name="Normal 10 2 10 2 2 3 4" xfId="3271" xr:uid="{00000000-0005-0000-0000-0000880C0000}"/>
    <cellStyle name="Normal 10 2 10 2 2 3 5" xfId="3272" xr:uid="{00000000-0005-0000-0000-0000890C0000}"/>
    <cellStyle name="Normal 10 2 10 2 2 3 6" xfId="3273" xr:uid="{00000000-0005-0000-0000-00008A0C0000}"/>
    <cellStyle name="Normal 10 2 10 2 2 3 7" xfId="3274" xr:uid="{00000000-0005-0000-0000-00008B0C0000}"/>
    <cellStyle name="Normal 10 2 10 2 2 3 8" xfId="3275" xr:uid="{00000000-0005-0000-0000-00008C0C0000}"/>
    <cellStyle name="Normal 10 2 10 2 2 3 9" xfId="3276" xr:uid="{00000000-0005-0000-0000-00008D0C0000}"/>
    <cellStyle name="Normal 10 2 10 2 2 4" xfId="3277" xr:uid="{00000000-0005-0000-0000-00008E0C0000}"/>
    <cellStyle name="Normal 10 2 10 2 2 4 10" xfId="3278" xr:uid="{00000000-0005-0000-0000-00008F0C0000}"/>
    <cellStyle name="Normal 10 2 10 2 2 4 2" xfId="3279" xr:uid="{00000000-0005-0000-0000-0000900C0000}"/>
    <cellStyle name="Normal 10 2 10 2 2 4 3" xfId="3280" xr:uid="{00000000-0005-0000-0000-0000910C0000}"/>
    <cellStyle name="Normal 10 2 10 2 2 4 4" xfId="3281" xr:uid="{00000000-0005-0000-0000-0000920C0000}"/>
    <cellStyle name="Normal 10 2 10 2 2 4 5" xfId="3282" xr:uid="{00000000-0005-0000-0000-0000930C0000}"/>
    <cellStyle name="Normal 10 2 10 2 2 4 6" xfId="3283" xr:uid="{00000000-0005-0000-0000-0000940C0000}"/>
    <cellStyle name="Normal 10 2 10 2 2 4 7" xfId="3284" xr:uid="{00000000-0005-0000-0000-0000950C0000}"/>
    <cellStyle name="Normal 10 2 10 2 2 4 8" xfId="3285" xr:uid="{00000000-0005-0000-0000-0000960C0000}"/>
    <cellStyle name="Normal 10 2 10 2 2 4 9" xfId="3286" xr:uid="{00000000-0005-0000-0000-0000970C0000}"/>
    <cellStyle name="Normal 10 2 10 2 2 5" xfId="3287" xr:uid="{00000000-0005-0000-0000-0000980C0000}"/>
    <cellStyle name="Normal 10 2 10 2 2 5 10" xfId="3288" xr:uid="{00000000-0005-0000-0000-0000990C0000}"/>
    <cellStyle name="Normal 10 2 10 2 2 5 2" xfId="3289" xr:uid="{00000000-0005-0000-0000-00009A0C0000}"/>
    <cellStyle name="Normal 10 2 10 2 2 5 3" xfId="3290" xr:uid="{00000000-0005-0000-0000-00009B0C0000}"/>
    <cellStyle name="Normal 10 2 10 2 2 5 4" xfId="3291" xr:uid="{00000000-0005-0000-0000-00009C0C0000}"/>
    <cellStyle name="Normal 10 2 10 2 2 5 5" xfId="3292" xr:uid="{00000000-0005-0000-0000-00009D0C0000}"/>
    <cellStyle name="Normal 10 2 10 2 2 5 6" xfId="3293" xr:uid="{00000000-0005-0000-0000-00009E0C0000}"/>
    <cellStyle name="Normal 10 2 10 2 2 5 7" xfId="3294" xr:uid="{00000000-0005-0000-0000-00009F0C0000}"/>
    <cellStyle name="Normal 10 2 10 2 2 5 8" xfId="3295" xr:uid="{00000000-0005-0000-0000-0000A00C0000}"/>
    <cellStyle name="Normal 10 2 10 2 2 5 9" xfId="3296" xr:uid="{00000000-0005-0000-0000-0000A10C0000}"/>
    <cellStyle name="Normal 10 2 10 2 2 6" xfId="3297" xr:uid="{00000000-0005-0000-0000-0000A20C0000}"/>
    <cellStyle name="Normal 10 2 10 2 2 7" xfId="3298" xr:uid="{00000000-0005-0000-0000-0000A30C0000}"/>
    <cellStyle name="Normal 10 2 10 2 2 8" xfId="3299" xr:uid="{00000000-0005-0000-0000-0000A40C0000}"/>
    <cellStyle name="Normal 10 2 10 2 2 9" xfId="3300" xr:uid="{00000000-0005-0000-0000-0000A50C0000}"/>
    <cellStyle name="Normal 10 2 10 2 20" xfId="3301" xr:uid="{00000000-0005-0000-0000-0000A60C0000}"/>
    <cellStyle name="Normal 10 2 10 2 20 10" xfId="3302" xr:uid="{00000000-0005-0000-0000-0000A70C0000}"/>
    <cellStyle name="Normal 10 2 10 2 20 11" xfId="3303" xr:uid="{00000000-0005-0000-0000-0000A80C0000}"/>
    <cellStyle name="Normal 10 2 10 2 20 12" xfId="3304" xr:uid="{00000000-0005-0000-0000-0000A90C0000}"/>
    <cellStyle name="Normal 10 2 10 2 20 13" xfId="3305" xr:uid="{00000000-0005-0000-0000-0000AA0C0000}"/>
    <cellStyle name="Normal 10 2 10 2 20 14" xfId="3306" xr:uid="{00000000-0005-0000-0000-0000AB0C0000}"/>
    <cellStyle name="Normal 10 2 10 2 20 2" xfId="3307" xr:uid="{00000000-0005-0000-0000-0000AC0C0000}"/>
    <cellStyle name="Normal 10 2 10 2 20 2 10" xfId="3308" xr:uid="{00000000-0005-0000-0000-0000AD0C0000}"/>
    <cellStyle name="Normal 10 2 10 2 20 2 2" xfId="3309" xr:uid="{00000000-0005-0000-0000-0000AE0C0000}"/>
    <cellStyle name="Normal 10 2 10 2 20 2 3" xfId="3310" xr:uid="{00000000-0005-0000-0000-0000AF0C0000}"/>
    <cellStyle name="Normal 10 2 10 2 20 2 4" xfId="3311" xr:uid="{00000000-0005-0000-0000-0000B00C0000}"/>
    <cellStyle name="Normal 10 2 10 2 20 2 5" xfId="3312" xr:uid="{00000000-0005-0000-0000-0000B10C0000}"/>
    <cellStyle name="Normal 10 2 10 2 20 2 6" xfId="3313" xr:uid="{00000000-0005-0000-0000-0000B20C0000}"/>
    <cellStyle name="Normal 10 2 10 2 20 2 7" xfId="3314" xr:uid="{00000000-0005-0000-0000-0000B30C0000}"/>
    <cellStyle name="Normal 10 2 10 2 20 2 8" xfId="3315" xr:uid="{00000000-0005-0000-0000-0000B40C0000}"/>
    <cellStyle name="Normal 10 2 10 2 20 2 9" xfId="3316" xr:uid="{00000000-0005-0000-0000-0000B50C0000}"/>
    <cellStyle name="Normal 10 2 10 2 20 3" xfId="3317" xr:uid="{00000000-0005-0000-0000-0000B60C0000}"/>
    <cellStyle name="Normal 10 2 10 2 20 3 10" xfId="3318" xr:uid="{00000000-0005-0000-0000-0000B70C0000}"/>
    <cellStyle name="Normal 10 2 10 2 20 3 2" xfId="3319" xr:uid="{00000000-0005-0000-0000-0000B80C0000}"/>
    <cellStyle name="Normal 10 2 10 2 20 3 3" xfId="3320" xr:uid="{00000000-0005-0000-0000-0000B90C0000}"/>
    <cellStyle name="Normal 10 2 10 2 20 3 4" xfId="3321" xr:uid="{00000000-0005-0000-0000-0000BA0C0000}"/>
    <cellStyle name="Normal 10 2 10 2 20 3 5" xfId="3322" xr:uid="{00000000-0005-0000-0000-0000BB0C0000}"/>
    <cellStyle name="Normal 10 2 10 2 20 3 6" xfId="3323" xr:uid="{00000000-0005-0000-0000-0000BC0C0000}"/>
    <cellStyle name="Normal 10 2 10 2 20 3 7" xfId="3324" xr:uid="{00000000-0005-0000-0000-0000BD0C0000}"/>
    <cellStyle name="Normal 10 2 10 2 20 3 8" xfId="3325" xr:uid="{00000000-0005-0000-0000-0000BE0C0000}"/>
    <cellStyle name="Normal 10 2 10 2 20 3 9" xfId="3326" xr:uid="{00000000-0005-0000-0000-0000BF0C0000}"/>
    <cellStyle name="Normal 10 2 10 2 20 4" xfId="3327" xr:uid="{00000000-0005-0000-0000-0000C00C0000}"/>
    <cellStyle name="Normal 10 2 10 2 20 4 10" xfId="3328" xr:uid="{00000000-0005-0000-0000-0000C10C0000}"/>
    <cellStyle name="Normal 10 2 10 2 20 4 2" xfId="3329" xr:uid="{00000000-0005-0000-0000-0000C20C0000}"/>
    <cellStyle name="Normal 10 2 10 2 20 4 3" xfId="3330" xr:uid="{00000000-0005-0000-0000-0000C30C0000}"/>
    <cellStyle name="Normal 10 2 10 2 20 4 4" xfId="3331" xr:uid="{00000000-0005-0000-0000-0000C40C0000}"/>
    <cellStyle name="Normal 10 2 10 2 20 4 5" xfId="3332" xr:uid="{00000000-0005-0000-0000-0000C50C0000}"/>
    <cellStyle name="Normal 10 2 10 2 20 4 6" xfId="3333" xr:uid="{00000000-0005-0000-0000-0000C60C0000}"/>
    <cellStyle name="Normal 10 2 10 2 20 4 7" xfId="3334" xr:uid="{00000000-0005-0000-0000-0000C70C0000}"/>
    <cellStyle name="Normal 10 2 10 2 20 4 8" xfId="3335" xr:uid="{00000000-0005-0000-0000-0000C80C0000}"/>
    <cellStyle name="Normal 10 2 10 2 20 4 9" xfId="3336" xr:uid="{00000000-0005-0000-0000-0000C90C0000}"/>
    <cellStyle name="Normal 10 2 10 2 20 5" xfId="3337" xr:uid="{00000000-0005-0000-0000-0000CA0C0000}"/>
    <cellStyle name="Normal 10 2 10 2 20 5 10" xfId="3338" xr:uid="{00000000-0005-0000-0000-0000CB0C0000}"/>
    <cellStyle name="Normal 10 2 10 2 20 5 2" xfId="3339" xr:uid="{00000000-0005-0000-0000-0000CC0C0000}"/>
    <cellStyle name="Normal 10 2 10 2 20 5 3" xfId="3340" xr:uid="{00000000-0005-0000-0000-0000CD0C0000}"/>
    <cellStyle name="Normal 10 2 10 2 20 5 4" xfId="3341" xr:uid="{00000000-0005-0000-0000-0000CE0C0000}"/>
    <cellStyle name="Normal 10 2 10 2 20 5 5" xfId="3342" xr:uid="{00000000-0005-0000-0000-0000CF0C0000}"/>
    <cellStyle name="Normal 10 2 10 2 20 5 6" xfId="3343" xr:uid="{00000000-0005-0000-0000-0000D00C0000}"/>
    <cellStyle name="Normal 10 2 10 2 20 5 7" xfId="3344" xr:uid="{00000000-0005-0000-0000-0000D10C0000}"/>
    <cellStyle name="Normal 10 2 10 2 20 5 8" xfId="3345" xr:uid="{00000000-0005-0000-0000-0000D20C0000}"/>
    <cellStyle name="Normal 10 2 10 2 20 5 9" xfId="3346" xr:uid="{00000000-0005-0000-0000-0000D30C0000}"/>
    <cellStyle name="Normal 10 2 10 2 20 6" xfId="3347" xr:uid="{00000000-0005-0000-0000-0000D40C0000}"/>
    <cellStyle name="Normal 10 2 10 2 20 7" xfId="3348" xr:uid="{00000000-0005-0000-0000-0000D50C0000}"/>
    <cellStyle name="Normal 10 2 10 2 20 8" xfId="3349" xr:uid="{00000000-0005-0000-0000-0000D60C0000}"/>
    <cellStyle name="Normal 10 2 10 2 20 9" xfId="3350" xr:uid="{00000000-0005-0000-0000-0000D70C0000}"/>
    <cellStyle name="Normal 10 2 10 2 21" xfId="3351" xr:uid="{00000000-0005-0000-0000-0000D80C0000}"/>
    <cellStyle name="Normal 10 2 10 2 21 10" xfId="3352" xr:uid="{00000000-0005-0000-0000-0000D90C0000}"/>
    <cellStyle name="Normal 10 2 10 2 21 11" xfId="3353" xr:uid="{00000000-0005-0000-0000-0000DA0C0000}"/>
    <cellStyle name="Normal 10 2 10 2 21 12" xfId="3354" xr:uid="{00000000-0005-0000-0000-0000DB0C0000}"/>
    <cellStyle name="Normal 10 2 10 2 21 13" xfId="3355" xr:uid="{00000000-0005-0000-0000-0000DC0C0000}"/>
    <cellStyle name="Normal 10 2 10 2 21 14" xfId="3356" xr:uid="{00000000-0005-0000-0000-0000DD0C0000}"/>
    <cellStyle name="Normal 10 2 10 2 21 2" xfId="3357" xr:uid="{00000000-0005-0000-0000-0000DE0C0000}"/>
    <cellStyle name="Normal 10 2 10 2 21 2 10" xfId="3358" xr:uid="{00000000-0005-0000-0000-0000DF0C0000}"/>
    <cellStyle name="Normal 10 2 10 2 21 2 2" xfId="3359" xr:uid="{00000000-0005-0000-0000-0000E00C0000}"/>
    <cellStyle name="Normal 10 2 10 2 21 2 3" xfId="3360" xr:uid="{00000000-0005-0000-0000-0000E10C0000}"/>
    <cellStyle name="Normal 10 2 10 2 21 2 4" xfId="3361" xr:uid="{00000000-0005-0000-0000-0000E20C0000}"/>
    <cellStyle name="Normal 10 2 10 2 21 2 5" xfId="3362" xr:uid="{00000000-0005-0000-0000-0000E30C0000}"/>
    <cellStyle name="Normal 10 2 10 2 21 2 6" xfId="3363" xr:uid="{00000000-0005-0000-0000-0000E40C0000}"/>
    <cellStyle name="Normal 10 2 10 2 21 2 7" xfId="3364" xr:uid="{00000000-0005-0000-0000-0000E50C0000}"/>
    <cellStyle name="Normal 10 2 10 2 21 2 8" xfId="3365" xr:uid="{00000000-0005-0000-0000-0000E60C0000}"/>
    <cellStyle name="Normal 10 2 10 2 21 2 9" xfId="3366" xr:uid="{00000000-0005-0000-0000-0000E70C0000}"/>
    <cellStyle name="Normal 10 2 10 2 21 3" xfId="3367" xr:uid="{00000000-0005-0000-0000-0000E80C0000}"/>
    <cellStyle name="Normal 10 2 10 2 21 3 10" xfId="3368" xr:uid="{00000000-0005-0000-0000-0000E90C0000}"/>
    <cellStyle name="Normal 10 2 10 2 21 3 2" xfId="3369" xr:uid="{00000000-0005-0000-0000-0000EA0C0000}"/>
    <cellStyle name="Normal 10 2 10 2 21 3 3" xfId="3370" xr:uid="{00000000-0005-0000-0000-0000EB0C0000}"/>
    <cellStyle name="Normal 10 2 10 2 21 3 4" xfId="3371" xr:uid="{00000000-0005-0000-0000-0000EC0C0000}"/>
    <cellStyle name="Normal 10 2 10 2 21 3 5" xfId="3372" xr:uid="{00000000-0005-0000-0000-0000ED0C0000}"/>
    <cellStyle name="Normal 10 2 10 2 21 3 6" xfId="3373" xr:uid="{00000000-0005-0000-0000-0000EE0C0000}"/>
    <cellStyle name="Normal 10 2 10 2 21 3 7" xfId="3374" xr:uid="{00000000-0005-0000-0000-0000EF0C0000}"/>
    <cellStyle name="Normal 10 2 10 2 21 3 8" xfId="3375" xr:uid="{00000000-0005-0000-0000-0000F00C0000}"/>
    <cellStyle name="Normal 10 2 10 2 21 3 9" xfId="3376" xr:uid="{00000000-0005-0000-0000-0000F10C0000}"/>
    <cellStyle name="Normal 10 2 10 2 21 4" xfId="3377" xr:uid="{00000000-0005-0000-0000-0000F20C0000}"/>
    <cellStyle name="Normal 10 2 10 2 21 4 10" xfId="3378" xr:uid="{00000000-0005-0000-0000-0000F30C0000}"/>
    <cellStyle name="Normal 10 2 10 2 21 4 2" xfId="3379" xr:uid="{00000000-0005-0000-0000-0000F40C0000}"/>
    <cellStyle name="Normal 10 2 10 2 21 4 3" xfId="3380" xr:uid="{00000000-0005-0000-0000-0000F50C0000}"/>
    <cellStyle name="Normal 10 2 10 2 21 4 4" xfId="3381" xr:uid="{00000000-0005-0000-0000-0000F60C0000}"/>
    <cellStyle name="Normal 10 2 10 2 21 4 5" xfId="3382" xr:uid="{00000000-0005-0000-0000-0000F70C0000}"/>
    <cellStyle name="Normal 10 2 10 2 21 4 6" xfId="3383" xr:uid="{00000000-0005-0000-0000-0000F80C0000}"/>
    <cellStyle name="Normal 10 2 10 2 21 4 7" xfId="3384" xr:uid="{00000000-0005-0000-0000-0000F90C0000}"/>
    <cellStyle name="Normal 10 2 10 2 21 4 8" xfId="3385" xr:uid="{00000000-0005-0000-0000-0000FA0C0000}"/>
    <cellStyle name="Normal 10 2 10 2 21 4 9" xfId="3386" xr:uid="{00000000-0005-0000-0000-0000FB0C0000}"/>
    <cellStyle name="Normal 10 2 10 2 21 5" xfId="3387" xr:uid="{00000000-0005-0000-0000-0000FC0C0000}"/>
    <cellStyle name="Normal 10 2 10 2 21 5 10" xfId="3388" xr:uid="{00000000-0005-0000-0000-0000FD0C0000}"/>
    <cellStyle name="Normal 10 2 10 2 21 5 2" xfId="3389" xr:uid="{00000000-0005-0000-0000-0000FE0C0000}"/>
    <cellStyle name="Normal 10 2 10 2 21 5 3" xfId="3390" xr:uid="{00000000-0005-0000-0000-0000FF0C0000}"/>
    <cellStyle name="Normal 10 2 10 2 21 5 4" xfId="3391" xr:uid="{00000000-0005-0000-0000-0000000D0000}"/>
    <cellStyle name="Normal 10 2 10 2 21 5 5" xfId="3392" xr:uid="{00000000-0005-0000-0000-0000010D0000}"/>
    <cellStyle name="Normal 10 2 10 2 21 5 6" xfId="3393" xr:uid="{00000000-0005-0000-0000-0000020D0000}"/>
    <cellStyle name="Normal 10 2 10 2 21 5 7" xfId="3394" xr:uid="{00000000-0005-0000-0000-0000030D0000}"/>
    <cellStyle name="Normal 10 2 10 2 21 5 8" xfId="3395" xr:uid="{00000000-0005-0000-0000-0000040D0000}"/>
    <cellStyle name="Normal 10 2 10 2 21 5 9" xfId="3396" xr:uid="{00000000-0005-0000-0000-0000050D0000}"/>
    <cellStyle name="Normal 10 2 10 2 21 6" xfId="3397" xr:uid="{00000000-0005-0000-0000-0000060D0000}"/>
    <cellStyle name="Normal 10 2 10 2 21 7" xfId="3398" xr:uid="{00000000-0005-0000-0000-0000070D0000}"/>
    <cellStyle name="Normal 10 2 10 2 21 8" xfId="3399" xr:uid="{00000000-0005-0000-0000-0000080D0000}"/>
    <cellStyle name="Normal 10 2 10 2 21 9" xfId="3400" xr:uid="{00000000-0005-0000-0000-0000090D0000}"/>
    <cellStyle name="Normal 10 2 10 2 22" xfId="3401" xr:uid="{00000000-0005-0000-0000-00000A0D0000}"/>
    <cellStyle name="Normal 10 2 10 2 22 10" xfId="3402" xr:uid="{00000000-0005-0000-0000-00000B0D0000}"/>
    <cellStyle name="Normal 10 2 10 2 22 11" xfId="3403" xr:uid="{00000000-0005-0000-0000-00000C0D0000}"/>
    <cellStyle name="Normal 10 2 10 2 22 12" xfId="3404" xr:uid="{00000000-0005-0000-0000-00000D0D0000}"/>
    <cellStyle name="Normal 10 2 10 2 22 13" xfId="3405" xr:uid="{00000000-0005-0000-0000-00000E0D0000}"/>
    <cellStyle name="Normal 10 2 10 2 22 14" xfId="3406" xr:uid="{00000000-0005-0000-0000-00000F0D0000}"/>
    <cellStyle name="Normal 10 2 10 2 22 2" xfId="3407" xr:uid="{00000000-0005-0000-0000-0000100D0000}"/>
    <cellStyle name="Normal 10 2 10 2 22 2 10" xfId="3408" xr:uid="{00000000-0005-0000-0000-0000110D0000}"/>
    <cellStyle name="Normal 10 2 10 2 22 2 2" xfId="3409" xr:uid="{00000000-0005-0000-0000-0000120D0000}"/>
    <cellStyle name="Normal 10 2 10 2 22 2 3" xfId="3410" xr:uid="{00000000-0005-0000-0000-0000130D0000}"/>
    <cellStyle name="Normal 10 2 10 2 22 2 4" xfId="3411" xr:uid="{00000000-0005-0000-0000-0000140D0000}"/>
    <cellStyle name="Normal 10 2 10 2 22 2 5" xfId="3412" xr:uid="{00000000-0005-0000-0000-0000150D0000}"/>
    <cellStyle name="Normal 10 2 10 2 22 2 6" xfId="3413" xr:uid="{00000000-0005-0000-0000-0000160D0000}"/>
    <cellStyle name="Normal 10 2 10 2 22 2 7" xfId="3414" xr:uid="{00000000-0005-0000-0000-0000170D0000}"/>
    <cellStyle name="Normal 10 2 10 2 22 2 8" xfId="3415" xr:uid="{00000000-0005-0000-0000-0000180D0000}"/>
    <cellStyle name="Normal 10 2 10 2 22 2 9" xfId="3416" xr:uid="{00000000-0005-0000-0000-0000190D0000}"/>
    <cellStyle name="Normal 10 2 10 2 22 3" xfId="3417" xr:uid="{00000000-0005-0000-0000-00001A0D0000}"/>
    <cellStyle name="Normal 10 2 10 2 22 3 10" xfId="3418" xr:uid="{00000000-0005-0000-0000-00001B0D0000}"/>
    <cellStyle name="Normal 10 2 10 2 22 3 2" xfId="3419" xr:uid="{00000000-0005-0000-0000-00001C0D0000}"/>
    <cellStyle name="Normal 10 2 10 2 22 3 3" xfId="3420" xr:uid="{00000000-0005-0000-0000-00001D0D0000}"/>
    <cellStyle name="Normal 10 2 10 2 22 3 4" xfId="3421" xr:uid="{00000000-0005-0000-0000-00001E0D0000}"/>
    <cellStyle name="Normal 10 2 10 2 22 3 5" xfId="3422" xr:uid="{00000000-0005-0000-0000-00001F0D0000}"/>
    <cellStyle name="Normal 10 2 10 2 22 3 6" xfId="3423" xr:uid="{00000000-0005-0000-0000-0000200D0000}"/>
    <cellStyle name="Normal 10 2 10 2 22 3 7" xfId="3424" xr:uid="{00000000-0005-0000-0000-0000210D0000}"/>
    <cellStyle name="Normal 10 2 10 2 22 3 8" xfId="3425" xr:uid="{00000000-0005-0000-0000-0000220D0000}"/>
    <cellStyle name="Normal 10 2 10 2 22 3 9" xfId="3426" xr:uid="{00000000-0005-0000-0000-0000230D0000}"/>
    <cellStyle name="Normal 10 2 10 2 22 4" xfId="3427" xr:uid="{00000000-0005-0000-0000-0000240D0000}"/>
    <cellStyle name="Normal 10 2 10 2 22 4 10" xfId="3428" xr:uid="{00000000-0005-0000-0000-0000250D0000}"/>
    <cellStyle name="Normal 10 2 10 2 22 4 2" xfId="3429" xr:uid="{00000000-0005-0000-0000-0000260D0000}"/>
    <cellStyle name="Normal 10 2 10 2 22 4 3" xfId="3430" xr:uid="{00000000-0005-0000-0000-0000270D0000}"/>
    <cellStyle name="Normal 10 2 10 2 22 4 4" xfId="3431" xr:uid="{00000000-0005-0000-0000-0000280D0000}"/>
    <cellStyle name="Normal 10 2 10 2 22 4 5" xfId="3432" xr:uid="{00000000-0005-0000-0000-0000290D0000}"/>
    <cellStyle name="Normal 10 2 10 2 22 4 6" xfId="3433" xr:uid="{00000000-0005-0000-0000-00002A0D0000}"/>
    <cellStyle name="Normal 10 2 10 2 22 4 7" xfId="3434" xr:uid="{00000000-0005-0000-0000-00002B0D0000}"/>
    <cellStyle name="Normal 10 2 10 2 22 4 8" xfId="3435" xr:uid="{00000000-0005-0000-0000-00002C0D0000}"/>
    <cellStyle name="Normal 10 2 10 2 22 4 9" xfId="3436" xr:uid="{00000000-0005-0000-0000-00002D0D0000}"/>
    <cellStyle name="Normal 10 2 10 2 22 5" xfId="3437" xr:uid="{00000000-0005-0000-0000-00002E0D0000}"/>
    <cellStyle name="Normal 10 2 10 2 22 5 10" xfId="3438" xr:uid="{00000000-0005-0000-0000-00002F0D0000}"/>
    <cellStyle name="Normal 10 2 10 2 22 5 2" xfId="3439" xr:uid="{00000000-0005-0000-0000-0000300D0000}"/>
    <cellStyle name="Normal 10 2 10 2 22 5 3" xfId="3440" xr:uid="{00000000-0005-0000-0000-0000310D0000}"/>
    <cellStyle name="Normal 10 2 10 2 22 5 4" xfId="3441" xr:uid="{00000000-0005-0000-0000-0000320D0000}"/>
    <cellStyle name="Normal 10 2 10 2 22 5 5" xfId="3442" xr:uid="{00000000-0005-0000-0000-0000330D0000}"/>
    <cellStyle name="Normal 10 2 10 2 22 5 6" xfId="3443" xr:uid="{00000000-0005-0000-0000-0000340D0000}"/>
    <cellStyle name="Normal 10 2 10 2 22 5 7" xfId="3444" xr:uid="{00000000-0005-0000-0000-0000350D0000}"/>
    <cellStyle name="Normal 10 2 10 2 22 5 8" xfId="3445" xr:uid="{00000000-0005-0000-0000-0000360D0000}"/>
    <cellStyle name="Normal 10 2 10 2 22 5 9" xfId="3446" xr:uid="{00000000-0005-0000-0000-0000370D0000}"/>
    <cellStyle name="Normal 10 2 10 2 22 6" xfId="3447" xr:uid="{00000000-0005-0000-0000-0000380D0000}"/>
    <cellStyle name="Normal 10 2 10 2 22 7" xfId="3448" xr:uid="{00000000-0005-0000-0000-0000390D0000}"/>
    <cellStyle name="Normal 10 2 10 2 22 8" xfId="3449" xr:uid="{00000000-0005-0000-0000-00003A0D0000}"/>
    <cellStyle name="Normal 10 2 10 2 22 9" xfId="3450" xr:uid="{00000000-0005-0000-0000-00003B0D0000}"/>
    <cellStyle name="Normal 10 2 10 2 23" xfId="3451" xr:uid="{00000000-0005-0000-0000-00003C0D0000}"/>
    <cellStyle name="Normal 10 2 10 2 23 10" xfId="3452" xr:uid="{00000000-0005-0000-0000-00003D0D0000}"/>
    <cellStyle name="Normal 10 2 10 2 23 11" xfId="3453" xr:uid="{00000000-0005-0000-0000-00003E0D0000}"/>
    <cellStyle name="Normal 10 2 10 2 23 12" xfId="3454" xr:uid="{00000000-0005-0000-0000-00003F0D0000}"/>
    <cellStyle name="Normal 10 2 10 2 23 13" xfId="3455" xr:uid="{00000000-0005-0000-0000-0000400D0000}"/>
    <cellStyle name="Normal 10 2 10 2 23 14" xfId="3456" xr:uid="{00000000-0005-0000-0000-0000410D0000}"/>
    <cellStyle name="Normal 10 2 10 2 23 2" xfId="3457" xr:uid="{00000000-0005-0000-0000-0000420D0000}"/>
    <cellStyle name="Normal 10 2 10 2 23 2 10" xfId="3458" xr:uid="{00000000-0005-0000-0000-0000430D0000}"/>
    <cellStyle name="Normal 10 2 10 2 23 2 2" xfId="3459" xr:uid="{00000000-0005-0000-0000-0000440D0000}"/>
    <cellStyle name="Normal 10 2 10 2 23 2 3" xfId="3460" xr:uid="{00000000-0005-0000-0000-0000450D0000}"/>
    <cellStyle name="Normal 10 2 10 2 23 2 4" xfId="3461" xr:uid="{00000000-0005-0000-0000-0000460D0000}"/>
    <cellStyle name="Normal 10 2 10 2 23 2 5" xfId="3462" xr:uid="{00000000-0005-0000-0000-0000470D0000}"/>
    <cellStyle name="Normal 10 2 10 2 23 2 6" xfId="3463" xr:uid="{00000000-0005-0000-0000-0000480D0000}"/>
    <cellStyle name="Normal 10 2 10 2 23 2 7" xfId="3464" xr:uid="{00000000-0005-0000-0000-0000490D0000}"/>
    <cellStyle name="Normal 10 2 10 2 23 2 8" xfId="3465" xr:uid="{00000000-0005-0000-0000-00004A0D0000}"/>
    <cellStyle name="Normal 10 2 10 2 23 2 9" xfId="3466" xr:uid="{00000000-0005-0000-0000-00004B0D0000}"/>
    <cellStyle name="Normal 10 2 10 2 23 3" xfId="3467" xr:uid="{00000000-0005-0000-0000-00004C0D0000}"/>
    <cellStyle name="Normal 10 2 10 2 23 3 10" xfId="3468" xr:uid="{00000000-0005-0000-0000-00004D0D0000}"/>
    <cellStyle name="Normal 10 2 10 2 23 3 2" xfId="3469" xr:uid="{00000000-0005-0000-0000-00004E0D0000}"/>
    <cellStyle name="Normal 10 2 10 2 23 3 3" xfId="3470" xr:uid="{00000000-0005-0000-0000-00004F0D0000}"/>
    <cellStyle name="Normal 10 2 10 2 23 3 4" xfId="3471" xr:uid="{00000000-0005-0000-0000-0000500D0000}"/>
    <cellStyle name="Normal 10 2 10 2 23 3 5" xfId="3472" xr:uid="{00000000-0005-0000-0000-0000510D0000}"/>
    <cellStyle name="Normal 10 2 10 2 23 3 6" xfId="3473" xr:uid="{00000000-0005-0000-0000-0000520D0000}"/>
    <cellStyle name="Normal 10 2 10 2 23 3 7" xfId="3474" xr:uid="{00000000-0005-0000-0000-0000530D0000}"/>
    <cellStyle name="Normal 10 2 10 2 23 3 8" xfId="3475" xr:uid="{00000000-0005-0000-0000-0000540D0000}"/>
    <cellStyle name="Normal 10 2 10 2 23 3 9" xfId="3476" xr:uid="{00000000-0005-0000-0000-0000550D0000}"/>
    <cellStyle name="Normal 10 2 10 2 23 4" xfId="3477" xr:uid="{00000000-0005-0000-0000-0000560D0000}"/>
    <cellStyle name="Normal 10 2 10 2 23 4 10" xfId="3478" xr:uid="{00000000-0005-0000-0000-0000570D0000}"/>
    <cellStyle name="Normal 10 2 10 2 23 4 2" xfId="3479" xr:uid="{00000000-0005-0000-0000-0000580D0000}"/>
    <cellStyle name="Normal 10 2 10 2 23 4 3" xfId="3480" xr:uid="{00000000-0005-0000-0000-0000590D0000}"/>
    <cellStyle name="Normal 10 2 10 2 23 4 4" xfId="3481" xr:uid="{00000000-0005-0000-0000-00005A0D0000}"/>
    <cellStyle name="Normal 10 2 10 2 23 4 5" xfId="3482" xr:uid="{00000000-0005-0000-0000-00005B0D0000}"/>
    <cellStyle name="Normal 10 2 10 2 23 4 6" xfId="3483" xr:uid="{00000000-0005-0000-0000-00005C0D0000}"/>
    <cellStyle name="Normal 10 2 10 2 23 4 7" xfId="3484" xr:uid="{00000000-0005-0000-0000-00005D0D0000}"/>
    <cellStyle name="Normal 10 2 10 2 23 4 8" xfId="3485" xr:uid="{00000000-0005-0000-0000-00005E0D0000}"/>
    <cellStyle name="Normal 10 2 10 2 23 4 9" xfId="3486" xr:uid="{00000000-0005-0000-0000-00005F0D0000}"/>
    <cellStyle name="Normal 10 2 10 2 23 5" xfId="3487" xr:uid="{00000000-0005-0000-0000-0000600D0000}"/>
    <cellStyle name="Normal 10 2 10 2 23 5 10" xfId="3488" xr:uid="{00000000-0005-0000-0000-0000610D0000}"/>
    <cellStyle name="Normal 10 2 10 2 23 5 2" xfId="3489" xr:uid="{00000000-0005-0000-0000-0000620D0000}"/>
    <cellStyle name="Normal 10 2 10 2 23 5 3" xfId="3490" xr:uid="{00000000-0005-0000-0000-0000630D0000}"/>
    <cellStyle name="Normal 10 2 10 2 23 5 4" xfId="3491" xr:uid="{00000000-0005-0000-0000-0000640D0000}"/>
    <cellStyle name="Normal 10 2 10 2 23 5 5" xfId="3492" xr:uid="{00000000-0005-0000-0000-0000650D0000}"/>
    <cellStyle name="Normal 10 2 10 2 23 5 6" xfId="3493" xr:uid="{00000000-0005-0000-0000-0000660D0000}"/>
    <cellStyle name="Normal 10 2 10 2 23 5 7" xfId="3494" xr:uid="{00000000-0005-0000-0000-0000670D0000}"/>
    <cellStyle name="Normal 10 2 10 2 23 5 8" xfId="3495" xr:uid="{00000000-0005-0000-0000-0000680D0000}"/>
    <cellStyle name="Normal 10 2 10 2 23 5 9" xfId="3496" xr:uid="{00000000-0005-0000-0000-0000690D0000}"/>
    <cellStyle name="Normal 10 2 10 2 23 6" xfId="3497" xr:uid="{00000000-0005-0000-0000-00006A0D0000}"/>
    <cellStyle name="Normal 10 2 10 2 23 7" xfId="3498" xr:uid="{00000000-0005-0000-0000-00006B0D0000}"/>
    <cellStyle name="Normal 10 2 10 2 23 8" xfId="3499" xr:uid="{00000000-0005-0000-0000-00006C0D0000}"/>
    <cellStyle name="Normal 10 2 10 2 23 9" xfId="3500" xr:uid="{00000000-0005-0000-0000-00006D0D0000}"/>
    <cellStyle name="Normal 10 2 10 2 24" xfId="3501" xr:uid="{00000000-0005-0000-0000-00006E0D0000}"/>
    <cellStyle name="Normal 10 2 10 2 24 10" xfId="3502" xr:uid="{00000000-0005-0000-0000-00006F0D0000}"/>
    <cellStyle name="Normal 10 2 10 2 24 11" xfId="3503" xr:uid="{00000000-0005-0000-0000-0000700D0000}"/>
    <cellStyle name="Normal 10 2 10 2 24 12" xfId="3504" xr:uid="{00000000-0005-0000-0000-0000710D0000}"/>
    <cellStyle name="Normal 10 2 10 2 24 13" xfId="3505" xr:uid="{00000000-0005-0000-0000-0000720D0000}"/>
    <cellStyle name="Normal 10 2 10 2 24 14" xfId="3506" xr:uid="{00000000-0005-0000-0000-0000730D0000}"/>
    <cellStyle name="Normal 10 2 10 2 24 2" xfId="3507" xr:uid="{00000000-0005-0000-0000-0000740D0000}"/>
    <cellStyle name="Normal 10 2 10 2 24 2 10" xfId="3508" xr:uid="{00000000-0005-0000-0000-0000750D0000}"/>
    <cellStyle name="Normal 10 2 10 2 24 2 2" xfId="3509" xr:uid="{00000000-0005-0000-0000-0000760D0000}"/>
    <cellStyle name="Normal 10 2 10 2 24 2 3" xfId="3510" xr:uid="{00000000-0005-0000-0000-0000770D0000}"/>
    <cellStyle name="Normal 10 2 10 2 24 2 4" xfId="3511" xr:uid="{00000000-0005-0000-0000-0000780D0000}"/>
    <cellStyle name="Normal 10 2 10 2 24 2 5" xfId="3512" xr:uid="{00000000-0005-0000-0000-0000790D0000}"/>
    <cellStyle name="Normal 10 2 10 2 24 2 6" xfId="3513" xr:uid="{00000000-0005-0000-0000-00007A0D0000}"/>
    <cellStyle name="Normal 10 2 10 2 24 2 7" xfId="3514" xr:uid="{00000000-0005-0000-0000-00007B0D0000}"/>
    <cellStyle name="Normal 10 2 10 2 24 2 8" xfId="3515" xr:uid="{00000000-0005-0000-0000-00007C0D0000}"/>
    <cellStyle name="Normal 10 2 10 2 24 2 9" xfId="3516" xr:uid="{00000000-0005-0000-0000-00007D0D0000}"/>
    <cellStyle name="Normal 10 2 10 2 24 3" xfId="3517" xr:uid="{00000000-0005-0000-0000-00007E0D0000}"/>
    <cellStyle name="Normal 10 2 10 2 24 3 10" xfId="3518" xr:uid="{00000000-0005-0000-0000-00007F0D0000}"/>
    <cellStyle name="Normal 10 2 10 2 24 3 2" xfId="3519" xr:uid="{00000000-0005-0000-0000-0000800D0000}"/>
    <cellStyle name="Normal 10 2 10 2 24 3 3" xfId="3520" xr:uid="{00000000-0005-0000-0000-0000810D0000}"/>
    <cellStyle name="Normal 10 2 10 2 24 3 4" xfId="3521" xr:uid="{00000000-0005-0000-0000-0000820D0000}"/>
    <cellStyle name="Normal 10 2 10 2 24 3 5" xfId="3522" xr:uid="{00000000-0005-0000-0000-0000830D0000}"/>
    <cellStyle name="Normal 10 2 10 2 24 3 6" xfId="3523" xr:uid="{00000000-0005-0000-0000-0000840D0000}"/>
    <cellStyle name="Normal 10 2 10 2 24 3 7" xfId="3524" xr:uid="{00000000-0005-0000-0000-0000850D0000}"/>
    <cellStyle name="Normal 10 2 10 2 24 3 8" xfId="3525" xr:uid="{00000000-0005-0000-0000-0000860D0000}"/>
    <cellStyle name="Normal 10 2 10 2 24 3 9" xfId="3526" xr:uid="{00000000-0005-0000-0000-0000870D0000}"/>
    <cellStyle name="Normal 10 2 10 2 24 4" xfId="3527" xr:uid="{00000000-0005-0000-0000-0000880D0000}"/>
    <cellStyle name="Normal 10 2 10 2 24 4 10" xfId="3528" xr:uid="{00000000-0005-0000-0000-0000890D0000}"/>
    <cellStyle name="Normal 10 2 10 2 24 4 2" xfId="3529" xr:uid="{00000000-0005-0000-0000-00008A0D0000}"/>
    <cellStyle name="Normal 10 2 10 2 24 4 3" xfId="3530" xr:uid="{00000000-0005-0000-0000-00008B0D0000}"/>
    <cellStyle name="Normal 10 2 10 2 24 4 4" xfId="3531" xr:uid="{00000000-0005-0000-0000-00008C0D0000}"/>
    <cellStyle name="Normal 10 2 10 2 24 4 5" xfId="3532" xr:uid="{00000000-0005-0000-0000-00008D0D0000}"/>
    <cellStyle name="Normal 10 2 10 2 24 4 6" xfId="3533" xr:uid="{00000000-0005-0000-0000-00008E0D0000}"/>
    <cellStyle name="Normal 10 2 10 2 24 4 7" xfId="3534" xr:uid="{00000000-0005-0000-0000-00008F0D0000}"/>
    <cellStyle name="Normal 10 2 10 2 24 4 8" xfId="3535" xr:uid="{00000000-0005-0000-0000-0000900D0000}"/>
    <cellStyle name="Normal 10 2 10 2 24 4 9" xfId="3536" xr:uid="{00000000-0005-0000-0000-0000910D0000}"/>
    <cellStyle name="Normal 10 2 10 2 24 5" xfId="3537" xr:uid="{00000000-0005-0000-0000-0000920D0000}"/>
    <cellStyle name="Normal 10 2 10 2 24 5 10" xfId="3538" xr:uid="{00000000-0005-0000-0000-0000930D0000}"/>
    <cellStyle name="Normal 10 2 10 2 24 5 2" xfId="3539" xr:uid="{00000000-0005-0000-0000-0000940D0000}"/>
    <cellStyle name="Normal 10 2 10 2 24 5 3" xfId="3540" xr:uid="{00000000-0005-0000-0000-0000950D0000}"/>
    <cellStyle name="Normal 10 2 10 2 24 5 4" xfId="3541" xr:uid="{00000000-0005-0000-0000-0000960D0000}"/>
    <cellStyle name="Normal 10 2 10 2 24 5 5" xfId="3542" xr:uid="{00000000-0005-0000-0000-0000970D0000}"/>
    <cellStyle name="Normal 10 2 10 2 24 5 6" xfId="3543" xr:uid="{00000000-0005-0000-0000-0000980D0000}"/>
    <cellStyle name="Normal 10 2 10 2 24 5 7" xfId="3544" xr:uid="{00000000-0005-0000-0000-0000990D0000}"/>
    <cellStyle name="Normal 10 2 10 2 24 5 8" xfId="3545" xr:uid="{00000000-0005-0000-0000-00009A0D0000}"/>
    <cellStyle name="Normal 10 2 10 2 24 5 9" xfId="3546" xr:uid="{00000000-0005-0000-0000-00009B0D0000}"/>
    <cellStyle name="Normal 10 2 10 2 24 6" xfId="3547" xr:uid="{00000000-0005-0000-0000-00009C0D0000}"/>
    <cellStyle name="Normal 10 2 10 2 24 7" xfId="3548" xr:uid="{00000000-0005-0000-0000-00009D0D0000}"/>
    <cellStyle name="Normal 10 2 10 2 24 8" xfId="3549" xr:uid="{00000000-0005-0000-0000-00009E0D0000}"/>
    <cellStyle name="Normal 10 2 10 2 24 9" xfId="3550" xr:uid="{00000000-0005-0000-0000-00009F0D0000}"/>
    <cellStyle name="Normal 10 2 10 2 25" xfId="3551" xr:uid="{00000000-0005-0000-0000-0000A00D0000}"/>
    <cellStyle name="Normal 10 2 10 2 25 10" xfId="3552" xr:uid="{00000000-0005-0000-0000-0000A10D0000}"/>
    <cellStyle name="Normal 10 2 10 2 25 11" xfId="3553" xr:uid="{00000000-0005-0000-0000-0000A20D0000}"/>
    <cellStyle name="Normal 10 2 10 2 25 12" xfId="3554" xr:uid="{00000000-0005-0000-0000-0000A30D0000}"/>
    <cellStyle name="Normal 10 2 10 2 25 13" xfId="3555" xr:uid="{00000000-0005-0000-0000-0000A40D0000}"/>
    <cellStyle name="Normal 10 2 10 2 25 14" xfId="3556" xr:uid="{00000000-0005-0000-0000-0000A50D0000}"/>
    <cellStyle name="Normal 10 2 10 2 25 2" xfId="3557" xr:uid="{00000000-0005-0000-0000-0000A60D0000}"/>
    <cellStyle name="Normal 10 2 10 2 25 2 10" xfId="3558" xr:uid="{00000000-0005-0000-0000-0000A70D0000}"/>
    <cellStyle name="Normal 10 2 10 2 25 2 2" xfId="3559" xr:uid="{00000000-0005-0000-0000-0000A80D0000}"/>
    <cellStyle name="Normal 10 2 10 2 25 2 3" xfId="3560" xr:uid="{00000000-0005-0000-0000-0000A90D0000}"/>
    <cellStyle name="Normal 10 2 10 2 25 2 4" xfId="3561" xr:uid="{00000000-0005-0000-0000-0000AA0D0000}"/>
    <cellStyle name="Normal 10 2 10 2 25 2 5" xfId="3562" xr:uid="{00000000-0005-0000-0000-0000AB0D0000}"/>
    <cellStyle name="Normal 10 2 10 2 25 2 6" xfId="3563" xr:uid="{00000000-0005-0000-0000-0000AC0D0000}"/>
    <cellStyle name="Normal 10 2 10 2 25 2 7" xfId="3564" xr:uid="{00000000-0005-0000-0000-0000AD0D0000}"/>
    <cellStyle name="Normal 10 2 10 2 25 2 8" xfId="3565" xr:uid="{00000000-0005-0000-0000-0000AE0D0000}"/>
    <cellStyle name="Normal 10 2 10 2 25 2 9" xfId="3566" xr:uid="{00000000-0005-0000-0000-0000AF0D0000}"/>
    <cellStyle name="Normal 10 2 10 2 25 3" xfId="3567" xr:uid="{00000000-0005-0000-0000-0000B00D0000}"/>
    <cellStyle name="Normal 10 2 10 2 25 3 10" xfId="3568" xr:uid="{00000000-0005-0000-0000-0000B10D0000}"/>
    <cellStyle name="Normal 10 2 10 2 25 3 2" xfId="3569" xr:uid="{00000000-0005-0000-0000-0000B20D0000}"/>
    <cellStyle name="Normal 10 2 10 2 25 3 3" xfId="3570" xr:uid="{00000000-0005-0000-0000-0000B30D0000}"/>
    <cellStyle name="Normal 10 2 10 2 25 3 4" xfId="3571" xr:uid="{00000000-0005-0000-0000-0000B40D0000}"/>
    <cellStyle name="Normal 10 2 10 2 25 3 5" xfId="3572" xr:uid="{00000000-0005-0000-0000-0000B50D0000}"/>
    <cellStyle name="Normal 10 2 10 2 25 3 6" xfId="3573" xr:uid="{00000000-0005-0000-0000-0000B60D0000}"/>
    <cellStyle name="Normal 10 2 10 2 25 3 7" xfId="3574" xr:uid="{00000000-0005-0000-0000-0000B70D0000}"/>
    <cellStyle name="Normal 10 2 10 2 25 3 8" xfId="3575" xr:uid="{00000000-0005-0000-0000-0000B80D0000}"/>
    <cellStyle name="Normal 10 2 10 2 25 3 9" xfId="3576" xr:uid="{00000000-0005-0000-0000-0000B90D0000}"/>
    <cellStyle name="Normal 10 2 10 2 25 4" xfId="3577" xr:uid="{00000000-0005-0000-0000-0000BA0D0000}"/>
    <cellStyle name="Normal 10 2 10 2 25 4 10" xfId="3578" xr:uid="{00000000-0005-0000-0000-0000BB0D0000}"/>
    <cellStyle name="Normal 10 2 10 2 25 4 2" xfId="3579" xr:uid="{00000000-0005-0000-0000-0000BC0D0000}"/>
    <cellStyle name="Normal 10 2 10 2 25 4 3" xfId="3580" xr:uid="{00000000-0005-0000-0000-0000BD0D0000}"/>
    <cellStyle name="Normal 10 2 10 2 25 4 4" xfId="3581" xr:uid="{00000000-0005-0000-0000-0000BE0D0000}"/>
    <cellStyle name="Normal 10 2 10 2 25 4 5" xfId="3582" xr:uid="{00000000-0005-0000-0000-0000BF0D0000}"/>
    <cellStyle name="Normal 10 2 10 2 25 4 6" xfId="3583" xr:uid="{00000000-0005-0000-0000-0000C00D0000}"/>
    <cellStyle name="Normal 10 2 10 2 25 4 7" xfId="3584" xr:uid="{00000000-0005-0000-0000-0000C10D0000}"/>
    <cellStyle name="Normal 10 2 10 2 25 4 8" xfId="3585" xr:uid="{00000000-0005-0000-0000-0000C20D0000}"/>
    <cellStyle name="Normal 10 2 10 2 25 4 9" xfId="3586" xr:uid="{00000000-0005-0000-0000-0000C30D0000}"/>
    <cellStyle name="Normal 10 2 10 2 25 5" xfId="3587" xr:uid="{00000000-0005-0000-0000-0000C40D0000}"/>
    <cellStyle name="Normal 10 2 10 2 25 5 10" xfId="3588" xr:uid="{00000000-0005-0000-0000-0000C50D0000}"/>
    <cellStyle name="Normal 10 2 10 2 25 5 2" xfId="3589" xr:uid="{00000000-0005-0000-0000-0000C60D0000}"/>
    <cellStyle name="Normal 10 2 10 2 25 5 3" xfId="3590" xr:uid="{00000000-0005-0000-0000-0000C70D0000}"/>
    <cellStyle name="Normal 10 2 10 2 25 5 4" xfId="3591" xr:uid="{00000000-0005-0000-0000-0000C80D0000}"/>
    <cellStyle name="Normal 10 2 10 2 25 5 5" xfId="3592" xr:uid="{00000000-0005-0000-0000-0000C90D0000}"/>
    <cellStyle name="Normal 10 2 10 2 25 5 6" xfId="3593" xr:uid="{00000000-0005-0000-0000-0000CA0D0000}"/>
    <cellStyle name="Normal 10 2 10 2 25 5 7" xfId="3594" xr:uid="{00000000-0005-0000-0000-0000CB0D0000}"/>
    <cellStyle name="Normal 10 2 10 2 25 5 8" xfId="3595" xr:uid="{00000000-0005-0000-0000-0000CC0D0000}"/>
    <cellStyle name="Normal 10 2 10 2 25 5 9" xfId="3596" xr:uid="{00000000-0005-0000-0000-0000CD0D0000}"/>
    <cellStyle name="Normal 10 2 10 2 25 6" xfId="3597" xr:uid="{00000000-0005-0000-0000-0000CE0D0000}"/>
    <cellStyle name="Normal 10 2 10 2 25 7" xfId="3598" xr:uid="{00000000-0005-0000-0000-0000CF0D0000}"/>
    <cellStyle name="Normal 10 2 10 2 25 8" xfId="3599" xr:uid="{00000000-0005-0000-0000-0000D00D0000}"/>
    <cellStyle name="Normal 10 2 10 2 25 9" xfId="3600" xr:uid="{00000000-0005-0000-0000-0000D10D0000}"/>
    <cellStyle name="Normal 10 2 10 2 26" xfId="3601" xr:uid="{00000000-0005-0000-0000-0000D20D0000}"/>
    <cellStyle name="Normal 10 2 10 2 26 10" xfId="3602" xr:uid="{00000000-0005-0000-0000-0000D30D0000}"/>
    <cellStyle name="Normal 10 2 10 2 26 11" xfId="3603" xr:uid="{00000000-0005-0000-0000-0000D40D0000}"/>
    <cellStyle name="Normal 10 2 10 2 26 12" xfId="3604" xr:uid="{00000000-0005-0000-0000-0000D50D0000}"/>
    <cellStyle name="Normal 10 2 10 2 26 13" xfId="3605" xr:uid="{00000000-0005-0000-0000-0000D60D0000}"/>
    <cellStyle name="Normal 10 2 10 2 26 14" xfId="3606" xr:uid="{00000000-0005-0000-0000-0000D70D0000}"/>
    <cellStyle name="Normal 10 2 10 2 26 2" xfId="3607" xr:uid="{00000000-0005-0000-0000-0000D80D0000}"/>
    <cellStyle name="Normal 10 2 10 2 26 2 10" xfId="3608" xr:uid="{00000000-0005-0000-0000-0000D90D0000}"/>
    <cellStyle name="Normal 10 2 10 2 26 2 2" xfId="3609" xr:uid="{00000000-0005-0000-0000-0000DA0D0000}"/>
    <cellStyle name="Normal 10 2 10 2 26 2 3" xfId="3610" xr:uid="{00000000-0005-0000-0000-0000DB0D0000}"/>
    <cellStyle name="Normal 10 2 10 2 26 2 4" xfId="3611" xr:uid="{00000000-0005-0000-0000-0000DC0D0000}"/>
    <cellStyle name="Normal 10 2 10 2 26 2 5" xfId="3612" xr:uid="{00000000-0005-0000-0000-0000DD0D0000}"/>
    <cellStyle name="Normal 10 2 10 2 26 2 6" xfId="3613" xr:uid="{00000000-0005-0000-0000-0000DE0D0000}"/>
    <cellStyle name="Normal 10 2 10 2 26 2 7" xfId="3614" xr:uid="{00000000-0005-0000-0000-0000DF0D0000}"/>
    <cellStyle name="Normal 10 2 10 2 26 2 8" xfId="3615" xr:uid="{00000000-0005-0000-0000-0000E00D0000}"/>
    <cellStyle name="Normal 10 2 10 2 26 2 9" xfId="3616" xr:uid="{00000000-0005-0000-0000-0000E10D0000}"/>
    <cellStyle name="Normal 10 2 10 2 26 3" xfId="3617" xr:uid="{00000000-0005-0000-0000-0000E20D0000}"/>
    <cellStyle name="Normal 10 2 10 2 26 3 10" xfId="3618" xr:uid="{00000000-0005-0000-0000-0000E30D0000}"/>
    <cellStyle name="Normal 10 2 10 2 26 3 2" xfId="3619" xr:uid="{00000000-0005-0000-0000-0000E40D0000}"/>
    <cellStyle name="Normal 10 2 10 2 26 3 3" xfId="3620" xr:uid="{00000000-0005-0000-0000-0000E50D0000}"/>
    <cellStyle name="Normal 10 2 10 2 26 3 4" xfId="3621" xr:uid="{00000000-0005-0000-0000-0000E60D0000}"/>
    <cellStyle name="Normal 10 2 10 2 26 3 5" xfId="3622" xr:uid="{00000000-0005-0000-0000-0000E70D0000}"/>
    <cellStyle name="Normal 10 2 10 2 26 3 6" xfId="3623" xr:uid="{00000000-0005-0000-0000-0000E80D0000}"/>
    <cellStyle name="Normal 10 2 10 2 26 3 7" xfId="3624" xr:uid="{00000000-0005-0000-0000-0000E90D0000}"/>
    <cellStyle name="Normal 10 2 10 2 26 3 8" xfId="3625" xr:uid="{00000000-0005-0000-0000-0000EA0D0000}"/>
    <cellStyle name="Normal 10 2 10 2 26 3 9" xfId="3626" xr:uid="{00000000-0005-0000-0000-0000EB0D0000}"/>
    <cellStyle name="Normal 10 2 10 2 26 4" xfId="3627" xr:uid="{00000000-0005-0000-0000-0000EC0D0000}"/>
    <cellStyle name="Normal 10 2 10 2 26 4 10" xfId="3628" xr:uid="{00000000-0005-0000-0000-0000ED0D0000}"/>
    <cellStyle name="Normal 10 2 10 2 26 4 2" xfId="3629" xr:uid="{00000000-0005-0000-0000-0000EE0D0000}"/>
    <cellStyle name="Normal 10 2 10 2 26 4 3" xfId="3630" xr:uid="{00000000-0005-0000-0000-0000EF0D0000}"/>
    <cellStyle name="Normal 10 2 10 2 26 4 4" xfId="3631" xr:uid="{00000000-0005-0000-0000-0000F00D0000}"/>
    <cellStyle name="Normal 10 2 10 2 26 4 5" xfId="3632" xr:uid="{00000000-0005-0000-0000-0000F10D0000}"/>
    <cellStyle name="Normal 10 2 10 2 26 4 6" xfId="3633" xr:uid="{00000000-0005-0000-0000-0000F20D0000}"/>
    <cellStyle name="Normal 10 2 10 2 26 4 7" xfId="3634" xr:uid="{00000000-0005-0000-0000-0000F30D0000}"/>
    <cellStyle name="Normal 10 2 10 2 26 4 8" xfId="3635" xr:uid="{00000000-0005-0000-0000-0000F40D0000}"/>
    <cellStyle name="Normal 10 2 10 2 26 4 9" xfId="3636" xr:uid="{00000000-0005-0000-0000-0000F50D0000}"/>
    <cellStyle name="Normal 10 2 10 2 26 5" xfId="3637" xr:uid="{00000000-0005-0000-0000-0000F60D0000}"/>
    <cellStyle name="Normal 10 2 10 2 26 5 10" xfId="3638" xr:uid="{00000000-0005-0000-0000-0000F70D0000}"/>
    <cellStyle name="Normal 10 2 10 2 26 5 2" xfId="3639" xr:uid="{00000000-0005-0000-0000-0000F80D0000}"/>
    <cellStyle name="Normal 10 2 10 2 26 5 3" xfId="3640" xr:uid="{00000000-0005-0000-0000-0000F90D0000}"/>
    <cellStyle name="Normal 10 2 10 2 26 5 4" xfId="3641" xr:uid="{00000000-0005-0000-0000-0000FA0D0000}"/>
    <cellStyle name="Normal 10 2 10 2 26 5 5" xfId="3642" xr:uid="{00000000-0005-0000-0000-0000FB0D0000}"/>
    <cellStyle name="Normal 10 2 10 2 26 5 6" xfId="3643" xr:uid="{00000000-0005-0000-0000-0000FC0D0000}"/>
    <cellStyle name="Normal 10 2 10 2 26 5 7" xfId="3644" xr:uid="{00000000-0005-0000-0000-0000FD0D0000}"/>
    <cellStyle name="Normal 10 2 10 2 26 5 8" xfId="3645" xr:uid="{00000000-0005-0000-0000-0000FE0D0000}"/>
    <cellStyle name="Normal 10 2 10 2 26 5 9" xfId="3646" xr:uid="{00000000-0005-0000-0000-0000FF0D0000}"/>
    <cellStyle name="Normal 10 2 10 2 26 6" xfId="3647" xr:uid="{00000000-0005-0000-0000-0000000E0000}"/>
    <cellStyle name="Normal 10 2 10 2 26 7" xfId="3648" xr:uid="{00000000-0005-0000-0000-0000010E0000}"/>
    <cellStyle name="Normal 10 2 10 2 26 8" xfId="3649" xr:uid="{00000000-0005-0000-0000-0000020E0000}"/>
    <cellStyle name="Normal 10 2 10 2 26 9" xfId="3650" xr:uid="{00000000-0005-0000-0000-0000030E0000}"/>
    <cellStyle name="Normal 10 2 10 2 27" xfId="3651" xr:uid="{00000000-0005-0000-0000-0000040E0000}"/>
    <cellStyle name="Normal 10 2 10 2 27 10" xfId="3652" xr:uid="{00000000-0005-0000-0000-0000050E0000}"/>
    <cellStyle name="Normal 10 2 10 2 27 11" xfId="3653" xr:uid="{00000000-0005-0000-0000-0000060E0000}"/>
    <cellStyle name="Normal 10 2 10 2 27 12" xfId="3654" xr:uid="{00000000-0005-0000-0000-0000070E0000}"/>
    <cellStyle name="Normal 10 2 10 2 27 13" xfId="3655" xr:uid="{00000000-0005-0000-0000-0000080E0000}"/>
    <cellStyle name="Normal 10 2 10 2 27 14" xfId="3656" xr:uid="{00000000-0005-0000-0000-0000090E0000}"/>
    <cellStyle name="Normal 10 2 10 2 27 2" xfId="3657" xr:uid="{00000000-0005-0000-0000-00000A0E0000}"/>
    <cellStyle name="Normal 10 2 10 2 27 2 10" xfId="3658" xr:uid="{00000000-0005-0000-0000-00000B0E0000}"/>
    <cellStyle name="Normal 10 2 10 2 27 2 2" xfId="3659" xr:uid="{00000000-0005-0000-0000-00000C0E0000}"/>
    <cellStyle name="Normal 10 2 10 2 27 2 3" xfId="3660" xr:uid="{00000000-0005-0000-0000-00000D0E0000}"/>
    <cellStyle name="Normal 10 2 10 2 27 2 4" xfId="3661" xr:uid="{00000000-0005-0000-0000-00000E0E0000}"/>
    <cellStyle name="Normal 10 2 10 2 27 2 5" xfId="3662" xr:uid="{00000000-0005-0000-0000-00000F0E0000}"/>
    <cellStyle name="Normal 10 2 10 2 27 2 6" xfId="3663" xr:uid="{00000000-0005-0000-0000-0000100E0000}"/>
    <cellStyle name="Normal 10 2 10 2 27 2 7" xfId="3664" xr:uid="{00000000-0005-0000-0000-0000110E0000}"/>
    <cellStyle name="Normal 10 2 10 2 27 2 8" xfId="3665" xr:uid="{00000000-0005-0000-0000-0000120E0000}"/>
    <cellStyle name="Normal 10 2 10 2 27 2 9" xfId="3666" xr:uid="{00000000-0005-0000-0000-0000130E0000}"/>
    <cellStyle name="Normal 10 2 10 2 27 3" xfId="3667" xr:uid="{00000000-0005-0000-0000-0000140E0000}"/>
    <cellStyle name="Normal 10 2 10 2 27 3 10" xfId="3668" xr:uid="{00000000-0005-0000-0000-0000150E0000}"/>
    <cellStyle name="Normal 10 2 10 2 27 3 2" xfId="3669" xr:uid="{00000000-0005-0000-0000-0000160E0000}"/>
    <cellStyle name="Normal 10 2 10 2 27 3 3" xfId="3670" xr:uid="{00000000-0005-0000-0000-0000170E0000}"/>
    <cellStyle name="Normal 10 2 10 2 27 3 4" xfId="3671" xr:uid="{00000000-0005-0000-0000-0000180E0000}"/>
    <cellStyle name="Normal 10 2 10 2 27 3 5" xfId="3672" xr:uid="{00000000-0005-0000-0000-0000190E0000}"/>
    <cellStyle name="Normal 10 2 10 2 27 3 6" xfId="3673" xr:uid="{00000000-0005-0000-0000-00001A0E0000}"/>
    <cellStyle name="Normal 10 2 10 2 27 3 7" xfId="3674" xr:uid="{00000000-0005-0000-0000-00001B0E0000}"/>
    <cellStyle name="Normal 10 2 10 2 27 3 8" xfId="3675" xr:uid="{00000000-0005-0000-0000-00001C0E0000}"/>
    <cellStyle name="Normal 10 2 10 2 27 3 9" xfId="3676" xr:uid="{00000000-0005-0000-0000-00001D0E0000}"/>
    <cellStyle name="Normal 10 2 10 2 27 4" xfId="3677" xr:uid="{00000000-0005-0000-0000-00001E0E0000}"/>
    <cellStyle name="Normal 10 2 10 2 27 4 10" xfId="3678" xr:uid="{00000000-0005-0000-0000-00001F0E0000}"/>
    <cellStyle name="Normal 10 2 10 2 27 4 2" xfId="3679" xr:uid="{00000000-0005-0000-0000-0000200E0000}"/>
    <cellStyle name="Normal 10 2 10 2 27 4 3" xfId="3680" xr:uid="{00000000-0005-0000-0000-0000210E0000}"/>
    <cellStyle name="Normal 10 2 10 2 27 4 4" xfId="3681" xr:uid="{00000000-0005-0000-0000-0000220E0000}"/>
    <cellStyle name="Normal 10 2 10 2 27 4 5" xfId="3682" xr:uid="{00000000-0005-0000-0000-0000230E0000}"/>
    <cellStyle name="Normal 10 2 10 2 27 4 6" xfId="3683" xr:uid="{00000000-0005-0000-0000-0000240E0000}"/>
    <cellStyle name="Normal 10 2 10 2 27 4 7" xfId="3684" xr:uid="{00000000-0005-0000-0000-0000250E0000}"/>
    <cellStyle name="Normal 10 2 10 2 27 4 8" xfId="3685" xr:uid="{00000000-0005-0000-0000-0000260E0000}"/>
    <cellStyle name="Normal 10 2 10 2 27 4 9" xfId="3686" xr:uid="{00000000-0005-0000-0000-0000270E0000}"/>
    <cellStyle name="Normal 10 2 10 2 27 5" xfId="3687" xr:uid="{00000000-0005-0000-0000-0000280E0000}"/>
    <cellStyle name="Normal 10 2 10 2 27 5 10" xfId="3688" xr:uid="{00000000-0005-0000-0000-0000290E0000}"/>
    <cellStyle name="Normal 10 2 10 2 27 5 2" xfId="3689" xr:uid="{00000000-0005-0000-0000-00002A0E0000}"/>
    <cellStyle name="Normal 10 2 10 2 27 5 3" xfId="3690" xr:uid="{00000000-0005-0000-0000-00002B0E0000}"/>
    <cellStyle name="Normal 10 2 10 2 27 5 4" xfId="3691" xr:uid="{00000000-0005-0000-0000-00002C0E0000}"/>
    <cellStyle name="Normal 10 2 10 2 27 5 5" xfId="3692" xr:uid="{00000000-0005-0000-0000-00002D0E0000}"/>
    <cellStyle name="Normal 10 2 10 2 27 5 6" xfId="3693" xr:uid="{00000000-0005-0000-0000-00002E0E0000}"/>
    <cellStyle name="Normal 10 2 10 2 27 5 7" xfId="3694" xr:uid="{00000000-0005-0000-0000-00002F0E0000}"/>
    <cellStyle name="Normal 10 2 10 2 27 5 8" xfId="3695" xr:uid="{00000000-0005-0000-0000-0000300E0000}"/>
    <cellStyle name="Normal 10 2 10 2 27 5 9" xfId="3696" xr:uid="{00000000-0005-0000-0000-0000310E0000}"/>
    <cellStyle name="Normal 10 2 10 2 27 6" xfId="3697" xr:uid="{00000000-0005-0000-0000-0000320E0000}"/>
    <cellStyle name="Normal 10 2 10 2 27 7" xfId="3698" xr:uid="{00000000-0005-0000-0000-0000330E0000}"/>
    <cellStyle name="Normal 10 2 10 2 27 8" xfId="3699" xr:uid="{00000000-0005-0000-0000-0000340E0000}"/>
    <cellStyle name="Normal 10 2 10 2 27 9" xfId="3700" xr:uid="{00000000-0005-0000-0000-0000350E0000}"/>
    <cellStyle name="Normal 10 2 10 2 28" xfId="3701" xr:uid="{00000000-0005-0000-0000-0000360E0000}"/>
    <cellStyle name="Normal 10 2 10 2 28 10" xfId="3702" xr:uid="{00000000-0005-0000-0000-0000370E0000}"/>
    <cellStyle name="Normal 10 2 10 2 28 11" xfId="3703" xr:uid="{00000000-0005-0000-0000-0000380E0000}"/>
    <cellStyle name="Normal 10 2 10 2 28 12" xfId="3704" xr:uid="{00000000-0005-0000-0000-0000390E0000}"/>
    <cellStyle name="Normal 10 2 10 2 28 13" xfId="3705" xr:uid="{00000000-0005-0000-0000-00003A0E0000}"/>
    <cellStyle name="Normal 10 2 10 2 28 14" xfId="3706" xr:uid="{00000000-0005-0000-0000-00003B0E0000}"/>
    <cellStyle name="Normal 10 2 10 2 28 2" xfId="3707" xr:uid="{00000000-0005-0000-0000-00003C0E0000}"/>
    <cellStyle name="Normal 10 2 10 2 28 2 10" xfId="3708" xr:uid="{00000000-0005-0000-0000-00003D0E0000}"/>
    <cellStyle name="Normal 10 2 10 2 28 2 2" xfId="3709" xr:uid="{00000000-0005-0000-0000-00003E0E0000}"/>
    <cellStyle name="Normal 10 2 10 2 28 2 3" xfId="3710" xr:uid="{00000000-0005-0000-0000-00003F0E0000}"/>
    <cellStyle name="Normal 10 2 10 2 28 2 4" xfId="3711" xr:uid="{00000000-0005-0000-0000-0000400E0000}"/>
    <cellStyle name="Normal 10 2 10 2 28 2 5" xfId="3712" xr:uid="{00000000-0005-0000-0000-0000410E0000}"/>
    <cellStyle name="Normal 10 2 10 2 28 2 6" xfId="3713" xr:uid="{00000000-0005-0000-0000-0000420E0000}"/>
    <cellStyle name="Normal 10 2 10 2 28 2 7" xfId="3714" xr:uid="{00000000-0005-0000-0000-0000430E0000}"/>
    <cellStyle name="Normal 10 2 10 2 28 2 8" xfId="3715" xr:uid="{00000000-0005-0000-0000-0000440E0000}"/>
    <cellStyle name="Normal 10 2 10 2 28 2 9" xfId="3716" xr:uid="{00000000-0005-0000-0000-0000450E0000}"/>
    <cellStyle name="Normal 10 2 10 2 28 3" xfId="3717" xr:uid="{00000000-0005-0000-0000-0000460E0000}"/>
    <cellStyle name="Normal 10 2 10 2 28 3 10" xfId="3718" xr:uid="{00000000-0005-0000-0000-0000470E0000}"/>
    <cellStyle name="Normal 10 2 10 2 28 3 2" xfId="3719" xr:uid="{00000000-0005-0000-0000-0000480E0000}"/>
    <cellStyle name="Normal 10 2 10 2 28 3 3" xfId="3720" xr:uid="{00000000-0005-0000-0000-0000490E0000}"/>
    <cellStyle name="Normal 10 2 10 2 28 3 4" xfId="3721" xr:uid="{00000000-0005-0000-0000-00004A0E0000}"/>
    <cellStyle name="Normal 10 2 10 2 28 3 5" xfId="3722" xr:uid="{00000000-0005-0000-0000-00004B0E0000}"/>
    <cellStyle name="Normal 10 2 10 2 28 3 6" xfId="3723" xr:uid="{00000000-0005-0000-0000-00004C0E0000}"/>
    <cellStyle name="Normal 10 2 10 2 28 3 7" xfId="3724" xr:uid="{00000000-0005-0000-0000-00004D0E0000}"/>
    <cellStyle name="Normal 10 2 10 2 28 3 8" xfId="3725" xr:uid="{00000000-0005-0000-0000-00004E0E0000}"/>
    <cellStyle name="Normal 10 2 10 2 28 3 9" xfId="3726" xr:uid="{00000000-0005-0000-0000-00004F0E0000}"/>
    <cellStyle name="Normal 10 2 10 2 28 4" xfId="3727" xr:uid="{00000000-0005-0000-0000-0000500E0000}"/>
    <cellStyle name="Normal 10 2 10 2 28 4 10" xfId="3728" xr:uid="{00000000-0005-0000-0000-0000510E0000}"/>
    <cellStyle name="Normal 10 2 10 2 28 4 2" xfId="3729" xr:uid="{00000000-0005-0000-0000-0000520E0000}"/>
    <cellStyle name="Normal 10 2 10 2 28 4 3" xfId="3730" xr:uid="{00000000-0005-0000-0000-0000530E0000}"/>
    <cellStyle name="Normal 10 2 10 2 28 4 4" xfId="3731" xr:uid="{00000000-0005-0000-0000-0000540E0000}"/>
    <cellStyle name="Normal 10 2 10 2 28 4 5" xfId="3732" xr:uid="{00000000-0005-0000-0000-0000550E0000}"/>
    <cellStyle name="Normal 10 2 10 2 28 4 6" xfId="3733" xr:uid="{00000000-0005-0000-0000-0000560E0000}"/>
    <cellStyle name="Normal 10 2 10 2 28 4 7" xfId="3734" xr:uid="{00000000-0005-0000-0000-0000570E0000}"/>
    <cellStyle name="Normal 10 2 10 2 28 4 8" xfId="3735" xr:uid="{00000000-0005-0000-0000-0000580E0000}"/>
    <cellStyle name="Normal 10 2 10 2 28 4 9" xfId="3736" xr:uid="{00000000-0005-0000-0000-0000590E0000}"/>
    <cellStyle name="Normal 10 2 10 2 28 5" xfId="3737" xr:uid="{00000000-0005-0000-0000-00005A0E0000}"/>
    <cellStyle name="Normal 10 2 10 2 28 5 10" xfId="3738" xr:uid="{00000000-0005-0000-0000-00005B0E0000}"/>
    <cellStyle name="Normal 10 2 10 2 28 5 2" xfId="3739" xr:uid="{00000000-0005-0000-0000-00005C0E0000}"/>
    <cellStyle name="Normal 10 2 10 2 28 5 3" xfId="3740" xr:uid="{00000000-0005-0000-0000-00005D0E0000}"/>
    <cellStyle name="Normal 10 2 10 2 28 5 4" xfId="3741" xr:uid="{00000000-0005-0000-0000-00005E0E0000}"/>
    <cellStyle name="Normal 10 2 10 2 28 5 5" xfId="3742" xr:uid="{00000000-0005-0000-0000-00005F0E0000}"/>
    <cellStyle name="Normal 10 2 10 2 28 5 6" xfId="3743" xr:uid="{00000000-0005-0000-0000-0000600E0000}"/>
    <cellStyle name="Normal 10 2 10 2 28 5 7" xfId="3744" xr:uid="{00000000-0005-0000-0000-0000610E0000}"/>
    <cellStyle name="Normal 10 2 10 2 28 5 8" xfId="3745" xr:uid="{00000000-0005-0000-0000-0000620E0000}"/>
    <cellStyle name="Normal 10 2 10 2 28 5 9" xfId="3746" xr:uid="{00000000-0005-0000-0000-0000630E0000}"/>
    <cellStyle name="Normal 10 2 10 2 28 6" xfId="3747" xr:uid="{00000000-0005-0000-0000-0000640E0000}"/>
    <cellStyle name="Normal 10 2 10 2 28 7" xfId="3748" xr:uid="{00000000-0005-0000-0000-0000650E0000}"/>
    <cellStyle name="Normal 10 2 10 2 28 8" xfId="3749" xr:uid="{00000000-0005-0000-0000-0000660E0000}"/>
    <cellStyle name="Normal 10 2 10 2 28 9" xfId="3750" xr:uid="{00000000-0005-0000-0000-0000670E0000}"/>
    <cellStyle name="Normal 10 2 10 2 29" xfId="3751" xr:uid="{00000000-0005-0000-0000-0000680E0000}"/>
    <cellStyle name="Normal 10 2 10 2 29 10" xfId="3752" xr:uid="{00000000-0005-0000-0000-0000690E0000}"/>
    <cellStyle name="Normal 10 2 10 2 29 11" xfId="3753" xr:uid="{00000000-0005-0000-0000-00006A0E0000}"/>
    <cellStyle name="Normal 10 2 10 2 29 12" xfId="3754" xr:uid="{00000000-0005-0000-0000-00006B0E0000}"/>
    <cellStyle name="Normal 10 2 10 2 29 13" xfId="3755" xr:uid="{00000000-0005-0000-0000-00006C0E0000}"/>
    <cellStyle name="Normal 10 2 10 2 29 14" xfId="3756" xr:uid="{00000000-0005-0000-0000-00006D0E0000}"/>
    <cellStyle name="Normal 10 2 10 2 29 2" xfId="3757" xr:uid="{00000000-0005-0000-0000-00006E0E0000}"/>
    <cellStyle name="Normal 10 2 10 2 29 2 10" xfId="3758" xr:uid="{00000000-0005-0000-0000-00006F0E0000}"/>
    <cellStyle name="Normal 10 2 10 2 29 2 2" xfId="3759" xr:uid="{00000000-0005-0000-0000-0000700E0000}"/>
    <cellStyle name="Normal 10 2 10 2 29 2 3" xfId="3760" xr:uid="{00000000-0005-0000-0000-0000710E0000}"/>
    <cellStyle name="Normal 10 2 10 2 29 2 4" xfId="3761" xr:uid="{00000000-0005-0000-0000-0000720E0000}"/>
    <cellStyle name="Normal 10 2 10 2 29 2 5" xfId="3762" xr:uid="{00000000-0005-0000-0000-0000730E0000}"/>
    <cellStyle name="Normal 10 2 10 2 29 2 6" xfId="3763" xr:uid="{00000000-0005-0000-0000-0000740E0000}"/>
    <cellStyle name="Normal 10 2 10 2 29 2 7" xfId="3764" xr:uid="{00000000-0005-0000-0000-0000750E0000}"/>
    <cellStyle name="Normal 10 2 10 2 29 2 8" xfId="3765" xr:uid="{00000000-0005-0000-0000-0000760E0000}"/>
    <cellStyle name="Normal 10 2 10 2 29 2 9" xfId="3766" xr:uid="{00000000-0005-0000-0000-0000770E0000}"/>
    <cellStyle name="Normal 10 2 10 2 29 3" xfId="3767" xr:uid="{00000000-0005-0000-0000-0000780E0000}"/>
    <cellStyle name="Normal 10 2 10 2 29 3 10" xfId="3768" xr:uid="{00000000-0005-0000-0000-0000790E0000}"/>
    <cellStyle name="Normal 10 2 10 2 29 3 2" xfId="3769" xr:uid="{00000000-0005-0000-0000-00007A0E0000}"/>
    <cellStyle name="Normal 10 2 10 2 29 3 3" xfId="3770" xr:uid="{00000000-0005-0000-0000-00007B0E0000}"/>
    <cellStyle name="Normal 10 2 10 2 29 3 4" xfId="3771" xr:uid="{00000000-0005-0000-0000-00007C0E0000}"/>
    <cellStyle name="Normal 10 2 10 2 29 3 5" xfId="3772" xr:uid="{00000000-0005-0000-0000-00007D0E0000}"/>
    <cellStyle name="Normal 10 2 10 2 29 3 6" xfId="3773" xr:uid="{00000000-0005-0000-0000-00007E0E0000}"/>
    <cellStyle name="Normal 10 2 10 2 29 3 7" xfId="3774" xr:uid="{00000000-0005-0000-0000-00007F0E0000}"/>
    <cellStyle name="Normal 10 2 10 2 29 3 8" xfId="3775" xr:uid="{00000000-0005-0000-0000-0000800E0000}"/>
    <cellStyle name="Normal 10 2 10 2 29 3 9" xfId="3776" xr:uid="{00000000-0005-0000-0000-0000810E0000}"/>
    <cellStyle name="Normal 10 2 10 2 29 4" xfId="3777" xr:uid="{00000000-0005-0000-0000-0000820E0000}"/>
    <cellStyle name="Normal 10 2 10 2 29 4 10" xfId="3778" xr:uid="{00000000-0005-0000-0000-0000830E0000}"/>
    <cellStyle name="Normal 10 2 10 2 29 4 2" xfId="3779" xr:uid="{00000000-0005-0000-0000-0000840E0000}"/>
    <cellStyle name="Normal 10 2 10 2 29 4 3" xfId="3780" xr:uid="{00000000-0005-0000-0000-0000850E0000}"/>
    <cellStyle name="Normal 10 2 10 2 29 4 4" xfId="3781" xr:uid="{00000000-0005-0000-0000-0000860E0000}"/>
    <cellStyle name="Normal 10 2 10 2 29 4 5" xfId="3782" xr:uid="{00000000-0005-0000-0000-0000870E0000}"/>
    <cellStyle name="Normal 10 2 10 2 29 4 6" xfId="3783" xr:uid="{00000000-0005-0000-0000-0000880E0000}"/>
    <cellStyle name="Normal 10 2 10 2 29 4 7" xfId="3784" xr:uid="{00000000-0005-0000-0000-0000890E0000}"/>
    <cellStyle name="Normal 10 2 10 2 29 4 8" xfId="3785" xr:uid="{00000000-0005-0000-0000-00008A0E0000}"/>
    <cellStyle name="Normal 10 2 10 2 29 4 9" xfId="3786" xr:uid="{00000000-0005-0000-0000-00008B0E0000}"/>
    <cellStyle name="Normal 10 2 10 2 29 5" xfId="3787" xr:uid="{00000000-0005-0000-0000-00008C0E0000}"/>
    <cellStyle name="Normal 10 2 10 2 29 5 10" xfId="3788" xr:uid="{00000000-0005-0000-0000-00008D0E0000}"/>
    <cellStyle name="Normal 10 2 10 2 29 5 2" xfId="3789" xr:uid="{00000000-0005-0000-0000-00008E0E0000}"/>
    <cellStyle name="Normal 10 2 10 2 29 5 3" xfId="3790" xr:uid="{00000000-0005-0000-0000-00008F0E0000}"/>
    <cellStyle name="Normal 10 2 10 2 29 5 4" xfId="3791" xr:uid="{00000000-0005-0000-0000-0000900E0000}"/>
    <cellStyle name="Normal 10 2 10 2 29 5 5" xfId="3792" xr:uid="{00000000-0005-0000-0000-0000910E0000}"/>
    <cellStyle name="Normal 10 2 10 2 29 5 6" xfId="3793" xr:uid="{00000000-0005-0000-0000-0000920E0000}"/>
    <cellStyle name="Normal 10 2 10 2 29 5 7" xfId="3794" xr:uid="{00000000-0005-0000-0000-0000930E0000}"/>
    <cellStyle name="Normal 10 2 10 2 29 5 8" xfId="3795" xr:uid="{00000000-0005-0000-0000-0000940E0000}"/>
    <cellStyle name="Normal 10 2 10 2 29 5 9" xfId="3796" xr:uid="{00000000-0005-0000-0000-0000950E0000}"/>
    <cellStyle name="Normal 10 2 10 2 29 6" xfId="3797" xr:uid="{00000000-0005-0000-0000-0000960E0000}"/>
    <cellStyle name="Normal 10 2 10 2 29 7" xfId="3798" xr:uid="{00000000-0005-0000-0000-0000970E0000}"/>
    <cellStyle name="Normal 10 2 10 2 29 8" xfId="3799" xr:uid="{00000000-0005-0000-0000-0000980E0000}"/>
    <cellStyle name="Normal 10 2 10 2 29 9" xfId="3800" xr:uid="{00000000-0005-0000-0000-0000990E0000}"/>
    <cellStyle name="Normal 10 2 10 2 3" xfId="3801" xr:uid="{00000000-0005-0000-0000-00009A0E0000}"/>
    <cellStyle name="Normal 10 2 10 2 3 10" xfId="3802" xr:uid="{00000000-0005-0000-0000-00009B0E0000}"/>
    <cellStyle name="Normal 10 2 10 2 3 11" xfId="3803" xr:uid="{00000000-0005-0000-0000-00009C0E0000}"/>
    <cellStyle name="Normal 10 2 10 2 3 12" xfId="3804" xr:uid="{00000000-0005-0000-0000-00009D0E0000}"/>
    <cellStyle name="Normal 10 2 10 2 3 13" xfId="3805" xr:uid="{00000000-0005-0000-0000-00009E0E0000}"/>
    <cellStyle name="Normal 10 2 10 2 3 14" xfId="3806" xr:uid="{00000000-0005-0000-0000-00009F0E0000}"/>
    <cellStyle name="Normal 10 2 10 2 3 2" xfId="3807" xr:uid="{00000000-0005-0000-0000-0000A00E0000}"/>
    <cellStyle name="Normal 10 2 10 2 3 2 10" xfId="3808" xr:uid="{00000000-0005-0000-0000-0000A10E0000}"/>
    <cellStyle name="Normal 10 2 10 2 3 2 2" xfId="3809" xr:uid="{00000000-0005-0000-0000-0000A20E0000}"/>
    <cellStyle name="Normal 10 2 10 2 3 2 3" xfId="3810" xr:uid="{00000000-0005-0000-0000-0000A30E0000}"/>
    <cellStyle name="Normal 10 2 10 2 3 2 4" xfId="3811" xr:uid="{00000000-0005-0000-0000-0000A40E0000}"/>
    <cellStyle name="Normal 10 2 10 2 3 2 5" xfId="3812" xr:uid="{00000000-0005-0000-0000-0000A50E0000}"/>
    <cellStyle name="Normal 10 2 10 2 3 2 6" xfId="3813" xr:uid="{00000000-0005-0000-0000-0000A60E0000}"/>
    <cellStyle name="Normal 10 2 10 2 3 2 7" xfId="3814" xr:uid="{00000000-0005-0000-0000-0000A70E0000}"/>
    <cellStyle name="Normal 10 2 10 2 3 2 8" xfId="3815" xr:uid="{00000000-0005-0000-0000-0000A80E0000}"/>
    <cellStyle name="Normal 10 2 10 2 3 2 9" xfId="3816" xr:uid="{00000000-0005-0000-0000-0000A90E0000}"/>
    <cellStyle name="Normal 10 2 10 2 3 3" xfId="3817" xr:uid="{00000000-0005-0000-0000-0000AA0E0000}"/>
    <cellStyle name="Normal 10 2 10 2 3 3 10" xfId="3818" xr:uid="{00000000-0005-0000-0000-0000AB0E0000}"/>
    <cellStyle name="Normal 10 2 10 2 3 3 2" xfId="3819" xr:uid="{00000000-0005-0000-0000-0000AC0E0000}"/>
    <cellStyle name="Normal 10 2 10 2 3 3 3" xfId="3820" xr:uid="{00000000-0005-0000-0000-0000AD0E0000}"/>
    <cellStyle name="Normal 10 2 10 2 3 3 4" xfId="3821" xr:uid="{00000000-0005-0000-0000-0000AE0E0000}"/>
    <cellStyle name="Normal 10 2 10 2 3 3 5" xfId="3822" xr:uid="{00000000-0005-0000-0000-0000AF0E0000}"/>
    <cellStyle name="Normal 10 2 10 2 3 3 6" xfId="3823" xr:uid="{00000000-0005-0000-0000-0000B00E0000}"/>
    <cellStyle name="Normal 10 2 10 2 3 3 7" xfId="3824" xr:uid="{00000000-0005-0000-0000-0000B10E0000}"/>
    <cellStyle name="Normal 10 2 10 2 3 3 8" xfId="3825" xr:uid="{00000000-0005-0000-0000-0000B20E0000}"/>
    <cellStyle name="Normal 10 2 10 2 3 3 9" xfId="3826" xr:uid="{00000000-0005-0000-0000-0000B30E0000}"/>
    <cellStyle name="Normal 10 2 10 2 3 4" xfId="3827" xr:uid="{00000000-0005-0000-0000-0000B40E0000}"/>
    <cellStyle name="Normal 10 2 10 2 3 4 10" xfId="3828" xr:uid="{00000000-0005-0000-0000-0000B50E0000}"/>
    <cellStyle name="Normal 10 2 10 2 3 4 2" xfId="3829" xr:uid="{00000000-0005-0000-0000-0000B60E0000}"/>
    <cellStyle name="Normal 10 2 10 2 3 4 3" xfId="3830" xr:uid="{00000000-0005-0000-0000-0000B70E0000}"/>
    <cellStyle name="Normal 10 2 10 2 3 4 4" xfId="3831" xr:uid="{00000000-0005-0000-0000-0000B80E0000}"/>
    <cellStyle name="Normal 10 2 10 2 3 4 5" xfId="3832" xr:uid="{00000000-0005-0000-0000-0000B90E0000}"/>
    <cellStyle name="Normal 10 2 10 2 3 4 6" xfId="3833" xr:uid="{00000000-0005-0000-0000-0000BA0E0000}"/>
    <cellStyle name="Normal 10 2 10 2 3 4 7" xfId="3834" xr:uid="{00000000-0005-0000-0000-0000BB0E0000}"/>
    <cellStyle name="Normal 10 2 10 2 3 4 8" xfId="3835" xr:uid="{00000000-0005-0000-0000-0000BC0E0000}"/>
    <cellStyle name="Normal 10 2 10 2 3 4 9" xfId="3836" xr:uid="{00000000-0005-0000-0000-0000BD0E0000}"/>
    <cellStyle name="Normal 10 2 10 2 3 5" xfId="3837" xr:uid="{00000000-0005-0000-0000-0000BE0E0000}"/>
    <cellStyle name="Normal 10 2 10 2 3 5 10" xfId="3838" xr:uid="{00000000-0005-0000-0000-0000BF0E0000}"/>
    <cellStyle name="Normal 10 2 10 2 3 5 2" xfId="3839" xr:uid="{00000000-0005-0000-0000-0000C00E0000}"/>
    <cellStyle name="Normal 10 2 10 2 3 5 3" xfId="3840" xr:uid="{00000000-0005-0000-0000-0000C10E0000}"/>
    <cellStyle name="Normal 10 2 10 2 3 5 4" xfId="3841" xr:uid="{00000000-0005-0000-0000-0000C20E0000}"/>
    <cellStyle name="Normal 10 2 10 2 3 5 5" xfId="3842" xr:uid="{00000000-0005-0000-0000-0000C30E0000}"/>
    <cellStyle name="Normal 10 2 10 2 3 5 6" xfId="3843" xr:uid="{00000000-0005-0000-0000-0000C40E0000}"/>
    <cellStyle name="Normal 10 2 10 2 3 5 7" xfId="3844" xr:uid="{00000000-0005-0000-0000-0000C50E0000}"/>
    <cellStyle name="Normal 10 2 10 2 3 5 8" xfId="3845" xr:uid="{00000000-0005-0000-0000-0000C60E0000}"/>
    <cellStyle name="Normal 10 2 10 2 3 5 9" xfId="3846" xr:uid="{00000000-0005-0000-0000-0000C70E0000}"/>
    <cellStyle name="Normal 10 2 10 2 3 6" xfId="3847" xr:uid="{00000000-0005-0000-0000-0000C80E0000}"/>
    <cellStyle name="Normal 10 2 10 2 3 7" xfId="3848" xr:uid="{00000000-0005-0000-0000-0000C90E0000}"/>
    <cellStyle name="Normal 10 2 10 2 3 8" xfId="3849" xr:uid="{00000000-0005-0000-0000-0000CA0E0000}"/>
    <cellStyle name="Normal 10 2 10 2 3 9" xfId="3850" xr:uid="{00000000-0005-0000-0000-0000CB0E0000}"/>
    <cellStyle name="Normal 10 2 10 2 30" xfId="3851" xr:uid="{00000000-0005-0000-0000-0000CC0E0000}"/>
    <cellStyle name="Normal 10 2 10 2 30 10" xfId="3852" xr:uid="{00000000-0005-0000-0000-0000CD0E0000}"/>
    <cellStyle name="Normal 10 2 10 2 30 11" xfId="3853" xr:uid="{00000000-0005-0000-0000-0000CE0E0000}"/>
    <cellStyle name="Normal 10 2 10 2 30 12" xfId="3854" xr:uid="{00000000-0005-0000-0000-0000CF0E0000}"/>
    <cellStyle name="Normal 10 2 10 2 30 13" xfId="3855" xr:uid="{00000000-0005-0000-0000-0000D00E0000}"/>
    <cellStyle name="Normal 10 2 10 2 30 14" xfId="3856" xr:uid="{00000000-0005-0000-0000-0000D10E0000}"/>
    <cellStyle name="Normal 10 2 10 2 30 2" xfId="3857" xr:uid="{00000000-0005-0000-0000-0000D20E0000}"/>
    <cellStyle name="Normal 10 2 10 2 30 2 10" xfId="3858" xr:uid="{00000000-0005-0000-0000-0000D30E0000}"/>
    <cellStyle name="Normal 10 2 10 2 30 2 2" xfId="3859" xr:uid="{00000000-0005-0000-0000-0000D40E0000}"/>
    <cellStyle name="Normal 10 2 10 2 30 2 3" xfId="3860" xr:uid="{00000000-0005-0000-0000-0000D50E0000}"/>
    <cellStyle name="Normal 10 2 10 2 30 2 4" xfId="3861" xr:uid="{00000000-0005-0000-0000-0000D60E0000}"/>
    <cellStyle name="Normal 10 2 10 2 30 2 5" xfId="3862" xr:uid="{00000000-0005-0000-0000-0000D70E0000}"/>
    <cellStyle name="Normal 10 2 10 2 30 2 6" xfId="3863" xr:uid="{00000000-0005-0000-0000-0000D80E0000}"/>
    <cellStyle name="Normal 10 2 10 2 30 2 7" xfId="3864" xr:uid="{00000000-0005-0000-0000-0000D90E0000}"/>
    <cellStyle name="Normal 10 2 10 2 30 2 8" xfId="3865" xr:uid="{00000000-0005-0000-0000-0000DA0E0000}"/>
    <cellStyle name="Normal 10 2 10 2 30 2 9" xfId="3866" xr:uid="{00000000-0005-0000-0000-0000DB0E0000}"/>
    <cellStyle name="Normal 10 2 10 2 30 3" xfId="3867" xr:uid="{00000000-0005-0000-0000-0000DC0E0000}"/>
    <cellStyle name="Normal 10 2 10 2 30 3 10" xfId="3868" xr:uid="{00000000-0005-0000-0000-0000DD0E0000}"/>
    <cellStyle name="Normal 10 2 10 2 30 3 2" xfId="3869" xr:uid="{00000000-0005-0000-0000-0000DE0E0000}"/>
    <cellStyle name="Normal 10 2 10 2 30 3 3" xfId="3870" xr:uid="{00000000-0005-0000-0000-0000DF0E0000}"/>
    <cellStyle name="Normal 10 2 10 2 30 3 4" xfId="3871" xr:uid="{00000000-0005-0000-0000-0000E00E0000}"/>
    <cellStyle name="Normal 10 2 10 2 30 3 5" xfId="3872" xr:uid="{00000000-0005-0000-0000-0000E10E0000}"/>
    <cellStyle name="Normal 10 2 10 2 30 3 6" xfId="3873" xr:uid="{00000000-0005-0000-0000-0000E20E0000}"/>
    <cellStyle name="Normal 10 2 10 2 30 3 7" xfId="3874" xr:uid="{00000000-0005-0000-0000-0000E30E0000}"/>
    <cellStyle name="Normal 10 2 10 2 30 3 8" xfId="3875" xr:uid="{00000000-0005-0000-0000-0000E40E0000}"/>
    <cellStyle name="Normal 10 2 10 2 30 3 9" xfId="3876" xr:uid="{00000000-0005-0000-0000-0000E50E0000}"/>
    <cellStyle name="Normal 10 2 10 2 30 4" xfId="3877" xr:uid="{00000000-0005-0000-0000-0000E60E0000}"/>
    <cellStyle name="Normal 10 2 10 2 30 4 10" xfId="3878" xr:uid="{00000000-0005-0000-0000-0000E70E0000}"/>
    <cellStyle name="Normal 10 2 10 2 30 4 2" xfId="3879" xr:uid="{00000000-0005-0000-0000-0000E80E0000}"/>
    <cellStyle name="Normal 10 2 10 2 30 4 3" xfId="3880" xr:uid="{00000000-0005-0000-0000-0000E90E0000}"/>
    <cellStyle name="Normal 10 2 10 2 30 4 4" xfId="3881" xr:uid="{00000000-0005-0000-0000-0000EA0E0000}"/>
    <cellStyle name="Normal 10 2 10 2 30 4 5" xfId="3882" xr:uid="{00000000-0005-0000-0000-0000EB0E0000}"/>
    <cellStyle name="Normal 10 2 10 2 30 4 6" xfId="3883" xr:uid="{00000000-0005-0000-0000-0000EC0E0000}"/>
    <cellStyle name="Normal 10 2 10 2 30 4 7" xfId="3884" xr:uid="{00000000-0005-0000-0000-0000ED0E0000}"/>
    <cellStyle name="Normal 10 2 10 2 30 4 8" xfId="3885" xr:uid="{00000000-0005-0000-0000-0000EE0E0000}"/>
    <cellStyle name="Normal 10 2 10 2 30 4 9" xfId="3886" xr:uid="{00000000-0005-0000-0000-0000EF0E0000}"/>
    <cellStyle name="Normal 10 2 10 2 30 5" xfId="3887" xr:uid="{00000000-0005-0000-0000-0000F00E0000}"/>
    <cellStyle name="Normal 10 2 10 2 30 5 10" xfId="3888" xr:uid="{00000000-0005-0000-0000-0000F10E0000}"/>
    <cellStyle name="Normal 10 2 10 2 30 5 2" xfId="3889" xr:uid="{00000000-0005-0000-0000-0000F20E0000}"/>
    <cellStyle name="Normal 10 2 10 2 30 5 3" xfId="3890" xr:uid="{00000000-0005-0000-0000-0000F30E0000}"/>
    <cellStyle name="Normal 10 2 10 2 30 5 4" xfId="3891" xr:uid="{00000000-0005-0000-0000-0000F40E0000}"/>
    <cellStyle name="Normal 10 2 10 2 30 5 5" xfId="3892" xr:uid="{00000000-0005-0000-0000-0000F50E0000}"/>
    <cellStyle name="Normal 10 2 10 2 30 5 6" xfId="3893" xr:uid="{00000000-0005-0000-0000-0000F60E0000}"/>
    <cellStyle name="Normal 10 2 10 2 30 5 7" xfId="3894" xr:uid="{00000000-0005-0000-0000-0000F70E0000}"/>
    <cellStyle name="Normal 10 2 10 2 30 5 8" xfId="3895" xr:uid="{00000000-0005-0000-0000-0000F80E0000}"/>
    <cellStyle name="Normal 10 2 10 2 30 5 9" xfId="3896" xr:uid="{00000000-0005-0000-0000-0000F90E0000}"/>
    <cellStyle name="Normal 10 2 10 2 30 6" xfId="3897" xr:uid="{00000000-0005-0000-0000-0000FA0E0000}"/>
    <cellStyle name="Normal 10 2 10 2 30 7" xfId="3898" xr:uid="{00000000-0005-0000-0000-0000FB0E0000}"/>
    <cellStyle name="Normal 10 2 10 2 30 8" xfId="3899" xr:uid="{00000000-0005-0000-0000-0000FC0E0000}"/>
    <cellStyle name="Normal 10 2 10 2 30 9" xfId="3900" xr:uid="{00000000-0005-0000-0000-0000FD0E0000}"/>
    <cellStyle name="Normal 10 2 10 2 31" xfId="3901" xr:uid="{00000000-0005-0000-0000-0000FE0E0000}"/>
    <cellStyle name="Normal 10 2 10 2 31 10" xfId="3902" xr:uid="{00000000-0005-0000-0000-0000FF0E0000}"/>
    <cellStyle name="Normal 10 2 10 2 31 11" xfId="3903" xr:uid="{00000000-0005-0000-0000-0000000F0000}"/>
    <cellStyle name="Normal 10 2 10 2 31 12" xfId="3904" xr:uid="{00000000-0005-0000-0000-0000010F0000}"/>
    <cellStyle name="Normal 10 2 10 2 31 13" xfId="3905" xr:uid="{00000000-0005-0000-0000-0000020F0000}"/>
    <cellStyle name="Normal 10 2 10 2 31 14" xfId="3906" xr:uid="{00000000-0005-0000-0000-0000030F0000}"/>
    <cellStyle name="Normal 10 2 10 2 31 2" xfId="3907" xr:uid="{00000000-0005-0000-0000-0000040F0000}"/>
    <cellStyle name="Normal 10 2 10 2 31 2 10" xfId="3908" xr:uid="{00000000-0005-0000-0000-0000050F0000}"/>
    <cellStyle name="Normal 10 2 10 2 31 2 2" xfId="3909" xr:uid="{00000000-0005-0000-0000-0000060F0000}"/>
    <cellStyle name="Normal 10 2 10 2 31 2 3" xfId="3910" xr:uid="{00000000-0005-0000-0000-0000070F0000}"/>
    <cellStyle name="Normal 10 2 10 2 31 2 4" xfId="3911" xr:uid="{00000000-0005-0000-0000-0000080F0000}"/>
    <cellStyle name="Normal 10 2 10 2 31 2 5" xfId="3912" xr:uid="{00000000-0005-0000-0000-0000090F0000}"/>
    <cellStyle name="Normal 10 2 10 2 31 2 6" xfId="3913" xr:uid="{00000000-0005-0000-0000-00000A0F0000}"/>
    <cellStyle name="Normal 10 2 10 2 31 2 7" xfId="3914" xr:uid="{00000000-0005-0000-0000-00000B0F0000}"/>
    <cellStyle name="Normal 10 2 10 2 31 2 8" xfId="3915" xr:uid="{00000000-0005-0000-0000-00000C0F0000}"/>
    <cellStyle name="Normal 10 2 10 2 31 2 9" xfId="3916" xr:uid="{00000000-0005-0000-0000-00000D0F0000}"/>
    <cellStyle name="Normal 10 2 10 2 31 3" xfId="3917" xr:uid="{00000000-0005-0000-0000-00000E0F0000}"/>
    <cellStyle name="Normal 10 2 10 2 31 3 10" xfId="3918" xr:uid="{00000000-0005-0000-0000-00000F0F0000}"/>
    <cellStyle name="Normal 10 2 10 2 31 3 2" xfId="3919" xr:uid="{00000000-0005-0000-0000-0000100F0000}"/>
    <cellStyle name="Normal 10 2 10 2 31 3 3" xfId="3920" xr:uid="{00000000-0005-0000-0000-0000110F0000}"/>
    <cellStyle name="Normal 10 2 10 2 31 3 4" xfId="3921" xr:uid="{00000000-0005-0000-0000-0000120F0000}"/>
    <cellStyle name="Normal 10 2 10 2 31 3 5" xfId="3922" xr:uid="{00000000-0005-0000-0000-0000130F0000}"/>
    <cellStyle name="Normal 10 2 10 2 31 3 6" xfId="3923" xr:uid="{00000000-0005-0000-0000-0000140F0000}"/>
    <cellStyle name="Normal 10 2 10 2 31 3 7" xfId="3924" xr:uid="{00000000-0005-0000-0000-0000150F0000}"/>
    <cellStyle name="Normal 10 2 10 2 31 3 8" xfId="3925" xr:uid="{00000000-0005-0000-0000-0000160F0000}"/>
    <cellStyle name="Normal 10 2 10 2 31 3 9" xfId="3926" xr:uid="{00000000-0005-0000-0000-0000170F0000}"/>
    <cellStyle name="Normal 10 2 10 2 31 4" xfId="3927" xr:uid="{00000000-0005-0000-0000-0000180F0000}"/>
    <cellStyle name="Normal 10 2 10 2 31 4 10" xfId="3928" xr:uid="{00000000-0005-0000-0000-0000190F0000}"/>
    <cellStyle name="Normal 10 2 10 2 31 4 2" xfId="3929" xr:uid="{00000000-0005-0000-0000-00001A0F0000}"/>
    <cellStyle name="Normal 10 2 10 2 31 4 3" xfId="3930" xr:uid="{00000000-0005-0000-0000-00001B0F0000}"/>
    <cellStyle name="Normal 10 2 10 2 31 4 4" xfId="3931" xr:uid="{00000000-0005-0000-0000-00001C0F0000}"/>
    <cellStyle name="Normal 10 2 10 2 31 4 5" xfId="3932" xr:uid="{00000000-0005-0000-0000-00001D0F0000}"/>
    <cellStyle name="Normal 10 2 10 2 31 4 6" xfId="3933" xr:uid="{00000000-0005-0000-0000-00001E0F0000}"/>
    <cellStyle name="Normal 10 2 10 2 31 4 7" xfId="3934" xr:uid="{00000000-0005-0000-0000-00001F0F0000}"/>
    <cellStyle name="Normal 10 2 10 2 31 4 8" xfId="3935" xr:uid="{00000000-0005-0000-0000-0000200F0000}"/>
    <cellStyle name="Normal 10 2 10 2 31 4 9" xfId="3936" xr:uid="{00000000-0005-0000-0000-0000210F0000}"/>
    <cellStyle name="Normal 10 2 10 2 31 5" xfId="3937" xr:uid="{00000000-0005-0000-0000-0000220F0000}"/>
    <cellStyle name="Normal 10 2 10 2 31 5 10" xfId="3938" xr:uid="{00000000-0005-0000-0000-0000230F0000}"/>
    <cellStyle name="Normal 10 2 10 2 31 5 2" xfId="3939" xr:uid="{00000000-0005-0000-0000-0000240F0000}"/>
    <cellStyle name="Normal 10 2 10 2 31 5 3" xfId="3940" xr:uid="{00000000-0005-0000-0000-0000250F0000}"/>
    <cellStyle name="Normal 10 2 10 2 31 5 4" xfId="3941" xr:uid="{00000000-0005-0000-0000-0000260F0000}"/>
    <cellStyle name="Normal 10 2 10 2 31 5 5" xfId="3942" xr:uid="{00000000-0005-0000-0000-0000270F0000}"/>
    <cellStyle name="Normal 10 2 10 2 31 5 6" xfId="3943" xr:uid="{00000000-0005-0000-0000-0000280F0000}"/>
    <cellStyle name="Normal 10 2 10 2 31 5 7" xfId="3944" xr:uid="{00000000-0005-0000-0000-0000290F0000}"/>
    <cellStyle name="Normal 10 2 10 2 31 5 8" xfId="3945" xr:uid="{00000000-0005-0000-0000-00002A0F0000}"/>
    <cellStyle name="Normal 10 2 10 2 31 5 9" xfId="3946" xr:uid="{00000000-0005-0000-0000-00002B0F0000}"/>
    <cellStyle name="Normal 10 2 10 2 31 6" xfId="3947" xr:uid="{00000000-0005-0000-0000-00002C0F0000}"/>
    <cellStyle name="Normal 10 2 10 2 31 7" xfId="3948" xr:uid="{00000000-0005-0000-0000-00002D0F0000}"/>
    <cellStyle name="Normal 10 2 10 2 31 8" xfId="3949" xr:uid="{00000000-0005-0000-0000-00002E0F0000}"/>
    <cellStyle name="Normal 10 2 10 2 31 9" xfId="3950" xr:uid="{00000000-0005-0000-0000-00002F0F0000}"/>
    <cellStyle name="Normal 10 2 10 2 32" xfId="3951" xr:uid="{00000000-0005-0000-0000-0000300F0000}"/>
    <cellStyle name="Normal 10 2 10 2 32 10" xfId="3952" xr:uid="{00000000-0005-0000-0000-0000310F0000}"/>
    <cellStyle name="Normal 10 2 10 2 32 11" xfId="3953" xr:uid="{00000000-0005-0000-0000-0000320F0000}"/>
    <cellStyle name="Normal 10 2 10 2 32 12" xfId="3954" xr:uid="{00000000-0005-0000-0000-0000330F0000}"/>
    <cellStyle name="Normal 10 2 10 2 32 13" xfId="3955" xr:uid="{00000000-0005-0000-0000-0000340F0000}"/>
    <cellStyle name="Normal 10 2 10 2 32 14" xfId="3956" xr:uid="{00000000-0005-0000-0000-0000350F0000}"/>
    <cellStyle name="Normal 10 2 10 2 32 2" xfId="3957" xr:uid="{00000000-0005-0000-0000-0000360F0000}"/>
    <cellStyle name="Normal 10 2 10 2 32 2 10" xfId="3958" xr:uid="{00000000-0005-0000-0000-0000370F0000}"/>
    <cellStyle name="Normal 10 2 10 2 32 2 2" xfId="3959" xr:uid="{00000000-0005-0000-0000-0000380F0000}"/>
    <cellStyle name="Normal 10 2 10 2 32 2 3" xfId="3960" xr:uid="{00000000-0005-0000-0000-0000390F0000}"/>
    <cellStyle name="Normal 10 2 10 2 32 2 4" xfId="3961" xr:uid="{00000000-0005-0000-0000-00003A0F0000}"/>
    <cellStyle name="Normal 10 2 10 2 32 2 5" xfId="3962" xr:uid="{00000000-0005-0000-0000-00003B0F0000}"/>
    <cellStyle name="Normal 10 2 10 2 32 2 6" xfId="3963" xr:uid="{00000000-0005-0000-0000-00003C0F0000}"/>
    <cellStyle name="Normal 10 2 10 2 32 2 7" xfId="3964" xr:uid="{00000000-0005-0000-0000-00003D0F0000}"/>
    <cellStyle name="Normal 10 2 10 2 32 2 8" xfId="3965" xr:uid="{00000000-0005-0000-0000-00003E0F0000}"/>
    <cellStyle name="Normal 10 2 10 2 32 2 9" xfId="3966" xr:uid="{00000000-0005-0000-0000-00003F0F0000}"/>
    <cellStyle name="Normal 10 2 10 2 32 3" xfId="3967" xr:uid="{00000000-0005-0000-0000-0000400F0000}"/>
    <cellStyle name="Normal 10 2 10 2 32 3 10" xfId="3968" xr:uid="{00000000-0005-0000-0000-0000410F0000}"/>
    <cellStyle name="Normal 10 2 10 2 32 3 2" xfId="3969" xr:uid="{00000000-0005-0000-0000-0000420F0000}"/>
    <cellStyle name="Normal 10 2 10 2 32 3 3" xfId="3970" xr:uid="{00000000-0005-0000-0000-0000430F0000}"/>
    <cellStyle name="Normal 10 2 10 2 32 3 4" xfId="3971" xr:uid="{00000000-0005-0000-0000-0000440F0000}"/>
    <cellStyle name="Normal 10 2 10 2 32 3 5" xfId="3972" xr:uid="{00000000-0005-0000-0000-0000450F0000}"/>
    <cellStyle name="Normal 10 2 10 2 32 3 6" xfId="3973" xr:uid="{00000000-0005-0000-0000-0000460F0000}"/>
    <cellStyle name="Normal 10 2 10 2 32 3 7" xfId="3974" xr:uid="{00000000-0005-0000-0000-0000470F0000}"/>
    <cellStyle name="Normal 10 2 10 2 32 3 8" xfId="3975" xr:uid="{00000000-0005-0000-0000-0000480F0000}"/>
    <cellStyle name="Normal 10 2 10 2 32 3 9" xfId="3976" xr:uid="{00000000-0005-0000-0000-0000490F0000}"/>
    <cellStyle name="Normal 10 2 10 2 32 4" xfId="3977" xr:uid="{00000000-0005-0000-0000-00004A0F0000}"/>
    <cellStyle name="Normal 10 2 10 2 32 4 10" xfId="3978" xr:uid="{00000000-0005-0000-0000-00004B0F0000}"/>
    <cellStyle name="Normal 10 2 10 2 32 4 2" xfId="3979" xr:uid="{00000000-0005-0000-0000-00004C0F0000}"/>
    <cellStyle name="Normal 10 2 10 2 32 4 3" xfId="3980" xr:uid="{00000000-0005-0000-0000-00004D0F0000}"/>
    <cellStyle name="Normal 10 2 10 2 32 4 4" xfId="3981" xr:uid="{00000000-0005-0000-0000-00004E0F0000}"/>
    <cellStyle name="Normal 10 2 10 2 32 4 5" xfId="3982" xr:uid="{00000000-0005-0000-0000-00004F0F0000}"/>
    <cellStyle name="Normal 10 2 10 2 32 4 6" xfId="3983" xr:uid="{00000000-0005-0000-0000-0000500F0000}"/>
    <cellStyle name="Normal 10 2 10 2 32 4 7" xfId="3984" xr:uid="{00000000-0005-0000-0000-0000510F0000}"/>
    <cellStyle name="Normal 10 2 10 2 32 4 8" xfId="3985" xr:uid="{00000000-0005-0000-0000-0000520F0000}"/>
    <cellStyle name="Normal 10 2 10 2 32 4 9" xfId="3986" xr:uid="{00000000-0005-0000-0000-0000530F0000}"/>
    <cellStyle name="Normal 10 2 10 2 32 5" xfId="3987" xr:uid="{00000000-0005-0000-0000-0000540F0000}"/>
    <cellStyle name="Normal 10 2 10 2 32 5 10" xfId="3988" xr:uid="{00000000-0005-0000-0000-0000550F0000}"/>
    <cellStyle name="Normal 10 2 10 2 32 5 2" xfId="3989" xr:uid="{00000000-0005-0000-0000-0000560F0000}"/>
    <cellStyle name="Normal 10 2 10 2 32 5 3" xfId="3990" xr:uid="{00000000-0005-0000-0000-0000570F0000}"/>
    <cellStyle name="Normal 10 2 10 2 32 5 4" xfId="3991" xr:uid="{00000000-0005-0000-0000-0000580F0000}"/>
    <cellStyle name="Normal 10 2 10 2 32 5 5" xfId="3992" xr:uid="{00000000-0005-0000-0000-0000590F0000}"/>
    <cellStyle name="Normal 10 2 10 2 32 5 6" xfId="3993" xr:uid="{00000000-0005-0000-0000-00005A0F0000}"/>
    <cellStyle name="Normal 10 2 10 2 32 5 7" xfId="3994" xr:uid="{00000000-0005-0000-0000-00005B0F0000}"/>
    <cellStyle name="Normal 10 2 10 2 32 5 8" xfId="3995" xr:uid="{00000000-0005-0000-0000-00005C0F0000}"/>
    <cellStyle name="Normal 10 2 10 2 32 5 9" xfId="3996" xr:uid="{00000000-0005-0000-0000-00005D0F0000}"/>
    <cellStyle name="Normal 10 2 10 2 32 6" xfId="3997" xr:uid="{00000000-0005-0000-0000-00005E0F0000}"/>
    <cellStyle name="Normal 10 2 10 2 32 7" xfId="3998" xr:uid="{00000000-0005-0000-0000-00005F0F0000}"/>
    <cellStyle name="Normal 10 2 10 2 32 8" xfId="3999" xr:uid="{00000000-0005-0000-0000-0000600F0000}"/>
    <cellStyle name="Normal 10 2 10 2 32 9" xfId="4000" xr:uid="{00000000-0005-0000-0000-0000610F0000}"/>
    <cellStyle name="Normal 10 2 10 2 33" xfId="4001" xr:uid="{00000000-0005-0000-0000-0000620F0000}"/>
    <cellStyle name="Normal 10 2 10 2 33 10" xfId="4002" xr:uid="{00000000-0005-0000-0000-0000630F0000}"/>
    <cellStyle name="Normal 10 2 10 2 33 11" xfId="4003" xr:uid="{00000000-0005-0000-0000-0000640F0000}"/>
    <cellStyle name="Normal 10 2 10 2 33 12" xfId="4004" xr:uid="{00000000-0005-0000-0000-0000650F0000}"/>
    <cellStyle name="Normal 10 2 10 2 33 13" xfId="4005" xr:uid="{00000000-0005-0000-0000-0000660F0000}"/>
    <cellStyle name="Normal 10 2 10 2 33 14" xfId="4006" xr:uid="{00000000-0005-0000-0000-0000670F0000}"/>
    <cellStyle name="Normal 10 2 10 2 33 2" xfId="4007" xr:uid="{00000000-0005-0000-0000-0000680F0000}"/>
    <cellStyle name="Normal 10 2 10 2 33 2 10" xfId="4008" xr:uid="{00000000-0005-0000-0000-0000690F0000}"/>
    <cellStyle name="Normal 10 2 10 2 33 2 2" xfId="4009" xr:uid="{00000000-0005-0000-0000-00006A0F0000}"/>
    <cellStyle name="Normal 10 2 10 2 33 2 3" xfId="4010" xr:uid="{00000000-0005-0000-0000-00006B0F0000}"/>
    <cellStyle name="Normal 10 2 10 2 33 2 4" xfId="4011" xr:uid="{00000000-0005-0000-0000-00006C0F0000}"/>
    <cellStyle name="Normal 10 2 10 2 33 2 5" xfId="4012" xr:uid="{00000000-0005-0000-0000-00006D0F0000}"/>
    <cellStyle name="Normal 10 2 10 2 33 2 6" xfId="4013" xr:uid="{00000000-0005-0000-0000-00006E0F0000}"/>
    <cellStyle name="Normal 10 2 10 2 33 2 7" xfId="4014" xr:uid="{00000000-0005-0000-0000-00006F0F0000}"/>
    <cellStyle name="Normal 10 2 10 2 33 2 8" xfId="4015" xr:uid="{00000000-0005-0000-0000-0000700F0000}"/>
    <cellStyle name="Normal 10 2 10 2 33 2 9" xfId="4016" xr:uid="{00000000-0005-0000-0000-0000710F0000}"/>
    <cellStyle name="Normal 10 2 10 2 33 3" xfId="4017" xr:uid="{00000000-0005-0000-0000-0000720F0000}"/>
    <cellStyle name="Normal 10 2 10 2 33 3 10" xfId="4018" xr:uid="{00000000-0005-0000-0000-0000730F0000}"/>
    <cellStyle name="Normal 10 2 10 2 33 3 2" xfId="4019" xr:uid="{00000000-0005-0000-0000-0000740F0000}"/>
    <cellStyle name="Normal 10 2 10 2 33 3 3" xfId="4020" xr:uid="{00000000-0005-0000-0000-0000750F0000}"/>
    <cellStyle name="Normal 10 2 10 2 33 3 4" xfId="4021" xr:uid="{00000000-0005-0000-0000-0000760F0000}"/>
    <cellStyle name="Normal 10 2 10 2 33 3 5" xfId="4022" xr:uid="{00000000-0005-0000-0000-0000770F0000}"/>
    <cellStyle name="Normal 10 2 10 2 33 3 6" xfId="4023" xr:uid="{00000000-0005-0000-0000-0000780F0000}"/>
    <cellStyle name="Normal 10 2 10 2 33 3 7" xfId="4024" xr:uid="{00000000-0005-0000-0000-0000790F0000}"/>
    <cellStyle name="Normal 10 2 10 2 33 3 8" xfId="4025" xr:uid="{00000000-0005-0000-0000-00007A0F0000}"/>
    <cellStyle name="Normal 10 2 10 2 33 3 9" xfId="4026" xr:uid="{00000000-0005-0000-0000-00007B0F0000}"/>
    <cellStyle name="Normal 10 2 10 2 33 4" xfId="4027" xr:uid="{00000000-0005-0000-0000-00007C0F0000}"/>
    <cellStyle name="Normal 10 2 10 2 33 4 10" xfId="4028" xr:uid="{00000000-0005-0000-0000-00007D0F0000}"/>
    <cellStyle name="Normal 10 2 10 2 33 4 2" xfId="4029" xr:uid="{00000000-0005-0000-0000-00007E0F0000}"/>
    <cellStyle name="Normal 10 2 10 2 33 4 3" xfId="4030" xr:uid="{00000000-0005-0000-0000-00007F0F0000}"/>
    <cellStyle name="Normal 10 2 10 2 33 4 4" xfId="4031" xr:uid="{00000000-0005-0000-0000-0000800F0000}"/>
    <cellStyle name="Normal 10 2 10 2 33 4 5" xfId="4032" xr:uid="{00000000-0005-0000-0000-0000810F0000}"/>
    <cellStyle name="Normal 10 2 10 2 33 4 6" xfId="4033" xr:uid="{00000000-0005-0000-0000-0000820F0000}"/>
    <cellStyle name="Normal 10 2 10 2 33 4 7" xfId="4034" xr:uid="{00000000-0005-0000-0000-0000830F0000}"/>
    <cellStyle name="Normal 10 2 10 2 33 4 8" xfId="4035" xr:uid="{00000000-0005-0000-0000-0000840F0000}"/>
    <cellStyle name="Normal 10 2 10 2 33 4 9" xfId="4036" xr:uid="{00000000-0005-0000-0000-0000850F0000}"/>
    <cellStyle name="Normal 10 2 10 2 33 5" xfId="4037" xr:uid="{00000000-0005-0000-0000-0000860F0000}"/>
    <cellStyle name="Normal 10 2 10 2 33 5 10" xfId="4038" xr:uid="{00000000-0005-0000-0000-0000870F0000}"/>
    <cellStyle name="Normal 10 2 10 2 33 5 2" xfId="4039" xr:uid="{00000000-0005-0000-0000-0000880F0000}"/>
    <cellStyle name="Normal 10 2 10 2 33 5 3" xfId="4040" xr:uid="{00000000-0005-0000-0000-0000890F0000}"/>
    <cellStyle name="Normal 10 2 10 2 33 5 4" xfId="4041" xr:uid="{00000000-0005-0000-0000-00008A0F0000}"/>
    <cellStyle name="Normal 10 2 10 2 33 5 5" xfId="4042" xr:uid="{00000000-0005-0000-0000-00008B0F0000}"/>
    <cellStyle name="Normal 10 2 10 2 33 5 6" xfId="4043" xr:uid="{00000000-0005-0000-0000-00008C0F0000}"/>
    <cellStyle name="Normal 10 2 10 2 33 5 7" xfId="4044" xr:uid="{00000000-0005-0000-0000-00008D0F0000}"/>
    <cellStyle name="Normal 10 2 10 2 33 5 8" xfId="4045" xr:uid="{00000000-0005-0000-0000-00008E0F0000}"/>
    <cellStyle name="Normal 10 2 10 2 33 5 9" xfId="4046" xr:uid="{00000000-0005-0000-0000-00008F0F0000}"/>
    <cellStyle name="Normal 10 2 10 2 33 6" xfId="4047" xr:uid="{00000000-0005-0000-0000-0000900F0000}"/>
    <cellStyle name="Normal 10 2 10 2 33 7" xfId="4048" xr:uid="{00000000-0005-0000-0000-0000910F0000}"/>
    <cellStyle name="Normal 10 2 10 2 33 8" xfId="4049" xr:uid="{00000000-0005-0000-0000-0000920F0000}"/>
    <cellStyle name="Normal 10 2 10 2 33 9" xfId="4050" xr:uid="{00000000-0005-0000-0000-0000930F0000}"/>
    <cellStyle name="Normal 10 2 10 2 34" xfId="4051" xr:uid="{00000000-0005-0000-0000-0000940F0000}"/>
    <cellStyle name="Normal 10 2 10 2 34 10" xfId="4052" xr:uid="{00000000-0005-0000-0000-0000950F0000}"/>
    <cellStyle name="Normal 10 2 10 2 34 2" xfId="4053" xr:uid="{00000000-0005-0000-0000-0000960F0000}"/>
    <cellStyle name="Normal 10 2 10 2 34 3" xfId="4054" xr:uid="{00000000-0005-0000-0000-0000970F0000}"/>
    <cellStyle name="Normal 10 2 10 2 34 4" xfId="4055" xr:uid="{00000000-0005-0000-0000-0000980F0000}"/>
    <cellStyle name="Normal 10 2 10 2 34 5" xfId="4056" xr:uid="{00000000-0005-0000-0000-0000990F0000}"/>
    <cellStyle name="Normal 10 2 10 2 34 6" xfId="4057" xr:uid="{00000000-0005-0000-0000-00009A0F0000}"/>
    <cellStyle name="Normal 10 2 10 2 34 7" xfId="4058" xr:uid="{00000000-0005-0000-0000-00009B0F0000}"/>
    <cellStyle name="Normal 10 2 10 2 34 8" xfId="4059" xr:uid="{00000000-0005-0000-0000-00009C0F0000}"/>
    <cellStyle name="Normal 10 2 10 2 34 9" xfId="4060" xr:uid="{00000000-0005-0000-0000-00009D0F0000}"/>
    <cellStyle name="Normal 10 2 10 2 35" xfId="4061" xr:uid="{00000000-0005-0000-0000-00009E0F0000}"/>
    <cellStyle name="Normal 10 2 10 2 35 10" xfId="4062" xr:uid="{00000000-0005-0000-0000-00009F0F0000}"/>
    <cellStyle name="Normal 10 2 10 2 35 2" xfId="4063" xr:uid="{00000000-0005-0000-0000-0000A00F0000}"/>
    <cellStyle name="Normal 10 2 10 2 35 3" xfId="4064" xr:uid="{00000000-0005-0000-0000-0000A10F0000}"/>
    <cellStyle name="Normal 10 2 10 2 35 4" xfId="4065" xr:uid="{00000000-0005-0000-0000-0000A20F0000}"/>
    <cellStyle name="Normal 10 2 10 2 35 5" xfId="4066" xr:uid="{00000000-0005-0000-0000-0000A30F0000}"/>
    <cellStyle name="Normal 10 2 10 2 35 6" xfId="4067" xr:uid="{00000000-0005-0000-0000-0000A40F0000}"/>
    <cellStyle name="Normal 10 2 10 2 35 7" xfId="4068" xr:uid="{00000000-0005-0000-0000-0000A50F0000}"/>
    <cellStyle name="Normal 10 2 10 2 35 8" xfId="4069" xr:uid="{00000000-0005-0000-0000-0000A60F0000}"/>
    <cellStyle name="Normal 10 2 10 2 35 9" xfId="4070" xr:uid="{00000000-0005-0000-0000-0000A70F0000}"/>
    <cellStyle name="Normal 10 2 10 2 36" xfId="4071" xr:uid="{00000000-0005-0000-0000-0000A80F0000}"/>
    <cellStyle name="Normal 10 2 10 2 36 10" xfId="4072" xr:uid="{00000000-0005-0000-0000-0000A90F0000}"/>
    <cellStyle name="Normal 10 2 10 2 36 2" xfId="4073" xr:uid="{00000000-0005-0000-0000-0000AA0F0000}"/>
    <cellStyle name="Normal 10 2 10 2 36 3" xfId="4074" xr:uid="{00000000-0005-0000-0000-0000AB0F0000}"/>
    <cellStyle name="Normal 10 2 10 2 36 4" xfId="4075" xr:uid="{00000000-0005-0000-0000-0000AC0F0000}"/>
    <cellStyle name="Normal 10 2 10 2 36 5" xfId="4076" xr:uid="{00000000-0005-0000-0000-0000AD0F0000}"/>
    <cellStyle name="Normal 10 2 10 2 36 6" xfId="4077" xr:uid="{00000000-0005-0000-0000-0000AE0F0000}"/>
    <cellStyle name="Normal 10 2 10 2 36 7" xfId="4078" xr:uid="{00000000-0005-0000-0000-0000AF0F0000}"/>
    <cellStyle name="Normal 10 2 10 2 36 8" xfId="4079" xr:uid="{00000000-0005-0000-0000-0000B00F0000}"/>
    <cellStyle name="Normal 10 2 10 2 36 9" xfId="4080" xr:uid="{00000000-0005-0000-0000-0000B10F0000}"/>
    <cellStyle name="Normal 10 2 10 2 37" xfId="4081" xr:uid="{00000000-0005-0000-0000-0000B20F0000}"/>
    <cellStyle name="Normal 10 2 10 2 37 10" xfId="4082" xr:uid="{00000000-0005-0000-0000-0000B30F0000}"/>
    <cellStyle name="Normal 10 2 10 2 37 2" xfId="4083" xr:uid="{00000000-0005-0000-0000-0000B40F0000}"/>
    <cellStyle name="Normal 10 2 10 2 37 3" xfId="4084" xr:uid="{00000000-0005-0000-0000-0000B50F0000}"/>
    <cellStyle name="Normal 10 2 10 2 37 4" xfId="4085" xr:uid="{00000000-0005-0000-0000-0000B60F0000}"/>
    <cellStyle name="Normal 10 2 10 2 37 5" xfId="4086" xr:uid="{00000000-0005-0000-0000-0000B70F0000}"/>
    <cellStyle name="Normal 10 2 10 2 37 6" xfId="4087" xr:uid="{00000000-0005-0000-0000-0000B80F0000}"/>
    <cellStyle name="Normal 10 2 10 2 37 7" xfId="4088" xr:uid="{00000000-0005-0000-0000-0000B90F0000}"/>
    <cellStyle name="Normal 10 2 10 2 37 8" xfId="4089" xr:uid="{00000000-0005-0000-0000-0000BA0F0000}"/>
    <cellStyle name="Normal 10 2 10 2 37 9" xfId="4090" xr:uid="{00000000-0005-0000-0000-0000BB0F0000}"/>
    <cellStyle name="Normal 10 2 10 2 38" xfId="4091" xr:uid="{00000000-0005-0000-0000-0000BC0F0000}"/>
    <cellStyle name="Normal 10 2 10 2 39" xfId="4092" xr:uid="{00000000-0005-0000-0000-0000BD0F0000}"/>
    <cellStyle name="Normal 10 2 10 2 4" xfId="4093" xr:uid="{00000000-0005-0000-0000-0000BE0F0000}"/>
    <cellStyle name="Normal 10 2 10 2 4 10" xfId="4094" xr:uid="{00000000-0005-0000-0000-0000BF0F0000}"/>
    <cellStyle name="Normal 10 2 10 2 4 11" xfId="4095" xr:uid="{00000000-0005-0000-0000-0000C00F0000}"/>
    <cellStyle name="Normal 10 2 10 2 4 12" xfId="4096" xr:uid="{00000000-0005-0000-0000-0000C10F0000}"/>
    <cellStyle name="Normal 10 2 10 2 4 13" xfId="4097" xr:uid="{00000000-0005-0000-0000-0000C20F0000}"/>
    <cellStyle name="Normal 10 2 10 2 4 14" xfId="4098" xr:uid="{00000000-0005-0000-0000-0000C30F0000}"/>
    <cellStyle name="Normal 10 2 10 2 4 2" xfId="4099" xr:uid="{00000000-0005-0000-0000-0000C40F0000}"/>
    <cellStyle name="Normal 10 2 10 2 4 2 10" xfId="4100" xr:uid="{00000000-0005-0000-0000-0000C50F0000}"/>
    <cellStyle name="Normal 10 2 10 2 4 2 2" xfId="4101" xr:uid="{00000000-0005-0000-0000-0000C60F0000}"/>
    <cellStyle name="Normal 10 2 10 2 4 2 3" xfId="4102" xr:uid="{00000000-0005-0000-0000-0000C70F0000}"/>
    <cellStyle name="Normal 10 2 10 2 4 2 4" xfId="4103" xr:uid="{00000000-0005-0000-0000-0000C80F0000}"/>
    <cellStyle name="Normal 10 2 10 2 4 2 5" xfId="4104" xr:uid="{00000000-0005-0000-0000-0000C90F0000}"/>
    <cellStyle name="Normal 10 2 10 2 4 2 6" xfId="4105" xr:uid="{00000000-0005-0000-0000-0000CA0F0000}"/>
    <cellStyle name="Normal 10 2 10 2 4 2 7" xfId="4106" xr:uid="{00000000-0005-0000-0000-0000CB0F0000}"/>
    <cellStyle name="Normal 10 2 10 2 4 2 8" xfId="4107" xr:uid="{00000000-0005-0000-0000-0000CC0F0000}"/>
    <cellStyle name="Normal 10 2 10 2 4 2 9" xfId="4108" xr:uid="{00000000-0005-0000-0000-0000CD0F0000}"/>
    <cellStyle name="Normal 10 2 10 2 4 3" xfId="4109" xr:uid="{00000000-0005-0000-0000-0000CE0F0000}"/>
    <cellStyle name="Normal 10 2 10 2 4 3 10" xfId="4110" xr:uid="{00000000-0005-0000-0000-0000CF0F0000}"/>
    <cellStyle name="Normal 10 2 10 2 4 3 2" xfId="4111" xr:uid="{00000000-0005-0000-0000-0000D00F0000}"/>
    <cellStyle name="Normal 10 2 10 2 4 3 3" xfId="4112" xr:uid="{00000000-0005-0000-0000-0000D10F0000}"/>
    <cellStyle name="Normal 10 2 10 2 4 3 4" xfId="4113" xr:uid="{00000000-0005-0000-0000-0000D20F0000}"/>
    <cellStyle name="Normal 10 2 10 2 4 3 5" xfId="4114" xr:uid="{00000000-0005-0000-0000-0000D30F0000}"/>
    <cellStyle name="Normal 10 2 10 2 4 3 6" xfId="4115" xr:uid="{00000000-0005-0000-0000-0000D40F0000}"/>
    <cellStyle name="Normal 10 2 10 2 4 3 7" xfId="4116" xr:uid="{00000000-0005-0000-0000-0000D50F0000}"/>
    <cellStyle name="Normal 10 2 10 2 4 3 8" xfId="4117" xr:uid="{00000000-0005-0000-0000-0000D60F0000}"/>
    <cellStyle name="Normal 10 2 10 2 4 3 9" xfId="4118" xr:uid="{00000000-0005-0000-0000-0000D70F0000}"/>
    <cellStyle name="Normal 10 2 10 2 4 4" xfId="4119" xr:uid="{00000000-0005-0000-0000-0000D80F0000}"/>
    <cellStyle name="Normal 10 2 10 2 4 4 10" xfId="4120" xr:uid="{00000000-0005-0000-0000-0000D90F0000}"/>
    <cellStyle name="Normal 10 2 10 2 4 4 2" xfId="4121" xr:uid="{00000000-0005-0000-0000-0000DA0F0000}"/>
    <cellStyle name="Normal 10 2 10 2 4 4 3" xfId="4122" xr:uid="{00000000-0005-0000-0000-0000DB0F0000}"/>
    <cellStyle name="Normal 10 2 10 2 4 4 4" xfId="4123" xr:uid="{00000000-0005-0000-0000-0000DC0F0000}"/>
    <cellStyle name="Normal 10 2 10 2 4 4 5" xfId="4124" xr:uid="{00000000-0005-0000-0000-0000DD0F0000}"/>
    <cellStyle name="Normal 10 2 10 2 4 4 6" xfId="4125" xr:uid="{00000000-0005-0000-0000-0000DE0F0000}"/>
    <cellStyle name="Normal 10 2 10 2 4 4 7" xfId="4126" xr:uid="{00000000-0005-0000-0000-0000DF0F0000}"/>
    <cellStyle name="Normal 10 2 10 2 4 4 8" xfId="4127" xr:uid="{00000000-0005-0000-0000-0000E00F0000}"/>
    <cellStyle name="Normal 10 2 10 2 4 4 9" xfId="4128" xr:uid="{00000000-0005-0000-0000-0000E10F0000}"/>
    <cellStyle name="Normal 10 2 10 2 4 5" xfId="4129" xr:uid="{00000000-0005-0000-0000-0000E20F0000}"/>
    <cellStyle name="Normal 10 2 10 2 4 5 10" xfId="4130" xr:uid="{00000000-0005-0000-0000-0000E30F0000}"/>
    <cellStyle name="Normal 10 2 10 2 4 5 2" xfId="4131" xr:uid="{00000000-0005-0000-0000-0000E40F0000}"/>
    <cellStyle name="Normal 10 2 10 2 4 5 3" xfId="4132" xr:uid="{00000000-0005-0000-0000-0000E50F0000}"/>
    <cellStyle name="Normal 10 2 10 2 4 5 4" xfId="4133" xr:uid="{00000000-0005-0000-0000-0000E60F0000}"/>
    <cellStyle name="Normal 10 2 10 2 4 5 5" xfId="4134" xr:uid="{00000000-0005-0000-0000-0000E70F0000}"/>
    <cellStyle name="Normal 10 2 10 2 4 5 6" xfId="4135" xr:uid="{00000000-0005-0000-0000-0000E80F0000}"/>
    <cellStyle name="Normal 10 2 10 2 4 5 7" xfId="4136" xr:uid="{00000000-0005-0000-0000-0000E90F0000}"/>
    <cellStyle name="Normal 10 2 10 2 4 5 8" xfId="4137" xr:uid="{00000000-0005-0000-0000-0000EA0F0000}"/>
    <cellStyle name="Normal 10 2 10 2 4 5 9" xfId="4138" xr:uid="{00000000-0005-0000-0000-0000EB0F0000}"/>
    <cellStyle name="Normal 10 2 10 2 4 6" xfId="4139" xr:uid="{00000000-0005-0000-0000-0000EC0F0000}"/>
    <cellStyle name="Normal 10 2 10 2 4 7" xfId="4140" xr:uid="{00000000-0005-0000-0000-0000ED0F0000}"/>
    <cellStyle name="Normal 10 2 10 2 4 8" xfId="4141" xr:uid="{00000000-0005-0000-0000-0000EE0F0000}"/>
    <cellStyle name="Normal 10 2 10 2 4 9" xfId="4142" xr:uid="{00000000-0005-0000-0000-0000EF0F0000}"/>
    <cellStyle name="Normal 10 2 10 2 40" xfId="4143" xr:uid="{00000000-0005-0000-0000-0000F00F0000}"/>
    <cellStyle name="Normal 10 2 10 2 41" xfId="4144" xr:uid="{00000000-0005-0000-0000-0000F10F0000}"/>
    <cellStyle name="Normal 10 2 10 2 42" xfId="4145" xr:uid="{00000000-0005-0000-0000-0000F20F0000}"/>
    <cellStyle name="Normal 10 2 10 2 43" xfId="4146" xr:uid="{00000000-0005-0000-0000-0000F30F0000}"/>
    <cellStyle name="Normal 10 2 10 2 44" xfId="4147" xr:uid="{00000000-0005-0000-0000-0000F40F0000}"/>
    <cellStyle name="Normal 10 2 10 2 45" xfId="4148" xr:uid="{00000000-0005-0000-0000-0000F50F0000}"/>
    <cellStyle name="Normal 10 2 10 2 46" xfId="4149" xr:uid="{00000000-0005-0000-0000-0000F60F0000}"/>
    <cellStyle name="Normal 10 2 10 2 47" xfId="4150" xr:uid="{00000000-0005-0000-0000-0000F70F0000}"/>
    <cellStyle name="Normal 10 2 10 2 48" xfId="4151" xr:uid="{00000000-0005-0000-0000-0000F80F0000}"/>
    <cellStyle name="Normal 10 2 10 2 49" xfId="2750" xr:uid="{00000000-0005-0000-0000-0000F90F0000}"/>
    <cellStyle name="Normal 10 2 10 2 5" xfId="4152" xr:uid="{00000000-0005-0000-0000-0000FA0F0000}"/>
    <cellStyle name="Normal 10 2 10 2 5 10" xfId="4153" xr:uid="{00000000-0005-0000-0000-0000FB0F0000}"/>
    <cellStyle name="Normal 10 2 10 2 5 11" xfId="4154" xr:uid="{00000000-0005-0000-0000-0000FC0F0000}"/>
    <cellStyle name="Normal 10 2 10 2 5 12" xfId="4155" xr:uid="{00000000-0005-0000-0000-0000FD0F0000}"/>
    <cellStyle name="Normal 10 2 10 2 5 13" xfId="4156" xr:uid="{00000000-0005-0000-0000-0000FE0F0000}"/>
    <cellStyle name="Normal 10 2 10 2 5 14" xfId="4157" xr:uid="{00000000-0005-0000-0000-0000FF0F0000}"/>
    <cellStyle name="Normal 10 2 10 2 5 2" xfId="4158" xr:uid="{00000000-0005-0000-0000-000000100000}"/>
    <cellStyle name="Normal 10 2 10 2 5 2 10" xfId="4159" xr:uid="{00000000-0005-0000-0000-000001100000}"/>
    <cellStyle name="Normal 10 2 10 2 5 2 2" xfId="4160" xr:uid="{00000000-0005-0000-0000-000002100000}"/>
    <cellStyle name="Normal 10 2 10 2 5 2 3" xfId="4161" xr:uid="{00000000-0005-0000-0000-000003100000}"/>
    <cellStyle name="Normal 10 2 10 2 5 2 4" xfId="4162" xr:uid="{00000000-0005-0000-0000-000004100000}"/>
    <cellStyle name="Normal 10 2 10 2 5 2 5" xfId="4163" xr:uid="{00000000-0005-0000-0000-000005100000}"/>
    <cellStyle name="Normal 10 2 10 2 5 2 6" xfId="4164" xr:uid="{00000000-0005-0000-0000-000006100000}"/>
    <cellStyle name="Normal 10 2 10 2 5 2 7" xfId="4165" xr:uid="{00000000-0005-0000-0000-000007100000}"/>
    <cellStyle name="Normal 10 2 10 2 5 2 8" xfId="4166" xr:uid="{00000000-0005-0000-0000-000008100000}"/>
    <cellStyle name="Normal 10 2 10 2 5 2 9" xfId="4167" xr:uid="{00000000-0005-0000-0000-000009100000}"/>
    <cellStyle name="Normal 10 2 10 2 5 3" xfId="4168" xr:uid="{00000000-0005-0000-0000-00000A100000}"/>
    <cellStyle name="Normal 10 2 10 2 5 3 10" xfId="4169" xr:uid="{00000000-0005-0000-0000-00000B100000}"/>
    <cellStyle name="Normal 10 2 10 2 5 3 2" xfId="4170" xr:uid="{00000000-0005-0000-0000-00000C100000}"/>
    <cellStyle name="Normal 10 2 10 2 5 3 3" xfId="4171" xr:uid="{00000000-0005-0000-0000-00000D100000}"/>
    <cellStyle name="Normal 10 2 10 2 5 3 4" xfId="4172" xr:uid="{00000000-0005-0000-0000-00000E100000}"/>
    <cellStyle name="Normal 10 2 10 2 5 3 5" xfId="4173" xr:uid="{00000000-0005-0000-0000-00000F100000}"/>
    <cellStyle name="Normal 10 2 10 2 5 3 6" xfId="4174" xr:uid="{00000000-0005-0000-0000-000010100000}"/>
    <cellStyle name="Normal 10 2 10 2 5 3 7" xfId="4175" xr:uid="{00000000-0005-0000-0000-000011100000}"/>
    <cellStyle name="Normal 10 2 10 2 5 3 8" xfId="4176" xr:uid="{00000000-0005-0000-0000-000012100000}"/>
    <cellStyle name="Normal 10 2 10 2 5 3 9" xfId="4177" xr:uid="{00000000-0005-0000-0000-000013100000}"/>
    <cellStyle name="Normal 10 2 10 2 5 4" xfId="4178" xr:uid="{00000000-0005-0000-0000-000014100000}"/>
    <cellStyle name="Normal 10 2 10 2 5 4 10" xfId="4179" xr:uid="{00000000-0005-0000-0000-000015100000}"/>
    <cellStyle name="Normal 10 2 10 2 5 4 2" xfId="4180" xr:uid="{00000000-0005-0000-0000-000016100000}"/>
    <cellStyle name="Normal 10 2 10 2 5 4 3" xfId="4181" xr:uid="{00000000-0005-0000-0000-000017100000}"/>
    <cellStyle name="Normal 10 2 10 2 5 4 4" xfId="4182" xr:uid="{00000000-0005-0000-0000-000018100000}"/>
    <cellStyle name="Normal 10 2 10 2 5 4 5" xfId="4183" xr:uid="{00000000-0005-0000-0000-000019100000}"/>
    <cellStyle name="Normal 10 2 10 2 5 4 6" xfId="4184" xr:uid="{00000000-0005-0000-0000-00001A100000}"/>
    <cellStyle name="Normal 10 2 10 2 5 4 7" xfId="4185" xr:uid="{00000000-0005-0000-0000-00001B100000}"/>
    <cellStyle name="Normal 10 2 10 2 5 4 8" xfId="4186" xr:uid="{00000000-0005-0000-0000-00001C100000}"/>
    <cellStyle name="Normal 10 2 10 2 5 4 9" xfId="4187" xr:uid="{00000000-0005-0000-0000-00001D100000}"/>
    <cellStyle name="Normal 10 2 10 2 5 5" xfId="4188" xr:uid="{00000000-0005-0000-0000-00001E100000}"/>
    <cellStyle name="Normal 10 2 10 2 5 5 10" xfId="4189" xr:uid="{00000000-0005-0000-0000-00001F100000}"/>
    <cellStyle name="Normal 10 2 10 2 5 5 2" xfId="4190" xr:uid="{00000000-0005-0000-0000-000020100000}"/>
    <cellStyle name="Normal 10 2 10 2 5 5 3" xfId="4191" xr:uid="{00000000-0005-0000-0000-000021100000}"/>
    <cellStyle name="Normal 10 2 10 2 5 5 4" xfId="4192" xr:uid="{00000000-0005-0000-0000-000022100000}"/>
    <cellStyle name="Normal 10 2 10 2 5 5 5" xfId="4193" xr:uid="{00000000-0005-0000-0000-000023100000}"/>
    <cellStyle name="Normal 10 2 10 2 5 5 6" xfId="4194" xr:uid="{00000000-0005-0000-0000-000024100000}"/>
    <cellStyle name="Normal 10 2 10 2 5 5 7" xfId="4195" xr:uid="{00000000-0005-0000-0000-000025100000}"/>
    <cellStyle name="Normal 10 2 10 2 5 5 8" xfId="4196" xr:uid="{00000000-0005-0000-0000-000026100000}"/>
    <cellStyle name="Normal 10 2 10 2 5 5 9" xfId="4197" xr:uid="{00000000-0005-0000-0000-000027100000}"/>
    <cellStyle name="Normal 10 2 10 2 5 6" xfId="4198" xr:uid="{00000000-0005-0000-0000-000028100000}"/>
    <cellStyle name="Normal 10 2 10 2 5 7" xfId="4199" xr:uid="{00000000-0005-0000-0000-000029100000}"/>
    <cellStyle name="Normal 10 2 10 2 5 8" xfId="4200" xr:uid="{00000000-0005-0000-0000-00002A100000}"/>
    <cellStyle name="Normal 10 2 10 2 5 9" xfId="4201" xr:uid="{00000000-0005-0000-0000-00002B100000}"/>
    <cellStyle name="Normal 10 2 10 2 6" xfId="4202" xr:uid="{00000000-0005-0000-0000-00002C100000}"/>
    <cellStyle name="Normal 10 2 10 2 6 10" xfId="4203" xr:uid="{00000000-0005-0000-0000-00002D100000}"/>
    <cellStyle name="Normal 10 2 10 2 6 11" xfId="4204" xr:uid="{00000000-0005-0000-0000-00002E100000}"/>
    <cellStyle name="Normal 10 2 10 2 6 12" xfId="4205" xr:uid="{00000000-0005-0000-0000-00002F100000}"/>
    <cellStyle name="Normal 10 2 10 2 6 13" xfId="4206" xr:uid="{00000000-0005-0000-0000-000030100000}"/>
    <cellStyle name="Normal 10 2 10 2 6 14" xfId="4207" xr:uid="{00000000-0005-0000-0000-000031100000}"/>
    <cellStyle name="Normal 10 2 10 2 6 2" xfId="4208" xr:uid="{00000000-0005-0000-0000-000032100000}"/>
    <cellStyle name="Normal 10 2 10 2 6 2 10" xfId="4209" xr:uid="{00000000-0005-0000-0000-000033100000}"/>
    <cellStyle name="Normal 10 2 10 2 6 2 2" xfId="4210" xr:uid="{00000000-0005-0000-0000-000034100000}"/>
    <cellStyle name="Normal 10 2 10 2 6 2 3" xfId="4211" xr:uid="{00000000-0005-0000-0000-000035100000}"/>
    <cellStyle name="Normal 10 2 10 2 6 2 4" xfId="4212" xr:uid="{00000000-0005-0000-0000-000036100000}"/>
    <cellStyle name="Normal 10 2 10 2 6 2 5" xfId="4213" xr:uid="{00000000-0005-0000-0000-000037100000}"/>
    <cellStyle name="Normal 10 2 10 2 6 2 6" xfId="4214" xr:uid="{00000000-0005-0000-0000-000038100000}"/>
    <cellStyle name="Normal 10 2 10 2 6 2 7" xfId="4215" xr:uid="{00000000-0005-0000-0000-000039100000}"/>
    <cellStyle name="Normal 10 2 10 2 6 2 8" xfId="4216" xr:uid="{00000000-0005-0000-0000-00003A100000}"/>
    <cellStyle name="Normal 10 2 10 2 6 2 9" xfId="4217" xr:uid="{00000000-0005-0000-0000-00003B100000}"/>
    <cellStyle name="Normal 10 2 10 2 6 3" xfId="4218" xr:uid="{00000000-0005-0000-0000-00003C100000}"/>
    <cellStyle name="Normal 10 2 10 2 6 3 10" xfId="4219" xr:uid="{00000000-0005-0000-0000-00003D100000}"/>
    <cellStyle name="Normal 10 2 10 2 6 3 2" xfId="4220" xr:uid="{00000000-0005-0000-0000-00003E100000}"/>
    <cellStyle name="Normal 10 2 10 2 6 3 3" xfId="4221" xr:uid="{00000000-0005-0000-0000-00003F100000}"/>
    <cellStyle name="Normal 10 2 10 2 6 3 4" xfId="4222" xr:uid="{00000000-0005-0000-0000-000040100000}"/>
    <cellStyle name="Normal 10 2 10 2 6 3 5" xfId="4223" xr:uid="{00000000-0005-0000-0000-000041100000}"/>
    <cellStyle name="Normal 10 2 10 2 6 3 6" xfId="4224" xr:uid="{00000000-0005-0000-0000-000042100000}"/>
    <cellStyle name="Normal 10 2 10 2 6 3 7" xfId="4225" xr:uid="{00000000-0005-0000-0000-000043100000}"/>
    <cellStyle name="Normal 10 2 10 2 6 3 8" xfId="4226" xr:uid="{00000000-0005-0000-0000-000044100000}"/>
    <cellStyle name="Normal 10 2 10 2 6 3 9" xfId="4227" xr:uid="{00000000-0005-0000-0000-000045100000}"/>
    <cellStyle name="Normal 10 2 10 2 6 4" xfId="4228" xr:uid="{00000000-0005-0000-0000-000046100000}"/>
    <cellStyle name="Normal 10 2 10 2 6 4 10" xfId="4229" xr:uid="{00000000-0005-0000-0000-000047100000}"/>
    <cellStyle name="Normal 10 2 10 2 6 4 2" xfId="4230" xr:uid="{00000000-0005-0000-0000-000048100000}"/>
    <cellStyle name="Normal 10 2 10 2 6 4 3" xfId="4231" xr:uid="{00000000-0005-0000-0000-000049100000}"/>
    <cellStyle name="Normal 10 2 10 2 6 4 4" xfId="4232" xr:uid="{00000000-0005-0000-0000-00004A100000}"/>
    <cellStyle name="Normal 10 2 10 2 6 4 5" xfId="4233" xr:uid="{00000000-0005-0000-0000-00004B100000}"/>
    <cellStyle name="Normal 10 2 10 2 6 4 6" xfId="4234" xr:uid="{00000000-0005-0000-0000-00004C100000}"/>
    <cellStyle name="Normal 10 2 10 2 6 4 7" xfId="4235" xr:uid="{00000000-0005-0000-0000-00004D100000}"/>
    <cellStyle name="Normal 10 2 10 2 6 4 8" xfId="4236" xr:uid="{00000000-0005-0000-0000-00004E100000}"/>
    <cellStyle name="Normal 10 2 10 2 6 4 9" xfId="4237" xr:uid="{00000000-0005-0000-0000-00004F100000}"/>
    <cellStyle name="Normal 10 2 10 2 6 5" xfId="4238" xr:uid="{00000000-0005-0000-0000-000050100000}"/>
    <cellStyle name="Normal 10 2 10 2 6 5 10" xfId="4239" xr:uid="{00000000-0005-0000-0000-000051100000}"/>
    <cellStyle name="Normal 10 2 10 2 6 5 2" xfId="4240" xr:uid="{00000000-0005-0000-0000-000052100000}"/>
    <cellStyle name="Normal 10 2 10 2 6 5 3" xfId="4241" xr:uid="{00000000-0005-0000-0000-000053100000}"/>
    <cellStyle name="Normal 10 2 10 2 6 5 4" xfId="4242" xr:uid="{00000000-0005-0000-0000-000054100000}"/>
    <cellStyle name="Normal 10 2 10 2 6 5 5" xfId="4243" xr:uid="{00000000-0005-0000-0000-000055100000}"/>
    <cellStyle name="Normal 10 2 10 2 6 5 6" xfId="4244" xr:uid="{00000000-0005-0000-0000-000056100000}"/>
    <cellStyle name="Normal 10 2 10 2 6 5 7" xfId="4245" xr:uid="{00000000-0005-0000-0000-000057100000}"/>
    <cellStyle name="Normal 10 2 10 2 6 5 8" xfId="4246" xr:uid="{00000000-0005-0000-0000-000058100000}"/>
    <cellStyle name="Normal 10 2 10 2 6 5 9" xfId="4247" xr:uid="{00000000-0005-0000-0000-000059100000}"/>
    <cellStyle name="Normal 10 2 10 2 6 6" xfId="4248" xr:uid="{00000000-0005-0000-0000-00005A100000}"/>
    <cellStyle name="Normal 10 2 10 2 6 7" xfId="4249" xr:uid="{00000000-0005-0000-0000-00005B100000}"/>
    <cellStyle name="Normal 10 2 10 2 6 8" xfId="4250" xr:uid="{00000000-0005-0000-0000-00005C100000}"/>
    <cellStyle name="Normal 10 2 10 2 6 9" xfId="4251" xr:uid="{00000000-0005-0000-0000-00005D100000}"/>
    <cellStyle name="Normal 10 2 10 2 7" xfId="4252" xr:uid="{00000000-0005-0000-0000-00005E100000}"/>
    <cellStyle name="Normal 10 2 10 2 7 10" xfId="4253" xr:uid="{00000000-0005-0000-0000-00005F100000}"/>
    <cellStyle name="Normal 10 2 10 2 7 11" xfId="4254" xr:uid="{00000000-0005-0000-0000-000060100000}"/>
    <cellStyle name="Normal 10 2 10 2 7 12" xfId="4255" xr:uid="{00000000-0005-0000-0000-000061100000}"/>
    <cellStyle name="Normal 10 2 10 2 7 13" xfId="4256" xr:uid="{00000000-0005-0000-0000-000062100000}"/>
    <cellStyle name="Normal 10 2 10 2 7 14" xfId="4257" xr:uid="{00000000-0005-0000-0000-000063100000}"/>
    <cellStyle name="Normal 10 2 10 2 7 2" xfId="4258" xr:uid="{00000000-0005-0000-0000-000064100000}"/>
    <cellStyle name="Normal 10 2 10 2 7 2 10" xfId="4259" xr:uid="{00000000-0005-0000-0000-000065100000}"/>
    <cellStyle name="Normal 10 2 10 2 7 2 2" xfId="4260" xr:uid="{00000000-0005-0000-0000-000066100000}"/>
    <cellStyle name="Normal 10 2 10 2 7 2 3" xfId="4261" xr:uid="{00000000-0005-0000-0000-000067100000}"/>
    <cellStyle name="Normal 10 2 10 2 7 2 4" xfId="4262" xr:uid="{00000000-0005-0000-0000-000068100000}"/>
    <cellStyle name="Normal 10 2 10 2 7 2 5" xfId="4263" xr:uid="{00000000-0005-0000-0000-000069100000}"/>
    <cellStyle name="Normal 10 2 10 2 7 2 6" xfId="4264" xr:uid="{00000000-0005-0000-0000-00006A100000}"/>
    <cellStyle name="Normal 10 2 10 2 7 2 7" xfId="4265" xr:uid="{00000000-0005-0000-0000-00006B100000}"/>
    <cellStyle name="Normal 10 2 10 2 7 2 8" xfId="4266" xr:uid="{00000000-0005-0000-0000-00006C100000}"/>
    <cellStyle name="Normal 10 2 10 2 7 2 9" xfId="4267" xr:uid="{00000000-0005-0000-0000-00006D100000}"/>
    <cellStyle name="Normal 10 2 10 2 7 3" xfId="4268" xr:uid="{00000000-0005-0000-0000-00006E100000}"/>
    <cellStyle name="Normal 10 2 10 2 7 3 10" xfId="4269" xr:uid="{00000000-0005-0000-0000-00006F100000}"/>
    <cellStyle name="Normal 10 2 10 2 7 3 2" xfId="4270" xr:uid="{00000000-0005-0000-0000-000070100000}"/>
    <cellStyle name="Normal 10 2 10 2 7 3 3" xfId="4271" xr:uid="{00000000-0005-0000-0000-000071100000}"/>
    <cellStyle name="Normal 10 2 10 2 7 3 4" xfId="4272" xr:uid="{00000000-0005-0000-0000-000072100000}"/>
    <cellStyle name="Normal 10 2 10 2 7 3 5" xfId="4273" xr:uid="{00000000-0005-0000-0000-000073100000}"/>
    <cellStyle name="Normal 10 2 10 2 7 3 6" xfId="4274" xr:uid="{00000000-0005-0000-0000-000074100000}"/>
    <cellStyle name="Normal 10 2 10 2 7 3 7" xfId="4275" xr:uid="{00000000-0005-0000-0000-000075100000}"/>
    <cellStyle name="Normal 10 2 10 2 7 3 8" xfId="4276" xr:uid="{00000000-0005-0000-0000-000076100000}"/>
    <cellStyle name="Normal 10 2 10 2 7 3 9" xfId="4277" xr:uid="{00000000-0005-0000-0000-000077100000}"/>
    <cellStyle name="Normal 10 2 10 2 7 4" xfId="4278" xr:uid="{00000000-0005-0000-0000-000078100000}"/>
    <cellStyle name="Normal 10 2 10 2 7 4 10" xfId="4279" xr:uid="{00000000-0005-0000-0000-000079100000}"/>
    <cellStyle name="Normal 10 2 10 2 7 4 2" xfId="4280" xr:uid="{00000000-0005-0000-0000-00007A100000}"/>
    <cellStyle name="Normal 10 2 10 2 7 4 3" xfId="4281" xr:uid="{00000000-0005-0000-0000-00007B100000}"/>
    <cellStyle name="Normal 10 2 10 2 7 4 4" xfId="4282" xr:uid="{00000000-0005-0000-0000-00007C100000}"/>
    <cellStyle name="Normal 10 2 10 2 7 4 5" xfId="4283" xr:uid="{00000000-0005-0000-0000-00007D100000}"/>
    <cellStyle name="Normal 10 2 10 2 7 4 6" xfId="4284" xr:uid="{00000000-0005-0000-0000-00007E100000}"/>
    <cellStyle name="Normal 10 2 10 2 7 4 7" xfId="4285" xr:uid="{00000000-0005-0000-0000-00007F100000}"/>
    <cellStyle name="Normal 10 2 10 2 7 4 8" xfId="4286" xr:uid="{00000000-0005-0000-0000-000080100000}"/>
    <cellStyle name="Normal 10 2 10 2 7 4 9" xfId="4287" xr:uid="{00000000-0005-0000-0000-000081100000}"/>
    <cellStyle name="Normal 10 2 10 2 7 5" xfId="4288" xr:uid="{00000000-0005-0000-0000-000082100000}"/>
    <cellStyle name="Normal 10 2 10 2 7 5 10" xfId="4289" xr:uid="{00000000-0005-0000-0000-000083100000}"/>
    <cellStyle name="Normal 10 2 10 2 7 5 2" xfId="4290" xr:uid="{00000000-0005-0000-0000-000084100000}"/>
    <cellStyle name="Normal 10 2 10 2 7 5 3" xfId="4291" xr:uid="{00000000-0005-0000-0000-000085100000}"/>
    <cellStyle name="Normal 10 2 10 2 7 5 4" xfId="4292" xr:uid="{00000000-0005-0000-0000-000086100000}"/>
    <cellStyle name="Normal 10 2 10 2 7 5 5" xfId="4293" xr:uid="{00000000-0005-0000-0000-000087100000}"/>
    <cellStyle name="Normal 10 2 10 2 7 5 6" xfId="4294" xr:uid="{00000000-0005-0000-0000-000088100000}"/>
    <cellStyle name="Normal 10 2 10 2 7 5 7" xfId="4295" xr:uid="{00000000-0005-0000-0000-000089100000}"/>
    <cellStyle name="Normal 10 2 10 2 7 5 8" xfId="4296" xr:uid="{00000000-0005-0000-0000-00008A100000}"/>
    <cellStyle name="Normal 10 2 10 2 7 5 9" xfId="4297" xr:uid="{00000000-0005-0000-0000-00008B100000}"/>
    <cellStyle name="Normal 10 2 10 2 7 6" xfId="4298" xr:uid="{00000000-0005-0000-0000-00008C100000}"/>
    <cellStyle name="Normal 10 2 10 2 7 7" xfId="4299" xr:uid="{00000000-0005-0000-0000-00008D100000}"/>
    <cellStyle name="Normal 10 2 10 2 7 8" xfId="4300" xr:uid="{00000000-0005-0000-0000-00008E100000}"/>
    <cellStyle name="Normal 10 2 10 2 7 9" xfId="4301" xr:uid="{00000000-0005-0000-0000-00008F100000}"/>
    <cellStyle name="Normal 10 2 10 2 8" xfId="4302" xr:uid="{00000000-0005-0000-0000-000090100000}"/>
    <cellStyle name="Normal 10 2 10 2 8 10" xfId="4303" xr:uid="{00000000-0005-0000-0000-000091100000}"/>
    <cellStyle name="Normal 10 2 10 2 8 11" xfId="4304" xr:uid="{00000000-0005-0000-0000-000092100000}"/>
    <cellStyle name="Normal 10 2 10 2 8 12" xfId="4305" xr:uid="{00000000-0005-0000-0000-000093100000}"/>
    <cellStyle name="Normal 10 2 10 2 8 13" xfId="4306" xr:uid="{00000000-0005-0000-0000-000094100000}"/>
    <cellStyle name="Normal 10 2 10 2 8 14" xfId="4307" xr:uid="{00000000-0005-0000-0000-000095100000}"/>
    <cellStyle name="Normal 10 2 10 2 8 2" xfId="4308" xr:uid="{00000000-0005-0000-0000-000096100000}"/>
    <cellStyle name="Normal 10 2 10 2 8 2 10" xfId="4309" xr:uid="{00000000-0005-0000-0000-000097100000}"/>
    <cellStyle name="Normal 10 2 10 2 8 2 2" xfId="4310" xr:uid="{00000000-0005-0000-0000-000098100000}"/>
    <cellStyle name="Normal 10 2 10 2 8 2 3" xfId="4311" xr:uid="{00000000-0005-0000-0000-000099100000}"/>
    <cellStyle name="Normal 10 2 10 2 8 2 4" xfId="4312" xr:uid="{00000000-0005-0000-0000-00009A100000}"/>
    <cellStyle name="Normal 10 2 10 2 8 2 5" xfId="4313" xr:uid="{00000000-0005-0000-0000-00009B100000}"/>
    <cellStyle name="Normal 10 2 10 2 8 2 6" xfId="4314" xr:uid="{00000000-0005-0000-0000-00009C100000}"/>
    <cellStyle name="Normal 10 2 10 2 8 2 7" xfId="4315" xr:uid="{00000000-0005-0000-0000-00009D100000}"/>
    <cellStyle name="Normal 10 2 10 2 8 2 8" xfId="4316" xr:uid="{00000000-0005-0000-0000-00009E100000}"/>
    <cellStyle name="Normal 10 2 10 2 8 2 9" xfId="4317" xr:uid="{00000000-0005-0000-0000-00009F100000}"/>
    <cellStyle name="Normal 10 2 10 2 8 3" xfId="4318" xr:uid="{00000000-0005-0000-0000-0000A0100000}"/>
    <cellStyle name="Normal 10 2 10 2 8 3 10" xfId="4319" xr:uid="{00000000-0005-0000-0000-0000A1100000}"/>
    <cellStyle name="Normal 10 2 10 2 8 3 2" xfId="4320" xr:uid="{00000000-0005-0000-0000-0000A2100000}"/>
    <cellStyle name="Normal 10 2 10 2 8 3 3" xfId="4321" xr:uid="{00000000-0005-0000-0000-0000A3100000}"/>
    <cellStyle name="Normal 10 2 10 2 8 3 4" xfId="4322" xr:uid="{00000000-0005-0000-0000-0000A4100000}"/>
    <cellStyle name="Normal 10 2 10 2 8 3 5" xfId="4323" xr:uid="{00000000-0005-0000-0000-0000A5100000}"/>
    <cellStyle name="Normal 10 2 10 2 8 3 6" xfId="4324" xr:uid="{00000000-0005-0000-0000-0000A6100000}"/>
    <cellStyle name="Normal 10 2 10 2 8 3 7" xfId="4325" xr:uid="{00000000-0005-0000-0000-0000A7100000}"/>
    <cellStyle name="Normal 10 2 10 2 8 3 8" xfId="4326" xr:uid="{00000000-0005-0000-0000-0000A8100000}"/>
    <cellStyle name="Normal 10 2 10 2 8 3 9" xfId="4327" xr:uid="{00000000-0005-0000-0000-0000A9100000}"/>
    <cellStyle name="Normal 10 2 10 2 8 4" xfId="4328" xr:uid="{00000000-0005-0000-0000-0000AA100000}"/>
    <cellStyle name="Normal 10 2 10 2 8 4 10" xfId="4329" xr:uid="{00000000-0005-0000-0000-0000AB100000}"/>
    <cellStyle name="Normal 10 2 10 2 8 4 2" xfId="4330" xr:uid="{00000000-0005-0000-0000-0000AC100000}"/>
    <cellStyle name="Normal 10 2 10 2 8 4 3" xfId="4331" xr:uid="{00000000-0005-0000-0000-0000AD100000}"/>
    <cellStyle name="Normal 10 2 10 2 8 4 4" xfId="4332" xr:uid="{00000000-0005-0000-0000-0000AE100000}"/>
    <cellStyle name="Normal 10 2 10 2 8 4 5" xfId="4333" xr:uid="{00000000-0005-0000-0000-0000AF100000}"/>
    <cellStyle name="Normal 10 2 10 2 8 4 6" xfId="4334" xr:uid="{00000000-0005-0000-0000-0000B0100000}"/>
    <cellStyle name="Normal 10 2 10 2 8 4 7" xfId="4335" xr:uid="{00000000-0005-0000-0000-0000B1100000}"/>
    <cellStyle name="Normal 10 2 10 2 8 4 8" xfId="4336" xr:uid="{00000000-0005-0000-0000-0000B2100000}"/>
    <cellStyle name="Normal 10 2 10 2 8 4 9" xfId="4337" xr:uid="{00000000-0005-0000-0000-0000B3100000}"/>
    <cellStyle name="Normal 10 2 10 2 8 5" xfId="4338" xr:uid="{00000000-0005-0000-0000-0000B4100000}"/>
    <cellStyle name="Normal 10 2 10 2 8 5 10" xfId="4339" xr:uid="{00000000-0005-0000-0000-0000B5100000}"/>
    <cellStyle name="Normal 10 2 10 2 8 5 2" xfId="4340" xr:uid="{00000000-0005-0000-0000-0000B6100000}"/>
    <cellStyle name="Normal 10 2 10 2 8 5 3" xfId="4341" xr:uid="{00000000-0005-0000-0000-0000B7100000}"/>
    <cellStyle name="Normal 10 2 10 2 8 5 4" xfId="4342" xr:uid="{00000000-0005-0000-0000-0000B8100000}"/>
    <cellStyle name="Normal 10 2 10 2 8 5 5" xfId="4343" xr:uid="{00000000-0005-0000-0000-0000B9100000}"/>
    <cellStyle name="Normal 10 2 10 2 8 5 6" xfId="4344" xr:uid="{00000000-0005-0000-0000-0000BA100000}"/>
    <cellStyle name="Normal 10 2 10 2 8 5 7" xfId="4345" xr:uid="{00000000-0005-0000-0000-0000BB100000}"/>
    <cellStyle name="Normal 10 2 10 2 8 5 8" xfId="4346" xr:uid="{00000000-0005-0000-0000-0000BC100000}"/>
    <cellStyle name="Normal 10 2 10 2 8 5 9" xfId="4347" xr:uid="{00000000-0005-0000-0000-0000BD100000}"/>
    <cellStyle name="Normal 10 2 10 2 8 6" xfId="4348" xr:uid="{00000000-0005-0000-0000-0000BE100000}"/>
    <cellStyle name="Normal 10 2 10 2 8 7" xfId="4349" xr:uid="{00000000-0005-0000-0000-0000BF100000}"/>
    <cellStyle name="Normal 10 2 10 2 8 8" xfId="4350" xr:uid="{00000000-0005-0000-0000-0000C0100000}"/>
    <cellStyle name="Normal 10 2 10 2 8 9" xfId="4351" xr:uid="{00000000-0005-0000-0000-0000C1100000}"/>
    <cellStyle name="Normal 10 2 10 2 9" xfId="4352" xr:uid="{00000000-0005-0000-0000-0000C2100000}"/>
    <cellStyle name="Normal 10 2 10 2 9 10" xfId="4353" xr:uid="{00000000-0005-0000-0000-0000C3100000}"/>
    <cellStyle name="Normal 10 2 10 2 9 11" xfId="4354" xr:uid="{00000000-0005-0000-0000-0000C4100000}"/>
    <cellStyle name="Normal 10 2 10 2 9 12" xfId="4355" xr:uid="{00000000-0005-0000-0000-0000C5100000}"/>
    <cellStyle name="Normal 10 2 10 2 9 13" xfId="4356" xr:uid="{00000000-0005-0000-0000-0000C6100000}"/>
    <cellStyle name="Normal 10 2 10 2 9 14" xfId="4357" xr:uid="{00000000-0005-0000-0000-0000C7100000}"/>
    <cellStyle name="Normal 10 2 10 2 9 2" xfId="4358" xr:uid="{00000000-0005-0000-0000-0000C8100000}"/>
    <cellStyle name="Normal 10 2 10 2 9 2 10" xfId="4359" xr:uid="{00000000-0005-0000-0000-0000C9100000}"/>
    <cellStyle name="Normal 10 2 10 2 9 2 2" xfId="4360" xr:uid="{00000000-0005-0000-0000-0000CA100000}"/>
    <cellStyle name="Normal 10 2 10 2 9 2 3" xfId="4361" xr:uid="{00000000-0005-0000-0000-0000CB100000}"/>
    <cellStyle name="Normal 10 2 10 2 9 2 4" xfId="4362" xr:uid="{00000000-0005-0000-0000-0000CC100000}"/>
    <cellStyle name="Normal 10 2 10 2 9 2 5" xfId="4363" xr:uid="{00000000-0005-0000-0000-0000CD100000}"/>
    <cellStyle name="Normal 10 2 10 2 9 2 6" xfId="4364" xr:uid="{00000000-0005-0000-0000-0000CE100000}"/>
    <cellStyle name="Normal 10 2 10 2 9 2 7" xfId="4365" xr:uid="{00000000-0005-0000-0000-0000CF100000}"/>
    <cellStyle name="Normal 10 2 10 2 9 2 8" xfId="4366" xr:uid="{00000000-0005-0000-0000-0000D0100000}"/>
    <cellStyle name="Normal 10 2 10 2 9 2 9" xfId="4367" xr:uid="{00000000-0005-0000-0000-0000D1100000}"/>
    <cellStyle name="Normal 10 2 10 2 9 3" xfId="4368" xr:uid="{00000000-0005-0000-0000-0000D2100000}"/>
    <cellStyle name="Normal 10 2 10 2 9 3 10" xfId="4369" xr:uid="{00000000-0005-0000-0000-0000D3100000}"/>
    <cellStyle name="Normal 10 2 10 2 9 3 2" xfId="4370" xr:uid="{00000000-0005-0000-0000-0000D4100000}"/>
    <cellStyle name="Normal 10 2 10 2 9 3 3" xfId="4371" xr:uid="{00000000-0005-0000-0000-0000D5100000}"/>
    <cellStyle name="Normal 10 2 10 2 9 3 4" xfId="4372" xr:uid="{00000000-0005-0000-0000-0000D6100000}"/>
    <cellStyle name="Normal 10 2 10 2 9 3 5" xfId="4373" xr:uid="{00000000-0005-0000-0000-0000D7100000}"/>
    <cellStyle name="Normal 10 2 10 2 9 3 6" xfId="4374" xr:uid="{00000000-0005-0000-0000-0000D8100000}"/>
    <cellStyle name="Normal 10 2 10 2 9 3 7" xfId="4375" xr:uid="{00000000-0005-0000-0000-0000D9100000}"/>
    <cellStyle name="Normal 10 2 10 2 9 3 8" xfId="4376" xr:uid="{00000000-0005-0000-0000-0000DA100000}"/>
    <cellStyle name="Normal 10 2 10 2 9 3 9" xfId="4377" xr:uid="{00000000-0005-0000-0000-0000DB100000}"/>
    <cellStyle name="Normal 10 2 10 2 9 4" xfId="4378" xr:uid="{00000000-0005-0000-0000-0000DC100000}"/>
    <cellStyle name="Normal 10 2 10 2 9 4 10" xfId="4379" xr:uid="{00000000-0005-0000-0000-0000DD100000}"/>
    <cellStyle name="Normal 10 2 10 2 9 4 2" xfId="4380" xr:uid="{00000000-0005-0000-0000-0000DE100000}"/>
    <cellStyle name="Normal 10 2 10 2 9 4 3" xfId="4381" xr:uid="{00000000-0005-0000-0000-0000DF100000}"/>
    <cellStyle name="Normal 10 2 10 2 9 4 4" xfId="4382" xr:uid="{00000000-0005-0000-0000-0000E0100000}"/>
    <cellStyle name="Normal 10 2 10 2 9 4 5" xfId="4383" xr:uid="{00000000-0005-0000-0000-0000E1100000}"/>
    <cellStyle name="Normal 10 2 10 2 9 4 6" xfId="4384" xr:uid="{00000000-0005-0000-0000-0000E2100000}"/>
    <cellStyle name="Normal 10 2 10 2 9 4 7" xfId="4385" xr:uid="{00000000-0005-0000-0000-0000E3100000}"/>
    <cellStyle name="Normal 10 2 10 2 9 4 8" xfId="4386" xr:uid="{00000000-0005-0000-0000-0000E4100000}"/>
    <cellStyle name="Normal 10 2 10 2 9 4 9" xfId="4387" xr:uid="{00000000-0005-0000-0000-0000E5100000}"/>
    <cellStyle name="Normal 10 2 10 2 9 5" xfId="4388" xr:uid="{00000000-0005-0000-0000-0000E6100000}"/>
    <cellStyle name="Normal 10 2 10 2 9 5 10" xfId="4389" xr:uid="{00000000-0005-0000-0000-0000E7100000}"/>
    <cellStyle name="Normal 10 2 10 2 9 5 2" xfId="4390" xr:uid="{00000000-0005-0000-0000-0000E8100000}"/>
    <cellStyle name="Normal 10 2 10 2 9 5 3" xfId="4391" xr:uid="{00000000-0005-0000-0000-0000E9100000}"/>
    <cellStyle name="Normal 10 2 10 2 9 5 4" xfId="4392" xr:uid="{00000000-0005-0000-0000-0000EA100000}"/>
    <cellStyle name="Normal 10 2 10 2 9 5 5" xfId="4393" xr:uid="{00000000-0005-0000-0000-0000EB100000}"/>
    <cellStyle name="Normal 10 2 10 2 9 5 6" xfId="4394" xr:uid="{00000000-0005-0000-0000-0000EC100000}"/>
    <cellStyle name="Normal 10 2 10 2 9 5 7" xfId="4395" xr:uid="{00000000-0005-0000-0000-0000ED100000}"/>
    <cellStyle name="Normal 10 2 10 2 9 5 8" xfId="4396" xr:uid="{00000000-0005-0000-0000-0000EE100000}"/>
    <cellStyle name="Normal 10 2 10 2 9 5 9" xfId="4397" xr:uid="{00000000-0005-0000-0000-0000EF100000}"/>
    <cellStyle name="Normal 10 2 10 2 9 6" xfId="4398" xr:uid="{00000000-0005-0000-0000-0000F0100000}"/>
    <cellStyle name="Normal 10 2 10 2 9 7" xfId="4399" xr:uid="{00000000-0005-0000-0000-0000F1100000}"/>
    <cellStyle name="Normal 10 2 10 2 9 8" xfId="4400" xr:uid="{00000000-0005-0000-0000-0000F2100000}"/>
    <cellStyle name="Normal 10 2 10 2 9 9" xfId="4401" xr:uid="{00000000-0005-0000-0000-0000F3100000}"/>
    <cellStyle name="Normal 10 2 10 20" xfId="4402" xr:uid="{00000000-0005-0000-0000-0000F4100000}"/>
    <cellStyle name="Normal 10 2 10 20 10" xfId="4403" xr:uid="{00000000-0005-0000-0000-0000F5100000}"/>
    <cellStyle name="Normal 10 2 10 20 11" xfId="4404" xr:uid="{00000000-0005-0000-0000-0000F6100000}"/>
    <cellStyle name="Normal 10 2 10 20 12" xfId="4405" xr:uid="{00000000-0005-0000-0000-0000F7100000}"/>
    <cellStyle name="Normal 10 2 10 20 13" xfId="4406" xr:uid="{00000000-0005-0000-0000-0000F8100000}"/>
    <cellStyle name="Normal 10 2 10 20 14" xfId="4407" xr:uid="{00000000-0005-0000-0000-0000F9100000}"/>
    <cellStyle name="Normal 10 2 10 20 2" xfId="4408" xr:uid="{00000000-0005-0000-0000-0000FA100000}"/>
    <cellStyle name="Normal 10 2 10 20 2 10" xfId="4409" xr:uid="{00000000-0005-0000-0000-0000FB100000}"/>
    <cellStyle name="Normal 10 2 10 20 2 2" xfId="4410" xr:uid="{00000000-0005-0000-0000-0000FC100000}"/>
    <cellStyle name="Normal 10 2 10 20 2 3" xfId="4411" xr:uid="{00000000-0005-0000-0000-0000FD100000}"/>
    <cellStyle name="Normal 10 2 10 20 2 4" xfId="4412" xr:uid="{00000000-0005-0000-0000-0000FE100000}"/>
    <cellStyle name="Normal 10 2 10 20 2 5" xfId="4413" xr:uid="{00000000-0005-0000-0000-0000FF100000}"/>
    <cellStyle name="Normal 10 2 10 20 2 6" xfId="4414" xr:uid="{00000000-0005-0000-0000-000000110000}"/>
    <cellStyle name="Normal 10 2 10 20 2 7" xfId="4415" xr:uid="{00000000-0005-0000-0000-000001110000}"/>
    <cellStyle name="Normal 10 2 10 20 2 8" xfId="4416" xr:uid="{00000000-0005-0000-0000-000002110000}"/>
    <cellStyle name="Normal 10 2 10 20 2 9" xfId="4417" xr:uid="{00000000-0005-0000-0000-000003110000}"/>
    <cellStyle name="Normal 10 2 10 20 3" xfId="4418" xr:uid="{00000000-0005-0000-0000-000004110000}"/>
    <cellStyle name="Normal 10 2 10 20 3 10" xfId="4419" xr:uid="{00000000-0005-0000-0000-000005110000}"/>
    <cellStyle name="Normal 10 2 10 20 3 2" xfId="4420" xr:uid="{00000000-0005-0000-0000-000006110000}"/>
    <cellStyle name="Normal 10 2 10 20 3 3" xfId="4421" xr:uid="{00000000-0005-0000-0000-000007110000}"/>
    <cellStyle name="Normal 10 2 10 20 3 4" xfId="4422" xr:uid="{00000000-0005-0000-0000-000008110000}"/>
    <cellStyle name="Normal 10 2 10 20 3 5" xfId="4423" xr:uid="{00000000-0005-0000-0000-000009110000}"/>
    <cellStyle name="Normal 10 2 10 20 3 6" xfId="4424" xr:uid="{00000000-0005-0000-0000-00000A110000}"/>
    <cellStyle name="Normal 10 2 10 20 3 7" xfId="4425" xr:uid="{00000000-0005-0000-0000-00000B110000}"/>
    <cellStyle name="Normal 10 2 10 20 3 8" xfId="4426" xr:uid="{00000000-0005-0000-0000-00000C110000}"/>
    <cellStyle name="Normal 10 2 10 20 3 9" xfId="4427" xr:uid="{00000000-0005-0000-0000-00000D110000}"/>
    <cellStyle name="Normal 10 2 10 20 4" xfId="4428" xr:uid="{00000000-0005-0000-0000-00000E110000}"/>
    <cellStyle name="Normal 10 2 10 20 4 10" xfId="4429" xr:uid="{00000000-0005-0000-0000-00000F110000}"/>
    <cellStyle name="Normal 10 2 10 20 4 2" xfId="4430" xr:uid="{00000000-0005-0000-0000-000010110000}"/>
    <cellStyle name="Normal 10 2 10 20 4 3" xfId="4431" xr:uid="{00000000-0005-0000-0000-000011110000}"/>
    <cellStyle name="Normal 10 2 10 20 4 4" xfId="4432" xr:uid="{00000000-0005-0000-0000-000012110000}"/>
    <cellStyle name="Normal 10 2 10 20 4 5" xfId="4433" xr:uid="{00000000-0005-0000-0000-000013110000}"/>
    <cellStyle name="Normal 10 2 10 20 4 6" xfId="4434" xr:uid="{00000000-0005-0000-0000-000014110000}"/>
    <cellStyle name="Normal 10 2 10 20 4 7" xfId="4435" xr:uid="{00000000-0005-0000-0000-000015110000}"/>
    <cellStyle name="Normal 10 2 10 20 4 8" xfId="4436" xr:uid="{00000000-0005-0000-0000-000016110000}"/>
    <cellStyle name="Normal 10 2 10 20 4 9" xfId="4437" xr:uid="{00000000-0005-0000-0000-000017110000}"/>
    <cellStyle name="Normal 10 2 10 20 5" xfId="4438" xr:uid="{00000000-0005-0000-0000-000018110000}"/>
    <cellStyle name="Normal 10 2 10 20 5 10" xfId="4439" xr:uid="{00000000-0005-0000-0000-000019110000}"/>
    <cellStyle name="Normal 10 2 10 20 5 2" xfId="4440" xr:uid="{00000000-0005-0000-0000-00001A110000}"/>
    <cellStyle name="Normal 10 2 10 20 5 3" xfId="4441" xr:uid="{00000000-0005-0000-0000-00001B110000}"/>
    <cellStyle name="Normal 10 2 10 20 5 4" xfId="4442" xr:uid="{00000000-0005-0000-0000-00001C110000}"/>
    <cellStyle name="Normal 10 2 10 20 5 5" xfId="4443" xr:uid="{00000000-0005-0000-0000-00001D110000}"/>
    <cellStyle name="Normal 10 2 10 20 5 6" xfId="4444" xr:uid="{00000000-0005-0000-0000-00001E110000}"/>
    <cellStyle name="Normal 10 2 10 20 5 7" xfId="4445" xr:uid="{00000000-0005-0000-0000-00001F110000}"/>
    <cellStyle name="Normal 10 2 10 20 5 8" xfId="4446" xr:uid="{00000000-0005-0000-0000-000020110000}"/>
    <cellStyle name="Normal 10 2 10 20 5 9" xfId="4447" xr:uid="{00000000-0005-0000-0000-000021110000}"/>
    <cellStyle name="Normal 10 2 10 20 6" xfId="4448" xr:uid="{00000000-0005-0000-0000-000022110000}"/>
    <cellStyle name="Normal 10 2 10 20 7" xfId="4449" xr:uid="{00000000-0005-0000-0000-000023110000}"/>
    <cellStyle name="Normal 10 2 10 20 8" xfId="4450" xr:uid="{00000000-0005-0000-0000-000024110000}"/>
    <cellStyle name="Normal 10 2 10 20 9" xfId="4451" xr:uid="{00000000-0005-0000-0000-000025110000}"/>
    <cellStyle name="Normal 10 2 10 21" xfId="4452" xr:uid="{00000000-0005-0000-0000-000026110000}"/>
    <cellStyle name="Normal 10 2 10 21 10" xfId="4453" xr:uid="{00000000-0005-0000-0000-000027110000}"/>
    <cellStyle name="Normal 10 2 10 21 11" xfId="4454" xr:uid="{00000000-0005-0000-0000-000028110000}"/>
    <cellStyle name="Normal 10 2 10 21 12" xfId="4455" xr:uid="{00000000-0005-0000-0000-000029110000}"/>
    <cellStyle name="Normal 10 2 10 21 13" xfId="4456" xr:uid="{00000000-0005-0000-0000-00002A110000}"/>
    <cellStyle name="Normal 10 2 10 21 14" xfId="4457" xr:uid="{00000000-0005-0000-0000-00002B110000}"/>
    <cellStyle name="Normal 10 2 10 21 2" xfId="4458" xr:uid="{00000000-0005-0000-0000-00002C110000}"/>
    <cellStyle name="Normal 10 2 10 21 2 10" xfId="4459" xr:uid="{00000000-0005-0000-0000-00002D110000}"/>
    <cellStyle name="Normal 10 2 10 21 2 2" xfId="4460" xr:uid="{00000000-0005-0000-0000-00002E110000}"/>
    <cellStyle name="Normal 10 2 10 21 2 3" xfId="4461" xr:uid="{00000000-0005-0000-0000-00002F110000}"/>
    <cellStyle name="Normal 10 2 10 21 2 4" xfId="4462" xr:uid="{00000000-0005-0000-0000-000030110000}"/>
    <cellStyle name="Normal 10 2 10 21 2 5" xfId="4463" xr:uid="{00000000-0005-0000-0000-000031110000}"/>
    <cellStyle name="Normal 10 2 10 21 2 6" xfId="4464" xr:uid="{00000000-0005-0000-0000-000032110000}"/>
    <cellStyle name="Normal 10 2 10 21 2 7" xfId="4465" xr:uid="{00000000-0005-0000-0000-000033110000}"/>
    <cellStyle name="Normal 10 2 10 21 2 8" xfId="4466" xr:uid="{00000000-0005-0000-0000-000034110000}"/>
    <cellStyle name="Normal 10 2 10 21 2 9" xfId="4467" xr:uid="{00000000-0005-0000-0000-000035110000}"/>
    <cellStyle name="Normal 10 2 10 21 3" xfId="4468" xr:uid="{00000000-0005-0000-0000-000036110000}"/>
    <cellStyle name="Normal 10 2 10 21 3 10" xfId="4469" xr:uid="{00000000-0005-0000-0000-000037110000}"/>
    <cellStyle name="Normal 10 2 10 21 3 2" xfId="4470" xr:uid="{00000000-0005-0000-0000-000038110000}"/>
    <cellStyle name="Normal 10 2 10 21 3 3" xfId="4471" xr:uid="{00000000-0005-0000-0000-000039110000}"/>
    <cellStyle name="Normal 10 2 10 21 3 4" xfId="4472" xr:uid="{00000000-0005-0000-0000-00003A110000}"/>
    <cellStyle name="Normal 10 2 10 21 3 5" xfId="4473" xr:uid="{00000000-0005-0000-0000-00003B110000}"/>
    <cellStyle name="Normal 10 2 10 21 3 6" xfId="4474" xr:uid="{00000000-0005-0000-0000-00003C110000}"/>
    <cellStyle name="Normal 10 2 10 21 3 7" xfId="4475" xr:uid="{00000000-0005-0000-0000-00003D110000}"/>
    <cellStyle name="Normal 10 2 10 21 3 8" xfId="4476" xr:uid="{00000000-0005-0000-0000-00003E110000}"/>
    <cellStyle name="Normal 10 2 10 21 3 9" xfId="4477" xr:uid="{00000000-0005-0000-0000-00003F110000}"/>
    <cellStyle name="Normal 10 2 10 21 4" xfId="4478" xr:uid="{00000000-0005-0000-0000-000040110000}"/>
    <cellStyle name="Normal 10 2 10 21 4 10" xfId="4479" xr:uid="{00000000-0005-0000-0000-000041110000}"/>
    <cellStyle name="Normal 10 2 10 21 4 2" xfId="4480" xr:uid="{00000000-0005-0000-0000-000042110000}"/>
    <cellStyle name="Normal 10 2 10 21 4 3" xfId="4481" xr:uid="{00000000-0005-0000-0000-000043110000}"/>
    <cellStyle name="Normal 10 2 10 21 4 4" xfId="4482" xr:uid="{00000000-0005-0000-0000-000044110000}"/>
    <cellStyle name="Normal 10 2 10 21 4 5" xfId="4483" xr:uid="{00000000-0005-0000-0000-000045110000}"/>
    <cellStyle name="Normal 10 2 10 21 4 6" xfId="4484" xr:uid="{00000000-0005-0000-0000-000046110000}"/>
    <cellStyle name="Normal 10 2 10 21 4 7" xfId="4485" xr:uid="{00000000-0005-0000-0000-000047110000}"/>
    <cellStyle name="Normal 10 2 10 21 4 8" xfId="4486" xr:uid="{00000000-0005-0000-0000-000048110000}"/>
    <cellStyle name="Normal 10 2 10 21 4 9" xfId="4487" xr:uid="{00000000-0005-0000-0000-000049110000}"/>
    <cellStyle name="Normal 10 2 10 21 5" xfId="4488" xr:uid="{00000000-0005-0000-0000-00004A110000}"/>
    <cellStyle name="Normal 10 2 10 21 5 10" xfId="4489" xr:uid="{00000000-0005-0000-0000-00004B110000}"/>
    <cellStyle name="Normal 10 2 10 21 5 2" xfId="4490" xr:uid="{00000000-0005-0000-0000-00004C110000}"/>
    <cellStyle name="Normal 10 2 10 21 5 3" xfId="4491" xr:uid="{00000000-0005-0000-0000-00004D110000}"/>
    <cellStyle name="Normal 10 2 10 21 5 4" xfId="4492" xr:uid="{00000000-0005-0000-0000-00004E110000}"/>
    <cellStyle name="Normal 10 2 10 21 5 5" xfId="4493" xr:uid="{00000000-0005-0000-0000-00004F110000}"/>
    <cellStyle name="Normal 10 2 10 21 5 6" xfId="4494" xr:uid="{00000000-0005-0000-0000-000050110000}"/>
    <cellStyle name="Normal 10 2 10 21 5 7" xfId="4495" xr:uid="{00000000-0005-0000-0000-000051110000}"/>
    <cellStyle name="Normal 10 2 10 21 5 8" xfId="4496" xr:uid="{00000000-0005-0000-0000-000052110000}"/>
    <cellStyle name="Normal 10 2 10 21 5 9" xfId="4497" xr:uid="{00000000-0005-0000-0000-000053110000}"/>
    <cellStyle name="Normal 10 2 10 21 6" xfId="4498" xr:uid="{00000000-0005-0000-0000-000054110000}"/>
    <cellStyle name="Normal 10 2 10 21 7" xfId="4499" xr:uid="{00000000-0005-0000-0000-000055110000}"/>
    <cellStyle name="Normal 10 2 10 21 8" xfId="4500" xr:uid="{00000000-0005-0000-0000-000056110000}"/>
    <cellStyle name="Normal 10 2 10 21 9" xfId="4501" xr:uid="{00000000-0005-0000-0000-000057110000}"/>
    <cellStyle name="Normal 10 2 10 22" xfId="4502" xr:uid="{00000000-0005-0000-0000-000058110000}"/>
    <cellStyle name="Normal 10 2 10 22 10" xfId="4503" xr:uid="{00000000-0005-0000-0000-000059110000}"/>
    <cellStyle name="Normal 10 2 10 22 11" xfId="4504" xr:uid="{00000000-0005-0000-0000-00005A110000}"/>
    <cellStyle name="Normal 10 2 10 22 12" xfId="4505" xr:uid="{00000000-0005-0000-0000-00005B110000}"/>
    <cellStyle name="Normal 10 2 10 22 13" xfId="4506" xr:uid="{00000000-0005-0000-0000-00005C110000}"/>
    <cellStyle name="Normal 10 2 10 22 14" xfId="4507" xr:uid="{00000000-0005-0000-0000-00005D110000}"/>
    <cellStyle name="Normal 10 2 10 22 2" xfId="4508" xr:uid="{00000000-0005-0000-0000-00005E110000}"/>
    <cellStyle name="Normal 10 2 10 22 2 10" xfId="4509" xr:uid="{00000000-0005-0000-0000-00005F110000}"/>
    <cellStyle name="Normal 10 2 10 22 2 2" xfId="4510" xr:uid="{00000000-0005-0000-0000-000060110000}"/>
    <cellStyle name="Normal 10 2 10 22 2 3" xfId="4511" xr:uid="{00000000-0005-0000-0000-000061110000}"/>
    <cellStyle name="Normal 10 2 10 22 2 4" xfId="4512" xr:uid="{00000000-0005-0000-0000-000062110000}"/>
    <cellStyle name="Normal 10 2 10 22 2 5" xfId="4513" xr:uid="{00000000-0005-0000-0000-000063110000}"/>
    <cellStyle name="Normal 10 2 10 22 2 6" xfId="4514" xr:uid="{00000000-0005-0000-0000-000064110000}"/>
    <cellStyle name="Normal 10 2 10 22 2 7" xfId="4515" xr:uid="{00000000-0005-0000-0000-000065110000}"/>
    <cellStyle name="Normal 10 2 10 22 2 8" xfId="4516" xr:uid="{00000000-0005-0000-0000-000066110000}"/>
    <cellStyle name="Normal 10 2 10 22 2 9" xfId="4517" xr:uid="{00000000-0005-0000-0000-000067110000}"/>
    <cellStyle name="Normal 10 2 10 22 3" xfId="4518" xr:uid="{00000000-0005-0000-0000-000068110000}"/>
    <cellStyle name="Normal 10 2 10 22 3 10" xfId="4519" xr:uid="{00000000-0005-0000-0000-000069110000}"/>
    <cellStyle name="Normal 10 2 10 22 3 2" xfId="4520" xr:uid="{00000000-0005-0000-0000-00006A110000}"/>
    <cellStyle name="Normal 10 2 10 22 3 3" xfId="4521" xr:uid="{00000000-0005-0000-0000-00006B110000}"/>
    <cellStyle name="Normal 10 2 10 22 3 4" xfId="4522" xr:uid="{00000000-0005-0000-0000-00006C110000}"/>
    <cellStyle name="Normal 10 2 10 22 3 5" xfId="4523" xr:uid="{00000000-0005-0000-0000-00006D110000}"/>
    <cellStyle name="Normal 10 2 10 22 3 6" xfId="4524" xr:uid="{00000000-0005-0000-0000-00006E110000}"/>
    <cellStyle name="Normal 10 2 10 22 3 7" xfId="4525" xr:uid="{00000000-0005-0000-0000-00006F110000}"/>
    <cellStyle name="Normal 10 2 10 22 3 8" xfId="4526" xr:uid="{00000000-0005-0000-0000-000070110000}"/>
    <cellStyle name="Normal 10 2 10 22 3 9" xfId="4527" xr:uid="{00000000-0005-0000-0000-000071110000}"/>
    <cellStyle name="Normal 10 2 10 22 4" xfId="4528" xr:uid="{00000000-0005-0000-0000-000072110000}"/>
    <cellStyle name="Normal 10 2 10 22 4 10" xfId="4529" xr:uid="{00000000-0005-0000-0000-000073110000}"/>
    <cellStyle name="Normal 10 2 10 22 4 2" xfId="4530" xr:uid="{00000000-0005-0000-0000-000074110000}"/>
    <cellStyle name="Normal 10 2 10 22 4 3" xfId="4531" xr:uid="{00000000-0005-0000-0000-000075110000}"/>
    <cellStyle name="Normal 10 2 10 22 4 4" xfId="4532" xr:uid="{00000000-0005-0000-0000-000076110000}"/>
    <cellStyle name="Normal 10 2 10 22 4 5" xfId="4533" xr:uid="{00000000-0005-0000-0000-000077110000}"/>
    <cellStyle name="Normal 10 2 10 22 4 6" xfId="4534" xr:uid="{00000000-0005-0000-0000-000078110000}"/>
    <cellStyle name="Normal 10 2 10 22 4 7" xfId="4535" xr:uid="{00000000-0005-0000-0000-000079110000}"/>
    <cellStyle name="Normal 10 2 10 22 4 8" xfId="4536" xr:uid="{00000000-0005-0000-0000-00007A110000}"/>
    <cellStyle name="Normal 10 2 10 22 4 9" xfId="4537" xr:uid="{00000000-0005-0000-0000-00007B110000}"/>
    <cellStyle name="Normal 10 2 10 22 5" xfId="4538" xr:uid="{00000000-0005-0000-0000-00007C110000}"/>
    <cellStyle name="Normal 10 2 10 22 5 10" xfId="4539" xr:uid="{00000000-0005-0000-0000-00007D110000}"/>
    <cellStyle name="Normal 10 2 10 22 5 2" xfId="4540" xr:uid="{00000000-0005-0000-0000-00007E110000}"/>
    <cellStyle name="Normal 10 2 10 22 5 3" xfId="4541" xr:uid="{00000000-0005-0000-0000-00007F110000}"/>
    <cellStyle name="Normal 10 2 10 22 5 4" xfId="4542" xr:uid="{00000000-0005-0000-0000-000080110000}"/>
    <cellStyle name="Normal 10 2 10 22 5 5" xfId="4543" xr:uid="{00000000-0005-0000-0000-000081110000}"/>
    <cellStyle name="Normal 10 2 10 22 5 6" xfId="4544" xr:uid="{00000000-0005-0000-0000-000082110000}"/>
    <cellStyle name="Normal 10 2 10 22 5 7" xfId="4545" xr:uid="{00000000-0005-0000-0000-000083110000}"/>
    <cellStyle name="Normal 10 2 10 22 5 8" xfId="4546" xr:uid="{00000000-0005-0000-0000-000084110000}"/>
    <cellStyle name="Normal 10 2 10 22 5 9" xfId="4547" xr:uid="{00000000-0005-0000-0000-000085110000}"/>
    <cellStyle name="Normal 10 2 10 22 6" xfId="4548" xr:uid="{00000000-0005-0000-0000-000086110000}"/>
    <cellStyle name="Normal 10 2 10 22 7" xfId="4549" xr:uid="{00000000-0005-0000-0000-000087110000}"/>
    <cellStyle name="Normal 10 2 10 22 8" xfId="4550" xr:uid="{00000000-0005-0000-0000-000088110000}"/>
    <cellStyle name="Normal 10 2 10 22 9" xfId="4551" xr:uid="{00000000-0005-0000-0000-000089110000}"/>
    <cellStyle name="Normal 10 2 10 23" xfId="4552" xr:uid="{00000000-0005-0000-0000-00008A110000}"/>
    <cellStyle name="Normal 10 2 10 23 10" xfId="4553" xr:uid="{00000000-0005-0000-0000-00008B110000}"/>
    <cellStyle name="Normal 10 2 10 23 11" xfId="4554" xr:uid="{00000000-0005-0000-0000-00008C110000}"/>
    <cellStyle name="Normal 10 2 10 23 12" xfId="4555" xr:uid="{00000000-0005-0000-0000-00008D110000}"/>
    <cellStyle name="Normal 10 2 10 23 13" xfId="4556" xr:uid="{00000000-0005-0000-0000-00008E110000}"/>
    <cellStyle name="Normal 10 2 10 23 14" xfId="4557" xr:uid="{00000000-0005-0000-0000-00008F110000}"/>
    <cellStyle name="Normal 10 2 10 23 2" xfId="4558" xr:uid="{00000000-0005-0000-0000-000090110000}"/>
    <cellStyle name="Normal 10 2 10 23 2 10" xfId="4559" xr:uid="{00000000-0005-0000-0000-000091110000}"/>
    <cellStyle name="Normal 10 2 10 23 2 2" xfId="4560" xr:uid="{00000000-0005-0000-0000-000092110000}"/>
    <cellStyle name="Normal 10 2 10 23 2 3" xfId="4561" xr:uid="{00000000-0005-0000-0000-000093110000}"/>
    <cellStyle name="Normal 10 2 10 23 2 4" xfId="4562" xr:uid="{00000000-0005-0000-0000-000094110000}"/>
    <cellStyle name="Normal 10 2 10 23 2 5" xfId="4563" xr:uid="{00000000-0005-0000-0000-000095110000}"/>
    <cellStyle name="Normal 10 2 10 23 2 6" xfId="4564" xr:uid="{00000000-0005-0000-0000-000096110000}"/>
    <cellStyle name="Normal 10 2 10 23 2 7" xfId="4565" xr:uid="{00000000-0005-0000-0000-000097110000}"/>
    <cellStyle name="Normal 10 2 10 23 2 8" xfId="4566" xr:uid="{00000000-0005-0000-0000-000098110000}"/>
    <cellStyle name="Normal 10 2 10 23 2 9" xfId="4567" xr:uid="{00000000-0005-0000-0000-000099110000}"/>
    <cellStyle name="Normal 10 2 10 23 3" xfId="4568" xr:uid="{00000000-0005-0000-0000-00009A110000}"/>
    <cellStyle name="Normal 10 2 10 23 3 10" xfId="4569" xr:uid="{00000000-0005-0000-0000-00009B110000}"/>
    <cellStyle name="Normal 10 2 10 23 3 2" xfId="4570" xr:uid="{00000000-0005-0000-0000-00009C110000}"/>
    <cellStyle name="Normal 10 2 10 23 3 3" xfId="4571" xr:uid="{00000000-0005-0000-0000-00009D110000}"/>
    <cellStyle name="Normal 10 2 10 23 3 4" xfId="4572" xr:uid="{00000000-0005-0000-0000-00009E110000}"/>
    <cellStyle name="Normal 10 2 10 23 3 5" xfId="4573" xr:uid="{00000000-0005-0000-0000-00009F110000}"/>
    <cellStyle name="Normal 10 2 10 23 3 6" xfId="4574" xr:uid="{00000000-0005-0000-0000-0000A0110000}"/>
    <cellStyle name="Normal 10 2 10 23 3 7" xfId="4575" xr:uid="{00000000-0005-0000-0000-0000A1110000}"/>
    <cellStyle name="Normal 10 2 10 23 3 8" xfId="4576" xr:uid="{00000000-0005-0000-0000-0000A2110000}"/>
    <cellStyle name="Normal 10 2 10 23 3 9" xfId="4577" xr:uid="{00000000-0005-0000-0000-0000A3110000}"/>
    <cellStyle name="Normal 10 2 10 23 4" xfId="4578" xr:uid="{00000000-0005-0000-0000-0000A4110000}"/>
    <cellStyle name="Normal 10 2 10 23 4 10" xfId="4579" xr:uid="{00000000-0005-0000-0000-0000A5110000}"/>
    <cellStyle name="Normal 10 2 10 23 4 2" xfId="4580" xr:uid="{00000000-0005-0000-0000-0000A6110000}"/>
    <cellStyle name="Normal 10 2 10 23 4 3" xfId="4581" xr:uid="{00000000-0005-0000-0000-0000A7110000}"/>
    <cellStyle name="Normal 10 2 10 23 4 4" xfId="4582" xr:uid="{00000000-0005-0000-0000-0000A8110000}"/>
    <cellStyle name="Normal 10 2 10 23 4 5" xfId="4583" xr:uid="{00000000-0005-0000-0000-0000A9110000}"/>
    <cellStyle name="Normal 10 2 10 23 4 6" xfId="4584" xr:uid="{00000000-0005-0000-0000-0000AA110000}"/>
    <cellStyle name="Normal 10 2 10 23 4 7" xfId="4585" xr:uid="{00000000-0005-0000-0000-0000AB110000}"/>
    <cellStyle name="Normal 10 2 10 23 4 8" xfId="4586" xr:uid="{00000000-0005-0000-0000-0000AC110000}"/>
    <cellStyle name="Normal 10 2 10 23 4 9" xfId="4587" xr:uid="{00000000-0005-0000-0000-0000AD110000}"/>
    <cellStyle name="Normal 10 2 10 23 5" xfId="4588" xr:uid="{00000000-0005-0000-0000-0000AE110000}"/>
    <cellStyle name="Normal 10 2 10 23 5 10" xfId="4589" xr:uid="{00000000-0005-0000-0000-0000AF110000}"/>
    <cellStyle name="Normal 10 2 10 23 5 2" xfId="4590" xr:uid="{00000000-0005-0000-0000-0000B0110000}"/>
    <cellStyle name="Normal 10 2 10 23 5 3" xfId="4591" xr:uid="{00000000-0005-0000-0000-0000B1110000}"/>
    <cellStyle name="Normal 10 2 10 23 5 4" xfId="4592" xr:uid="{00000000-0005-0000-0000-0000B2110000}"/>
    <cellStyle name="Normal 10 2 10 23 5 5" xfId="4593" xr:uid="{00000000-0005-0000-0000-0000B3110000}"/>
    <cellStyle name="Normal 10 2 10 23 5 6" xfId="4594" xr:uid="{00000000-0005-0000-0000-0000B4110000}"/>
    <cellStyle name="Normal 10 2 10 23 5 7" xfId="4595" xr:uid="{00000000-0005-0000-0000-0000B5110000}"/>
    <cellStyle name="Normal 10 2 10 23 5 8" xfId="4596" xr:uid="{00000000-0005-0000-0000-0000B6110000}"/>
    <cellStyle name="Normal 10 2 10 23 5 9" xfId="4597" xr:uid="{00000000-0005-0000-0000-0000B7110000}"/>
    <cellStyle name="Normal 10 2 10 23 6" xfId="4598" xr:uid="{00000000-0005-0000-0000-0000B8110000}"/>
    <cellStyle name="Normal 10 2 10 23 7" xfId="4599" xr:uid="{00000000-0005-0000-0000-0000B9110000}"/>
    <cellStyle name="Normal 10 2 10 23 8" xfId="4600" xr:uid="{00000000-0005-0000-0000-0000BA110000}"/>
    <cellStyle name="Normal 10 2 10 23 9" xfId="4601" xr:uid="{00000000-0005-0000-0000-0000BB110000}"/>
    <cellStyle name="Normal 10 2 10 24" xfId="4602" xr:uid="{00000000-0005-0000-0000-0000BC110000}"/>
    <cellStyle name="Normal 10 2 10 24 10" xfId="4603" xr:uid="{00000000-0005-0000-0000-0000BD110000}"/>
    <cellStyle name="Normal 10 2 10 24 11" xfId="4604" xr:uid="{00000000-0005-0000-0000-0000BE110000}"/>
    <cellStyle name="Normal 10 2 10 24 12" xfId="4605" xr:uid="{00000000-0005-0000-0000-0000BF110000}"/>
    <cellStyle name="Normal 10 2 10 24 13" xfId="4606" xr:uid="{00000000-0005-0000-0000-0000C0110000}"/>
    <cellStyle name="Normal 10 2 10 24 14" xfId="4607" xr:uid="{00000000-0005-0000-0000-0000C1110000}"/>
    <cellStyle name="Normal 10 2 10 24 2" xfId="4608" xr:uid="{00000000-0005-0000-0000-0000C2110000}"/>
    <cellStyle name="Normal 10 2 10 24 2 10" xfId="4609" xr:uid="{00000000-0005-0000-0000-0000C3110000}"/>
    <cellStyle name="Normal 10 2 10 24 2 2" xfId="4610" xr:uid="{00000000-0005-0000-0000-0000C4110000}"/>
    <cellStyle name="Normal 10 2 10 24 2 3" xfId="4611" xr:uid="{00000000-0005-0000-0000-0000C5110000}"/>
    <cellStyle name="Normal 10 2 10 24 2 4" xfId="4612" xr:uid="{00000000-0005-0000-0000-0000C6110000}"/>
    <cellStyle name="Normal 10 2 10 24 2 5" xfId="4613" xr:uid="{00000000-0005-0000-0000-0000C7110000}"/>
    <cellStyle name="Normal 10 2 10 24 2 6" xfId="4614" xr:uid="{00000000-0005-0000-0000-0000C8110000}"/>
    <cellStyle name="Normal 10 2 10 24 2 7" xfId="4615" xr:uid="{00000000-0005-0000-0000-0000C9110000}"/>
    <cellStyle name="Normal 10 2 10 24 2 8" xfId="4616" xr:uid="{00000000-0005-0000-0000-0000CA110000}"/>
    <cellStyle name="Normal 10 2 10 24 2 9" xfId="4617" xr:uid="{00000000-0005-0000-0000-0000CB110000}"/>
    <cellStyle name="Normal 10 2 10 24 3" xfId="4618" xr:uid="{00000000-0005-0000-0000-0000CC110000}"/>
    <cellStyle name="Normal 10 2 10 24 3 10" xfId="4619" xr:uid="{00000000-0005-0000-0000-0000CD110000}"/>
    <cellStyle name="Normal 10 2 10 24 3 2" xfId="4620" xr:uid="{00000000-0005-0000-0000-0000CE110000}"/>
    <cellStyle name="Normal 10 2 10 24 3 3" xfId="4621" xr:uid="{00000000-0005-0000-0000-0000CF110000}"/>
    <cellStyle name="Normal 10 2 10 24 3 4" xfId="4622" xr:uid="{00000000-0005-0000-0000-0000D0110000}"/>
    <cellStyle name="Normal 10 2 10 24 3 5" xfId="4623" xr:uid="{00000000-0005-0000-0000-0000D1110000}"/>
    <cellStyle name="Normal 10 2 10 24 3 6" xfId="4624" xr:uid="{00000000-0005-0000-0000-0000D2110000}"/>
    <cellStyle name="Normal 10 2 10 24 3 7" xfId="4625" xr:uid="{00000000-0005-0000-0000-0000D3110000}"/>
    <cellStyle name="Normal 10 2 10 24 3 8" xfId="4626" xr:uid="{00000000-0005-0000-0000-0000D4110000}"/>
    <cellStyle name="Normal 10 2 10 24 3 9" xfId="4627" xr:uid="{00000000-0005-0000-0000-0000D5110000}"/>
    <cellStyle name="Normal 10 2 10 24 4" xfId="4628" xr:uid="{00000000-0005-0000-0000-0000D6110000}"/>
    <cellStyle name="Normal 10 2 10 24 4 10" xfId="4629" xr:uid="{00000000-0005-0000-0000-0000D7110000}"/>
    <cellStyle name="Normal 10 2 10 24 4 2" xfId="4630" xr:uid="{00000000-0005-0000-0000-0000D8110000}"/>
    <cellStyle name="Normal 10 2 10 24 4 3" xfId="4631" xr:uid="{00000000-0005-0000-0000-0000D9110000}"/>
    <cellStyle name="Normal 10 2 10 24 4 4" xfId="4632" xr:uid="{00000000-0005-0000-0000-0000DA110000}"/>
    <cellStyle name="Normal 10 2 10 24 4 5" xfId="4633" xr:uid="{00000000-0005-0000-0000-0000DB110000}"/>
    <cellStyle name="Normal 10 2 10 24 4 6" xfId="4634" xr:uid="{00000000-0005-0000-0000-0000DC110000}"/>
    <cellStyle name="Normal 10 2 10 24 4 7" xfId="4635" xr:uid="{00000000-0005-0000-0000-0000DD110000}"/>
    <cellStyle name="Normal 10 2 10 24 4 8" xfId="4636" xr:uid="{00000000-0005-0000-0000-0000DE110000}"/>
    <cellStyle name="Normal 10 2 10 24 4 9" xfId="4637" xr:uid="{00000000-0005-0000-0000-0000DF110000}"/>
    <cellStyle name="Normal 10 2 10 24 5" xfId="4638" xr:uid="{00000000-0005-0000-0000-0000E0110000}"/>
    <cellStyle name="Normal 10 2 10 24 5 10" xfId="4639" xr:uid="{00000000-0005-0000-0000-0000E1110000}"/>
    <cellStyle name="Normal 10 2 10 24 5 2" xfId="4640" xr:uid="{00000000-0005-0000-0000-0000E2110000}"/>
    <cellStyle name="Normal 10 2 10 24 5 3" xfId="4641" xr:uid="{00000000-0005-0000-0000-0000E3110000}"/>
    <cellStyle name="Normal 10 2 10 24 5 4" xfId="4642" xr:uid="{00000000-0005-0000-0000-0000E4110000}"/>
    <cellStyle name="Normal 10 2 10 24 5 5" xfId="4643" xr:uid="{00000000-0005-0000-0000-0000E5110000}"/>
    <cellStyle name="Normal 10 2 10 24 5 6" xfId="4644" xr:uid="{00000000-0005-0000-0000-0000E6110000}"/>
    <cellStyle name="Normal 10 2 10 24 5 7" xfId="4645" xr:uid="{00000000-0005-0000-0000-0000E7110000}"/>
    <cellStyle name="Normal 10 2 10 24 5 8" xfId="4646" xr:uid="{00000000-0005-0000-0000-0000E8110000}"/>
    <cellStyle name="Normal 10 2 10 24 5 9" xfId="4647" xr:uid="{00000000-0005-0000-0000-0000E9110000}"/>
    <cellStyle name="Normal 10 2 10 24 6" xfId="4648" xr:uid="{00000000-0005-0000-0000-0000EA110000}"/>
    <cellStyle name="Normal 10 2 10 24 7" xfId="4649" xr:uid="{00000000-0005-0000-0000-0000EB110000}"/>
    <cellStyle name="Normal 10 2 10 24 8" xfId="4650" xr:uid="{00000000-0005-0000-0000-0000EC110000}"/>
    <cellStyle name="Normal 10 2 10 24 9" xfId="4651" xr:uid="{00000000-0005-0000-0000-0000ED110000}"/>
    <cellStyle name="Normal 10 2 10 25" xfId="4652" xr:uid="{00000000-0005-0000-0000-0000EE110000}"/>
    <cellStyle name="Normal 10 2 10 25 10" xfId="4653" xr:uid="{00000000-0005-0000-0000-0000EF110000}"/>
    <cellStyle name="Normal 10 2 10 25 11" xfId="4654" xr:uid="{00000000-0005-0000-0000-0000F0110000}"/>
    <cellStyle name="Normal 10 2 10 25 12" xfId="4655" xr:uid="{00000000-0005-0000-0000-0000F1110000}"/>
    <cellStyle name="Normal 10 2 10 25 13" xfId="4656" xr:uid="{00000000-0005-0000-0000-0000F2110000}"/>
    <cellStyle name="Normal 10 2 10 25 14" xfId="4657" xr:uid="{00000000-0005-0000-0000-0000F3110000}"/>
    <cellStyle name="Normal 10 2 10 25 2" xfId="4658" xr:uid="{00000000-0005-0000-0000-0000F4110000}"/>
    <cellStyle name="Normal 10 2 10 25 2 10" xfId="4659" xr:uid="{00000000-0005-0000-0000-0000F5110000}"/>
    <cellStyle name="Normal 10 2 10 25 2 2" xfId="4660" xr:uid="{00000000-0005-0000-0000-0000F6110000}"/>
    <cellStyle name="Normal 10 2 10 25 2 3" xfId="4661" xr:uid="{00000000-0005-0000-0000-0000F7110000}"/>
    <cellStyle name="Normal 10 2 10 25 2 4" xfId="4662" xr:uid="{00000000-0005-0000-0000-0000F8110000}"/>
    <cellStyle name="Normal 10 2 10 25 2 5" xfId="4663" xr:uid="{00000000-0005-0000-0000-0000F9110000}"/>
    <cellStyle name="Normal 10 2 10 25 2 6" xfId="4664" xr:uid="{00000000-0005-0000-0000-0000FA110000}"/>
    <cellStyle name="Normal 10 2 10 25 2 7" xfId="4665" xr:uid="{00000000-0005-0000-0000-0000FB110000}"/>
    <cellStyle name="Normal 10 2 10 25 2 8" xfId="4666" xr:uid="{00000000-0005-0000-0000-0000FC110000}"/>
    <cellStyle name="Normal 10 2 10 25 2 9" xfId="4667" xr:uid="{00000000-0005-0000-0000-0000FD110000}"/>
    <cellStyle name="Normal 10 2 10 25 3" xfId="4668" xr:uid="{00000000-0005-0000-0000-0000FE110000}"/>
    <cellStyle name="Normal 10 2 10 25 3 10" xfId="4669" xr:uid="{00000000-0005-0000-0000-0000FF110000}"/>
    <cellStyle name="Normal 10 2 10 25 3 2" xfId="4670" xr:uid="{00000000-0005-0000-0000-000000120000}"/>
    <cellStyle name="Normal 10 2 10 25 3 3" xfId="4671" xr:uid="{00000000-0005-0000-0000-000001120000}"/>
    <cellStyle name="Normal 10 2 10 25 3 4" xfId="4672" xr:uid="{00000000-0005-0000-0000-000002120000}"/>
    <cellStyle name="Normal 10 2 10 25 3 5" xfId="4673" xr:uid="{00000000-0005-0000-0000-000003120000}"/>
    <cellStyle name="Normal 10 2 10 25 3 6" xfId="4674" xr:uid="{00000000-0005-0000-0000-000004120000}"/>
    <cellStyle name="Normal 10 2 10 25 3 7" xfId="4675" xr:uid="{00000000-0005-0000-0000-000005120000}"/>
    <cellStyle name="Normal 10 2 10 25 3 8" xfId="4676" xr:uid="{00000000-0005-0000-0000-000006120000}"/>
    <cellStyle name="Normal 10 2 10 25 3 9" xfId="4677" xr:uid="{00000000-0005-0000-0000-000007120000}"/>
    <cellStyle name="Normal 10 2 10 25 4" xfId="4678" xr:uid="{00000000-0005-0000-0000-000008120000}"/>
    <cellStyle name="Normal 10 2 10 25 4 10" xfId="4679" xr:uid="{00000000-0005-0000-0000-000009120000}"/>
    <cellStyle name="Normal 10 2 10 25 4 2" xfId="4680" xr:uid="{00000000-0005-0000-0000-00000A120000}"/>
    <cellStyle name="Normal 10 2 10 25 4 3" xfId="4681" xr:uid="{00000000-0005-0000-0000-00000B120000}"/>
    <cellStyle name="Normal 10 2 10 25 4 4" xfId="4682" xr:uid="{00000000-0005-0000-0000-00000C120000}"/>
    <cellStyle name="Normal 10 2 10 25 4 5" xfId="4683" xr:uid="{00000000-0005-0000-0000-00000D120000}"/>
    <cellStyle name="Normal 10 2 10 25 4 6" xfId="4684" xr:uid="{00000000-0005-0000-0000-00000E120000}"/>
    <cellStyle name="Normal 10 2 10 25 4 7" xfId="4685" xr:uid="{00000000-0005-0000-0000-00000F120000}"/>
    <cellStyle name="Normal 10 2 10 25 4 8" xfId="4686" xr:uid="{00000000-0005-0000-0000-000010120000}"/>
    <cellStyle name="Normal 10 2 10 25 4 9" xfId="4687" xr:uid="{00000000-0005-0000-0000-000011120000}"/>
    <cellStyle name="Normal 10 2 10 25 5" xfId="4688" xr:uid="{00000000-0005-0000-0000-000012120000}"/>
    <cellStyle name="Normal 10 2 10 25 5 10" xfId="4689" xr:uid="{00000000-0005-0000-0000-000013120000}"/>
    <cellStyle name="Normal 10 2 10 25 5 2" xfId="4690" xr:uid="{00000000-0005-0000-0000-000014120000}"/>
    <cellStyle name="Normal 10 2 10 25 5 3" xfId="4691" xr:uid="{00000000-0005-0000-0000-000015120000}"/>
    <cellStyle name="Normal 10 2 10 25 5 4" xfId="4692" xr:uid="{00000000-0005-0000-0000-000016120000}"/>
    <cellStyle name="Normal 10 2 10 25 5 5" xfId="4693" xr:uid="{00000000-0005-0000-0000-000017120000}"/>
    <cellStyle name="Normal 10 2 10 25 5 6" xfId="4694" xr:uid="{00000000-0005-0000-0000-000018120000}"/>
    <cellStyle name="Normal 10 2 10 25 5 7" xfId="4695" xr:uid="{00000000-0005-0000-0000-000019120000}"/>
    <cellStyle name="Normal 10 2 10 25 5 8" xfId="4696" xr:uid="{00000000-0005-0000-0000-00001A120000}"/>
    <cellStyle name="Normal 10 2 10 25 5 9" xfId="4697" xr:uid="{00000000-0005-0000-0000-00001B120000}"/>
    <cellStyle name="Normal 10 2 10 25 6" xfId="4698" xr:uid="{00000000-0005-0000-0000-00001C120000}"/>
    <cellStyle name="Normal 10 2 10 25 7" xfId="4699" xr:uid="{00000000-0005-0000-0000-00001D120000}"/>
    <cellStyle name="Normal 10 2 10 25 8" xfId="4700" xr:uid="{00000000-0005-0000-0000-00001E120000}"/>
    <cellStyle name="Normal 10 2 10 25 9" xfId="4701" xr:uid="{00000000-0005-0000-0000-00001F120000}"/>
    <cellStyle name="Normal 10 2 10 26" xfId="4702" xr:uid="{00000000-0005-0000-0000-000020120000}"/>
    <cellStyle name="Normal 10 2 10 26 10" xfId="4703" xr:uid="{00000000-0005-0000-0000-000021120000}"/>
    <cellStyle name="Normal 10 2 10 26 11" xfId="4704" xr:uid="{00000000-0005-0000-0000-000022120000}"/>
    <cellStyle name="Normal 10 2 10 26 12" xfId="4705" xr:uid="{00000000-0005-0000-0000-000023120000}"/>
    <cellStyle name="Normal 10 2 10 26 13" xfId="4706" xr:uid="{00000000-0005-0000-0000-000024120000}"/>
    <cellStyle name="Normal 10 2 10 26 14" xfId="4707" xr:uid="{00000000-0005-0000-0000-000025120000}"/>
    <cellStyle name="Normal 10 2 10 26 2" xfId="4708" xr:uid="{00000000-0005-0000-0000-000026120000}"/>
    <cellStyle name="Normal 10 2 10 26 2 10" xfId="4709" xr:uid="{00000000-0005-0000-0000-000027120000}"/>
    <cellStyle name="Normal 10 2 10 26 2 2" xfId="4710" xr:uid="{00000000-0005-0000-0000-000028120000}"/>
    <cellStyle name="Normal 10 2 10 26 2 3" xfId="4711" xr:uid="{00000000-0005-0000-0000-000029120000}"/>
    <cellStyle name="Normal 10 2 10 26 2 4" xfId="4712" xr:uid="{00000000-0005-0000-0000-00002A120000}"/>
    <cellStyle name="Normal 10 2 10 26 2 5" xfId="4713" xr:uid="{00000000-0005-0000-0000-00002B120000}"/>
    <cellStyle name="Normal 10 2 10 26 2 6" xfId="4714" xr:uid="{00000000-0005-0000-0000-00002C120000}"/>
    <cellStyle name="Normal 10 2 10 26 2 7" xfId="4715" xr:uid="{00000000-0005-0000-0000-00002D120000}"/>
    <cellStyle name="Normal 10 2 10 26 2 8" xfId="4716" xr:uid="{00000000-0005-0000-0000-00002E120000}"/>
    <cellStyle name="Normal 10 2 10 26 2 9" xfId="4717" xr:uid="{00000000-0005-0000-0000-00002F120000}"/>
    <cellStyle name="Normal 10 2 10 26 3" xfId="4718" xr:uid="{00000000-0005-0000-0000-000030120000}"/>
    <cellStyle name="Normal 10 2 10 26 3 10" xfId="4719" xr:uid="{00000000-0005-0000-0000-000031120000}"/>
    <cellStyle name="Normal 10 2 10 26 3 2" xfId="4720" xr:uid="{00000000-0005-0000-0000-000032120000}"/>
    <cellStyle name="Normal 10 2 10 26 3 3" xfId="4721" xr:uid="{00000000-0005-0000-0000-000033120000}"/>
    <cellStyle name="Normal 10 2 10 26 3 4" xfId="4722" xr:uid="{00000000-0005-0000-0000-000034120000}"/>
    <cellStyle name="Normal 10 2 10 26 3 5" xfId="4723" xr:uid="{00000000-0005-0000-0000-000035120000}"/>
    <cellStyle name="Normal 10 2 10 26 3 6" xfId="4724" xr:uid="{00000000-0005-0000-0000-000036120000}"/>
    <cellStyle name="Normal 10 2 10 26 3 7" xfId="4725" xr:uid="{00000000-0005-0000-0000-000037120000}"/>
    <cellStyle name="Normal 10 2 10 26 3 8" xfId="4726" xr:uid="{00000000-0005-0000-0000-000038120000}"/>
    <cellStyle name="Normal 10 2 10 26 3 9" xfId="4727" xr:uid="{00000000-0005-0000-0000-000039120000}"/>
    <cellStyle name="Normal 10 2 10 26 4" xfId="4728" xr:uid="{00000000-0005-0000-0000-00003A120000}"/>
    <cellStyle name="Normal 10 2 10 26 4 10" xfId="4729" xr:uid="{00000000-0005-0000-0000-00003B120000}"/>
    <cellStyle name="Normal 10 2 10 26 4 2" xfId="4730" xr:uid="{00000000-0005-0000-0000-00003C120000}"/>
    <cellStyle name="Normal 10 2 10 26 4 3" xfId="4731" xr:uid="{00000000-0005-0000-0000-00003D120000}"/>
    <cellStyle name="Normal 10 2 10 26 4 4" xfId="4732" xr:uid="{00000000-0005-0000-0000-00003E120000}"/>
    <cellStyle name="Normal 10 2 10 26 4 5" xfId="4733" xr:uid="{00000000-0005-0000-0000-00003F120000}"/>
    <cellStyle name="Normal 10 2 10 26 4 6" xfId="4734" xr:uid="{00000000-0005-0000-0000-000040120000}"/>
    <cellStyle name="Normal 10 2 10 26 4 7" xfId="4735" xr:uid="{00000000-0005-0000-0000-000041120000}"/>
    <cellStyle name="Normal 10 2 10 26 4 8" xfId="4736" xr:uid="{00000000-0005-0000-0000-000042120000}"/>
    <cellStyle name="Normal 10 2 10 26 4 9" xfId="4737" xr:uid="{00000000-0005-0000-0000-000043120000}"/>
    <cellStyle name="Normal 10 2 10 26 5" xfId="4738" xr:uid="{00000000-0005-0000-0000-000044120000}"/>
    <cellStyle name="Normal 10 2 10 26 5 10" xfId="4739" xr:uid="{00000000-0005-0000-0000-000045120000}"/>
    <cellStyle name="Normal 10 2 10 26 5 2" xfId="4740" xr:uid="{00000000-0005-0000-0000-000046120000}"/>
    <cellStyle name="Normal 10 2 10 26 5 3" xfId="4741" xr:uid="{00000000-0005-0000-0000-000047120000}"/>
    <cellStyle name="Normal 10 2 10 26 5 4" xfId="4742" xr:uid="{00000000-0005-0000-0000-000048120000}"/>
    <cellStyle name="Normal 10 2 10 26 5 5" xfId="4743" xr:uid="{00000000-0005-0000-0000-000049120000}"/>
    <cellStyle name="Normal 10 2 10 26 5 6" xfId="4744" xr:uid="{00000000-0005-0000-0000-00004A120000}"/>
    <cellStyle name="Normal 10 2 10 26 5 7" xfId="4745" xr:uid="{00000000-0005-0000-0000-00004B120000}"/>
    <cellStyle name="Normal 10 2 10 26 5 8" xfId="4746" xr:uid="{00000000-0005-0000-0000-00004C120000}"/>
    <cellStyle name="Normal 10 2 10 26 5 9" xfId="4747" xr:uid="{00000000-0005-0000-0000-00004D120000}"/>
    <cellStyle name="Normal 10 2 10 26 6" xfId="4748" xr:uid="{00000000-0005-0000-0000-00004E120000}"/>
    <cellStyle name="Normal 10 2 10 26 7" xfId="4749" xr:uid="{00000000-0005-0000-0000-00004F120000}"/>
    <cellStyle name="Normal 10 2 10 26 8" xfId="4750" xr:uid="{00000000-0005-0000-0000-000050120000}"/>
    <cellStyle name="Normal 10 2 10 26 9" xfId="4751" xr:uid="{00000000-0005-0000-0000-000051120000}"/>
    <cellStyle name="Normal 10 2 10 27" xfId="4752" xr:uid="{00000000-0005-0000-0000-000052120000}"/>
    <cellStyle name="Normal 10 2 10 27 10" xfId="4753" xr:uid="{00000000-0005-0000-0000-000053120000}"/>
    <cellStyle name="Normal 10 2 10 27 11" xfId="4754" xr:uid="{00000000-0005-0000-0000-000054120000}"/>
    <cellStyle name="Normal 10 2 10 27 12" xfId="4755" xr:uid="{00000000-0005-0000-0000-000055120000}"/>
    <cellStyle name="Normal 10 2 10 27 13" xfId="4756" xr:uid="{00000000-0005-0000-0000-000056120000}"/>
    <cellStyle name="Normal 10 2 10 27 14" xfId="4757" xr:uid="{00000000-0005-0000-0000-000057120000}"/>
    <cellStyle name="Normal 10 2 10 27 2" xfId="4758" xr:uid="{00000000-0005-0000-0000-000058120000}"/>
    <cellStyle name="Normal 10 2 10 27 2 10" xfId="4759" xr:uid="{00000000-0005-0000-0000-000059120000}"/>
    <cellStyle name="Normal 10 2 10 27 2 2" xfId="4760" xr:uid="{00000000-0005-0000-0000-00005A120000}"/>
    <cellStyle name="Normal 10 2 10 27 2 3" xfId="4761" xr:uid="{00000000-0005-0000-0000-00005B120000}"/>
    <cellStyle name="Normal 10 2 10 27 2 4" xfId="4762" xr:uid="{00000000-0005-0000-0000-00005C120000}"/>
    <cellStyle name="Normal 10 2 10 27 2 5" xfId="4763" xr:uid="{00000000-0005-0000-0000-00005D120000}"/>
    <cellStyle name="Normal 10 2 10 27 2 6" xfId="4764" xr:uid="{00000000-0005-0000-0000-00005E120000}"/>
    <cellStyle name="Normal 10 2 10 27 2 7" xfId="4765" xr:uid="{00000000-0005-0000-0000-00005F120000}"/>
    <cellStyle name="Normal 10 2 10 27 2 8" xfId="4766" xr:uid="{00000000-0005-0000-0000-000060120000}"/>
    <cellStyle name="Normal 10 2 10 27 2 9" xfId="4767" xr:uid="{00000000-0005-0000-0000-000061120000}"/>
    <cellStyle name="Normal 10 2 10 27 3" xfId="4768" xr:uid="{00000000-0005-0000-0000-000062120000}"/>
    <cellStyle name="Normal 10 2 10 27 3 10" xfId="4769" xr:uid="{00000000-0005-0000-0000-000063120000}"/>
    <cellStyle name="Normal 10 2 10 27 3 2" xfId="4770" xr:uid="{00000000-0005-0000-0000-000064120000}"/>
    <cellStyle name="Normal 10 2 10 27 3 3" xfId="4771" xr:uid="{00000000-0005-0000-0000-000065120000}"/>
    <cellStyle name="Normal 10 2 10 27 3 4" xfId="4772" xr:uid="{00000000-0005-0000-0000-000066120000}"/>
    <cellStyle name="Normal 10 2 10 27 3 5" xfId="4773" xr:uid="{00000000-0005-0000-0000-000067120000}"/>
    <cellStyle name="Normal 10 2 10 27 3 6" xfId="4774" xr:uid="{00000000-0005-0000-0000-000068120000}"/>
    <cellStyle name="Normal 10 2 10 27 3 7" xfId="4775" xr:uid="{00000000-0005-0000-0000-000069120000}"/>
    <cellStyle name="Normal 10 2 10 27 3 8" xfId="4776" xr:uid="{00000000-0005-0000-0000-00006A120000}"/>
    <cellStyle name="Normal 10 2 10 27 3 9" xfId="4777" xr:uid="{00000000-0005-0000-0000-00006B120000}"/>
    <cellStyle name="Normal 10 2 10 27 4" xfId="4778" xr:uid="{00000000-0005-0000-0000-00006C120000}"/>
    <cellStyle name="Normal 10 2 10 27 4 10" xfId="4779" xr:uid="{00000000-0005-0000-0000-00006D120000}"/>
    <cellStyle name="Normal 10 2 10 27 4 2" xfId="4780" xr:uid="{00000000-0005-0000-0000-00006E120000}"/>
    <cellStyle name="Normal 10 2 10 27 4 3" xfId="4781" xr:uid="{00000000-0005-0000-0000-00006F120000}"/>
    <cellStyle name="Normal 10 2 10 27 4 4" xfId="4782" xr:uid="{00000000-0005-0000-0000-000070120000}"/>
    <cellStyle name="Normal 10 2 10 27 4 5" xfId="4783" xr:uid="{00000000-0005-0000-0000-000071120000}"/>
    <cellStyle name="Normal 10 2 10 27 4 6" xfId="4784" xr:uid="{00000000-0005-0000-0000-000072120000}"/>
    <cellStyle name="Normal 10 2 10 27 4 7" xfId="4785" xr:uid="{00000000-0005-0000-0000-000073120000}"/>
    <cellStyle name="Normal 10 2 10 27 4 8" xfId="4786" xr:uid="{00000000-0005-0000-0000-000074120000}"/>
    <cellStyle name="Normal 10 2 10 27 4 9" xfId="4787" xr:uid="{00000000-0005-0000-0000-000075120000}"/>
    <cellStyle name="Normal 10 2 10 27 5" xfId="4788" xr:uid="{00000000-0005-0000-0000-000076120000}"/>
    <cellStyle name="Normal 10 2 10 27 5 10" xfId="4789" xr:uid="{00000000-0005-0000-0000-000077120000}"/>
    <cellStyle name="Normal 10 2 10 27 5 2" xfId="4790" xr:uid="{00000000-0005-0000-0000-000078120000}"/>
    <cellStyle name="Normal 10 2 10 27 5 3" xfId="4791" xr:uid="{00000000-0005-0000-0000-000079120000}"/>
    <cellStyle name="Normal 10 2 10 27 5 4" xfId="4792" xr:uid="{00000000-0005-0000-0000-00007A120000}"/>
    <cellStyle name="Normal 10 2 10 27 5 5" xfId="4793" xr:uid="{00000000-0005-0000-0000-00007B120000}"/>
    <cellStyle name="Normal 10 2 10 27 5 6" xfId="4794" xr:uid="{00000000-0005-0000-0000-00007C120000}"/>
    <cellStyle name="Normal 10 2 10 27 5 7" xfId="4795" xr:uid="{00000000-0005-0000-0000-00007D120000}"/>
    <cellStyle name="Normal 10 2 10 27 5 8" xfId="4796" xr:uid="{00000000-0005-0000-0000-00007E120000}"/>
    <cellStyle name="Normal 10 2 10 27 5 9" xfId="4797" xr:uid="{00000000-0005-0000-0000-00007F120000}"/>
    <cellStyle name="Normal 10 2 10 27 6" xfId="4798" xr:uid="{00000000-0005-0000-0000-000080120000}"/>
    <cellStyle name="Normal 10 2 10 27 7" xfId="4799" xr:uid="{00000000-0005-0000-0000-000081120000}"/>
    <cellStyle name="Normal 10 2 10 27 8" xfId="4800" xr:uid="{00000000-0005-0000-0000-000082120000}"/>
    <cellStyle name="Normal 10 2 10 27 9" xfId="4801" xr:uid="{00000000-0005-0000-0000-000083120000}"/>
    <cellStyle name="Normal 10 2 10 28" xfId="4802" xr:uid="{00000000-0005-0000-0000-000084120000}"/>
    <cellStyle name="Normal 10 2 10 28 10" xfId="4803" xr:uid="{00000000-0005-0000-0000-000085120000}"/>
    <cellStyle name="Normal 10 2 10 28 11" xfId="4804" xr:uid="{00000000-0005-0000-0000-000086120000}"/>
    <cellStyle name="Normal 10 2 10 28 12" xfId="4805" xr:uid="{00000000-0005-0000-0000-000087120000}"/>
    <cellStyle name="Normal 10 2 10 28 13" xfId="4806" xr:uid="{00000000-0005-0000-0000-000088120000}"/>
    <cellStyle name="Normal 10 2 10 28 14" xfId="4807" xr:uid="{00000000-0005-0000-0000-000089120000}"/>
    <cellStyle name="Normal 10 2 10 28 2" xfId="4808" xr:uid="{00000000-0005-0000-0000-00008A120000}"/>
    <cellStyle name="Normal 10 2 10 28 2 10" xfId="4809" xr:uid="{00000000-0005-0000-0000-00008B120000}"/>
    <cellStyle name="Normal 10 2 10 28 2 2" xfId="4810" xr:uid="{00000000-0005-0000-0000-00008C120000}"/>
    <cellStyle name="Normal 10 2 10 28 2 3" xfId="4811" xr:uid="{00000000-0005-0000-0000-00008D120000}"/>
    <cellStyle name="Normal 10 2 10 28 2 4" xfId="4812" xr:uid="{00000000-0005-0000-0000-00008E120000}"/>
    <cellStyle name="Normal 10 2 10 28 2 5" xfId="4813" xr:uid="{00000000-0005-0000-0000-00008F120000}"/>
    <cellStyle name="Normal 10 2 10 28 2 6" xfId="4814" xr:uid="{00000000-0005-0000-0000-000090120000}"/>
    <cellStyle name="Normal 10 2 10 28 2 7" xfId="4815" xr:uid="{00000000-0005-0000-0000-000091120000}"/>
    <cellStyle name="Normal 10 2 10 28 2 8" xfId="4816" xr:uid="{00000000-0005-0000-0000-000092120000}"/>
    <cellStyle name="Normal 10 2 10 28 2 9" xfId="4817" xr:uid="{00000000-0005-0000-0000-000093120000}"/>
    <cellStyle name="Normal 10 2 10 28 3" xfId="4818" xr:uid="{00000000-0005-0000-0000-000094120000}"/>
    <cellStyle name="Normal 10 2 10 28 3 10" xfId="4819" xr:uid="{00000000-0005-0000-0000-000095120000}"/>
    <cellStyle name="Normal 10 2 10 28 3 2" xfId="4820" xr:uid="{00000000-0005-0000-0000-000096120000}"/>
    <cellStyle name="Normal 10 2 10 28 3 3" xfId="4821" xr:uid="{00000000-0005-0000-0000-000097120000}"/>
    <cellStyle name="Normal 10 2 10 28 3 4" xfId="4822" xr:uid="{00000000-0005-0000-0000-000098120000}"/>
    <cellStyle name="Normal 10 2 10 28 3 5" xfId="4823" xr:uid="{00000000-0005-0000-0000-000099120000}"/>
    <cellStyle name="Normal 10 2 10 28 3 6" xfId="4824" xr:uid="{00000000-0005-0000-0000-00009A120000}"/>
    <cellStyle name="Normal 10 2 10 28 3 7" xfId="4825" xr:uid="{00000000-0005-0000-0000-00009B120000}"/>
    <cellStyle name="Normal 10 2 10 28 3 8" xfId="4826" xr:uid="{00000000-0005-0000-0000-00009C120000}"/>
    <cellStyle name="Normal 10 2 10 28 3 9" xfId="4827" xr:uid="{00000000-0005-0000-0000-00009D120000}"/>
    <cellStyle name="Normal 10 2 10 28 4" xfId="4828" xr:uid="{00000000-0005-0000-0000-00009E120000}"/>
    <cellStyle name="Normal 10 2 10 28 4 10" xfId="4829" xr:uid="{00000000-0005-0000-0000-00009F120000}"/>
    <cellStyle name="Normal 10 2 10 28 4 2" xfId="4830" xr:uid="{00000000-0005-0000-0000-0000A0120000}"/>
    <cellStyle name="Normal 10 2 10 28 4 3" xfId="4831" xr:uid="{00000000-0005-0000-0000-0000A1120000}"/>
    <cellStyle name="Normal 10 2 10 28 4 4" xfId="4832" xr:uid="{00000000-0005-0000-0000-0000A2120000}"/>
    <cellStyle name="Normal 10 2 10 28 4 5" xfId="4833" xr:uid="{00000000-0005-0000-0000-0000A3120000}"/>
    <cellStyle name="Normal 10 2 10 28 4 6" xfId="4834" xr:uid="{00000000-0005-0000-0000-0000A4120000}"/>
    <cellStyle name="Normal 10 2 10 28 4 7" xfId="4835" xr:uid="{00000000-0005-0000-0000-0000A5120000}"/>
    <cellStyle name="Normal 10 2 10 28 4 8" xfId="4836" xr:uid="{00000000-0005-0000-0000-0000A6120000}"/>
    <cellStyle name="Normal 10 2 10 28 4 9" xfId="4837" xr:uid="{00000000-0005-0000-0000-0000A7120000}"/>
    <cellStyle name="Normal 10 2 10 28 5" xfId="4838" xr:uid="{00000000-0005-0000-0000-0000A8120000}"/>
    <cellStyle name="Normal 10 2 10 28 5 10" xfId="4839" xr:uid="{00000000-0005-0000-0000-0000A9120000}"/>
    <cellStyle name="Normal 10 2 10 28 5 2" xfId="4840" xr:uid="{00000000-0005-0000-0000-0000AA120000}"/>
    <cellStyle name="Normal 10 2 10 28 5 3" xfId="4841" xr:uid="{00000000-0005-0000-0000-0000AB120000}"/>
    <cellStyle name="Normal 10 2 10 28 5 4" xfId="4842" xr:uid="{00000000-0005-0000-0000-0000AC120000}"/>
    <cellStyle name="Normal 10 2 10 28 5 5" xfId="4843" xr:uid="{00000000-0005-0000-0000-0000AD120000}"/>
    <cellStyle name="Normal 10 2 10 28 5 6" xfId="4844" xr:uid="{00000000-0005-0000-0000-0000AE120000}"/>
    <cellStyle name="Normal 10 2 10 28 5 7" xfId="4845" xr:uid="{00000000-0005-0000-0000-0000AF120000}"/>
    <cellStyle name="Normal 10 2 10 28 5 8" xfId="4846" xr:uid="{00000000-0005-0000-0000-0000B0120000}"/>
    <cellStyle name="Normal 10 2 10 28 5 9" xfId="4847" xr:uid="{00000000-0005-0000-0000-0000B1120000}"/>
    <cellStyle name="Normal 10 2 10 28 6" xfId="4848" xr:uid="{00000000-0005-0000-0000-0000B2120000}"/>
    <cellStyle name="Normal 10 2 10 28 7" xfId="4849" xr:uid="{00000000-0005-0000-0000-0000B3120000}"/>
    <cellStyle name="Normal 10 2 10 28 8" xfId="4850" xr:uid="{00000000-0005-0000-0000-0000B4120000}"/>
    <cellStyle name="Normal 10 2 10 28 9" xfId="4851" xr:uid="{00000000-0005-0000-0000-0000B5120000}"/>
    <cellStyle name="Normal 10 2 10 29" xfId="4852" xr:uid="{00000000-0005-0000-0000-0000B6120000}"/>
    <cellStyle name="Normal 10 2 10 29 10" xfId="4853" xr:uid="{00000000-0005-0000-0000-0000B7120000}"/>
    <cellStyle name="Normal 10 2 10 29 11" xfId="4854" xr:uid="{00000000-0005-0000-0000-0000B8120000}"/>
    <cellStyle name="Normal 10 2 10 29 12" xfId="4855" xr:uid="{00000000-0005-0000-0000-0000B9120000}"/>
    <cellStyle name="Normal 10 2 10 29 13" xfId="4856" xr:uid="{00000000-0005-0000-0000-0000BA120000}"/>
    <cellStyle name="Normal 10 2 10 29 14" xfId="4857" xr:uid="{00000000-0005-0000-0000-0000BB120000}"/>
    <cellStyle name="Normal 10 2 10 29 2" xfId="4858" xr:uid="{00000000-0005-0000-0000-0000BC120000}"/>
    <cellStyle name="Normal 10 2 10 29 2 10" xfId="4859" xr:uid="{00000000-0005-0000-0000-0000BD120000}"/>
    <cellStyle name="Normal 10 2 10 29 2 2" xfId="4860" xr:uid="{00000000-0005-0000-0000-0000BE120000}"/>
    <cellStyle name="Normal 10 2 10 29 2 3" xfId="4861" xr:uid="{00000000-0005-0000-0000-0000BF120000}"/>
    <cellStyle name="Normal 10 2 10 29 2 4" xfId="4862" xr:uid="{00000000-0005-0000-0000-0000C0120000}"/>
    <cellStyle name="Normal 10 2 10 29 2 5" xfId="4863" xr:uid="{00000000-0005-0000-0000-0000C1120000}"/>
    <cellStyle name="Normal 10 2 10 29 2 6" xfId="4864" xr:uid="{00000000-0005-0000-0000-0000C2120000}"/>
    <cellStyle name="Normal 10 2 10 29 2 7" xfId="4865" xr:uid="{00000000-0005-0000-0000-0000C3120000}"/>
    <cellStyle name="Normal 10 2 10 29 2 8" xfId="4866" xr:uid="{00000000-0005-0000-0000-0000C4120000}"/>
    <cellStyle name="Normal 10 2 10 29 2 9" xfId="4867" xr:uid="{00000000-0005-0000-0000-0000C5120000}"/>
    <cellStyle name="Normal 10 2 10 29 3" xfId="4868" xr:uid="{00000000-0005-0000-0000-0000C6120000}"/>
    <cellStyle name="Normal 10 2 10 29 3 10" xfId="4869" xr:uid="{00000000-0005-0000-0000-0000C7120000}"/>
    <cellStyle name="Normal 10 2 10 29 3 2" xfId="4870" xr:uid="{00000000-0005-0000-0000-0000C8120000}"/>
    <cellStyle name="Normal 10 2 10 29 3 3" xfId="4871" xr:uid="{00000000-0005-0000-0000-0000C9120000}"/>
    <cellStyle name="Normal 10 2 10 29 3 4" xfId="4872" xr:uid="{00000000-0005-0000-0000-0000CA120000}"/>
    <cellStyle name="Normal 10 2 10 29 3 5" xfId="4873" xr:uid="{00000000-0005-0000-0000-0000CB120000}"/>
    <cellStyle name="Normal 10 2 10 29 3 6" xfId="4874" xr:uid="{00000000-0005-0000-0000-0000CC120000}"/>
    <cellStyle name="Normal 10 2 10 29 3 7" xfId="4875" xr:uid="{00000000-0005-0000-0000-0000CD120000}"/>
    <cellStyle name="Normal 10 2 10 29 3 8" xfId="4876" xr:uid="{00000000-0005-0000-0000-0000CE120000}"/>
    <cellStyle name="Normal 10 2 10 29 3 9" xfId="4877" xr:uid="{00000000-0005-0000-0000-0000CF120000}"/>
    <cellStyle name="Normal 10 2 10 29 4" xfId="4878" xr:uid="{00000000-0005-0000-0000-0000D0120000}"/>
    <cellStyle name="Normal 10 2 10 29 4 10" xfId="4879" xr:uid="{00000000-0005-0000-0000-0000D1120000}"/>
    <cellStyle name="Normal 10 2 10 29 4 2" xfId="4880" xr:uid="{00000000-0005-0000-0000-0000D2120000}"/>
    <cellStyle name="Normal 10 2 10 29 4 3" xfId="4881" xr:uid="{00000000-0005-0000-0000-0000D3120000}"/>
    <cellStyle name="Normal 10 2 10 29 4 4" xfId="4882" xr:uid="{00000000-0005-0000-0000-0000D4120000}"/>
    <cellStyle name="Normal 10 2 10 29 4 5" xfId="4883" xr:uid="{00000000-0005-0000-0000-0000D5120000}"/>
    <cellStyle name="Normal 10 2 10 29 4 6" xfId="4884" xr:uid="{00000000-0005-0000-0000-0000D6120000}"/>
    <cellStyle name="Normal 10 2 10 29 4 7" xfId="4885" xr:uid="{00000000-0005-0000-0000-0000D7120000}"/>
    <cellStyle name="Normal 10 2 10 29 4 8" xfId="4886" xr:uid="{00000000-0005-0000-0000-0000D8120000}"/>
    <cellStyle name="Normal 10 2 10 29 4 9" xfId="4887" xr:uid="{00000000-0005-0000-0000-0000D9120000}"/>
    <cellStyle name="Normal 10 2 10 29 5" xfId="4888" xr:uid="{00000000-0005-0000-0000-0000DA120000}"/>
    <cellStyle name="Normal 10 2 10 29 5 10" xfId="4889" xr:uid="{00000000-0005-0000-0000-0000DB120000}"/>
    <cellStyle name="Normal 10 2 10 29 5 2" xfId="4890" xr:uid="{00000000-0005-0000-0000-0000DC120000}"/>
    <cellStyle name="Normal 10 2 10 29 5 3" xfId="4891" xr:uid="{00000000-0005-0000-0000-0000DD120000}"/>
    <cellStyle name="Normal 10 2 10 29 5 4" xfId="4892" xr:uid="{00000000-0005-0000-0000-0000DE120000}"/>
    <cellStyle name="Normal 10 2 10 29 5 5" xfId="4893" xr:uid="{00000000-0005-0000-0000-0000DF120000}"/>
    <cellStyle name="Normal 10 2 10 29 5 6" xfId="4894" xr:uid="{00000000-0005-0000-0000-0000E0120000}"/>
    <cellStyle name="Normal 10 2 10 29 5 7" xfId="4895" xr:uid="{00000000-0005-0000-0000-0000E1120000}"/>
    <cellStyle name="Normal 10 2 10 29 5 8" xfId="4896" xr:uid="{00000000-0005-0000-0000-0000E2120000}"/>
    <cellStyle name="Normal 10 2 10 29 5 9" xfId="4897" xr:uid="{00000000-0005-0000-0000-0000E3120000}"/>
    <cellStyle name="Normal 10 2 10 29 6" xfId="4898" xr:uid="{00000000-0005-0000-0000-0000E4120000}"/>
    <cellStyle name="Normal 10 2 10 29 7" xfId="4899" xr:uid="{00000000-0005-0000-0000-0000E5120000}"/>
    <cellStyle name="Normal 10 2 10 29 8" xfId="4900" xr:uid="{00000000-0005-0000-0000-0000E6120000}"/>
    <cellStyle name="Normal 10 2 10 29 9" xfId="4901" xr:uid="{00000000-0005-0000-0000-0000E7120000}"/>
    <cellStyle name="Normal 10 2 10 3" xfId="35" xr:uid="{00000000-0005-0000-0000-0000E8120000}"/>
    <cellStyle name="Normal 10 2 10 3 10" xfId="4903" xr:uid="{00000000-0005-0000-0000-0000E9120000}"/>
    <cellStyle name="Normal 10 2 10 3 11" xfId="4904" xr:uid="{00000000-0005-0000-0000-0000EA120000}"/>
    <cellStyle name="Normal 10 2 10 3 12" xfId="4905" xr:uid="{00000000-0005-0000-0000-0000EB120000}"/>
    <cellStyle name="Normal 10 2 10 3 13" xfId="4906" xr:uid="{00000000-0005-0000-0000-0000EC120000}"/>
    <cellStyle name="Normal 10 2 10 3 14" xfId="4907" xr:uid="{00000000-0005-0000-0000-0000ED120000}"/>
    <cellStyle name="Normal 10 2 10 3 15" xfId="4908" xr:uid="{00000000-0005-0000-0000-0000EE120000}"/>
    <cellStyle name="Normal 10 2 10 3 16" xfId="4902" xr:uid="{00000000-0005-0000-0000-0000EF120000}"/>
    <cellStyle name="Normal 10 2 10 3 2" xfId="4909" xr:uid="{00000000-0005-0000-0000-0000F0120000}"/>
    <cellStyle name="Normal 10 2 10 3 2 10" xfId="4910" xr:uid="{00000000-0005-0000-0000-0000F1120000}"/>
    <cellStyle name="Normal 10 2 10 3 2 2" xfId="4911" xr:uid="{00000000-0005-0000-0000-0000F2120000}"/>
    <cellStyle name="Normal 10 2 10 3 2 3" xfId="4912" xr:uid="{00000000-0005-0000-0000-0000F3120000}"/>
    <cellStyle name="Normal 10 2 10 3 2 4" xfId="4913" xr:uid="{00000000-0005-0000-0000-0000F4120000}"/>
    <cellStyle name="Normal 10 2 10 3 2 5" xfId="4914" xr:uid="{00000000-0005-0000-0000-0000F5120000}"/>
    <cellStyle name="Normal 10 2 10 3 2 6" xfId="4915" xr:uid="{00000000-0005-0000-0000-0000F6120000}"/>
    <cellStyle name="Normal 10 2 10 3 2 7" xfId="4916" xr:uid="{00000000-0005-0000-0000-0000F7120000}"/>
    <cellStyle name="Normal 10 2 10 3 2 8" xfId="4917" xr:uid="{00000000-0005-0000-0000-0000F8120000}"/>
    <cellStyle name="Normal 10 2 10 3 2 9" xfId="4918" xr:uid="{00000000-0005-0000-0000-0000F9120000}"/>
    <cellStyle name="Normal 10 2 10 3 3" xfId="4919" xr:uid="{00000000-0005-0000-0000-0000FA120000}"/>
    <cellStyle name="Normal 10 2 10 3 3 10" xfId="4920" xr:uid="{00000000-0005-0000-0000-0000FB120000}"/>
    <cellStyle name="Normal 10 2 10 3 3 2" xfId="4921" xr:uid="{00000000-0005-0000-0000-0000FC120000}"/>
    <cellStyle name="Normal 10 2 10 3 3 3" xfId="4922" xr:uid="{00000000-0005-0000-0000-0000FD120000}"/>
    <cellStyle name="Normal 10 2 10 3 3 4" xfId="4923" xr:uid="{00000000-0005-0000-0000-0000FE120000}"/>
    <cellStyle name="Normal 10 2 10 3 3 5" xfId="4924" xr:uid="{00000000-0005-0000-0000-0000FF120000}"/>
    <cellStyle name="Normal 10 2 10 3 3 6" xfId="4925" xr:uid="{00000000-0005-0000-0000-000000130000}"/>
    <cellStyle name="Normal 10 2 10 3 3 7" xfId="4926" xr:uid="{00000000-0005-0000-0000-000001130000}"/>
    <cellStyle name="Normal 10 2 10 3 3 8" xfId="4927" xr:uid="{00000000-0005-0000-0000-000002130000}"/>
    <cellStyle name="Normal 10 2 10 3 3 9" xfId="4928" xr:uid="{00000000-0005-0000-0000-000003130000}"/>
    <cellStyle name="Normal 10 2 10 3 4" xfId="4929" xr:uid="{00000000-0005-0000-0000-000004130000}"/>
    <cellStyle name="Normal 10 2 10 3 4 10" xfId="4930" xr:uid="{00000000-0005-0000-0000-000005130000}"/>
    <cellStyle name="Normal 10 2 10 3 4 2" xfId="4931" xr:uid="{00000000-0005-0000-0000-000006130000}"/>
    <cellStyle name="Normal 10 2 10 3 4 3" xfId="4932" xr:uid="{00000000-0005-0000-0000-000007130000}"/>
    <cellStyle name="Normal 10 2 10 3 4 4" xfId="4933" xr:uid="{00000000-0005-0000-0000-000008130000}"/>
    <cellStyle name="Normal 10 2 10 3 4 5" xfId="4934" xr:uid="{00000000-0005-0000-0000-000009130000}"/>
    <cellStyle name="Normal 10 2 10 3 4 6" xfId="4935" xr:uid="{00000000-0005-0000-0000-00000A130000}"/>
    <cellStyle name="Normal 10 2 10 3 4 7" xfId="4936" xr:uid="{00000000-0005-0000-0000-00000B130000}"/>
    <cellStyle name="Normal 10 2 10 3 4 8" xfId="4937" xr:uid="{00000000-0005-0000-0000-00000C130000}"/>
    <cellStyle name="Normal 10 2 10 3 4 9" xfId="4938" xr:uid="{00000000-0005-0000-0000-00000D130000}"/>
    <cellStyle name="Normal 10 2 10 3 5" xfId="4939" xr:uid="{00000000-0005-0000-0000-00000E130000}"/>
    <cellStyle name="Normal 10 2 10 3 5 10" xfId="4940" xr:uid="{00000000-0005-0000-0000-00000F130000}"/>
    <cellStyle name="Normal 10 2 10 3 5 2" xfId="4941" xr:uid="{00000000-0005-0000-0000-000010130000}"/>
    <cellStyle name="Normal 10 2 10 3 5 3" xfId="4942" xr:uid="{00000000-0005-0000-0000-000011130000}"/>
    <cellStyle name="Normal 10 2 10 3 5 4" xfId="4943" xr:uid="{00000000-0005-0000-0000-000012130000}"/>
    <cellStyle name="Normal 10 2 10 3 5 5" xfId="4944" xr:uid="{00000000-0005-0000-0000-000013130000}"/>
    <cellStyle name="Normal 10 2 10 3 5 6" xfId="4945" xr:uid="{00000000-0005-0000-0000-000014130000}"/>
    <cellStyle name="Normal 10 2 10 3 5 7" xfId="4946" xr:uid="{00000000-0005-0000-0000-000015130000}"/>
    <cellStyle name="Normal 10 2 10 3 5 8" xfId="4947" xr:uid="{00000000-0005-0000-0000-000016130000}"/>
    <cellStyle name="Normal 10 2 10 3 5 9" xfId="4948" xr:uid="{00000000-0005-0000-0000-000017130000}"/>
    <cellStyle name="Normal 10 2 10 3 6" xfId="4949" xr:uid="{00000000-0005-0000-0000-000018130000}"/>
    <cellStyle name="Normal 10 2 10 3 7" xfId="4950" xr:uid="{00000000-0005-0000-0000-000019130000}"/>
    <cellStyle name="Normal 10 2 10 3 8" xfId="4951" xr:uid="{00000000-0005-0000-0000-00001A130000}"/>
    <cellStyle name="Normal 10 2 10 3 9" xfId="4952" xr:uid="{00000000-0005-0000-0000-00001B130000}"/>
    <cellStyle name="Normal 10 2 10 30" xfId="4953" xr:uid="{00000000-0005-0000-0000-00001C130000}"/>
    <cellStyle name="Normal 10 2 10 30 10" xfId="4954" xr:uid="{00000000-0005-0000-0000-00001D130000}"/>
    <cellStyle name="Normal 10 2 10 30 11" xfId="4955" xr:uid="{00000000-0005-0000-0000-00001E130000}"/>
    <cellStyle name="Normal 10 2 10 30 12" xfId="4956" xr:uid="{00000000-0005-0000-0000-00001F130000}"/>
    <cellStyle name="Normal 10 2 10 30 13" xfId="4957" xr:uid="{00000000-0005-0000-0000-000020130000}"/>
    <cellStyle name="Normal 10 2 10 30 14" xfId="4958" xr:uid="{00000000-0005-0000-0000-000021130000}"/>
    <cellStyle name="Normal 10 2 10 30 2" xfId="4959" xr:uid="{00000000-0005-0000-0000-000022130000}"/>
    <cellStyle name="Normal 10 2 10 30 2 10" xfId="4960" xr:uid="{00000000-0005-0000-0000-000023130000}"/>
    <cellStyle name="Normal 10 2 10 30 2 2" xfId="4961" xr:uid="{00000000-0005-0000-0000-000024130000}"/>
    <cellStyle name="Normal 10 2 10 30 2 3" xfId="4962" xr:uid="{00000000-0005-0000-0000-000025130000}"/>
    <cellStyle name="Normal 10 2 10 30 2 4" xfId="4963" xr:uid="{00000000-0005-0000-0000-000026130000}"/>
    <cellStyle name="Normal 10 2 10 30 2 5" xfId="4964" xr:uid="{00000000-0005-0000-0000-000027130000}"/>
    <cellStyle name="Normal 10 2 10 30 2 6" xfId="4965" xr:uid="{00000000-0005-0000-0000-000028130000}"/>
    <cellStyle name="Normal 10 2 10 30 2 7" xfId="4966" xr:uid="{00000000-0005-0000-0000-000029130000}"/>
    <cellStyle name="Normal 10 2 10 30 2 8" xfId="4967" xr:uid="{00000000-0005-0000-0000-00002A130000}"/>
    <cellStyle name="Normal 10 2 10 30 2 9" xfId="4968" xr:uid="{00000000-0005-0000-0000-00002B130000}"/>
    <cellStyle name="Normal 10 2 10 30 3" xfId="4969" xr:uid="{00000000-0005-0000-0000-00002C130000}"/>
    <cellStyle name="Normal 10 2 10 30 3 10" xfId="4970" xr:uid="{00000000-0005-0000-0000-00002D130000}"/>
    <cellStyle name="Normal 10 2 10 30 3 2" xfId="4971" xr:uid="{00000000-0005-0000-0000-00002E130000}"/>
    <cellStyle name="Normal 10 2 10 30 3 3" xfId="4972" xr:uid="{00000000-0005-0000-0000-00002F130000}"/>
    <cellStyle name="Normal 10 2 10 30 3 4" xfId="4973" xr:uid="{00000000-0005-0000-0000-000030130000}"/>
    <cellStyle name="Normal 10 2 10 30 3 5" xfId="4974" xr:uid="{00000000-0005-0000-0000-000031130000}"/>
    <cellStyle name="Normal 10 2 10 30 3 6" xfId="4975" xr:uid="{00000000-0005-0000-0000-000032130000}"/>
    <cellStyle name="Normal 10 2 10 30 3 7" xfId="4976" xr:uid="{00000000-0005-0000-0000-000033130000}"/>
    <cellStyle name="Normal 10 2 10 30 3 8" xfId="4977" xr:uid="{00000000-0005-0000-0000-000034130000}"/>
    <cellStyle name="Normal 10 2 10 30 3 9" xfId="4978" xr:uid="{00000000-0005-0000-0000-000035130000}"/>
    <cellStyle name="Normal 10 2 10 30 4" xfId="4979" xr:uid="{00000000-0005-0000-0000-000036130000}"/>
    <cellStyle name="Normal 10 2 10 30 4 10" xfId="4980" xr:uid="{00000000-0005-0000-0000-000037130000}"/>
    <cellStyle name="Normal 10 2 10 30 4 2" xfId="4981" xr:uid="{00000000-0005-0000-0000-000038130000}"/>
    <cellStyle name="Normal 10 2 10 30 4 3" xfId="4982" xr:uid="{00000000-0005-0000-0000-000039130000}"/>
    <cellStyle name="Normal 10 2 10 30 4 4" xfId="4983" xr:uid="{00000000-0005-0000-0000-00003A130000}"/>
    <cellStyle name="Normal 10 2 10 30 4 5" xfId="4984" xr:uid="{00000000-0005-0000-0000-00003B130000}"/>
    <cellStyle name="Normal 10 2 10 30 4 6" xfId="4985" xr:uid="{00000000-0005-0000-0000-00003C130000}"/>
    <cellStyle name="Normal 10 2 10 30 4 7" xfId="4986" xr:uid="{00000000-0005-0000-0000-00003D130000}"/>
    <cellStyle name="Normal 10 2 10 30 4 8" xfId="4987" xr:uid="{00000000-0005-0000-0000-00003E130000}"/>
    <cellStyle name="Normal 10 2 10 30 4 9" xfId="4988" xr:uid="{00000000-0005-0000-0000-00003F130000}"/>
    <cellStyle name="Normal 10 2 10 30 5" xfId="4989" xr:uid="{00000000-0005-0000-0000-000040130000}"/>
    <cellStyle name="Normal 10 2 10 30 5 10" xfId="4990" xr:uid="{00000000-0005-0000-0000-000041130000}"/>
    <cellStyle name="Normal 10 2 10 30 5 2" xfId="4991" xr:uid="{00000000-0005-0000-0000-000042130000}"/>
    <cellStyle name="Normal 10 2 10 30 5 3" xfId="4992" xr:uid="{00000000-0005-0000-0000-000043130000}"/>
    <cellStyle name="Normal 10 2 10 30 5 4" xfId="4993" xr:uid="{00000000-0005-0000-0000-000044130000}"/>
    <cellStyle name="Normal 10 2 10 30 5 5" xfId="4994" xr:uid="{00000000-0005-0000-0000-000045130000}"/>
    <cellStyle name="Normal 10 2 10 30 5 6" xfId="4995" xr:uid="{00000000-0005-0000-0000-000046130000}"/>
    <cellStyle name="Normal 10 2 10 30 5 7" xfId="4996" xr:uid="{00000000-0005-0000-0000-000047130000}"/>
    <cellStyle name="Normal 10 2 10 30 5 8" xfId="4997" xr:uid="{00000000-0005-0000-0000-000048130000}"/>
    <cellStyle name="Normal 10 2 10 30 5 9" xfId="4998" xr:uid="{00000000-0005-0000-0000-000049130000}"/>
    <cellStyle name="Normal 10 2 10 30 6" xfId="4999" xr:uid="{00000000-0005-0000-0000-00004A130000}"/>
    <cellStyle name="Normal 10 2 10 30 7" xfId="5000" xr:uid="{00000000-0005-0000-0000-00004B130000}"/>
    <cellStyle name="Normal 10 2 10 30 8" xfId="5001" xr:uid="{00000000-0005-0000-0000-00004C130000}"/>
    <cellStyle name="Normal 10 2 10 30 9" xfId="5002" xr:uid="{00000000-0005-0000-0000-00004D130000}"/>
    <cellStyle name="Normal 10 2 10 31" xfId="5003" xr:uid="{00000000-0005-0000-0000-00004E130000}"/>
    <cellStyle name="Normal 10 2 10 31 10" xfId="5004" xr:uid="{00000000-0005-0000-0000-00004F130000}"/>
    <cellStyle name="Normal 10 2 10 31 11" xfId="5005" xr:uid="{00000000-0005-0000-0000-000050130000}"/>
    <cellStyle name="Normal 10 2 10 31 12" xfId="5006" xr:uid="{00000000-0005-0000-0000-000051130000}"/>
    <cellStyle name="Normal 10 2 10 31 13" xfId="5007" xr:uid="{00000000-0005-0000-0000-000052130000}"/>
    <cellStyle name="Normal 10 2 10 31 14" xfId="5008" xr:uid="{00000000-0005-0000-0000-000053130000}"/>
    <cellStyle name="Normal 10 2 10 31 2" xfId="5009" xr:uid="{00000000-0005-0000-0000-000054130000}"/>
    <cellStyle name="Normal 10 2 10 31 2 10" xfId="5010" xr:uid="{00000000-0005-0000-0000-000055130000}"/>
    <cellStyle name="Normal 10 2 10 31 2 2" xfId="5011" xr:uid="{00000000-0005-0000-0000-000056130000}"/>
    <cellStyle name="Normal 10 2 10 31 2 3" xfId="5012" xr:uid="{00000000-0005-0000-0000-000057130000}"/>
    <cellStyle name="Normal 10 2 10 31 2 4" xfId="5013" xr:uid="{00000000-0005-0000-0000-000058130000}"/>
    <cellStyle name="Normal 10 2 10 31 2 5" xfId="5014" xr:uid="{00000000-0005-0000-0000-000059130000}"/>
    <cellStyle name="Normal 10 2 10 31 2 6" xfId="5015" xr:uid="{00000000-0005-0000-0000-00005A130000}"/>
    <cellStyle name="Normal 10 2 10 31 2 7" xfId="5016" xr:uid="{00000000-0005-0000-0000-00005B130000}"/>
    <cellStyle name="Normal 10 2 10 31 2 8" xfId="5017" xr:uid="{00000000-0005-0000-0000-00005C130000}"/>
    <cellStyle name="Normal 10 2 10 31 2 9" xfId="5018" xr:uid="{00000000-0005-0000-0000-00005D130000}"/>
    <cellStyle name="Normal 10 2 10 31 3" xfId="5019" xr:uid="{00000000-0005-0000-0000-00005E130000}"/>
    <cellStyle name="Normal 10 2 10 31 3 10" xfId="5020" xr:uid="{00000000-0005-0000-0000-00005F130000}"/>
    <cellStyle name="Normal 10 2 10 31 3 2" xfId="5021" xr:uid="{00000000-0005-0000-0000-000060130000}"/>
    <cellStyle name="Normal 10 2 10 31 3 3" xfId="5022" xr:uid="{00000000-0005-0000-0000-000061130000}"/>
    <cellStyle name="Normal 10 2 10 31 3 4" xfId="5023" xr:uid="{00000000-0005-0000-0000-000062130000}"/>
    <cellStyle name="Normal 10 2 10 31 3 5" xfId="5024" xr:uid="{00000000-0005-0000-0000-000063130000}"/>
    <cellStyle name="Normal 10 2 10 31 3 6" xfId="5025" xr:uid="{00000000-0005-0000-0000-000064130000}"/>
    <cellStyle name="Normal 10 2 10 31 3 7" xfId="5026" xr:uid="{00000000-0005-0000-0000-000065130000}"/>
    <cellStyle name="Normal 10 2 10 31 3 8" xfId="5027" xr:uid="{00000000-0005-0000-0000-000066130000}"/>
    <cellStyle name="Normal 10 2 10 31 3 9" xfId="5028" xr:uid="{00000000-0005-0000-0000-000067130000}"/>
    <cellStyle name="Normal 10 2 10 31 4" xfId="5029" xr:uid="{00000000-0005-0000-0000-000068130000}"/>
    <cellStyle name="Normal 10 2 10 31 4 10" xfId="5030" xr:uid="{00000000-0005-0000-0000-000069130000}"/>
    <cellStyle name="Normal 10 2 10 31 4 2" xfId="5031" xr:uid="{00000000-0005-0000-0000-00006A130000}"/>
    <cellStyle name="Normal 10 2 10 31 4 3" xfId="5032" xr:uid="{00000000-0005-0000-0000-00006B130000}"/>
    <cellStyle name="Normal 10 2 10 31 4 4" xfId="5033" xr:uid="{00000000-0005-0000-0000-00006C130000}"/>
    <cellStyle name="Normal 10 2 10 31 4 5" xfId="5034" xr:uid="{00000000-0005-0000-0000-00006D130000}"/>
    <cellStyle name="Normal 10 2 10 31 4 6" xfId="5035" xr:uid="{00000000-0005-0000-0000-00006E130000}"/>
    <cellStyle name="Normal 10 2 10 31 4 7" xfId="5036" xr:uid="{00000000-0005-0000-0000-00006F130000}"/>
    <cellStyle name="Normal 10 2 10 31 4 8" xfId="5037" xr:uid="{00000000-0005-0000-0000-000070130000}"/>
    <cellStyle name="Normal 10 2 10 31 4 9" xfId="5038" xr:uid="{00000000-0005-0000-0000-000071130000}"/>
    <cellStyle name="Normal 10 2 10 31 5" xfId="5039" xr:uid="{00000000-0005-0000-0000-000072130000}"/>
    <cellStyle name="Normal 10 2 10 31 5 10" xfId="5040" xr:uid="{00000000-0005-0000-0000-000073130000}"/>
    <cellStyle name="Normal 10 2 10 31 5 2" xfId="5041" xr:uid="{00000000-0005-0000-0000-000074130000}"/>
    <cellStyle name="Normal 10 2 10 31 5 3" xfId="5042" xr:uid="{00000000-0005-0000-0000-000075130000}"/>
    <cellStyle name="Normal 10 2 10 31 5 4" xfId="5043" xr:uid="{00000000-0005-0000-0000-000076130000}"/>
    <cellStyle name="Normal 10 2 10 31 5 5" xfId="5044" xr:uid="{00000000-0005-0000-0000-000077130000}"/>
    <cellStyle name="Normal 10 2 10 31 5 6" xfId="5045" xr:uid="{00000000-0005-0000-0000-000078130000}"/>
    <cellStyle name="Normal 10 2 10 31 5 7" xfId="5046" xr:uid="{00000000-0005-0000-0000-000079130000}"/>
    <cellStyle name="Normal 10 2 10 31 5 8" xfId="5047" xr:uid="{00000000-0005-0000-0000-00007A130000}"/>
    <cellStyle name="Normal 10 2 10 31 5 9" xfId="5048" xr:uid="{00000000-0005-0000-0000-00007B130000}"/>
    <cellStyle name="Normal 10 2 10 31 6" xfId="5049" xr:uid="{00000000-0005-0000-0000-00007C130000}"/>
    <cellStyle name="Normal 10 2 10 31 7" xfId="5050" xr:uid="{00000000-0005-0000-0000-00007D130000}"/>
    <cellStyle name="Normal 10 2 10 31 8" xfId="5051" xr:uid="{00000000-0005-0000-0000-00007E130000}"/>
    <cellStyle name="Normal 10 2 10 31 9" xfId="5052" xr:uid="{00000000-0005-0000-0000-00007F130000}"/>
    <cellStyle name="Normal 10 2 10 32" xfId="5053" xr:uid="{00000000-0005-0000-0000-000080130000}"/>
    <cellStyle name="Normal 10 2 10 32 10" xfId="5054" xr:uid="{00000000-0005-0000-0000-000081130000}"/>
    <cellStyle name="Normal 10 2 10 32 11" xfId="5055" xr:uid="{00000000-0005-0000-0000-000082130000}"/>
    <cellStyle name="Normal 10 2 10 32 12" xfId="5056" xr:uid="{00000000-0005-0000-0000-000083130000}"/>
    <cellStyle name="Normal 10 2 10 32 13" xfId="5057" xr:uid="{00000000-0005-0000-0000-000084130000}"/>
    <cellStyle name="Normal 10 2 10 32 14" xfId="5058" xr:uid="{00000000-0005-0000-0000-000085130000}"/>
    <cellStyle name="Normal 10 2 10 32 2" xfId="5059" xr:uid="{00000000-0005-0000-0000-000086130000}"/>
    <cellStyle name="Normal 10 2 10 32 2 10" xfId="5060" xr:uid="{00000000-0005-0000-0000-000087130000}"/>
    <cellStyle name="Normal 10 2 10 32 2 2" xfId="5061" xr:uid="{00000000-0005-0000-0000-000088130000}"/>
    <cellStyle name="Normal 10 2 10 32 2 3" xfId="5062" xr:uid="{00000000-0005-0000-0000-000089130000}"/>
    <cellStyle name="Normal 10 2 10 32 2 4" xfId="5063" xr:uid="{00000000-0005-0000-0000-00008A130000}"/>
    <cellStyle name="Normal 10 2 10 32 2 5" xfId="5064" xr:uid="{00000000-0005-0000-0000-00008B130000}"/>
    <cellStyle name="Normal 10 2 10 32 2 6" xfId="5065" xr:uid="{00000000-0005-0000-0000-00008C130000}"/>
    <cellStyle name="Normal 10 2 10 32 2 7" xfId="5066" xr:uid="{00000000-0005-0000-0000-00008D130000}"/>
    <cellStyle name="Normal 10 2 10 32 2 8" xfId="5067" xr:uid="{00000000-0005-0000-0000-00008E130000}"/>
    <cellStyle name="Normal 10 2 10 32 2 9" xfId="5068" xr:uid="{00000000-0005-0000-0000-00008F130000}"/>
    <cellStyle name="Normal 10 2 10 32 3" xfId="5069" xr:uid="{00000000-0005-0000-0000-000090130000}"/>
    <cellStyle name="Normal 10 2 10 32 3 10" xfId="5070" xr:uid="{00000000-0005-0000-0000-000091130000}"/>
    <cellStyle name="Normal 10 2 10 32 3 2" xfId="5071" xr:uid="{00000000-0005-0000-0000-000092130000}"/>
    <cellStyle name="Normal 10 2 10 32 3 3" xfId="5072" xr:uid="{00000000-0005-0000-0000-000093130000}"/>
    <cellStyle name="Normal 10 2 10 32 3 4" xfId="5073" xr:uid="{00000000-0005-0000-0000-000094130000}"/>
    <cellStyle name="Normal 10 2 10 32 3 5" xfId="5074" xr:uid="{00000000-0005-0000-0000-000095130000}"/>
    <cellStyle name="Normal 10 2 10 32 3 6" xfId="5075" xr:uid="{00000000-0005-0000-0000-000096130000}"/>
    <cellStyle name="Normal 10 2 10 32 3 7" xfId="5076" xr:uid="{00000000-0005-0000-0000-000097130000}"/>
    <cellStyle name="Normal 10 2 10 32 3 8" xfId="5077" xr:uid="{00000000-0005-0000-0000-000098130000}"/>
    <cellStyle name="Normal 10 2 10 32 3 9" xfId="5078" xr:uid="{00000000-0005-0000-0000-000099130000}"/>
    <cellStyle name="Normal 10 2 10 32 4" xfId="5079" xr:uid="{00000000-0005-0000-0000-00009A130000}"/>
    <cellStyle name="Normal 10 2 10 32 4 10" xfId="5080" xr:uid="{00000000-0005-0000-0000-00009B130000}"/>
    <cellStyle name="Normal 10 2 10 32 4 2" xfId="5081" xr:uid="{00000000-0005-0000-0000-00009C130000}"/>
    <cellStyle name="Normal 10 2 10 32 4 3" xfId="5082" xr:uid="{00000000-0005-0000-0000-00009D130000}"/>
    <cellStyle name="Normal 10 2 10 32 4 4" xfId="5083" xr:uid="{00000000-0005-0000-0000-00009E130000}"/>
    <cellStyle name="Normal 10 2 10 32 4 5" xfId="5084" xr:uid="{00000000-0005-0000-0000-00009F130000}"/>
    <cellStyle name="Normal 10 2 10 32 4 6" xfId="5085" xr:uid="{00000000-0005-0000-0000-0000A0130000}"/>
    <cellStyle name="Normal 10 2 10 32 4 7" xfId="5086" xr:uid="{00000000-0005-0000-0000-0000A1130000}"/>
    <cellStyle name="Normal 10 2 10 32 4 8" xfId="5087" xr:uid="{00000000-0005-0000-0000-0000A2130000}"/>
    <cellStyle name="Normal 10 2 10 32 4 9" xfId="5088" xr:uid="{00000000-0005-0000-0000-0000A3130000}"/>
    <cellStyle name="Normal 10 2 10 32 5" xfId="5089" xr:uid="{00000000-0005-0000-0000-0000A4130000}"/>
    <cellStyle name="Normal 10 2 10 32 5 10" xfId="5090" xr:uid="{00000000-0005-0000-0000-0000A5130000}"/>
    <cellStyle name="Normal 10 2 10 32 5 2" xfId="5091" xr:uid="{00000000-0005-0000-0000-0000A6130000}"/>
    <cellStyle name="Normal 10 2 10 32 5 3" xfId="5092" xr:uid="{00000000-0005-0000-0000-0000A7130000}"/>
    <cellStyle name="Normal 10 2 10 32 5 4" xfId="5093" xr:uid="{00000000-0005-0000-0000-0000A8130000}"/>
    <cellStyle name="Normal 10 2 10 32 5 5" xfId="5094" xr:uid="{00000000-0005-0000-0000-0000A9130000}"/>
    <cellStyle name="Normal 10 2 10 32 5 6" xfId="5095" xr:uid="{00000000-0005-0000-0000-0000AA130000}"/>
    <cellStyle name="Normal 10 2 10 32 5 7" xfId="5096" xr:uid="{00000000-0005-0000-0000-0000AB130000}"/>
    <cellStyle name="Normal 10 2 10 32 5 8" xfId="5097" xr:uid="{00000000-0005-0000-0000-0000AC130000}"/>
    <cellStyle name="Normal 10 2 10 32 5 9" xfId="5098" xr:uid="{00000000-0005-0000-0000-0000AD130000}"/>
    <cellStyle name="Normal 10 2 10 32 6" xfId="5099" xr:uid="{00000000-0005-0000-0000-0000AE130000}"/>
    <cellStyle name="Normal 10 2 10 32 7" xfId="5100" xr:uid="{00000000-0005-0000-0000-0000AF130000}"/>
    <cellStyle name="Normal 10 2 10 32 8" xfId="5101" xr:uid="{00000000-0005-0000-0000-0000B0130000}"/>
    <cellStyle name="Normal 10 2 10 32 9" xfId="5102" xr:uid="{00000000-0005-0000-0000-0000B1130000}"/>
    <cellStyle name="Normal 10 2 10 33" xfId="5103" xr:uid="{00000000-0005-0000-0000-0000B2130000}"/>
    <cellStyle name="Normal 10 2 10 33 10" xfId="5104" xr:uid="{00000000-0005-0000-0000-0000B3130000}"/>
    <cellStyle name="Normal 10 2 10 33 11" xfId="5105" xr:uid="{00000000-0005-0000-0000-0000B4130000}"/>
    <cellStyle name="Normal 10 2 10 33 12" xfId="5106" xr:uid="{00000000-0005-0000-0000-0000B5130000}"/>
    <cellStyle name="Normal 10 2 10 33 13" xfId="5107" xr:uid="{00000000-0005-0000-0000-0000B6130000}"/>
    <cellStyle name="Normal 10 2 10 33 14" xfId="5108" xr:uid="{00000000-0005-0000-0000-0000B7130000}"/>
    <cellStyle name="Normal 10 2 10 33 2" xfId="5109" xr:uid="{00000000-0005-0000-0000-0000B8130000}"/>
    <cellStyle name="Normal 10 2 10 33 2 10" xfId="5110" xr:uid="{00000000-0005-0000-0000-0000B9130000}"/>
    <cellStyle name="Normal 10 2 10 33 2 2" xfId="5111" xr:uid="{00000000-0005-0000-0000-0000BA130000}"/>
    <cellStyle name="Normal 10 2 10 33 2 3" xfId="5112" xr:uid="{00000000-0005-0000-0000-0000BB130000}"/>
    <cellStyle name="Normal 10 2 10 33 2 4" xfId="5113" xr:uid="{00000000-0005-0000-0000-0000BC130000}"/>
    <cellStyle name="Normal 10 2 10 33 2 5" xfId="5114" xr:uid="{00000000-0005-0000-0000-0000BD130000}"/>
    <cellStyle name="Normal 10 2 10 33 2 6" xfId="5115" xr:uid="{00000000-0005-0000-0000-0000BE130000}"/>
    <cellStyle name="Normal 10 2 10 33 2 7" xfId="5116" xr:uid="{00000000-0005-0000-0000-0000BF130000}"/>
    <cellStyle name="Normal 10 2 10 33 2 8" xfId="5117" xr:uid="{00000000-0005-0000-0000-0000C0130000}"/>
    <cellStyle name="Normal 10 2 10 33 2 9" xfId="5118" xr:uid="{00000000-0005-0000-0000-0000C1130000}"/>
    <cellStyle name="Normal 10 2 10 33 3" xfId="5119" xr:uid="{00000000-0005-0000-0000-0000C2130000}"/>
    <cellStyle name="Normal 10 2 10 33 3 10" xfId="5120" xr:uid="{00000000-0005-0000-0000-0000C3130000}"/>
    <cellStyle name="Normal 10 2 10 33 3 2" xfId="5121" xr:uid="{00000000-0005-0000-0000-0000C4130000}"/>
    <cellStyle name="Normal 10 2 10 33 3 3" xfId="5122" xr:uid="{00000000-0005-0000-0000-0000C5130000}"/>
    <cellStyle name="Normal 10 2 10 33 3 4" xfId="5123" xr:uid="{00000000-0005-0000-0000-0000C6130000}"/>
    <cellStyle name="Normal 10 2 10 33 3 5" xfId="5124" xr:uid="{00000000-0005-0000-0000-0000C7130000}"/>
    <cellStyle name="Normal 10 2 10 33 3 6" xfId="5125" xr:uid="{00000000-0005-0000-0000-0000C8130000}"/>
    <cellStyle name="Normal 10 2 10 33 3 7" xfId="5126" xr:uid="{00000000-0005-0000-0000-0000C9130000}"/>
    <cellStyle name="Normal 10 2 10 33 3 8" xfId="5127" xr:uid="{00000000-0005-0000-0000-0000CA130000}"/>
    <cellStyle name="Normal 10 2 10 33 3 9" xfId="5128" xr:uid="{00000000-0005-0000-0000-0000CB130000}"/>
    <cellStyle name="Normal 10 2 10 33 4" xfId="5129" xr:uid="{00000000-0005-0000-0000-0000CC130000}"/>
    <cellStyle name="Normal 10 2 10 33 4 10" xfId="5130" xr:uid="{00000000-0005-0000-0000-0000CD130000}"/>
    <cellStyle name="Normal 10 2 10 33 4 2" xfId="5131" xr:uid="{00000000-0005-0000-0000-0000CE130000}"/>
    <cellStyle name="Normal 10 2 10 33 4 3" xfId="5132" xr:uid="{00000000-0005-0000-0000-0000CF130000}"/>
    <cellStyle name="Normal 10 2 10 33 4 4" xfId="5133" xr:uid="{00000000-0005-0000-0000-0000D0130000}"/>
    <cellStyle name="Normal 10 2 10 33 4 5" xfId="5134" xr:uid="{00000000-0005-0000-0000-0000D1130000}"/>
    <cellStyle name="Normal 10 2 10 33 4 6" xfId="5135" xr:uid="{00000000-0005-0000-0000-0000D2130000}"/>
    <cellStyle name="Normal 10 2 10 33 4 7" xfId="5136" xr:uid="{00000000-0005-0000-0000-0000D3130000}"/>
    <cellStyle name="Normal 10 2 10 33 4 8" xfId="5137" xr:uid="{00000000-0005-0000-0000-0000D4130000}"/>
    <cellStyle name="Normal 10 2 10 33 4 9" xfId="5138" xr:uid="{00000000-0005-0000-0000-0000D5130000}"/>
    <cellStyle name="Normal 10 2 10 33 5" xfId="5139" xr:uid="{00000000-0005-0000-0000-0000D6130000}"/>
    <cellStyle name="Normal 10 2 10 33 5 10" xfId="5140" xr:uid="{00000000-0005-0000-0000-0000D7130000}"/>
    <cellStyle name="Normal 10 2 10 33 5 2" xfId="5141" xr:uid="{00000000-0005-0000-0000-0000D8130000}"/>
    <cellStyle name="Normal 10 2 10 33 5 3" xfId="5142" xr:uid="{00000000-0005-0000-0000-0000D9130000}"/>
    <cellStyle name="Normal 10 2 10 33 5 4" xfId="5143" xr:uid="{00000000-0005-0000-0000-0000DA130000}"/>
    <cellStyle name="Normal 10 2 10 33 5 5" xfId="5144" xr:uid="{00000000-0005-0000-0000-0000DB130000}"/>
    <cellStyle name="Normal 10 2 10 33 5 6" xfId="5145" xr:uid="{00000000-0005-0000-0000-0000DC130000}"/>
    <cellStyle name="Normal 10 2 10 33 5 7" xfId="5146" xr:uid="{00000000-0005-0000-0000-0000DD130000}"/>
    <cellStyle name="Normal 10 2 10 33 5 8" xfId="5147" xr:uid="{00000000-0005-0000-0000-0000DE130000}"/>
    <cellStyle name="Normal 10 2 10 33 5 9" xfId="5148" xr:uid="{00000000-0005-0000-0000-0000DF130000}"/>
    <cellStyle name="Normal 10 2 10 33 6" xfId="5149" xr:uid="{00000000-0005-0000-0000-0000E0130000}"/>
    <cellStyle name="Normal 10 2 10 33 7" xfId="5150" xr:uid="{00000000-0005-0000-0000-0000E1130000}"/>
    <cellStyle name="Normal 10 2 10 33 8" xfId="5151" xr:uid="{00000000-0005-0000-0000-0000E2130000}"/>
    <cellStyle name="Normal 10 2 10 33 9" xfId="5152" xr:uid="{00000000-0005-0000-0000-0000E3130000}"/>
    <cellStyle name="Normal 10 2 10 34" xfId="5153" xr:uid="{00000000-0005-0000-0000-0000E4130000}"/>
    <cellStyle name="Normal 10 2 10 34 10" xfId="5154" xr:uid="{00000000-0005-0000-0000-0000E5130000}"/>
    <cellStyle name="Normal 10 2 10 34 11" xfId="5155" xr:uid="{00000000-0005-0000-0000-0000E6130000}"/>
    <cellStyle name="Normal 10 2 10 34 12" xfId="5156" xr:uid="{00000000-0005-0000-0000-0000E7130000}"/>
    <cellStyle name="Normal 10 2 10 34 13" xfId="5157" xr:uid="{00000000-0005-0000-0000-0000E8130000}"/>
    <cellStyle name="Normal 10 2 10 34 14" xfId="5158" xr:uid="{00000000-0005-0000-0000-0000E9130000}"/>
    <cellStyle name="Normal 10 2 10 34 2" xfId="5159" xr:uid="{00000000-0005-0000-0000-0000EA130000}"/>
    <cellStyle name="Normal 10 2 10 34 2 10" xfId="5160" xr:uid="{00000000-0005-0000-0000-0000EB130000}"/>
    <cellStyle name="Normal 10 2 10 34 2 2" xfId="5161" xr:uid="{00000000-0005-0000-0000-0000EC130000}"/>
    <cellStyle name="Normal 10 2 10 34 2 3" xfId="5162" xr:uid="{00000000-0005-0000-0000-0000ED130000}"/>
    <cellStyle name="Normal 10 2 10 34 2 4" xfId="5163" xr:uid="{00000000-0005-0000-0000-0000EE130000}"/>
    <cellStyle name="Normal 10 2 10 34 2 5" xfId="5164" xr:uid="{00000000-0005-0000-0000-0000EF130000}"/>
    <cellStyle name="Normal 10 2 10 34 2 6" xfId="5165" xr:uid="{00000000-0005-0000-0000-0000F0130000}"/>
    <cellStyle name="Normal 10 2 10 34 2 7" xfId="5166" xr:uid="{00000000-0005-0000-0000-0000F1130000}"/>
    <cellStyle name="Normal 10 2 10 34 2 8" xfId="5167" xr:uid="{00000000-0005-0000-0000-0000F2130000}"/>
    <cellStyle name="Normal 10 2 10 34 2 9" xfId="5168" xr:uid="{00000000-0005-0000-0000-0000F3130000}"/>
    <cellStyle name="Normal 10 2 10 34 3" xfId="5169" xr:uid="{00000000-0005-0000-0000-0000F4130000}"/>
    <cellStyle name="Normal 10 2 10 34 3 10" xfId="5170" xr:uid="{00000000-0005-0000-0000-0000F5130000}"/>
    <cellStyle name="Normal 10 2 10 34 3 2" xfId="5171" xr:uid="{00000000-0005-0000-0000-0000F6130000}"/>
    <cellStyle name="Normal 10 2 10 34 3 3" xfId="5172" xr:uid="{00000000-0005-0000-0000-0000F7130000}"/>
    <cellStyle name="Normal 10 2 10 34 3 4" xfId="5173" xr:uid="{00000000-0005-0000-0000-0000F8130000}"/>
    <cellStyle name="Normal 10 2 10 34 3 5" xfId="5174" xr:uid="{00000000-0005-0000-0000-0000F9130000}"/>
    <cellStyle name="Normal 10 2 10 34 3 6" xfId="5175" xr:uid="{00000000-0005-0000-0000-0000FA130000}"/>
    <cellStyle name="Normal 10 2 10 34 3 7" xfId="5176" xr:uid="{00000000-0005-0000-0000-0000FB130000}"/>
    <cellStyle name="Normal 10 2 10 34 3 8" xfId="5177" xr:uid="{00000000-0005-0000-0000-0000FC130000}"/>
    <cellStyle name="Normal 10 2 10 34 3 9" xfId="5178" xr:uid="{00000000-0005-0000-0000-0000FD130000}"/>
    <cellStyle name="Normal 10 2 10 34 4" xfId="5179" xr:uid="{00000000-0005-0000-0000-0000FE130000}"/>
    <cellStyle name="Normal 10 2 10 34 4 10" xfId="5180" xr:uid="{00000000-0005-0000-0000-0000FF130000}"/>
    <cellStyle name="Normal 10 2 10 34 4 2" xfId="5181" xr:uid="{00000000-0005-0000-0000-000000140000}"/>
    <cellStyle name="Normal 10 2 10 34 4 3" xfId="5182" xr:uid="{00000000-0005-0000-0000-000001140000}"/>
    <cellStyle name="Normal 10 2 10 34 4 4" xfId="5183" xr:uid="{00000000-0005-0000-0000-000002140000}"/>
    <cellStyle name="Normal 10 2 10 34 4 5" xfId="5184" xr:uid="{00000000-0005-0000-0000-000003140000}"/>
    <cellStyle name="Normal 10 2 10 34 4 6" xfId="5185" xr:uid="{00000000-0005-0000-0000-000004140000}"/>
    <cellStyle name="Normal 10 2 10 34 4 7" xfId="5186" xr:uid="{00000000-0005-0000-0000-000005140000}"/>
    <cellStyle name="Normal 10 2 10 34 4 8" xfId="5187" xr:uid="{00000000-0005-0000-0000-000006140000}"/>
    <cellStyle name="Normal 10 2 10 34 4 9" xfId="5188" xr:uid="{00000000-0005-0000-0000-000007140000}"/>
    <cellStyle name="Normal 10 2 10 34 5" xfId="5189" xr:uid="{00000000-0005-0000-0000-000008140000}"/>
    <cellStyle name="Normal 10 2 10 34 5 10" xfId="5190" xr:uid="{00000000-0005-0000-0000-000009140000}"/>
    <cellStyle name="Normal 10 2 10 34 5 2" xfId="5191" xr:uid="{00000000-0005-0000-0000-00000A140000}"/>
    <cellStyle name="Normal 10 2 10 34 5 3" xfId="5192" xr:uid="{00000000-0005-0000-0000-00000B140000}"/>
    <cellStyle name="Normal 10 2 10 34 5 4" xfId="5193" xr:uid="{00000000-0005-0000-0000-00000C140000}"/>
    <cellStyle name="Normal 10 2 10 34 5 5" xfId="5194" xr:uid="{00000000-0005-0000-0000-00000D140000}"/>
    <cellStyle name="Normal 10 2 10 34 5 6" xfId="5195" xr:uid="{00000000-0005-0000-0000-00000E140000}"/>
    <cellStyle name="Normal 10 2 10 34 5 7" xfId="5196" xr:uid="{00000000-0005-0000-0000-00000F140000}"/>
    <cellStyle name="Normal 10 2 10 34 5 8" xfId="5197" xr:uid="{00000000-0005-0000-0000-000010140000}"/>
    <cellStyle name="Normal 10 2 10 34 5 9" xfId="5198" xr:uid="{00000000-0005-0000-0000-000011140000}"/>
    <cellStyle name="Normal 10 2 10 34 6" xfId="5199" xr:uid="{00000000-0005-0000-0000-000012140000}"/>
    <cellStyle name="Normal 10 2 10 34 7" xfId="5200" xr:uid="{00000000-0005-0000-0000-000013140000}"/>
    <cellStyle name="Normal 10 2 10 34 8" xfId="5201" xr:uid="{00000000-0005-0000-0000-000014140000}"/>
    <cellStyle name="Normal 10 2 10 34 9" xfId="5202" xr:uid="{00000000-0005-0000-0000-000015140000}"/>
    <cellStyle name="Normal 10 2 10 35" xfId="5203" xr:uid="{00000000-0005-0000-0000-000016140000}"/>
    <cellStyle name="Normal 10 2 10 35 10" xfId="5204" xr:uid="{00000000-0005-0000-0000-000017140000}"/>
    <cellStyle name="Normal 10 2 10 35 2" xfId="5205" xr:uid="{00000000-0005-0000-0000-000018140000}"/>
    <cellStyle name="Normal 10 2 10 35 3" xfId="5206" xr:uid="{00000000-0005-0000-0000-000019140000}"/>
    <cellStyle name="Normal 10 2 10 35 4" xfId="5207" xr:uid="{00000000-0005-0000-0000-00001A140000}"/>
    <cellStyle name="Normal 10 2 10 35 5" xfId="5208" xr:uid="{00000000-0005-0000-0000-00001B140000}"/>
    <cellStyle name="Normal 10 2 10 35 6" xfId="5209" xr:uid="{00000000-0005-0000-0000-00001C140000}"/>
    <cellStyle name="Normal 10 2 10 35 7" xfId="5210" xr:uid="{00000000-0005-0000-0000-00001D140000}"/>
    <cellStyle name="Normal 10 2 10 35 8" xfId="5211" xr:uid="{00000000-0005-0000-0000-00001E140000}"/>
    <cellStyle name="Normal 10 2 10 35 9" xfId="5212" xr:uid="{00000000-0005-0000-0000-00001F140000}"/>
    <cellStyle name="Normal 10 2 10 36" xfId="5213" xr:uid="{00000000-0005-0000-0000-000020140000}"/>
    <cellStyle name="Normal 10 2 10 36 10" xfId="5214" xr:uid="{00000000-0005-0000-0000-000021140000}"/>
    <cellStyle name="Normal 10 2 10 36 2" xfId="5215" xr:uid="{00000000-0005-0000-0000-000022140000}"/>
    <cellStyle name="Normal 10 2 10 36 3" xfId="5216" xr:uid="{00000000-0005-0000-0000-000023140000}"/>
    <cellStyle name="Normal 10 2 10 36 4" xfId="5217" xr:uid="{00000000-0005-0000-0000-000024140000}"/>
    <cellStyle name="Normal 10 2 10 36 5" xfId="5218" xr:uid="{00000000-0005-0000-0000-000025140000}"/>
    <cellStyle name="Normal 10 2 10 36 6" xfId="5219" xr:uid="{00000000-0005-0000-0000-000026140000}"/>
    <cellStyle name="Normal 10 2 10 36 7" xfId="5220" xr:uid="{00000000-0005-0000-0000-000027140000}"/>
    <cellStyle name="Normal 10 2 10 36 8" xfId="5221" xr:uid="{00000000-0005-0000-0000-000028140000}"/>
    <cellStyle name="Normal 10 2 10 36 9" xfId="5222" xr:uid="{00000000-0005-0000-0000-000029140000}"/>
    <cellStyle name="Normal 10 2 10 37" xfId="5223" xr:uid="{00000000-0005-0000-0000-00002A140000}"/>
    <cellStyle name="Normal 10 2 10 37 10" xfId="5224" xr:uid="{00000000-0005-0000-0000-00002B140000}"/>
    <cellStyle name="Normal 10 2 10 37 2" xfId="5225" xr:uid="{00000000-0005-0000-0000-00002C140000}"/>
    <cellStyle name="Normal 10 2 10 37 3" xfId="5226" xr:uid="{00000000-0005-0000-0000-00002D140000}"/>
    <cellStyle name="Normal 10 2 10 37 4" xfId="5227" xr:uid="{00000000-0005-0000-0000-00002E140000}"/>
    <cellStyle name="Normal 10 2 10 37 5" xfId="5228" xr:uid="{00000000-0005-0000-0000-00002F140000}"/>
    <cellStyle name="Normal 10 2 10 37 6" xfId="5229" xr:uid="{00000000-0005-0000-0000-000030140000}"/>
    <cellStyle name="Normal 10 2 10 37 7" xfId="5230" xr:uid="{00000000-0005-0000-0000-000031140000}"/>
    <cellStyle name="Normal 10 2 10 37 8" xfId="5231" xr:uid="{00000000-0005-0000-0000-000032140000}"/>
    <cellStyle name="Normal 10 2 10 37 9" xfId="5232" xr:uid="{00000000-0005-0000-0000-000033140000}"/>
    <cellStyle name="Normal 10 2 10 38" xfId="5233" xr:uid="{00000000-0005-0000-0000-000034140000}"/>
    <cellStyle name="Normal 10 2 10 38 10" xfId="5234" xr:uid="{00000000-0005-0000-0000-000035140000}"/>
    <cellStyle name="Normal 10 2 10 38 2" xfId="5235" xr:uid="{00000000-0005-0000-0000-000036140000}"/>
    <cellStyle name="Normal 10 2 10 38 3" xfId="5236" xr:uid="{00000000-0005-0000-0000-000037140000}"/>
    <cellStyle name="Normal 10 2 10 38 4" xfId="5237" xr:uid="{00000000-0005-0000-0000-000038140000}"/>
    <cellStyle name="Normal 10 2 10 38 5" xfId="5238" xr:uid="{00000000-0005-0000-0000-000039140000}"/>
    <cellStyle name="Normal 10 2 10 38 6" xfId="5239" xr:uid="{00000000-0005-0000-0000-00003A140000}"/>
    <cellStyle name="Normal 10 2 10 38 7" xfId="5240" xr:uid="{00000000-0005-0000-0000-00003B140000}"/>
    <cellStyle name="Normal 10 2 10 38 8" xfId="5241" xr:uid="{00000000-0005-0000-0000-00003C140000}"/>
    <cellStyle name="Normal 10 2 10 38 9" xfId="5242" xr:uid="{00000000-0005-0000-0000-00003D140000}"/>
    <cellStyle name="Normal 10 2 10 39" xfId="5243" xr:uid="{00000000-0005-0000-0000-00003E140000}"/>
    <cellStyle name="Normal 10 2 10 4" xfId="5244" xr:uid="{00000000-0005-0000-0000-00003F140000}"/>
    <cellStyle name="Normal 10 2 10 4 10" xfId="5245" xr:uid="{00000000-0005-0000-0000-000040140000}"/>
    <cellStyle name="Normal 10 2 10 4 11" xfId="5246" xr:uid="{00000000-0005-0000-0000-000041140000}"/>
    <cellStyle name="Normal 10 2 10 4 12" xfId="5247" xr:uid="{00000000-0005-0000-0000-000042140000}"/>
    <cellStyle name="Normal 10 2 10 4 13" xfId="5248" xr:uid="{00000000-0005-0000-0000-000043140000}"/>
    <cellStyle name="Normal 10 2 10 4 14" xfId="5249" xr:uid="{00000000-0005-0000-0000-000044140000}"/>
    <cellStyle name="Normal 10 2 10 4 2" xfId="5250" xr:uid="{00000000-0005-0000-0000-000045140000}"/>
    <cellStyle name="Normal 10 2 10 4 2 10" xfId="5251" xr:uid="{00000000-0005-0000-0000-000046140000}"/>
    <cellStyle name="Normal 10 2 10 4 2 2" xfId="5252" xr:uid="{00000000-0005-0000-0000-000047140000}"/>
    <cellStyle name="Normal 10 2 10 4 2 3" xfId="5253" xr:uid="{00000000-0005-0000-0000-000048140000}"/>
    <cellStyle name="Normal 10 2 10 4 2 4" xfId="5254" xr:uid="{00000000-0005-0000-0000-000049140000}"/>
    <cellStyle name="Normal 10 2 10 4 2 5" xfId="5255" xr:uid="{00000000-0005-0000-0000-00004A140000}"/>
    <cellStyle name="Normal 10 2 10 4 2 6" xfId="5256" xr:uid="{00000000-0005-0000-0000-00004B140000}"/>
    <cellStyle name="Normal 10 2 10 4 2 7" xfId="5257" xr:uid="{00000000-0005-0000-0000-00004C140000}"/>
    <cellStyle name="Normal 10 2 10 4 2 8" xfId="5258" xr:uid="{00000000-0005-0000-0000-00004D140000}"/>
    <cellStyle name="Normal 10 2 10 4 2 9" xfId="5259" xr:uid="{00000000-0005-0000-0000-00004E140000}"/>
    <cellStyle name="Normal 10 2 10 4 3" xfId="5260" xr:uid="{00000000-0005-0000-0000-00004F140000}"/>
    <cellStyle name="Normal 10 2 10 4 3 10" xfId="5261" xr:uid="{00000000-0005-0000-0000-000050140000}"/>
    <cellStyle name="Normal 10 2 10 4 3 2" xfId="5262" xr:uid="{00000000-0005-0000-0000-000051140000}"/>
    <cellStyle name="Normal 10 2 10 4 3 3" xfId="5263" xr:uid="{00000000-0005-0000-0000-000052140000}"/>
    <cellStyle name="Normal 10 2 10 4 3 4" xfId="5264" xr:uid="{00000000-0005-0000-0000-000053140000}"/>
    <cellStyle name="Normal 10 2 10 4 3 5" xfId="5265" xr:uid="{00000000-0005-0000-0000-000054140000}"/>
    <cellStyle name="Normal 10 2 10 4 3 6" xfId="5266" xr:uid="{00000000-0005-0000-0000-000055140000}"/>
    <cellStyle name="Normal 10 2 10 4 3 7" xfId="5267" xr:uid="{00000000-0005-0000-0000-000056140000}"/>
    <cellStyle name="Normal 10 2 10 4 3 8" xfId="5268" xr:uid="{00000000-0005-0000-0000-000057140000}"/>
    <cellStyle name="Normal 10 2 10 4 3 9" xfId="5269" xr:uid="{00000000-0005-0000-0000-000058140000}"/>
    <cellStyle name="Normal 10 2 10 4 4" xfId="5270" xr:uid="{00000000-0005-0000-0000-000059140000}"/>
    <cellStyle name="Normal 10 2 10 4 4 10" xfId="5271" xr:uid="{00000000-0005-0000-0000-00005A140000}"/>
    <cellStyle name="Normal 10 2 10 4 4 2" xfId="5272" xr:uid="{00000000-0005-0000-0000-00005B140000}"/>
    <cellStyle name="Normal 10 2 10 4 4 3" xfId="5273" xr:uid="{00000000-0005-0000-0000-00005C140000}"/>
    <cellStyle name="Normal 10 2 10 4 4 4" xfId="5274" xr:uid="{00000000-0005-0000-0000-00005D140000}"/>
    <cellStyle name="Normal 10 2 10 4 4 5" xfId="5275" xr:uid="{00000000-0005-0000-0000-00005E140000}"/>
    <cellStyle name="Normal 10 2 10 4 4 6" xfId="5276" xr:uid="{00000000-0005-0000-0000-00005F140000}"/>
    <cellStyle name="Normal 10 2 10 4 4 7" xfId="5277" xr:uid="{00000000-0005-0000-0000-000060140000}"/>
    <cellStyle name="Normal 10 2 10 4 4 8" xfId="5278" xr:uid="{00000000-0005-0000-0000-000061140000}"/>
    <cellStyle name="Normal 10 2 10 4 4 9" xfId="5279" xr:uid="{00000000-0005-0000-0000-000062140000}"/>
    <cellStyle name="Normal 10 2 10 4 5" xfId="5280" xr:uid="{00000000-0005-0000-0000-000063140000}"/>
    <cellStyle name="Normal 10 2 10 4 5 10" xfId="5281" xr:uid="{00000000-0005-0000-0000-000064140000}"/>
    <cellStyle name="Normal 10 2 10 4 5 2" xfId="5282" xr:uid="{00000000-0005-0000-0000-000065140000}"/>
    <cellStyle name="Normal 10 2 10 4 5 3" xfId="5283" xr:uid="{00000000-0005-0000-0000-000066140000}"/>
    <cellStyle name="Normal 10 2 10 4 5 4" xfId="5284" xr:uid="{00000000-0005-0000-0000-000067140000}"/>
    <cellStyle name="Normal 10 2 10 4 5 5" xfId="5285" xr:uid="{00000000-0005-0000-0000-000068140000}"/>
    <cellStyle name="Normal 10 2 10 4 5 6" xfId="5286" xr:uid="{00000000-0005-0000-0000-000069140000}"/>
    <cellStyle name="Normal 10 2 10 4 5 7" xfId="5287" xr:uid="{00000000-0005-0000-0000-00006A140000}"/>
    <cellStyle name="Normal 10 2 10 4 5 8" xfId="5288" xr:uid="{00000000-0005-0000-0000-00006B140000}"/>
    <cellStyle name="Normal 10 2 10 4 5 9" xfId="5289" xr:uid="{00000000-0005-0000-0000-00006C140000}"/>
    <cellStyle name="Normal 10 2 10 4 6" xfId="5290" xr:uid="{00000000-0005-0000-0000-00006D140000}"/>
    <cellStyle name="Normal 10 2 10 4 7" xfId="5291" xr:uid="{00000000-0005-0000-0000-00006E140000}"/>
    <cellStyle name="Normal 10 2 10 4 8" xfId="5292" xr:uid="{00000000-0005-0000-0000-00006F140000}"/>
    <cellStyle name="Normal 10 2 10 4 9" xfId="5293" xr:uid="{00000000-0005-0000-0000-000070140000}"/>
    <cellStyle name="Normal 10 2 10 40" xfId="5294" xr:uid="{00000000-0005-0000-0000-000071140000}"/>
    <cellStyle name="Normal 10 2 10 41" xfId="5295" xr:uid="{00000000-0005-0000-0000-000072140000}"/>
    <cellStyle name="Normal 10 2 10 42" xfId="5296" xr:uid="{00000000-0005-0000-0000-000073140000}"/>
    <cellStyle name="Normal 10 2 10 43" xfId="5297" xr:uid="{00000000-0005-0000-0000-000074140000}"/>
    <cellStyle name="Normal 10 2 10 44" xfId="5298" xr:uid="{00000000-0005-0000-0000-000075140000}"/>
    <cellStyle name="Normal 10 2 10 45" xfId="5299" xr:uid="{00000000-0005-0000-0000-000076140000}"/>
    <cellStyle name="Normal 10 2 10 46" xfId="5300" xr:uid="{00000000-0005-0000-0000-000077140000}"/>
    <cellStyle name="Normal 10 2 10 47" xfId="5301" xr:uid="{00000000-0005-0000-0000-000078140000}"/>
    <cellStyle name="Normal 10 2 10 48" xfId="5302" xr:uid="{00000000-0005-0000-0000-000079140000}"/>
    <cellStyle name="Normal 10 2 10 49" xfId="5303" xr:uid="{00000000-0005-0000-0000-00007A140000}"/>
    <cellStyle name="Normal 10 2 10 5" xfId="5304" xr:uid="{00000000-0005-0000-0000-00007B140000}"/>
    <cellStyle name="Normal 10 2 10 5 10" xfId="5305" xr:uid="{00000000-0005-0000-0000-00007C140000}"/>
    <cellStyle name="Normal 10 2 10 5 11" xfId="5306" xr:uid="{00000000-0005-0000-0000-00007D140000}"/>
    <cellStyle name="Normal 10 2 10 5 12" xfId="5307" xr:uid="{00000000-0005-0000-0000-00007E140000}"/>
    <cellStyle name="Normal 10 2 10 5 13" xfId="5308" xr:uid="{00000000-0005-0000-0000-00007F140000}"/>
    <cellStyle name="Normal 10 2 10 5 14" xfId="5309" xr:uid="{00000000-0005-0000-0000-000080140000}"/>
    <cellStyle name="Normal 10 2 10 5 2" xfId="5310" xr:uid="{00000000-0005-0000-0000-000081140000}"/>
    <cellStyle name="Normal 10 2 10 5 2 10" xfId="5311" xr:uid="{00000000-0005-0000-0000-000082140000}"/>
    <cellStyle name="Normal 10 2 10 5 2 2" xfId="5312" xr:uid="{00000000-0005-0000-0000-000083140000}"/>
    <cellStyle name="Normal 10 2 10 5 2 3" xfId="5313" xr:uid="{00000000-0005-0000-0000-000084140000}"/>
    <cellStyle name="Normal 10 2 10 5 2 4" xfId="5314" xr:uid="{00000000-0005-0000-0000-000085140000}"/>
    <cellStyle name="Normal 10 2 10 5 2 5" xfId="5315" xr:uid="{00000000-0005-0000-0000-000086140000}"/>
    <cellStyle name="Normal 10 2 10 5 2 6" xfId="5316" xr:uid="{00000000-0005-0000-0000-000087140000}"/>
    <cellStyle name="Normal 10 2 10 5 2 7" xfId="5317" xr:uid="{00000000-0005-0000-0000-000088140000}"/>
    <cellStyle name="Normal 10 2 10 5 2 8" xfId="5318" xr:uid="{00000000-0005-0000-0000-000089140000}"/>
    <cellStyle name="Normal 10 2 10 5 2 9" xfId="5319" xr:uid="{00000000-0005-0000-0000-00008A140000}"/>
    <cellStyle name="Normal 10 2 10 5 3" xfId="5320" xr:uid="{00000000-0005-0000-0000-00008B140000}"/>
    <cellStyle name="Normal 10 2 10 5 3 10" xfId="5321" xr:uid="{00000000-0005-0000-0000-00008C140000}"/>
    <cellStyle name="Normal 10 2 10 5 3 2" xfId="5322" xr:uid="{00000000-0005-0000-0000-00008D140000}"/>
    <cellStyle name="Normal 10 2 10 5 3 3" xfId="5323" xr:uid="{00000000-0005-0000-0000-00008E140000}"/>
    <cellStyle name="Normal 10 2 10 5 3 4" xfId="5324" xr:uid="{00000000-0005-0000-0000-00008F140000}"/>
    <cellStyle name="Normal 10 2 10 5 3 5" xfId="5325" xr:uid="{00000000-0005-0000-0000-000090140000}"/>
    <cellStyle name="Normal 10 2 10 5 3 6" xfId="5326" xr:uid="{00000000-0005-0000-0000-000091140000}"/>
    <cellStyle name="Normal 10 2 10 5 3 7" xfId="5327" xr:uid="{00000000-0005-0000-0000-000092140000}"/>
    <cellStyle name="Normal 10 2 10 5 3 8" xfId="5328" xr:uid="{00000000-0005-0000-0000-000093140000}"/>
    <cellStyle name="Normal 10 2 10 5 3 9" xfId="5329" xr:uid="{00000000-0005-0000-0000-000094140000}"/>
    <cellStyle name="Normal 10 2 10 5 4" xfId="5330" xr:uid="{00000000-0005-0000-0000-000095140000}"/>
    <cellStyle name="Normal 10 2 10 5 4 10" xfId="5331" xr:uid="{00000000-0005-0000-0000-000096140000}"/>
    <cellStyle name="Normal 10 2 10 5 4 2" xfId="5332" xr:uid="{00000000-0005-0000-0000-000097140000}"/>
    <cellStyle name="Normal 10 2 10 5 4 3" xfId="5333" xr:uid="{00000000-0005-0000-0000-000098140000}"/>
    <cellStyle name="Normal 10 2 10 5 4 4" xfId="5334" xr:uid="{00000000-0005-0000-0000-000099140000}"/>
    <cellStyle name="Normal 10 2 10 5 4 5" xfId="5335" xr:uid="{00000000-0005-0000-0000-00009A140000}"/>
    <cellStyle name="Normal 10 2 10 5 4 6" xfId="5336" xr:uid="{00000000-0005-0000-0000-00009B140000}"/>
    <cellStyle name="Normal 10 2 10 5 4 7" xfId="5337" xr:uid="{00000000-0005-0000-0000-00009C140000}"/>
    <cellStyle name="Normal 10 2 10 5 4 8" xfId="5338" xr:uid="{00000000-0005-0000-0000-00009D140000}"/>
    <cellStyle name="Normal 10 2 10 5 4 9" xfId="5339" xr:uid="{00000000-0005-0000-0000-00009E140000}"/>
    <cellStyle name="Normal 10 2 10 5 5" xfId="5340" xr:uid="{00000000-0005-0000-0000-00009F140000}"/>
    <cellStyle name="Normal 10 2 10 5 5 10" xfId="5341" xr:uid="{00000000-0005-0000-0000-0000A0140000}"/>
    <cellStyle name="Normal 10 2 10 5 5 2" xfId="5342" xr:uid="{00000000-0005-0000-0000-0000A1140000}"/>
    <cellStyle name="Normal 10 2 10 5 5 3" xfId="5343" xr:uid="{00000000-0005-0000-0000-0000A2140000}"/>
    <cellStyle name="Normal 10 2 10 5 5 4" xfId="5344" xr:uid="{00000000-0005-0000-0000-0000A3140000}"/>
    <cellStyle name="Normal 10 2 10 5 5 5" xfId="5345" xr:uid="{00000000-0005-0000-0000-0000A4140000}"/>
    <cellStyle name="Normal 10 2 10 5 5 6" xfId="5346" xr:uid="{00000000-0005-0000-0000-0000A5140000}"/>
    <cellStyle name="Normal 10 2 10 5 5 7" xfId="5347" xr:uid="{00000000-0005-0000-0000-0000A6140000}"/>
    <cellStyle name="Normal 10 2 10 5 5 8" xfId="5348" xr:uid="{00000000-0005-0000-0000-0000A7140000}"/>
    <cellStyle name="Normal 10 2 10 5 5 9" xfId="5349" xr:uid="{00000000-0005-0000-0000-0000A8140000}"/>
    <cellStyle name="Normal 10 2 10 5 6" xfId="5350" xr:uid="{00000000-0005-0000-0000-0000A9140000}"/>
    <cellStyle name="Normal 10 2 10 5 7" xfId="5351" xr:uid="{00000000-0005-0000-0000-0000AA140000}"/>
    <cellStyle name="Normal 10 2 10 5 8" xfId="5352" xr:uid="{00000000-0005-0000-0000-0000AB140000}"/>
    <cellStyle name="Normal 10 2 10 5 9" xfId="5353" xr:uid="{00000000-0005-0000-0000-0000AC140000}"/>
    <cellStyle name="Normal 10 2 10 50" xfId="22" xr:uid="{00000000-0005-0000-0000-0000AD140000}"/>
    <cellStyle name="Normal 10 2 10 50 2" xfId="51" xr:uid="{00000000-0005-0000-0000-0000AE140000}"/>
    <cellStyle name="Normal 10 2 10 50 3" xfId="5354" xr:uid="{00000000-0005-0000-0000-0000AF140000}"/>
    <cellStyle name="Normal 10 2 10 51" xfId="2249" xr:uid="{00000000-0005-0000-0000-0000B0140000}"/>
    <cellStyle name="Normal 10 2 10 6" xfId="5355" xr:uid="{00000000-0005-0000-0000-0000B1140000}"/>
    <cellStyle name="Normal 10 2 10 6 10" xfId="5356" xr:uid="{00000000-0005-0000-0000-0000B2140000}"/>
    <cellStyle name="Normal 10 2 10 6 11" xfId="5357" xr:uid="{00000000-0005-0000-0000-0000B3140000}"/>
    <cellStyle name="Normal 10 2 10 6 12" xfId="5358" xr:uid="{00000000-0005-0000-0000-0000B4140000}"/>
    <cellStyle name="Normal 10 2 10 6 13" xfId="5359" xr:uid="{00000000-0005-0000-0000-0000B5140000}"/>
    <cellStyle name="Normal 10 2 10 6 14" xfId="5360" xr:uid="{00000000-0005-0000-0000-0000B6140000}"/>
    <cellStyle name="Normal 10 2 10 6 2" xfId="5361" xr:uid="{00000000-0005-0000-0000-0000B7140000}"/>
    <cellStyle name="Normal 10 2 10 6 2 10" xfId="5362" xr:uid="{00000000-0005-0000-0000-0000B8140000}"/>
    <cellStyle name="Normal 10 2 10 6 2 2" xfId="5363" xr:uid="{00000000-0005-0000-0000-0000B9140000}"/>
    <cellStyle name="Normal 10 2 10 6 2 3" xfId="5364" xr:uid="{00000000-0005-0000-0000-0000BA140000}"/>
    <cellStyle name="Normal 10 2 10 6 2 4" xfId="5365" xr:uid="{00000000-0005-0000-0000-0000BB140000}"/>
    <cellStyle name="Normal 10 2 10 6 2 5" xfId="5366" xr:uid="{00000000-0005-0000-0000-0000BC140000}"/>
    <cellStyle name="Normal 10 2 10 6 2 6" xfId="5367" xr:uid="{00000000-0005-0000-0000-0000BD140000}"/>
    <cellStyle name="Normal 10 2 10 6 2 7" xfId="5368" xr:uid="{00000000-0005-0000-0000-0000BE140000}"/>
    <cellStyle name="Normal 10 2 10 6 2 8" xfId="5369" xr:uid="{00000000-0005-0000-0000-0000BF140000}"/>
    <cellStyle name="Normal 10 2 10 6 2 9" xfId="5370" xr:uid="{00000000-0005-0000-0000-0000C0140000}"/>
    <cellStyle name="Normal 10 2 10 6 3" xfId="5371" xr:uid="{00000000-0005-0000-0000-0000C1140000}"/>
    <cellStyle name="Normal 10 2 10 6 3 10" xfId="5372" xr:uid="{00000000-0005-0000-0000-0000C2140000}"/>
    <cellStyle name="Normal 10 2 10 6 3 2" xfId="5373" xr:uid="{00000000-0005-0000-0000-0000C3140000}"/>
    <cellStyle name="Normal 10 2 10 6 3 3" xfId="5374" xr:uid="{00000000-0005-0000-0000-0000C4140000}"/>
    <cellStyle name="Normal 10 2 10 6 3 4" xfId="5375" xr:uid="{00000000-0005-0000-0000-0000C5140000}"/>
    <cellStyle name="Normal 10 2 10 6 3 5" xfId="5376" xr:uid="{00000000-0005-0000-0000-0000C6140000}"/>
    <cellStyle name="Normal 10 2 10 6 3 6" xfId="5377" xr:uid="{00000000-0005-0000-0000-0000C7140000}"/>
    <cellStyle name="Normal 10 2 10 6 3 7" xfId="5378" xr:uid="{00000000-0005-0000-0000-0000C8140000}"/>
    <cellStyle name="Normal 10 2 10 6 3 8" xfId="5379" xr:uid="{00000000-0005-0000-0000-0000C9140000}"/>
    <cellStyle name="Normal 10 2 10 6 3 9" xfId="5380" xr:uid="{00000000-0005-0000-0000-0000CA140000}"/>
    <cellStyle name="Normal 10 2 10 6 4" xfId="5381" xr:uid="{00000000-0005-0000-0000-0000CB140000}"/>
    <cellStyle name="Normal 10 2 10 6 4 10" xfId="5382" xr:uid="{00000000-0005-0000-0000-0000CC140000}"/>
    <cellStyle name="Normal 10 2 10 6 4 2" xfId="5383" xr:uid="{00000000-0005-0000-0000-0000CD140000}"/>
    <cellStyle name="Normal 10 2 10 6 4 3" xfId="5384" xr:uid="{00000000-0005-0000-0000-0000CE140000}"/>
    <cellStyle name="Normal 10 2 10 6 4 4" xfId="5385" xr:uid="{00000000-0005-0000-0000-0000CF140000}"/>
    <cellStyle name="Normal 10 2 10 6 4 5" xfId="5386" xr:uid="{00000000-0005-0000-0000-0000D0140000}"/>
    <cellStyle name="Normal 10 2 10 6 4 6" xfId="5387" xr:uid="{00000000-0005-0000-0000-0000D1140000}"/>
    <cellStyle name="Normal 10 2 10 6 4 7" xfId="5388" xr:uid="{00000000-0005-0000-0000-0000D2140000}"/>
    <cellStyle name="Normal 10 2 10 6 4 8" xfId="5389" xr:uid="{00000000-0005-0000-0000-0000D3140000}"/>
    <cellStyle name="Normal 10 2 10 6 4 9" xfId="5390" xr:uid="{00000000-0005-0000-0000-0000D4140000}"/>
    <cellStyle name="Normal 10 2 10 6 5" xfId="5391" xr:uid="{00000000-0005-0000-0000-0000D5140000}"/>
    <cellStyle name="Normal 10 2 10 6 5 10" xfId="5392" xr:uid="{00000000-0005-0000-0000-0000D6140000}"/>
    <cellStyle name="Normal 10 2 10 6 5 2" xfId="5393" xr:uid="{00000000-0005-0000-0000-0000D7140000}"/>
    <cellStyle name="Normal 10 2 10 6 5 3" xfId="5394" xr:uid="{00000000-0005-0000-0000-0000D8140000}"/>
    <cellStyle name="Normal 10 2 10 6 5 4" xfId="5395" xr:uid="{00000000-0005-0000-0000-0000D9140000}"/>
    <cellStyle name="Normal 10 2 10 6 5 5" xfId="5396" xr:uid="{00000000-0005-0000-0000-0000DA140000}"/>
    <cellStyle name="Normal 10 2 10 6 5 6" xfId="5397" xr:uid="{00000000-0005-0000-0000-0000DB140000}"/>
    <cellStyle name="Normal 10 2 10 6 5 7" xfId="5398" xr:uid="{00000000-0005-0000-0000-0000DC140000}"/>
    <cellStyle name="Normal 10 2 10 6 5 8" xfId="5399" xr:uid="{00000000-0005-0000-0000-0000DD140000}"/>
    <cellStyle name="Normal 10 2 10 6 5 9" xfId="5400" xr:uid="{00000000-0005-0000-0000-0000DE140000}"/>
    <cellStyle name="Normal 10 2 10 6 6" xfId="5401" xr:uid="{00000000-0005-0000-0000-0000DF140000}"/>
    <cellStyle name="Normal 10 2 10 6 7" xfId="5402" xr:uid="{00000000-0005-0000-0000-0000E0140000}"/>
    <cellStyle name="Normal 10 2 10 6 8" xfId="5403" xr:uid="{00000000-0005-0000-0000-0000E1140000}"/>
    <cellStyle name="Normal 10 2 10 6 9" xfId="5404" xr:uid="{00000000-0005-0000-0000-0000E2140000}"/>
    <cellStyle name="Normal 10 2 10 7" xfId="5405" xr:uid="{00000000-0005-0000-0000-0000E3140000}"/>
    <cellStyle name="Normal 10 2 10 7 10" xfId="5406" xr:uid="{00000000-0005-0000-0000-0000E4140000}"/>
    <cellStyle name="Normal 10 2 10 7 11" xfId="5407" xr:uid="{00000000-0005-0000-0000-0000E5140000}"/>
    <cellStyle name="Normal 10 2 10 7 12" xfId="5408" xr:uid="{00000000-0005-0000-0000-0000E6140000}"/>
    <cellStyle name="Normal 10 2 10 7 13" xfId="5409" xr:uid="{00000000-0005-0000-0000-0000E7140000}"/>
    <cellStyle name="Normal 10 2 10 7 14" xfId="5410" xr:uid="{00000000-0005-0000-0000-0000E8140000}"/>
    <cellStyle name="Normal 10 2 10 7 2" xfId="5411" xr:uid="{00000000-0005-0000-0000-0000E9140000}"/>
    <cellStyle name="Normal 10 2 10 7 2 10" xfId="5412" xr:uid="{00000000-0005-0000-0000-0000EA140000}"/>
    <cellStyle name="Normal 10 2 10 7 2 2" xfId="5413" xr:uid="{00000000-0005-0000-0000-0000EB140000}"/>
    <cellStyle name="Normal 10 2 10 7 2 3" xfId="5414" xr:uid="{00000000-0005-0000-0000-0000EC140000}"/>
    <cellStyle name="Normal 10 2 10 7 2 4" xfId="5415" xr:uid="{00000000-0005-0000-0000-0000ED140000}"/>
    <cellStyle name="Normal 10 2 10 7 2 5" xfId="5416" xr:uid="{00000000-0005-0000-0000-0000EE140000}"/>
    <cellStyle name="Normal 10 2 10 7 2 6" xfId="5417" xr:uid="{00000000-0005-0000-0000-0000EF140000}"/>
    <cellStyle name="Normal 10 2 10 7 2 7" xfId="5418" xr:uid="{00000000-0005-0000-0000-0000F0140000}"/>
    <cellStyle name="Normal 10 2 10 7 2 8" xfId="5419" xr:uid="{00000000-0005-0000-0000-0000F1140000}"/>
    <cellStyle name="Normal 10 2 10 7 2 9" xfId="5420" xr:uid="{00000000-0005-0000-0000-0000F2140000}"/>
    <cellStyle name="Normal 10 2 10 7 3" xfId="5421" xr:uid="{00000000-0005-0000-0000-0000F3140000}"/>
    <cellStyle name="Normal 10 2 10 7 3 10" xfId="5422" xr:uid="{00000000-0005-0000-0000-0000F4140000}"/>
    <cellStyle name="Normal 10 2 10 7 3 2" xfId="5423" xr:uid="{00000000-0005-0000-0000-0000F5140000}"/>
    <cellStyle name="Normal 10 2 10 7 3 3" xfId="5424" xr:uid="{00000000-0005-0000-0000-0000F6140000}"/>
    <cellStyle name="Normal 10 2 10 7 3 4" xfId="5425" xr:uid="{00000000-0005-0000-0000-0000F7140000}"/>
    <cellStyle name="Normal 10 2 10 7 3 5" xfId="5426" xr:uid="{00000000-0005-0000-0000-0000F8140000}"/>
    <cellStyle name="Normal 10 2 10 7 3 6" xfId="5427" xr:uid="{00000000-0005-0000-0000-0000F9140000}"/>
    <cellStyle name="Normal 10 2 10 7 3 7" xfId="5428" xr:uid="{00000000-0005-0000-0000-0000FA140000}"/>
    <cellStyle name="Normal 10 2 10 7 3 8" xfId="5429" xr:uid="{00000000-0005-0000-0000-0000FB140000}"/>
    <cellStyle name="Normal 10 2 10 7 3 9" xfId="5430" xr:uid="{00000000-0005-0000-0000-0000FC140000}"/>
    <cellStyle name="Normal 10 2 10 7 4" xfId="5431" xr:uid="{00000000-0005-0000-0000-0000FD140000}"/>
    <cellStyle name="Normal 10 2 10 7 4 10" xfId="5432" xr:uid="{00000000-0005-0000-0000-0000FE140000}"/>
    <cellStyle name="Normal 10 2 10 7 4 2" xfId="5433" xr:uid="{00000000-0005-0000-0000-0000FF140000}"/>
    <cellStyle name="Normal 10 2 10 7 4 3" xfId="5434" xr:uid="{00000000-0005-0000-0000-000000150000}"/>
    <cellStyle name="Normal 10 2 10 7 4 4" xfId="5435" xr:uid="{00000000-0005-0000-0000-000001150000}"/>
    <cellStyle name="Normal 10 2 10 7 4 5" xfId="5436" xr:uid="{00000000-0005-0000-0000-000002150000}"/>
    <cellStyle name="Normal 10 2 10 7 4 6" xfId="5437" xr:uid="{00000000-0005-0000-0000-000003150000}"/>
    <cellStyle name="Normal 10 2 10 7 4 7" xfId="5438" xr:uid="{00000000-0005-0000-0000-000004150000}"/>
    <cellStyle name="Normal 10 2 10 7 4 8" xfId="5439" xr:uid="{00000000-0005-0000-0000-000005150000}"/>
    <cellStyle name="Normal 10 2 10 7 4 9" xfId="5440" xr:uid="{00000000-0005-0000-0000-000006150000}"/>
    <cellStyle name="Normal 10 2 10 7 5" xfId="5441" xr:uid="{00000000-0005-0000-0000-000007150000}"/>
    <cellStyle name="Normal 10 2 10 7 5 10" xfId="5442" xr:uid="{00000000-0005-0000-0000-000008150000}"/>
    <cellStyle name="Normal 10 2 10 7 5 2" xfId="5443" xr:uid="{00000000-0005-0000-0000-000009150000}"/>
    <cellStyle name="Normal 10 2 10 7 5 3" xfId="5444" xr:uid="{00000000-0005-0000-0000-00000A150000}"/>
    <cellStyle name="Normal 10 2 10 7 5 4" xfId="5445" xr:uid="{00000000-0005-0000-0000-00000B150000}"/>
    <cellStyle name="Normal 10 2 10 7 5 5" xfId="5446" xr:uid="{00000000-0005-0000-0000-00000C150000}"/>
    <cellStyle name="Normal 10 2 10 7 5 6" xfId="5447" xr:uid="{00000000-0005-0000-0000-00000D150000}"/>
    <cellStyle name="Normal 10 2 10 7 5 7" xfId="5448" xr:uid="{00000000-0005-0000-0000-00000E150000}"/>
    <cellStyle name="Normal 10 2 10 7 5 8" xfId="5449" xr:uid="{00000000-0005-0000-0000-00000F150000}"/>
    <cellStyle name="Normal 10 2 10 7 5 9" xfId="5450" xr:uid="{00000000-0005-0000-0000-000010150000}"/>
    <cellStyle name="Normal 10 2 10 7 6" xfId="5451" xr:uid="{00000000-0005-0000-0000-000011150000}"/>
    <cellStyle name="Normal 10 2 10 7 7" xfId="5452" xr:uid="{00000000-0005-0000-0000-000012150000}"/>
    <cellStyle name="Normal 10 2 10 7 8" xfId="5453" xr:uid="{00000000-0005-0000-0000-000013150000}"/>
    <cellStyle name="Normal 10 2 10 7 9" xfId="5454" xr:uid="{00000000-0005-0000-0000-000014150000}"/>
    <cellStyle name="Normal 10 2 10 8" xfId="5455" xr:uid="{00000000-0005-0000-0000-000015150000}"/>
    <cellStyle name="Normal 10 2 10 8 10" xfId="5456" xr:uid="{00000000-0005-0000-0000-000016150000}"/>
    <cellStyle name="Normal 10 2 10 8 11" xfId="5457" xr:uid="{00000000-0005-0000-0000-000017150000}"/>
    <cellStyle name="Normal 10 2 10 8 12" xfId="5458" xr:uid="{00000000-0005-0000-0000-000018150000}"/>
    <cellStyle name="Normal 10 2 10 8 13" xfId="5459" xr:uid="{00000000-0005-0000-0000-000019150000}"/>
    <cellStyle name="Normal 10 2 10 8 14" xfId="5460" xr:uid="{00000000-0005-0000-0000-00001A150000}"/>
    <cellStyle name="Normal 10 2 10 8 2" xfId="5461" xr:uid="{00000000-0005-0000-0000-00001B150000}"/>
    <cellStyle name="Normal 10 2 10 8 2 10" xfId="5462" xr:uid="{00000000-0005-0000-0000-00001C150000}"/>
    <cellStyle name="Normal 10 2 10 8 2 2" xfId="5463" xr:uid="{00000000-0005-0000-0000-00001D150000}"/>
    <cellStyle name="Normal 10 2 10 8 2 3" xfId="5464" xr:uid="{00000000-0005-0000-0000-00001E150000}"/>
    <cellStyle name="Normal 10 2 10 8 2 4" xfId="5465" xr:uid="{00000000-0005-0000-0000-00001F150000}"/>
    <cellStyle name="Normal 10 2 10 8 2 5" xfId="5466" xr:uid="{00000000-0005-0000-0000-000020150000}"/>
    <cellStyle name="Normal 10 2 10 8 2 6" xfId="5467" xr:uid="{00000000-0005-0000-0000-000021150000}"/>
    <cellStyle name="Normal 10 2 10 8 2 7" xfId="5468" xr:uid="{00000000-0005-0000-0000-000022150000}"/>
    <cellStyle name="Normal 10 2 10 8 2 8" xfId="5469" xr:uid="{00000000-0005-0000-0000-000023150000}"/>
    <cellStyle name="Normal 10 2 10 8 2 9" xfId="5470" xr:uid="{00000000-0005-0000-0000-000024150000}"/>
    <cellStyle name="Normal 10 2 10 8 3" xfId="5471" xr:uid="{00000000-0005-0000-0000-000025150000}"/>
    <cellStyle name="Normal 10 2 10 8 3 10" xfId="5472" xr:uid="{00000000-0005-0000-0000-000026150000}"/>
    <cellStyle name="Normal 10 2 10 8 3 2" xfId="5473" xr:uid="{00000000-0005-0000-0000-000027150000}"/>
    <cellStyle name="Normal 10 2 10 8 3 3" xfId="5474" xr:uid="{00000000-0005-0000-0000-000028150000}"/>
    <cellStyle name="Normal 10 2 10 8 3 4" xfId="5475" xr:uid="{00000000-0005-0000-0000-000029150000}"/>
    <cellStyle name="Normal 10 2 10 8 3 5" xfId="5476" xr:uid="{00000000-0005-0000-0000-00002A150000}"/>
    <cellStyle name="Normal 10 2 10 8 3 6" xfId="5477" xr:uid="{00000000-0005-0000-0000-00002B150000}"/>
    <cellStyle name="Normal 10 2 10 8 3 7" xfId="5478" xr:uid="{00000000-0005-0000-0000-00002C150000}"/>
    <cellStyle name="Normal 10 2 10 8 3 8" xfId="5479" xr:uid="{00000000-0005-0000-0000-00002D150000}"/>
    <cellStyle name="Normal 10 2 10 8 3 9" xfId="5480" xr:uid="{00000000-0005-0000-0000-00002E150000}"/>
    <cellStyle name="Normal 10 2 10 8 4" xfId="5481" xr:uid="{00000000-0005-0000-0000-00002F150000}"/>
    <cellStyle name="Normal 10 2 10 8 4 10" xfId="5482" xr:uid="{00000000-0005-0000-0000-000030150000}"/>
    <cellStyle name="Normal 10 2 10 8 4 2" xfId="5483" xr:uid="{00000000-0005-0000-0000-000031150000}"/>
    <cellStyle name="Normal 10 2 10 8 4 3" xfId="5484" xr:uid="{00000000-0005-0000-0000-000032150000}"/>
    <cellStyle name="Normal 10 2 10 8 4 4" xfId="5485" xr:uid="{00000000-0005-0000-0000-000033150000}"/>
    <cellStyle name="Normal 10 2 10 8 4 5" xfId="5486" xr:uid="{00000000-0005-0000-0000-000034150000}"/>
    <cellStyle name="Normal 10 2 10 8 4 6" xfId="5487" xr:uid="{00000000-0005-0000-0000-000035150000}"/>
    <cellStyle name="Normal 10 2 10 8 4 7" xfId="5488" xr:uid="{00000000-0005-0000-0000-000036150000}"/>
    <cellStyle name="Normal 10 2 10 8 4 8" xfId="5489" xr:uid="{00000000-0005-0000-0000-000037150000}"/>
    <cellStyle name="Normal 10 2 10 8 4 9" xfId="5490" xr:uid="{00000000-0005-0000-0000-000038150000}"/>
    <cellStyle name="Normal 10 2 10 8 5" xfId="5491" xr:uid="{00000000-0005-0000-0000-000039150000}"/>
    <cellStyle name="Normal 10 2 10 8 5 10" xfId="5492" xr:uid="{00000000-0005-0000-0000-00003A150000}"/>
    <cellStyle name="Normal 10 2 10 8 5 2" xfId="5493" xr:uid="{00000000-0005-0000-0000-00003B150000}"/>
    <cellStyle name="Normal 10 2 10 8 5 3" xfId="5494" xr:uid="{00000000-0005-0000-0000-00003C150000}"/>
    <cellStyle name="Normal 10 2 10 8 5 4" xfId="5495" xr:uid="{00000000-0005-0000-0000-00003D150000}"/>
    <cellStyle name="Normal 10 2 10 8 5 5" xfId="5496" xr:uid="{00000000-0005-0000-0000-00003E150000}"/>
    <cellStyle name="Normal 10 2 10 8 5 6" xfId="5497" xr:uid="{00000000-0005-0000-0000-00003F150000}"/>
    <cellStyle name="Normal 10 2 10 8 5 7" xfId="5498" xr:uid="{00000000-0005-0000-0000-000040150000}"/>
    <cellStyle name="Normal 10 2 10 8 5 8" xfId="5499" xr:uid="{00000000-0005-0000-0000-000041150000}"/>
    <cellStyle name="Normal 10 2 10 8 5 9" xfId="5500" xr:uid="{00000000-0005-0000-0000-000042150000}"/>
    <cellStyle name="Normal 10 2 10 8 6" xfId="5501" xr:uid="{00000000-0005-0000-0000-000043150000}"/>
    <cellStyle name="Normal 10 2 10 8 7" xfId="5502" xr:uid="{00000000-0005-0000-0000-000044150000}"/>
    <cellStyle name="Normal 10 2 10 8 8" xfId="5503" xr:uid="{00000000-0005-0000-0000-000045150000}"/>
    <cellStyle name="Normal 10 2 10 8 9" xfId="5504" xr:uid="{00000000-0005-0000-0000-000046150000}"/>
    <cellStyle name="Normal 10 2 10 9" xfId="5505" xr:uid="{00000000-0005-0000-0000-000047150000}"/>
    <cellStyle name="Normal 10 2 10 9 10" xfId="5506" xr:uid="{00000000-0005-0000-0000-000048150000}"/>
    <cellStyle name="Normal 10 2 10 9 11" xfId="5507" xr:uid="{00000000-0005-0000-0000-000049150000}"/>
    <cellStyle name="Normal 10 2 10 9 12" xfId="5508" xr:uid="{00000000-0005-0000-0000-00004A150000}"/>
    <cellStyle name="Normal 10 2 10 9 13" xfId="5509" xr:uid="{00000000-0005-0000-0000-00004B150000}"/>
    <cellStyle name="Normal 10 2 10 9 14" xfId="5510" xr:uid="{00000000-0005-0000-0000-00004C150000}"/>
    <cellStyle name="Normal 10 2 10 9 2" xfId="5511" xr:uid="{00000000-0005-0000-0000-00004D150000}"/>
    <cellStyle name="Normal 10 2 10 9 2 10" xfId="5512" xr:uid="{00000000-0005-0000-0000-00004E150000}"/>
    <cellStyle name="Normal 10 2 10 9 2 2" xfId="5513" xr:uid="{00000000-0005-0000-0000-00004F150000}"/>
    <cellStyle name="Normal 10 2 10 9 2 3" xfId="5514" xr:uid="{00000000-0005-0000-0000-000050150000}"/>
    <cellStyle name="Normal 10 2 10 9 2 4" xfId="5515" xr:uid="{00000000-0005-0000-0000-000051150000}"/>
    <cellStyle name="Normal 10 2 10 9 2 5" xfId="5516" xr:uid="{00000000-0005-0000-0000-000052150000}"/>
    <cellStyle name="Normal 10 2 10 9 2 6" xfId="5517" xr:uid="{00000000-0005-0000-0000-000053150000}"/>
    <cellStyle name="Normal 10 2 10 9 2 7" xfId="5518" xr:uid="{00000000-0005-0000-0000-000054150000}"/>
    <cellStyle name="Normal 10 2 10 9 2 8" xfId="5519" xr:uid="{00000000-0005-0000-0000-000055150000}"/>
    <cellStyle name="Normal 10 2 10 9 2 9" xfId="5520" xr:uid="{00000000-0005-0000-0000-000056150000}"/>
    <cellStyle name="Normal 10 2 10 9 3" xfId="5521" xr:uid="{00000000-0005-0000-0000-000057150000}"/>
    <cellStyle name="Normal 10 2 10 9 3 10" xfId="5522" xr:uid="{00000000-0005-0000-0000-000058150000}"/>
    <cellStyle name="Normal 10 2 10 9 3 2" xfId="5523" xr:uid="{00000000-0005-0000-0000-000059150000}"/>
    <cellStyle name="Normal 10 2 10 9 3 3" xfId="5524" xr:uid="{00000000-0005-0000-0000-00005A150000}"/>
    <cellStyle name="Normal 10 2 10 9 3 4" xfId="5525" xr:uid="{00000000-0005-0000-0000-00005B150000}"/>
    <cellStyle name="Normal 10 2 10 9 3 5" xfId="5526" xr:uid="{00000000-0005-0000-0000-00005C150000}"/>
    <cellStyle name="Normal 10 2 10 9 3 6" xfId="5527" xr:uid="{00000000-0005-0000-0000-00005D150000}"/>
    <cellStyle name="Normal 10 2 10 9 3 7" xfId="5528" xr:uid="{00000000-0005-0000-0000-00005E150000}"/>
    <cellStyle name="Normal 10 2 10 9 3 8" xfId="5529" xr:uid="{00000000-0005-0000-0000-00005F150000}"/>
    <cellStyle name="Normal 10 2 10 9 3 9" xfId="5530" xr:uid="{00000000-0005-0000-0000-000060150000}"/>
    <cellStyle name="Normal 10 2 10 9 4" xfId="5531" xr:uid="{00000000-0005-0000-0000-000061150000}"/>
    <cellStyle name="Normal 10 2 10 9 4 10" xfId="5532" xr:uid="{00000000-0005-0000-0000-000062150000}"/>
    <cellStyle name="Normal 10 2 10 9 4 2" xfId="5533" xr:uid="{00000000-0005-0000-0000-000063150000}"/>
    <cellStyle name="Normal 10 2 10 9 4 3" xfId="5534" xr:uid="{00000000-0005-0000-0000-000064150000}"/>
    <cellStyle name="Normal 10 2 10 9 4 4" xfId="5535" xr:uid="{00000000-0005-0000-0000-000065150000}"/>
    <cellStyle name="Normal 10 2 10 9 4 5" xfId="5536" xr:uid="{00000000-0005-0000-0000-000066150000}"/>
    <cellStyle name="Normal 10 2 10 9 4 6" xfId="5537" xr:uid="{00000000-0005-0000-0000-000067150000}"/>
    <cellStyle name="Normal 10 2 10 9 4 7" xfId="5538" xr:uid="{00000000-0005-0000-0000-000068150000}"/>
    <cellStyle name="Normal 10 2 10 9 4 8" xfId="5539" xr:uid="{00000000-0005-0000-0000-000069150000}"/>
    <cellStyle name="Normal 10 2 10 9 4 9" xfId="5540" xr:uid="{00000000-0005-0000-0000-00006A150000}"/>
    <cellStyle name="Normal 10 2 10 9 5" xfId="5541" xr:uid="{00000000-0005-0000-0000-00006B150000}"/>
    <cellStyle name="Normal 10 2 10 9 5 10" xfId="5542" xr:uid="{00000000-0005-0000-0000-00006C150000}"/>
    <cellStyle name="Normal 10 2 10 9 5 2" xfId="5543" xr:uid="{00000000-0005-0000-0000-00006D150000}"/>
    <cellStyle name="Normal 10 2 10 9 5 3" xfId="5544" xr:uid="{00000000-0005-0000-0000-00006E150000}"/>
    <cellStyle name="Normal 10 2 10 9 5 4" xfId="5545" xr:uid="{00000000-0005-0000-0000-00006F150000}"/>
    <cellStyle name="Normal 10 2 10 9 5 5" xfId="5546" xr:uid="{00000000-0005-0000-0000-000070150000}"/>
    <cellStyle name="Normal 10 2 10 9 5 6" xfId="5547" xr:uid="{00000000-0005-0000-0000-000071150000}"/>
    <cellStyle name="Normal 10 2 10 9 5 7" xfId="5548" xr:uid="{00000000-0005-0000-0000-000072150000}"/>
    <cellStyle name="Normal 10 2 10 9 5 8" xfId="5549" xr:uid="{00000000-0005-0000-0000-000073150000}"/>
    <cellStyle name="Normal 10 2 10 9 5 9" xfId="5550" xr:uid="{00000000-0005-0000-0000-000074150000}"/>
    <cellStyle name="Normal 10 2 10 9 6" xfId="5551" xr:uid="{00000000-0005-0000-0000-000075150000}"/>
    <cellStyle name="Normal 10 2 10 9 7" xfId="5552" xr:uid="{00000000-0005-0000-0000-000076150000}"/>
    <cellStyle name="Normal 10 2 10 9 8" xfId="5553" xr:uid="{00000000-0005-0000-0000-000077150000}"/>
    <cellStyle name="Normal 10 2 10 9 9" xfId="5554" xr:uid="{00000000-0005-0000-0000-000078150000}"/>
    <cellStyle name="Normal 10 2 11" xfId="5555" xr:uid="{00000000-0005-0000-0000-000079150000}"/>
    <cellStyle name="Normal 10 2 12" xfId="5556" xr:uid="{00000000-0005-0000-0000-00007A150000}"/>
    <cellStyle name="Normal 10 2 13" xfId="5557" xr:uid="{00000000-0005-0000-0000-00007B150000}"/>
    <cellStyle name="Normal 10 2 14" xfId="5558" xr:uid="{00000000-0005-0000-0000-00007C150000}"/>
    <cellStyle name="Normal 10 2 15" xfId="5559" xr:uid="{00000000-0005-0000-0000-00007D150000}"/>
    <cellStyle name="Normal 10 2 16" xfId="5560" xr:uid="{00000000-0005-0000-0000-00007E150000}"/>
    <cellStyle name="Normal 10 2 17" xfId="5561" xr:uid="{00000000-0005-0000-0000-00007F150000}"/>
    <cellStyle name="Normal 10 2 18" xfId="5562" xr:uid="{00000000-0005-0000-0000-000080150000}"/>
    <cellStyle name="Normal 10 2 19" xfId="5563" xr:uid="{00000000-0005-0000-0000-000081150000}"/>
    <cellStyle name="Normal 10 2 2" xfId="5564" xr:uid="{00000000-0005-0000-0000-000082150000}"/>
    <cellStyle name="Normal 10 2 2 2" xfId="5565" xr:uid="{00000000-0005-0000-0000-000083150000}"/>
    <cellStyle name="Normal 10 2 2 2 2" xfId="5566" xr:uid="{00000000-0005-0000-0000-000084150000}"/>
    <cellStyle name="Normal 10 2 20" xfId="5567" xr:uid="{00000000-0005-0000-0000-000085150000}"/>
    <cellStyle name="Normal 10 2 21" xfId="5568" xr:uid="{00000000-0005-0000-0000-000086150000}"/>
    <cellStyle name="Normal 10 2 22" xfId="5569" xr:uid="{00000000-0005-0000-0000-000087150000}"/>
    <cellStyle name="Normal 10 2 23" xfId="5570" xr:uid="{00000000-0005-0000-0000-000088150000}"/>
    <cellStyle name="Normal 10 2 24" xfId="5571" xr:uid="{00000000-0005-0000-0000-000089150000}"/>
    <cellStyle name="Normal 10 2 25" xfId="5572" xr:uid="{00000000-0005-0000-0000-00008A150000}"/>
    <cellStyle name="Normal 10 2 26" xfId="5573" xr:uid="{00000000-0005-0000-0000-00008B150000}"/>
    <cellStyle name="Normal 10 2 27" xfId="5574" xr:uid="{00000000-0005-0000-0000-00008C150000}"/>
    <cellStyle name="Normal 10 2 28" xfId="5575" xr:uid="{00000000-0005-0000-0000-00008D150000}"/>
    <cellStyle name="Normal 10 2 29" xfId="5576" xr:uid="{00000000-0005-0000-0000-00008E150000}"/>
    <cellStyle name="Normal 10 2 3" xfId="5577" xr:uid="{00000000-0005-0000-0000-00008F150000}"/>
    <cellStyle name="Normal 10 2 30" xfId="5578" xr:uid="{00000000-0005-0000-0000-000090150000}"/>
    <cellStyle name="Normal 10 2 31" xfId="5579" xr:uid="{00000000-0005-0000-0000-000091150000}"/>
    <cellStyle name="Normal 10 2 32" xfId="5580" xr:uid="{00000000-0005-0000-0000-000092150000}"/>
    <cellStyle name="Normal 10 2 33" xfId="5581" xr:uid="{00000000-0005-0000-0000-000093150000}"/>
    <cellStyle name="Normal 10 2 34" xfId="5582" xr:uid="{00000000-0005-0000-0000-000094150000}"/>
    <cellStyle name="Normal 10 2 35" xfId="5583" xr:uid="{00000000-0005-0000-0000-000095150000}"/>
    <cellStyle name="Normal 10 2 36" xfId="5584" xr:uid="{00000000-0005-0000-0000-000096150000}"/>
    <cellStyle name="Normal 10 2 37" xfId="5585" xr:uid="{00000000-0005-0000-0000-000097150000}"/>
    <cellStyle name="Normal 10 2 38" xfId="5586" xr:uid="{00000000-0005-0000-0000-000098150000}"/>
    <cellStyle name="Normal 10 2 39" xfId="5587" xr:uid="{00000000-0005-0000-0000-000099150000}"/>
    <cellStyle name="Normal 10 2 4" xfId="5588" xr:uid="{00000000-0005-0000-0000-00009A150000}"/>
    <cellStyle name="Normal 10 2 40" xfId="5589" xr:uid="{00000000-0005-0000-0000-00009B150000}"/>
    <cellStyle name="Normal 10 2 41" xfId="5590" xr:uid="{00000000-0005-0000-0000-00009C150000}"/>
    <cellStyle name="Normal 10 2 42" xfId="5591" xr:uid="{00000000-0005-0000-0000-00009D150000}"/>
    <cellStyle name="Normal 10 2 43" xfId="5592" xr:uid="{00000000-0005-0000-0000-00009E150000}"/>
    <cellStyle name="Normal 10 2 44" xfId="5593" xr:uid="{00000000-0005-0000-0000-00009F150000}"/>
    <cellStyle name="Normal 10 2 45" xfId="5594" xr:uid="{00000000-0005-0000-0000-0000A0150000}"/>
    <cellStyle name="Normal 10 2 46" xfId="5595" xr:uid="{00000000-0005-0000-0000-0000A1150000}"/>
    <cellStyle name="Normal 10 2 47" xfId="5596" xr:uid="{00000000-0005-0000-0000-0000A2150000}"/>
    <cellStyle name="Normal 10 2 48" xfId="5597" xr:uid="{00000000-0005-0000-0000-0000A3150000}"/>
    <cellStyle name="Normal 10 2 49" xfId="5598" xr:uid="{00000000-0005-0000-0000-0000A4150000}"/>
    <cellStyle name="Normal 10 2 5" xfId="5599" xr:uid="{00000000-0005-0000-0000-0000A5150000}"/>
    <cellStyle name="Normal 10 2 50" xfId="5600" xr:uid="{00000000-0005-0000-0000-0000A6150000}"/>
    <cellStyle name="Normal 10 2 51" xfId="5601" xr:uid="{00000000-0005-0000-0000-0000A7150000}"/>
    <cellStyle name="Normal 10 2 52" xfId="5602" xr:uid="{00000000-0005-0000-0000-0000A8150000}"/>
    <cellStyle name="Normal 10 2 53" xfId="5603" xr:uid="{00000000-0005-0000-0000-0000A9150000}"/>
    <cellStyle name="Normal 10 2 54" xfId="5604" xr:uid="{00000000-0005-0000-0000-0000AA150000}"/>
    <cellStyle name="Normal 10 2 55" xfId="5605" xr:uid="{00000000-0005-0000-0000-0000AB150000}"/>
    <cellStyle name="Normal 10 2 56" xfId="5606" xr:uid="{00000000-0005-0000-0000-0000AC150000}"/>
    <cellStyle name="Normal 10 2 57" xfId="5607" xr:uid="{00000000-0005-0000-0000-0000AD150000}"/>
    <cellStyle name="Normal 10 2 58" xfId="5608" xr:uid="{00000000-0005-0000-0000-0000AE150000}"/>
    <cellStyle name="Normal 10 2 59" xfId="5609" xr:uid="{00000000-0005-0000-0000-0000AF150000}"/>
    <cellStyle name="Normal 10 2 6" xfId="5610" xr:uid="{00000000-0005-0000-0000-0000B0150000}"/>
    <cellStyle name="Normal 10 2 60" xfId="5611" xr:uid="{00000000-0005-0000-0000-0000B1150000}"/>
    <cellStyle name="Normal 10 2 61" xfId="5612" xr:uid="{00000000-0005-0000-0000-0000B2150000}"/>
    <cellStyle name="Normal 10 2 62" xfId="5613" xr:uid="{00000000-0005-0000-0000-0000B3150000}"/>
    <cellStyle name="Normal 10 2 63" xfId="5614" xr:uid="{00000000-0005-0000-0000-0000B4150000}"/>
    <cellStyle name="Normal 10 2 64" xfId="5615" xr:uid="{00000000-0005-0000-0000-0000B5150000}"/>
    <cellStyle name="Normal 10 2 65" xfId="5616" xr:uid="{00000000-0005-0000-0000-0000B6150000}"/>
    <cellStyle name="Normal 10 2 66" xfId="5617" xr:uid="{00000000-0005-0000-0000-0000B7150000}"/>
    <cellStyle name="Normal 10 2 67" xfId="5618" xr:uid="{00000000-0005-0000-0000-0000B8150000}"/>
    <cellStyle name="Normal 10 2 68" xfId="5619" xr:uid="{00000000-0005-0000-0000-0000B9150000}"/>
    <cellStyle name="Normal 10 2 69" xfId="5620" xr:uid="{00000000-0005-0000-0000-0000BA150000}"/>
    <cellStyle name="Normal 10 2 7" xfId="5621" xr:uid="{00000000-0005-0000-0000-0000BB150000}"/>
    <cellStyle name="Normal 10 2 70" xfId="5622" xr:uid="{00000000-0005-0000-0000-0000BC150000}"/>
    <cellStyle name="Normal 10 2 71" xfId="5623" xr:uid="{00000000-0005-0000-0000-0000BD150000}"/>
    <cellStyle name="Normal 10 2 72" xfId="5624" xr:uid="{00000000-0005-0000-0000-0000BE150000}"/>
    <cellStyle name="Normal 10 2 73" xfId="5625" xr:uid="{00000000-0005-0000-0000-0000BF150000}"/>
    <cellStyle name="Normal 10 2 74" xfId="5626" xr:uid="{00000000-0005-0000-0000-0000C0150000}"/>
    <cellStyle name="Normal 10 2 75" xfId="5627" xr:uid="{00000000-0005-0000-0000-0000C1150000}"/>
    <cellStyle name="Normal 10 2 76" xfId="5628" xr:uid="{00000000-0005-0000-0000-0000C2150000}"/>
    <cellStyle name="Normal 10 2 77" xfId="5629" xr:uid="{00000000-0005-0000-0000-0000C3150000}"/>
    <cellStyle name="Normal 10 2 78" xfId="5630" xr:uid="{00000000-0005-0000-0000-0000C4150000}"/>
    <cellStyle name="Normal 10 2 79" xfId="5631" xr:uid="{00000000-0005-0000-0000-0000C5150000}"/>
    <cellStyle name="Normal 10 2 8" xfId="5632" xr:uid="{00000000-0005-0000-0000-0000C6150000}"/>
    <cellStyle name="Normal 10 2 9" xfId="5633" xr:uid="{00000000-0005-0000-0000-0000C7150000}"/>
    <cellStyle name="Normal 10 2_Enlaces" xfId="5634" xr:uid="{00000000-0005-0000-0000-0000C8150000}"/>
    <cellStyle name="Normal 10 20" xfId="5635" xr:uid="{00000000-0005-0000-0000-0000C9150000}"/>
    <cellStyle name="Normal 10 21" xfId="5636" xr:uid="{00000000-0005-0000-0000-0000CA150000}"/>
    <cellStyle name="Normal 10 22" xfId="5637" xr:uid="{00000000-0005-0000-0000-0000CB150000}"/>
    <cellStyle name="Normal 10 23" xfId="5638" xr:uid="{00000000-0005-0000-0000-0000CC150000}"/>
    <cellStyle name="Normal 10 24" xfId="5639" xr:uid="{00000000-0005-0000-0000-0000CD150000}"/>
    <cellStyle name="Normal 10 25" xfId="5640" xr:uid="{00000000-0005-0000-0000-0000CE150000}"/>
    <cellStyle name="Normal 10 26" xfId="5641" xr:uid="{00000000-0005-0000-0000-0000CF150000}"/>
    <cellStyle name="Normal 10 27" xfId="5642" xr:uid="{00000000-0005-0000-0000-0000D0150000}"/>
    <cellStyle name="Normal 10 28" xfId="5643" xr:uid="{00000000-0005-0000-0000-0000D1150000}"/>
    <cellStyle name="Normal 10 29" xfId="5644" xr:uid="{00000000-0005-0000-0000-0000D2150000}"/>
    <cellStyle name="Normal 10 3" xfId="5645" xr:uid="{00000000-0005-0000-0000-0000D3150000}"/>
    <cellStyle name="Normal 10 3 2" xfId="5646" xr:uid="{00000000-0005-0000-0000-0000D4150000}"/>
    <cellStyle name="Normal 10 3 3" xfId="5647" xr:uid="{00000000-0005-0000-0000-0000D5150000}"/>
    <cellStyle name="Normal 10 3 4" xfId="5648" xr:uid="{00000000-0005-0000-0000-0000D6150000}"/>
    <cellStyle name="Normal 10 3 4 2" xfId="5649" xr:uid="{00000000-0005-0000-0000-0000D7150000}"/>
    <cellStyle name="Normal 10 3 4 2 2" xfId="5650" xr:uid="{00000000-0005-0000-0000-0000D8150000}"/>
    <cellStyle name="Normal 10 3 4 3" xfId="5651" xr:uid="{00000000-0005-0000-0000-0000D9150000}"/>
    <cellStyle name="Normal 10 3 5" xfId="5652" xr:uid="{00000000-0005-0000-0000-0000DA150000}"/>
    <cellStyle name="Normal 10 3 6" xfId="5653" xr:uid="{00000000-0005-0000-0000-0000DB150000}"/>
    <cellStyle name="Normal 10 3 7" xfId="5654" xr:uid="{00000000-0005-0000-0000-0000DC150000}"/>
    <cellStyle name="Normal 10 3 7 2" xfId="5655" xr:uid="{00000000-0005-0000-0000-0000DD150000}"/>
    <cellStyle name="Normal 10 3 8" xfId="5656" xr:uid="{00000000-0005-0000-0000-0000DE150000}"/>
    <cellStyle name="Normal 10 3 9" xfId="5657" xr:uid="{00000000-0005-0000-0000-0000DF150000}"/>
    <cellStyle name="Normal 10 3_Implem" xfId="5658" xr:uid="{00000000-0005-0000-0000-0000E0150000}"/>
    <cellStyle name="Normal 10 30" xfId="5659" xr:uid="{00000000-0005-0000-0000-0000E1150000}"/>
    <cellStyle name="Normal 10 31" xfId="5660" xr:uid="{00000000-0005-0000-0000-0000E2150000}"/>
    <cellStyle name="Normal 10 32" xfId="2237" xr:uid="{00000000-0005-0000-0000-0000E3150000}"/>
    <cellStyle name="Normal 10 4" xfId="5661" xr:uid="{00000000-0005-0000-0000-0000E4150000}"/>
    <cellStyle name="Normal 10 5" xfId="5662" xr:uid="{00000000-0005-0000-0000-0000E5150000}"/>
    <cellStyle name="Normal 10 6" xfId="5663" xr:uid="{00000000-0005-0000-0000-0000E6150000}"/>
    <cellStyle name="Normal 10 7" xfId="5664" xr:uid="{00000000-0005-0000-0000-0000E7150000}"/>
    <cellStyle name="Normal 10 8" xfId="5665" xr:uid="{00000000-0005-0000-0000-0000E8150000}"/>
    <cellStyle name="Normal 10 9" xfId="5666" xr:uid="{00000000-0005-0000-0000-0000E9150000}"/>
    <cellStyle name="Normal 100" xfId="5667" xr:uid="{00000000-0005-0000-0000-0000EA150000}"/>
    <cellStyle name="Normal 100 2" xfId="5668" xr:uid="{00000000-0005-0000-0000-0000EB150000}"/>
    <cellStyle name="Normal 100 3" xfId="5669" xr:uid="{00000000-0005-0000-0000-0000EC150000}"/>
    <cellStyle name="Normal 101" xfId="5670" xr:uid="{00000000-0005-0000-0000-0000ED150000}"/>
    <cellStyle name="Normal 101 2" xfId="5671" xr:uid="{00000000-0005-0000-0000-0000EE150000}"/>
    <cellStyle name="Normal 101 3" xfId="5672" xr:uid="{00000000-0005-0000-0000-0000EF150000}"/>
    <cellStyle name="Normal 102" xfId="5673" xr:uid="{00000000-0005-0000-0000-0000F0150000}"/>
    <cellStyle name="Normal 102 2" xfId="5674" xr:uid="{00000000-0005-0000-0000-0000F1150000}"/>
    <cellStyle name="Normal 102 3" xfId="5675" xr:uid="{00000000-0005-0000-0000-0000F2150000}"/>
    <cellStyle name="Normal 103" xfId="5676" xr:uid="{00000000-0005-0000-0000-0000F3150000}"/>
    <cellStyle name="Normal 103 2" xfId="5677" xr:uid="{00000000-0005-0000-0000-0000F4150000}"/>
    <cellStyle name="Normal 104" xfId="5678" xr:uid="{00000000-0005-0000-0000-0000F5150000}"/>
    <cellStyle name="Normal 104 2" xfId="5679" xr:uid="{00000000-0005-0000-0000-0000F6150000}"/>
    <cellStyle name="Normal 105" xfId="5680" xr:uid="{00000000-0005-0000-0000-0000F7150000}"/>
    <cellStyle name="Normal 105 2" xfId="5681" xr:uid="{00000000-0005-0000-0000-0000F8150000}"/>
    <cellStyle name="Normal 106" xfId="5682" xr:uid="{00000000-0005-0000-0000-0000F9150000}"/>
    <cellStyle name="Normal 106 2" xfId="5683" xr:uid="{00000000-0005-0000-0000-0000FA150000}"/>
    <cellStyle name="Normal 107" xfId="5684" xr:uid="{00000000-0005-0000-0000-0000FB150000}"/>
    <cellStyle name="Normal 107 2" xfId="5685" xr:uid="{00000000-0005-0000-0000-0000FC150000}"/>
    <cellStyle name="Normal 108" xfId="5686" xr:uid="{00000000-0005-0000-0000-0000FD150000}"/>
    <cellStyle name="Normal 108 2" xfId="5687" xr:uid="{00000000-0005-0000-0000-0000FE150000}"/>
    <cellStyle name="Normal 109" xfId="5688" xr:uid="{00000000-0005-0000-0000-0000FF150000}"/>
    <cellStyle name="Normal 109 2" xfId="5689" xr:uid="{00000000-0005-0000-0000-000000160000}"/>
    <cellStyle name="Normal 11" xfId="70" xr:uid="{00000000-0005-0000-0000-000001160000}"/>
    <cellStyle name="Normal 11 10" xfId="5691" xr:uid="{00000000-0005-0000-0000-000002160000}"/>
    <cellStyle name="Normal 11 11" xfId="5692" xr:uid="{00000000-0005-0000-0000-000003160000}"/>
    <cellStyle name="Normal 11 12" xfId="5693" xr:uid="{00000000-0005-0000-0000-000004160000}"/>
    <cellStyle name="Normal 11 13" xfId="5694" xr:uid="{00000000-0005-0000-0000-000005160000}"/>
    <cellStyle name="Normal 11 14" xfId="5695" xr:uid="{00000000-0005-0000-0000-000006160000}"/>
    <cellStyle name="Normal 11 15" xfId="5696" xr:uid="{00000000-0005-0000-0000-000007160000}"/>
    <cellStyle name="Normal 11 16" xfId="5697" xr:uid="{00000000-0005-0000-0000-000008160000}"/>
    <cellStyle name="Normal 11 17" xfId="5698" xr:uid="{00000000-0005-0000-0000-000009160000}"/>
    <cellStyle name="Normal 11 18" xfId="5699" xr:uid="{00000000-0005-0000-0000-00000A160000}"/>
    <cellStyle name="Normal 11 19" xfId="5700" xr:uid="{00000000-0005-0000-0000-00000B160000}"/>
    <cellStyle name="Normal 11 2" xfId="5701" xr:uid="{00000000-0005-0000-0000-00000C160000}"/>
    <cellStyle name="Normal 11 2 2" xfId="5702" xr:uid="{00000000-0005-0000-0000-00000D160000}"/>
    <cellStyle name="Normal 11 2 3" xfId="5703" xr:uid="{00000000-0005-0000-0000-00000E160000}"/>
    <cellStyle name="Normal 11 20" xfId="5704" xr:uid="{00000000-0005-0000-0000-00000F160000}"/>
    <cellStyle name="Normal 11 21" xfId="5705" xr:uid="{00000000-0005-0000-0000-000010160000}"/>
    <cellStyle name="Normal 11 22" xfId="5706" xr:uid="{00000000-0005-0000-0000-000011160000}"/>
    <cellStyle name="Normal 11 23" xfId="5707" xr:uid="{00000000-0005-0000-0000-000012160000}"/>
    <cellStyle name="Normal 11 24" xfId="5708" xr:uid="{00000000-0005-0000-0000-000013160000}"/>
    <cellStyle name="Normal 11 25" xfId="5709" xr:uid="{00000000-0005-0000-0000-000014160000}"/>
    <cellStyle name="Normal 11 26" xfId="5690" xr:uid="{00000000-0005-0000-0000-000015160000}"/>
    <cellStyle name="Normal 11 3" xfId="5710" xr:uid="{00000000-0005-0000-0000-000016160000}"/>
    <cellStyle name="Normal 11 3 2" xfId="5711" xr:uid="{00000000-0005-0000-0000-000017160000}"/>
    <cellStyle name="Normal 11 3 3" xfId="5712" xr:uid="{00000000-0005-0000-0000-000018160000}"/>
    <cellStyle name="Normal 11 4" xfId="5713" xr:uid="{00000000-0005-0000-0000-000019160000}"/>
    <cellStyle name="Normal 11 5" xfId="5714" xr:uid="{00000000-0005-0000-0000-00001A160000}"/>
    <cellStyle name="Normal 11 6" xfId="5715" xr:uid="{00000000-0005-0000-0000-00001B160000}"/>
    <cellStyle name="Normal 11 7" xfId="5716" xr:uid="{00000000-0005-0000-0000-00001C160000}"/>
    <cellStyle name="Normal 11 8" xfId="5717" xr:uid="{00000000-0005-0000-0000-00001D160000}"/>
    <cellStyle name="Normal 11 9" xfId="5718" xr:uid="{00000000-0005-0000-0000-00001E160000}"/>
    <cellStyle name="Normal 110" xfId="5719" xr:uid="{00000000-0005-0000-0000-00001F160000}"/>
    <cellStyle name="Normal 110 2" xfId="5720" xr:uid="{00000000-0005-0000-0000-000020160000}"/>
    <cellStyle name="Normal 111" xfId="5721" xr:uid="{00000000-0005-0000-0000-000021160000}"/>
    <cellStyle name="Normal 111 2" xfId="5722" xr:uid="{00000000-0005-0000-0000-000022160000}"/>
    <cellStyle name="Normal 112" xfId="5723" xr:uid="{00000000-0005-0000-0000-000023160000}"/>
    <cellStyle name="Normal 112 2" xfId="5724" xr:uid="{00000000-0005-0000-0000-000024160000}"/>
    <cellStyle name="Normal 113" xfId="5725" xr:uid="{00000000-0005-0000-0000-000025160000}"/>
    <cellStyle name="Normal 113 2" xfId="5726" xr:uid="{00000000-0005-0000-0000-000026160000}"/>
    <cellStyle name="Normal 114" xfId="5727" xr:uid="{00000000-0005-0000-0000-000027160000}"/>
    <cellStyle name="Normal 114 2" xfId="5728" xr:uid="{00000000-0005-0000-0000-000028160000}"/>
    <cellStyle name="Normal 115" xfId="5729" xr:uid="{00000000-0005-0000-0000-000029160000}"/>
    <cellStyle name="Normal 115 2" xfId="5730" xr:uid="{00000000-0005-0000-0000-00002A160000}"/>
    <cellStyle name="Normal 116" xfId="5731" xr:uid="{00000000-0005-0000-0000-00002B160000}"/>
    <cellStyle name="Normal 116 2" xfId="5732" xr:uid="{00000000-0005-0000-0000-00002C160000}"/>
    <cellStyle name="Normal 117" xfId="5733" xr:uid="{00000000-0005-0000-0000-00002D160000}"/>
    <cellStyle name="Normal 117 2" xfId="5734" xr:uid="{00000000-0005-0000-0000-00002E160000}"/>
    <cellStyle name="Normal 118" xfId="5735" xr:uid="{00000000-0005-0000-0000-00002F160000}"/>
    <cellStyle name="Normal 118 2" xfId="5736" xr:uid="{00000000-0005-0000-0000-000030160000}"/>
    <cellStyle name="Normal 119" xfId="5737" xr:uid="{00000000-0005-0000-0000-000031160000}"/>
    <cellStyle name="Normal 119 2" xfId="5738" xr:uid="{00000000-0005-0000-0000-000032160000}"/>
    <cellStyle name="Normal 12" xfId="72" xr:uid="{00000000-0005-0000-0000-000033160000}"/>
    <cellStyle name="Normal 12 10" xfId="5740" xr:uid="{00000000-0005-0000-0000-000034160000}"/>
    <cellStyle name="Normal 12 11" xfId="5741" xr:uid="{00000000-0005-0000-0000-000035160000}"/>
    <cellStyle name="Normal 12 12" xfId="5742" xr:uid="{00000000-0005-0000-0000-000036160000}"/>
    <cellStyle name="Normal 12 13" xfId="5743" xr:uid="{00000000-0005-0000-0000-000037160000}"/>
    <cellStyle name="Normal 12 14" xfId="5744" xr:uid="{00000000-0005-0000-0000-000038160000}"/>
    <cellStyle name="Normal 12 15" xfId="5745" xr:uid="{00000000-0005-0000-0000-000039160000}"/>
    <cellStyle name="Normal 12 16" xfId="5746" xr:uid="{00000000-0005-0000-0000-00003A160000}"/>
    <cellStyle name="Normal 12 17" xfId="5747" xr:uid="{00000000-0005-0000-0000-00003B160000}"/>
    <cellStyle name="Normal 12 18" xfId="5748" xr:uid="{00000000-0005-0000-0000-00003C160000}"/>
    <cellStyle name="Normal 12 19" xfId="5749" xr:uid="{00000000-0005-0000-0000-00003D160000}"/>
    <cellStyle name="Normal 12 2" xfId="5750" xr:uid="{00000000-0005-0000-0000-00003E160000}"/>
    <cellStyle name="Normal 12 2 2" xfId="5751" xr:uid="{00000000-0005-0000-0000-00003F160000}"/>
    <cellStyle name="Normal 12 2 3" xfId="5752" xr:uid="{00000000-0005-0000-0000-000040160000}"/>
    <cellStyle name="Normal 12 20" xfId="5753" xr:uid="{00000000-0005-0000-0000-000041160000}"/>
    <cellStyle name="Normal 12 21" xfId="5754" xr:uid="{00000000-0005-0000-0000-000042160000}"/>
    <cellStyle name="Normal 12 22" xfId="5755" xr:uid="{00000000-0005-0000-0000-000043160000}"/>
    <cellStyle name="Normal 12 23" xfId="5756" xr:uid="{00000000-0005-0000-0000-000044160000}"/>
    <cellStyle name="Normal 12 24" xfId="5757" xr:uid="{00000000-0005-0000-0000-000045160000}"/>
    <cellStyle name="Normal 12 25" xfId="5758" xr:uid="{00000000-0005-0000-0000-000046160000}"/>
    <cellStyle name="Normal 12 26" xfId="5739" xr:uid="{00000000-0005-0000-0000-000047160000}"/>
    <cellStyle name="Normal 12 3" xfId="5759" xr:uid="{00000000-0005-0000-0000-000048160000}"/>
    <cellStyle name="Normal 12 3 2" xfId="5760" xr:uid="{00000000-0005-0000-0000-000049160000}"/>
    <cellStyle name="Normal 12 3 3" xfId="5761" xr:uid="{00000000-0005-0000-0000-00004A160000}"/>
    <cellStyle name="Normal 12 4" xfId="5762" xr:uid="{00000000-0005-0000-0000-00004B160000}"/>
    <cellStyle name="Normal 12 5" xfId="5763" xr:uid="{00000000-0005-0000-0000-00004C160000}"/>
    <cellStyle name="Normal 12 6" xfId="5764" xr:uid="{00000000-0005-0000-0000-00004D160000}"/>
    <cellStyle name="Normal 12 7" xfId="5765" xr:uid="{00000000-0005-0000-0000-00004E160000}"/>
    <cellStyle name="Normal 12 8" xfId="5766" xr:uid="{00000000-0005-0000-0000-00004F160000}"/>
    <cellStyle name="Normal 12 9" xfId="5767" xr:uid="{00000000-0005-0000-0000-000050160000}"/>
    <cellStyle name="Normal 120" xfId="5768" xr:uid="{00000000-0005-0000-0000-000051160000}"/>
    <cellStyle name="Normal 120 2" xfId="5769" xr:uid="{00000000-0005-0000-0000-000052160000}"/>
    <cellStyle name="Normal 121" xfId="5770" xr:uid="{00000000-0005-0000-0000-000053160000}"/>
    <cellStyle name="Normal 121 2" xfId="5771" xr:uid="{00000000-0005-0000-0000-000054160000}"/>
    <cellStyle name="Normal 122" xfId="5772" xr:uid="{00000000-0005-0000-0000-000055160000}"/>
    <cellStyle name="Normal 122 2" xfId="5773" xr:uid="{00000000-0005-0000-0000-000056160000}"/>
    <cellStyle name="Normal 123" xfId="5774" xr:uid="{00000000-0005-0000-0000-000057160000}"/>
    <cellStyle name="Normal 123 2" xfId="5775" xr:uid="{00000000-0005-0000-0000-000058160000}"/>
    <cellStyle name="Normal 124" xfId="5776" xr:uid="{00000000-0005-0000-0000-000059160000}"/>
    <cellStyle name="Normal 124 2" xfId="5777" xr:uid="{00000000-0005-0000-0000-00005A160000}"/>
    <cellStyle name="Normal 125" xfId="5778" xr:uid="{00000000-0005-0000-0000-00005B160000}"/>
    <cellStyle name="Normal 125 2" xfId="5779" xr:uid="{00000000-0005-0000-0000-00005C160000}"/>
    <cellStyle name="Normal 126" xfId="5780" xr:uid="{00000000-0005-0000-0000-00005D160000}"/>
    <cellStyle name="Normal 126 2" xfId="5781" xr:uid="{00000000-0005-0000-0000-00005E160000}"/>
    <cellStyle name="Normal 127" xfId="5782" xr:uid="{00000000-0005-0000-0000-00005F160000}"/>
    <cellStyle name="Normal 127 2" xfId="5783" xr:uid="{00000000-0005-0000-0000-000060160000}"/>
    <cellStyle name="Normal 128" xfId="5784" xr:uid="{00000000-0005-0000-0000-000061160000}"/>
    <cellStyle name="Normal 128 2" xfId="5785" xr:uid="{00000000-0005-0000-0000-000062160000}"/>
    <cellStyle name="Normal 129" xfId="5786" xr:uid="{00000000-0005-0000-0000-000063160000}"/>
    <cellStyle name="Normal 129 2" xfId="5787" xr:uid="{00000000-0005-0000-0000-000064160000}"/>
    <cellStyle name="Normal 13" xfId="79" xr:uid="{00000000-0005-0000-0000-000065160000}"/>
    <cellStyle name="Normal 13 10" xfId="5789" xr:uid="{00000000-0005-0000-0000-000066160000}"/>
    <cellStyle name="Normal 13 11" xfId="5790" xr:uid="{00000000-0005-0000-0000-000067160000}"/>
    <cellStyle name="Normal 13 12" xfId="5791" xr:uid="{00000000-0005-0000-0000-000068160000}"/>
    <cellStyle name="Normal 13 13" xfId="5792" xr:uid="{00000000-0005-0000-0000-000069160000}"/>
    <cellStyle name="Normal 13 14" xfId="5793" xr:uid="{00000000-0005-0000-0000-00006A160000}"/>
    <cellStyle name="Normal 13 15" xfId="5794" xr:uid="{00000000-0005-0000-0000-00006B160000}"/>
    <cellStyle name="Normal 13 16" xfId="5795" xr:uid="{00000000-0005-0000-0000-00006C160000}"/>
    <cellStyle name="Normal 13 17" xfId="5796" xr:uid="{00000000-0005-0000-0000-00006D160000}"/>
    <cellStyle name="Normal 13 18" xfId="5797" xr:uid="{00000000-0005-0000-0000-00006E160000}"/>
    <cellStyle name="Normal 13 19" xfId="5798" xr:uid="{00000000-0005-0000-0000-00006F160000}"/>
    <cellStyle name="Normal 13 2" xfId="5799" xr:uid="{00000000-0005-0000-0000-000070160000}"/>
    <cellStyle name="Normal 13 2 2" xfId="5800" xr:uid="{00000000-0005-0000-0000-000071160000}"/>
    <cellStyle name="Normal 13 2 3" xfId="5801" xr:uid="{00000000-0005-0000-0000-000072160000}"/>
    <cellStyle name="Normal 13 20" xfId="5802" xr:uid="{00000000-0005-0000-0000-000073160000}"/>
    <cellStyle name="Normal 13 21" xfId="5803" xr:uid="{00000000-0005-0000-0000-000074160000}"/>
    <cellStyle name="Normal 13 22" xfId="5804" xr:uid="{00000000-0005-0000-0000-000075160000}"/>
    <cellStyle name="Normal 13 23" xfId="5805" xr:uid="{00000000-0005-0000-0000-000076160000}"/>
    <cellStyle name="Normal 13 24" xfId="5806" xr:uid="{00000000-0005-0000-0000-000077160000}"/>
    <cellStyle name="Normal 13 25" xfId="5807" xr:uid="{00000000-0005-0000-0000-000078160000}"/>
    <cellStyle name="Normal 13 26" xfId="5808" xr:uid="{00000000-0005-0000-0000-000079160000}"/>
    <cellStyle name="Normal 13 27" xfId="5788" xr:uid="{00000000-0005-0000-0000-00007A160000}"/>
    <cellStyle name="Normal 13 3" xfId="5809" xr:uid="{00000000-0005-0000-0000-00007B160000}"/>
    <cellStyle name="Normal 13 3 2" xfId="5810" xr:uid="{00000000-0005-0000-0000-00007C160000}"/>
    <cellStyle name="Normal 13 3 3" xfId="5811" xr:uid="{00000000-0005-0000-0000-00007D160000}"/>
    <cellStyle name="Normal 13 4" xfId="5812" xr:uid="{00000000-0005-0000-0000-00007E160000}"/>
    <cellStyle name="Normal 13 5" xfId="5813" xr:uid="{00000000-0005-0000-0000-00007F160000}"/>
    <cellStyle name="Normal 13 6" xfId="5814" xr:uid="{00000000-0005-0000-0000-000080160000}"/>
    <cellStyle name="Normal 13 7" xfId="5815" xr:uid="{00000000-0005-0000-0000-000081160000}"/>
    <cellStyle name="Normal 13 8" xfId="5816" xr:uid="{00000000-0005-0000-0000-000082160000}"/>
    <cellStyle name="Normal 13 9" xfId="5817" xr:uid="{00000000-0005-0000-0000-000083160000}"/>
    <cellStyle name="Normal 130" xfId="5818" xr:uid="{00000000-0005-0000-0000-000084160000}"/>
    <cellStyle name="Normal 130 2" xfId="5819" xr:uid="{00000000-0005-0000-0000-000085160000}"/>
    <cellStyle name="Normal 131" xfId="5820" xr:uid="{00000000-0005-0000-0000-000086160000}"/>
    <cellStyle name="Normal 131 2" xfId="5821" xr:uid="{00000000-0005-0000-0000-000087160000}"/>
    <cellStyle name="Normal 132" xfId="5822" xr:uid="{00000000-0005-0000-0000-000088160000}"/>
    <cellStyle name="Normal 132 2" xfId="5823" xr:uid="{00000000-0005-0000-0000-000089160000}"/>
    <cellStyle name="Normal 133" xfId="5824" xr:uid="{00000000-0005-0000-0000-00008A160000}"/>
    <cellStyle name="Normal 133 2" xfId="5825" xr:uid="{00000000-0005-0000-0000-00008B160000}"/>
    <cellStyle name="Normal 134" xfId="5826" xr:uid="{00000000-0005-0000-0000-00008C160000}"/>
    <cellStyle name="Normal 134 2" xfId="5827" xr:uid="{00000000-0005-0000-0000-00008D160000}"/>
    <cellStyle name="Normal 135" xfId="5828" xr:uid="{00000000-0005-0000-0000-00008E160000}"/>
    <cellStyle name="Normal 135 2" xfId="5829" xr:uid="{00000000-0005-0000-0000-00008F160000}"/>
    <cellStyle name="Normal 136" xfId="5830" xr:uid="{00000000-0005-0000-0000-000090160000}"/>
    <cellStyle name="Normal 136 2" xfId="5831" xr:uid="{00000000-0005-0000-0000-000091160000}"/>
    <cellStyle name="Normal 137" xfId="5832" xr:uid="{00000000-0005-0000-0000-000092160000}"/>
    <cellStyle name="Normal 137 2" xfId="5833" xr:uid="{00000000-0005-0000-0000-000093160000}"/>
    <cellStyle name="Normal 138" xfId="5834" xr:uid="{00000000-0005-0000-0000-000094160000}"/>
    <cellStyle name="Normal 138 2" xfId="5835" xr:uid="{00000000-0005-0000-0000-000095160000}"/>
    <cellStyle name="Normal 139" xfId="5836" xr:uid="{00000000-0005-0000-0000-000096160000}"/>
    <cellStyle name="Normal 139 2" xfId="5837" xr:uid="{00000000-0005-0000-0000-000097160000}"/>
    <cellStyle name="Normal 14" xfId="5838" xr:uid="{00000000-0005-0000-0000-000098160000}"/>
    <cellStyle name="Normal 14 2" xfId="5839" xr:uid="{00000000-0005-0000-0000-000099160000}"/>
    <cellStyle name="Normal 14 3" xfId="5840" xr:uid="{00000000-0005-0000-0000-00009A160000}"/>
    <cellStyle name="Normal 14 3 2" xfId="5841" xr:uid="{00000000-0005-0000-0000-00009B160000}"/>
    <cellStyle name="Normal 14 4" xfId="5842" xr:uid="{00000000-0005-0000-0000-00009C160000}"/>
    <cellStyle name="Normal 14 5" xfId="5843" xr:uid="{00000000-0005-0000-0000-00009D160000}"/>
    <cellStyle name="Normal 140" xfId="5844" xr:uid="{00000000-0005-0000-0000-00009E160000}"/>
    <cellStyle name="Normal 140 2" xfId="5845" xr:uid="{00000000-0005-0000-0000-00009F160000}"/>
    <cellStyle name="Normal 141" xfId="5846" xr:uid="{00000000-0005-0000-0000-0000A0160000}"/>
    <cellStyle name="Normal 141 2" xfId="5847" xr:uid="{00000000-0005-0000-0000-0000A1160000}"/>
    <cellStyle name="Normal 142" xfId="5848" xr:uid="{00000000-0005-0000-0000-0000A2160000}"/>
    <cellStyle name="Normal 142 2" xfId="5849" xr:uid="{00000000-0005-0000-0000-0000A3160000}"/>
    <cellStyle name="Normal 143" xfId="5850" xr:uid="{00000000-0005-0000-0000-0000A4160000}"/>
    <cellStyle name="Normal 143 2" xfId="5851" xr:uid="{00000000-0005-0000-0000-0000A5160000}"/>
    <cellStyle name="Normal 144" xfId="5852" xr:uid="{00000000-0005-0000-0000-0000A6160000}"/>
    <cellStyle name="Normal 144 2" xfId="5853" xr:uid="{00000000-0005-0000-0000-0000A7160000}"/>
    <cellStyle name="Normal 145" xfId="5854" xr:uid="{00000000-0005-0000-0000-0000A8160000}"/>
    <cellStyle name="Normal 145 2" xfId="5855" xr:uid="{00000000-0005-0000-0000-0000A9160000}"/>
    <cellStyle name="Normal 146" xfId="5856" xr:uid="{00000000-0005-0000-0000-0000AA160000}"/>
    <cellStyle name="Normal 146 2" xfId="5857" xr:uid="{00000000-0005-0000-0000-0000AB160000}"/>
    <cellStyle name="Normal 147" xfId="5858" xr:uid="{00000000-0005-0000-0000-0000AC160000}"/>
    <cellStyle name="Normal 147 2" xfId="5859" xr:uid="{00000000-0005-0000-0000-0000AD160000}"/>
    <cellStyle name="Normal 148" xfId="5860" xr:uid="{00000000-0005-0000-0000-0000AE160000}"/>
    <cellStyle name="Normal 148 2" xfId="5861" xr:uid="{00000000-0005-0000-0000-0000AF160000}"/>
    <cellStyle name="Normal 149" xfId="5862" xr:uid="{00000000-0005-0000-0000-0000B0160000}"/>
    <cellStyle name="Normal 149 2" xfId="5863" xr:uid="{00000000-0005-0000-0000-0000B1160000}"/>
    <cellStyle name="Normal 15" xfId="18" xr:uid="{00000000-0005-0000-0000-0000B2160000}"/>
    <cellStyle name="Normal 15 10" xfId="5864" xr:uid="{00000000-0005-0000-0000-0000B3160000}"/>
    <cellStyle name="Normal 15 11" xfId="5865" xr:uid="{00000000-0005-0000-0000-0000B4160000}"/>
    <cellStyle name="Normal 15 12" xfId="5866" xr:uid="{00000000-0005-0000-0000-0000B5160000}"/>
    <cellStyle name="Normal 15 13" xfId="5867" xr:uid="{00000000-0005-0000-0000-0000B6160000}"/>
    <cellStyle name="Normal 15 14" xfId="5868" xr:uid="{00000000-0005-0000-0000-0000B7160000}"/>
    <cellStyle name="Normal 15 15" xfId="5869" xr:uid="{00000000-0005-0000-0000-0000B8160000}"/>
    <cellStyle name="Normal 15 16" xfId="5870" xr:uid="{00000000-0005-0000-0000-0000B9160000}"/>
    <cellStyle name="Normal 15 17" xfId="5871" xr:uid="{00000000-0005-0000-0000-0000BA160000}"/>
    <cellStyle name="Normal 15 18" xfId="5872" xr:uid="{00000000-0005-0000-0000-0000BB160000}"/>
    <cellStyle name="Normal 15 19" xfId="5873" xr:uid="{00000000-0005-0000-0000-0000BC160000}"/>
    <cellStyle name="Normal 15 2" xfId="5874" xr:uid="{00000000-0005-0000-0000-0000BD160000}"/>
    <cellStyle name="Normal 15 2 2" xfId="5875" xr:uid="{00000000-0005-0000-0000-0000BE160000}"/>
    <cellStyle name="Normal 15 2 3" xfId="5876" xr:uid="{00000000-0005-0000-0000-0000BF160000}"/>
    <cellStyle name="Normal 15 20" xfId="5877" xr:uid="{00000000-0005-0000-0000-0000C0160000}"/>
    <cellStyle name="Normal 15 21" xfId="5878" xr:uid="{00000000-0005-0000-0000-0000C1160000}"/>
    <cellStyle name="Normal 15 22" xfId="5879" xr:uid="{00000000-0005-0000-0000-0000C2160000}"/>
    <cellStyle name="Normal 15 23" xfId="5880" xr:uid="{00000000-0005-0000-0000-0000C3160000}"/>
    <cellStyle name="Normal 15 24" xfId="5881" xr:uid="{00000000-0005-0000-0000-0000C4160000}"/>
    <cellStyle name="Normal 15 25" xfId="5882" xr:uid="{00000000-0005-0000-0000-0000C5160000}"/>
    <cellStyle name="Normal 15 3" xfId="5883" xr:uid="{00000000-0005-0000-0000-0000C6160000}"/>
    <cellStyle name="Normal 15 3 2" xfId="5884" xr:uid="{00000000-0005-0000-0000-0000C7160000}"/>
    <cellStyle name="Normal 15 3 3" xfId="5885" xr:uid="{00000000-0005-0000-0000-0000C8160000}"/>
    <cellStyle name="Normal 15 4" xfId="5886" xr:uid="{00000000-0005-0000-0000-0000C9160000}"/>
    <cellStyle name="Normal 15 5" xfId="5887" xr:uid="{00000000-0005-0000-0000-0000CA160000}"/>
    <cellStyle name="Normal 15 6" xfId="5888" xr:uid="{00000000-0005-0000-0000-0000CB160000}"/>
    <cellStyle name="Normal 15 7" xfId="5889" xr:uid="{00000000-0005-0000-0000-0000CC160000}"/>
    <cellStyle name="Normal 15 8" xfId="5890" xr:uid="{00000000-0005-0000-0000-0000CD160000}"/>
    <cellStyle name="Normal 15 9" xfId="5891" xr:uid="{00000000-0005-0000-0000-0000CE160000}"/>
    <cellStyle name="Normal 150" xfId="5892" xr:uid="{00000000-0005-0000-0000-0000CF160000}"/>
    <cellStyle name="Normal 150 2" xfId="5893" xr:uid="{00000000-0005-0000-0000-0000D0160000}"/>
    <cellStyle name="Normal 151" xfId="5894" xr:uid="{00000000-0005-0000-0000-0000D1160000}"/>
    <cellStyle name="Normal 151 2" xfId="5895" xr:uid="{00000000-0005-0000-0000-0000D2160000}"/>
    <cellStyle name="Normal 152" xfId="5896" xr:uid="{00000000-0005-0000-0000-0000D3160000}"/>
    <cellStyle name="Normal 152 2" xfId="5897" xr:uid="{00000000-0005-0000-0000-0000D4160000}"/>
    <cellStyle name="Normal 153" xfId="5898" xr:uid="{00000000-0005-0000-0000-0000D5160000}"/>
    <cellStyle name="Normal 153 2" xfId="5899" xr:uid="{00000000-0005-0000-0000-0000D6160000}"/>
    <cellStyle name="Normal 154" xfId="5900" xr:uid="{00000000-0005-0000-0000-0000D7160000}"/>
    <cellStyle name="Normal 154 2" xfId="5901" xr:uid="{00000000-0005-0000-0000-0000D8160000}"/>
    <cellStyle name="Normal 155" xfId="5902" xr:uid="{00000000-0005-0000-0000-0000D9160000}"/>
    <cellStyle name="Normal 155 2" xfId="5903" xr:uid="{00000000-0005-0000-0000-0000DA160000}"/>
    <cellStyle name="Normal 156" xfId="5904" xr:uid="{00000000-0005-0000-0000-0000DB160000}"/>
    <cellStyle name="Normal 156 2" xfId="5905" xr:uid="{00000000-0005-0000-0000-0000DC160000}"/>
    <cellStyle name="Normal 157" xfId="5906" xr:uid="{00000000-0005-0000-0000-0000DD160000}"/>
    <cellStyle name="Normal 157 2" xfId="5907" xr:uid="{00000000-0005-0000-0000-0000DE160000}"/>
    <cellStyle name="Normal 158" xfId="5908" xr:uid="{00000000-0005-0000-0000-0000DF160000}"/>
    <cellStyle name="Normal 158 2" xfId="5909" xr:uid="{00000000-0005-0000-0000-0000E0160000}"/>
    <cellStyle name="Normal 159" xfId="5910" xr:uid="{00000000-0005-0000-0000-0000E1160000}"/>
    <cellStyle name="Normal 159 2" xfId="5911" xr:uid="{00000000-0005-0000-0000-0000E2160000}"/>
    <cellStyle name="Normal 16" xfId="5912" xr:uid="{00000000-0005-0000-0000-0000E3160000}"/>
    <cellStyle name="Normal 16 10" xfId="5913" xr:uid="{00000000-0005-0000-0000-0000E4160000}"/>
    <cellStyle name="Normal 16 11" xfId="5914" xr:uid="{00000000-0005-0000-0000-0000E5160000}"/>
    <cellStyle name="Normal 16 12" xfId="5915" xr:uid="{00000000-0005-0000-0000-0000E6160000}"/>
    <cellStyle name="Normal 16 13" xfId="5916" xr:uid="{00000000-0005-0000-0000-0000E7160000}"/>
    <cellStyle name="Normal 16 14" xfId="5917" xr:uid="{00000000-0005-0000-0000-0000E8160000}"/>
    <cellStyle name="Normal 16 15" xfId="5918" xr:uid="{00000000-0005-0000-0000-0000E9160000}"/>
    <cellStyle name="Normal 16 16" xfId="5919" xr:uid="{00000000-0005-0000-0000-0000EA160000}"/>
    <cellStyle name="Normal 16 17" xfId="5920" xr:uid="{00000000-0005-0000-0000-0000EB160000}"/>
    <cellStyle name="Normal 16 18" xfId="5921" xr:uid="{00000000-0005-0000-0000-0000EC160000}"/>
    <cellStyle name="Normal 16 19" xfId="5922" xr:uid="{00000000-0005-0000-0000-0000ED160000}"/>
    <cellStyle name="Normal 16 2" xfId="5923" xr:uid="{00000000-0005-0000-0000-0000EE160000}"/>
    <cellStyle name="Normal 16 2 2" xfId="5924" xr:uid="{00000000-0005-0000-0000-0000EF160000}"/>
    <cellStyle name="Normal 16 2 3" xfId="5925" xr:uid="{00000000-0005-0000-0000-0000F0160000}"/>
    <cellStyle name="Normal 16 20" xfId="5926" xr:uid="{00000000-0005-0000-0000-0000F1160000}"/>
    <cellStyle name="Normal 16 21" xfId="5927" xr:uid="{00000000-0005-0000-0000-0000F2160000}"/>
    <cellStyle name="Normal 16 22" xfId="5928" xr:uid="{00000000-0005-0000-0000-0000F3160000}"/>
    <cellStyle name="Normal 16 23" xfId="5929" xr:uid="{00000000-0005-0000-0000-0000F4160000}"/>
    <cellStyle name="Normal 16 24" xfId="5930" xr:uid="{00000000-0005-0000-0000-0000F5160000}"/>
    <cellStyle name="Normal 16 25" xfId="5931" xr:uid="{00000000-0005-0000-0000-0000F6160000}"/>
    <cellStyle name="Normal 16 26" xfId="5932" xr:uid="{00000000-0005-0000-0000-0000F7160000}"/>
    <cellStyle name="Normal 16 3" xfId="5933" xr:uid="{00000000-0005-0000-0000-0000F8160000}"/>
    <cellStyle name="Normal 16 3 2" xfId="5934" xr:uid="{00000000-0005-0000-0000-0000F9160000}"/>
    <cellStyle name="Normal 16 3 3" xfId="5935" xr:uid="{00000000-0005-0000-0000-0000FA160000}"/>
    <cellStyle name="Normal 16 4" xfId="5936" xr:uid="{00000000-0005-0000-0000-0000FB160000}"/>
    <cellStyle name="Normal 16 5" xfId="5937" xr:uid="{00000000-0005-0000-0000-0000FC160000}"/>
    <cellStyle name="Normal 16 6" xfId="5938" xr:uid="{00000000-0005-0000-0000-0000FD160000}"/>
    <cellStyle name="Normal 16 7" xfId="5939" xr:uid="{00000000-0005-0000-0000-0000FE160000}"/>
    <cellStyle name="Normal 16 8" xfId="5940" xr:uid="{00000000-0005-0000-0000-0000FF160000}"/>
    <cellStyle name="Normal 16 9" xfId="5941" xr:uid="{00000000-0005-0000-0000-000000170000}"/>
    <cellStyle name="Normal 160" xfId="5942" xr:uid="{00000000-0005-0000-0000-000001170000}"/>
    <cellStyle name="Normal 160 2" xfId="5943" xr:uid="{00000000-0005-0000-0000-000002170000}"/>
    <cellStyle name="Normal 161" xfId="5944" xr:uid="{00000000-0005-0000-0000-000003170000}"/>
    <cellStyle name="Normal 161 2" xfId="5945" xr:uid="{00000000-0005-0000-0000-000004170000}"/>
    <cellStyle name="Normal 162" xfId="5946" xr:uid="{00000000-0005-0000-0000-000005170000}"/>
    <cellStyle name="Normal 162 2" xfId="5947" xr:uid="{00000000-0005-0000-0000-000006170000}"/>
    <cellStyle name="Normal 163" xfId="5948" xr:uid="{00000000-0005-0000-0000-000007170000}"/>
    <cellStyle name="Normal 163 2" xfId="5949" xr:uid="{00000000-0005-0000-0000-000008170000}"/>
    <cellStyle name="Normal 164" xfId="5950" xr:uid="{00000000-0005-0000-0000-000009170000}"/>
    <cellStyle name="Normal 164 2" xfId="5951" xr:uid="{00000000-0005-0000-0000-00000A170000}"/>
    <cellStyle name="Normal 165" xfId="5952" xr:uid="{00000000-0005-0000-0000-00000B170000}"/>
    <cellStyle name="Normal 165 2" xfId="5953" xr:uid="{00000000-0005-0000-0000-00000C170000}"/>
    <cellStyle name="Normal 166" xfId="5954" xr:uid="{00000000-0005-0000-0000-00000D170000}"/>
    <cellStyle name="Normal 166 2" xfId="5955" xr:uid="{00000000-0005-0000-0000-00000E170000}"/>
    <cellStyle name="Normal 167" xfId="5956" xr:uid="{00000000-0005-0000-0000-00000F170000}"/>
    <cellStyle name="Normal 167 2" xfId="5957" xr:uid="{00000000-0005-0000-0000-000010170000}"/>
    <cellStyle name="Normal 168" xfId="5958" xr:uid="{00000000-0005-0000-0000-000011170000}"/>
    <cellStyle name="Normal 168 2" xfId="5959" xr:uid="{00000000-0005-0000-0000-000012170000}"/>
    <cellStyle name="Normal 169" xfId="5960" xr:uid="{00000000-0005-0000-0000-000013170000}"/>
    <cellStyle name="Normal 169 2" xfId="5961" xr:uid="{00000000-0005-0000-0000-000014170000}"/>
    <cellStyle name="Normal 17" xfId="19" xr:uid="{00000000-0005-0000-0000-000015170000}"/>
    <cellStyle name="Normal 17 10" xfId="5963" xr:uid="{00000000-0005-0000-0000-000016170000}"/>
    <cellStyle name="Normal 17 11" xfId="5964" xr:uid="{00000000-0005-0000-0000-000017170000}"/>
    <cellStyle name="Normal 17 12" xfId="5965" xr:uid="{00000000-0005-0000-0000-000018170000}"/>
    <cellStyle name="Normal 17 13" xfId="5966" xr:uid="{00000000-0005-0000-0000-000019170000}"/>
    <cellStyle name="Normal 17 14" xfId="5967" xr:uid="{00000000-0005-0000-0000-00001A170000}"/>
    <cellStyle name="Normal 17 15" xfId="5968" xr:uid="{00000000-0005-0000-0000-00001B170000}"/>
    <cellStyle name="Normal 17 16" xfId="5969" xr:uid="{00000000-0005-0000-0000-00001C170000}"/>
    <cellStyle name="Normal 17 17" xfId="5970" xr:uid="{00000000-0005-0000-0000-00001D170000}"/>
    <cellStyle name="Normal 17 18" xfId="5971" xr:uid="{00000000-0005-0000-0000-00001E170000}"/>
    <cellStyle name="Normal 17 19" xfId="5972" xr:uid="{00000000-0005-0000-0000-00001F170000}"/>
    <cellStyle name="Normal 17 2" xfId="5973" xr:uid="{00000000-0005-0000-0000-000020170000}"/>
    <cellStyle name="Normal 17 2 2" xfId="5974" xr:uid="{00000000-0005-0000-0000-000021170000}"/>
    <cellStyle name="Normal 17 2 3" xfId="5975" xr:uid="{00000000-0005-0000-0000-000022170000}"/>
    <cellStyle name="Normal 17 20" xfId="5976" xr:uid="{00000000-0005-0000-0000-000023170000}"/>
    <cellStyle name="Normal 17 21" xfId="5977" xr:uid="{00000000-0005-0000-0000-000024170000}"/>
    <cellStyle name="Normal 17 22" xfId="5978" xr:uid="{00000000-0005-0000-0000-000025170000}"/>
    <cellStyle name="Normal 17 23" xfId="5979" xr:uid="{00000000-0005-0000-0000-000026170000}"/>
    <cellStyle name="Normal 17 24" xfId="5980" xr:uid="{00000000-0005-0000-0000-000027170000}"/>
    <cellStyle name="Normal 17 25" xfId="5981" xr:uid="{00000000-0005-0000-0000-000028170000}"/>
    <cellStyle name="Normal 17 26" xfId="5982" xr:uid="{00000000-0005-0000-0000-000029170000}"/>
    <cellStyle name="Normal 17 27" xfId="5983" xr:uid="{00000000-0005-0000-0000-00002A170000}"/>
    <cellStyle name="Normal 17 28" xfId="5984" xr:uid="{00000000-0005-0000-0000-00002B170000}"/>
    <cellStyle name="Normal 17 29" xfId="5985" xr:uid="{00000000-0005-0000-0000-00002C170000}"/>
    <cellStyle name="Normal 17 3" xfId="5986" xr:uid="{00000000-0005-0000-0000-00002D170000}"/>
    <cellStyle name="Normal 17 3 2" xfId="5987" xr:uid="{00000000-0005-0000-0000-00002E170000}"/>
    <cellStyle name="Normal 17 3 3" xfId="5988" xr:uid="{00000000-0005-0000-0000-00002F170000}"/>
    <cellStyle name="Normal 17 3 4" xfId="5989" xr:uid="{00000000-0005-0000-0000-000030170000}"/>
    <cellStyle name="Normal 17 3 5" xfId="5990" xr:uid="{00000000-0005-0000-0000-000031170000}"/>
    <cellStyle name="Normal 17 30" xfId="5962" xr:uid="{00000000-0005-0000-0000-000032170000}"/>
    <cellStyle name="Normal 17 4" xfId="5991" xr:uid="{00000000-0005-0000-0000-000033170000}"/>
    <cellStyle name="Normal 17 5" xfId="5992" xr:uid="{00000000-0005-0000-0000-000034170000}"/>
    <cellStyle name="Normal 17 6" xfId="5993" xr:uid="{00000000-0005-0000-0000-000035170000}"/>
    <cellStyle name="Normal 17 7" xfId="5994" xr:uid="{00000000-0005-0000-0000-000036170000}"/>
    <cellStyle name="Normal 17 8" xfId="5995" xr:uid="{00000000-0005-0000-0000-000037170000}"/>
    <cellStyle name="Normal 17 9" xfId="5996" xr:uid="{00000000-0005-0000-0000-000038170000}"/>
    <cellStyle name="Normal 170" xfId="5997" xr:uid="{00000000-0005-0000-0000-000039170000}"/>
    <cellStyle name="Normal 171" xfId="5998" xr:uid="{00000000-0005-0000-0000-00003A170000}"/>
    <cellStyle name="Normal 172" xfId="69" xr:uid="{00000000-0005-0000-0000-00003B170000}"/>
    <cellStyle name="Normal 172 2" xfId="39188" xr:uid="{00000000-0005-0000-0000-00003C170000}"/>
    <cellStyle name="Normal 173" xfId="81" xr:uid="{00000000-0005-0000-0000-00003D170000}"/>
    <cellStyle name="Normal 174" xfId="5999" xr:uid="{00000000-0005-0000-0000-00003E170000}"/>
    <cellStyle name="Normal 175" xfId="6000" xr:uid="{00000000-0005-0000-0000-00003F170000}"/>
    <cellStyle name="Normal 176" xfId="6001" xr:uid="{00000000-0005-0000-0000-000040170000}"/>
    <cellStyle name="Normal 177" xfId="39209" xr:uid="{863E2430-35F2-4A7A-A69B-88494B9BBC7F}"/>
    <cellStyle name="Normal 178" xfId="39210" xr:uid="{765E4576-B5C1-484F-9BFE-07A2379C846E}"/>
    <cellStyle name="Normal 179" xfId="39211" xr:uid="{1907FC12-0E0A-4312-9A24-BD28EAB47C71}"/>
    <cellStyle name="Normal 18" xfId="6002" xr:uid="{00000000-0005-0000-0000-000041170000}"/>
    <cellStyle name="Normal 18 10" xfId="6003" xr:uid="{00000000-0005-0000-0000-000042170000}"/>
    <cellStyle name="Normal 18 11" xfId="6004" xr:uid="{00000000-0005-0000-0000-000043170000}"/>
    <cellStyle name="Normal 18 12" xfId="6005" xr:uid="{00000000-0005-0000-0000-000044170000}"/>
    <cellStyle name="Normal 18 13" xfId="6006" xr:uid="{00000000-0005-0000-0000-000045170000}"/>
    <cellStyle name="Normal 18 14" xfId="6007" xr:uid="{00000000-0005-0000-0000-000046170000}"/>
    <cellStyle name="Normal 18 15" xfId="6008" xr:uid="{00000000-0005-0000-0000-000047170000}"/>
    <cellStyle name="Normal 18 16" xfId="6009" xr:uid="{00000000-0005-0000-0000-000048170000}"/>
    <cellStyle name="Normal 18 17" xfId="6010" xr:uid="{00000000-0005-0000-0000-000049170000}"/>
    <cellStyle name="Normal 18 18" xfId="6011" xr:uid="{00000000-0005-0000-0000-00004A170000}"/>
    <cellStyle name="Normal 18 19" xfId="6012" xr:uid="{00000000-0005-0000-0000-00004B170000}"/>
    <cellStyle name="Normal 18 2" xfId="6013" xr:uid="{00000000-0005-0000-0000-00004C170000}"/>
    <cellStyle name="Normal 18 2 2" xfId="6014" xr:uid="{00000000-0005-0000-0000-00004D170000}"/>
    <cellStyle name="Normal 18 2 3" xfId="6015" xr:uid="{00000000-0005-0000-0000-00004E170000}"/>
    <cellStyle name="Normal 18 20" xfId="6016" xr:uid="{00000000-0005-0000-0000-00004F170000}"/>
    <cellStyle name="Normal 18 21" xfId="6017" xr:uid="{00000000-0005-0000-0000-000050170000}"/>
    <cellStyle name="Normal 18 22" xfId="6018" xr:uid="{00000000-0005-0000-0000-000051170000}"/>
    <cellStyle name="Normal 18 23" xfId="6019" xr:uid="{00000000-0005-0000-0000-000052170000}"/>
    <cellStyle name="Normal 18 24" xfId="6020" xr:uid="{00000000-0005-0000-0000-000053170000}"/>
    <cellStyle name="Normal 18 25" xfId="6021" xr:uid="{00000000-0005-0000-0000-000054170000}"/>
    <cellStyle name="Normal 18 3" xfId="6022" xr:uid="{00000000-0005-0000-0000-000055170000}"/>
    <cellStyle name="Normal 18 3 2" xfId="6023" xr:uid="{00000000-0005-0000-0000-000056170000}"/>
    <cellStyle name="Normal 18 3 3" xfId="6024" xr:uid="{00000000-0005-0000-0000-000057170000}"/>
    <cellStyle name="Normal 18 3 4" xfId="6025" xr:uid="{00000000-0005-0000-0000-000058170000}"/>
    <cellStyle name="Normal 18 3 5" xfId="6026" xr:uid="{00000000-0005-0000-0000-000059170000}"/>
    <cellStyle name="Normal 18 4" xfId="6027" xr:uid="{00000000-0005-0000-0000-00005A170000}"/>
    <cellStyle name="Normal 18 5" xfId="6028" xr:uid="{00000000-0005-0000-0000-00005B170000}"/>
    <cellStyle name="Normal 18 6" xfId="6029" xr:uid="{00000000-0005-0000-0000-00005C170000}"/>
    <cellStyle name="Normal 18 7" xfId="6030" xr:uid="{00000000-0005-0000-0000-00005D170000}"/>
    <cellStyle name="Normal 18 8" xfId="6031" xr:uid="{00000000-0005-0000-0000-00005E170000}"/>
    <cellStyle name="Normal 18 9" xfId="6032" xr:uid="{00000000-0005-0000-0000-00005F170000}"/>
    <cellStyle name="Normal 180" xfId="39212" xr:uid="{4AB87A41-B7A7-4AC1-A194-D14BFBD4D033}"/>
    <cellStyle name="Normal 181" xfId="39213" xr:uid="{76849C3A-2503-42FC-A5FA-0E2D52B85C03}"/>
    <cellStyle name="Normal 182" xfId="39214" xr:uid="{97D7DF95-1382-4C44-A030-C0EFB469B8C8}"/>
    <cellStyle name="Normal 183" xfId="39215" xr:uid="{F975256D-BCA1-4D30-BE26-47E6C8D696F2}"/>
    <cellStyle name="Normal 184" xfId="39216" xr:uid="{6173132F-6954-4B41-A115-DDE1A6892BF9}"/>
    <cellStyle name="Normal 185" xfId="39217" xr:uid="{F1C93F53-2F6E-4847-B175-104196EF8B49}"/>
    <cellStyle name="Normal 186" xfId="39218" xr:uid="{4BB4B454-CF2E-4706-B5D1-0E97233C5082}"/>
    <cellStyle name="Normal 187" xfId="39219" xr:uid="{D563389A-3F7F-404A-98F2-65013BE0E11A}"/>
    <cellStyle name="Normal 188" xfId="39220" xr:uid="{331BFD2B-A875-4C6A-B4F4-2161FD65154A}"/>
    <cellStyle name="Normal 189" xfId="39221" xr:uid="{1D6E10DC-908C-4645-9A4F-CE0BCBBB64E2}"/>
    <cellStyle name="Normal 19" xfId="6033" xr:uid="{00000000-0005-0000-0000-000060170000}"/>
    <cellStyle name="Normal 19 10" xfId="6034" xr:uid="{00000000-0005-0000-0000-000061170000}"/>
    <cellStyle name="Normal 19 11" xfId="6035" xr:uid="{00000000-0005-0000-0000-000062170000}"/>
    <cellStyle name="Normal 19 12" xfId="6036" xr:uid="{00000000-0005-0000-0000-000063170000}"/>
    <cellStyle name="Normal 19 13" xfId="6037" xr:uid="{00000000-0005-0000-0000-000064170000}"/>
    <cellStyle name="Normal 19 14" xfId="6038" xr:uid="{00000000-0005-0000-0000-000065170000}"/>
    <cellStyle name="Normal 19 15" xfId="6039" xr:uid="{00000000-0005-0000-0000-000066170000}"/>
    <cellStyle name="Normal 19 16" xfId="6040" xr:uid="{00000000-0005-0000-0000-000067170000}"/>
    <cellStyle name="Normal 19 17" xfId="6041" xr:uid="{00000000-0005-0000-0000-000068170000}"/>
    <cellStyle name="Normal 19 18" xfId="6042" xr:uid="{00000000-0005-0000-0000-000069170000}"/>
    <cellStyle name="Normal 19 19" xfId="6043" xr:uid="{00000000-0005-0000-0000-00006A170000}"/>
    <cellStyle name="Normal 19 2" xfId="6044" xr:uid="{00000000-0005-0000-0000-00006B170000}"/>
    <cellStyle name="Normal 19 2 2" xfId="6045" xr:uid="{00000000-0005-0000-0000-00006C170000}"/>
    <cellStyle name="Normal 19 2 3" xfId="6046" xr:uid="{00000000-0005-0000-0000-00006D170000}"/>
    <cellStyle name="Normal 19 20" xfId="6047" xr:uid="{00000000-0005-0000-0000-00006E170000}"/>
    <cellStyle name="Normal 19 21" xfId="6048" xr:uid="{00000000-0005-0000-0000-00006F170000}"/>
    <cellStyle name="Normal 19 22" xfId="6049" xr:uid="{00000000-0005-0000-0000-000070170000}"/>
    <cellStyle name="Normal 19 23" xfId="6050" xr:uid="{00000000-0005-0000-0000-000071170000}"/>
    <cellStyle name="Normal 19 24" xfId="6051" xr:uid="{00000000-0005-0000-0000-000072170000}"/>
    <cellStyle name="Normal 19 25" xfId="6052" xr:uid="{00000000-0005-0000-0000-000073170000}"/>
    <cellStyle name="Normal 19 3" xfId="6053" xr:uid="{00000000-0005-0000-0000-000074170000}"/>
    <cellStyle name="Normal 19 3 2" xfId="6054" xr:uid="{00000000-0005-0000-0000-000075170000}"/>
    <cellStyle name="Normal 19 3 3" xfId="6055" xr:uid="{00000000-0005-0000-0000-000076170000}"/>
    <cellStyle name="Normal 19 3 4" xfId="6056" xr:uid="{00000000-0005-0000-0000-000077170000}"/>
    <cellStyle name="Normal 19 3 5" xfId="6057" xr:uid="{00000000-0005-0000-0000-000078170000}"/>
    <cellStyle name="Normal 19 4" xfId="6058" xr:uid="{00000000-0005-0000-0000-000079170000}"/>
    <cellStyle name="Normal 19 5" xfId="6059" xr:uid="{00000000-0005-0000-0000-00007A170000}"/>
    <cellStyle name="Normal 19 6" xfId="6060" xr:uid="{00000000-0005-0000-0000-00007B170000}"/>
    <cellStyle name="Normal 19 7" xfId="6061" xr:uid="{00000000-0005-0000-0000-00007C170000}"/>
    <cellStyle name="Normal 19 8" xfId="6062" xr:uid="{00000000-0005-0000-0000-00007D170000}"/>
    <cellStyle name="Normal 19 9" xfId="6063" xr:uid="{00000000-0005-0000-0000-00007E170000}"/>
    <cellStyle name="Normal 190" xfId="39222" xr:uid="{2C496D13-EC99-4267-A157-98CA1BFEE4B7}"/>
    <cellStyle name="Normal 191" xfId="39223" xr:uid="{96244954-9739-4E8B-80D8-92960EBCD641}"/>
    <cellStyle name="Normal 192" xfId="39224" xr:uid="{B4BDB30D-C35E-4548-9E97-479762C70C8E}"/>
    <cellStyle name="Normal 193" xfId="39225" xr:uid="{A2EE7842-B040-4248-81DC-B54EC58E2D09}"/>
    <cellStyle name="Normal 194" xfId="39226" xr:uid="{6F9F307F-5595-4F8F-B70A-C8C8822C2766}"/>
    <cellStyle name="Normal 195" xfId="39227" xr:uid="{372266A6-36F8-40EA-A392-2AB63C0B640E}"/>
    <cellStyle name="Normal 196" xfId="39228" xr:uid="{509BD7B5-BD65-46D6-84FD-277BE8AC6670}"/>
    <cellStyle name="Normal 197" xfId="39229" xr:uid="{7C89211D-F15B-4E66-B2D3-530E26BC1DB8}"/>
    <cellStyle name="Normal 198" xfId="39230" xr:uid="{49E7C0EE-E402-435D-B452-21A6CF823CF3}"/>
    <cellStyle name="Normal 199" xfId="39231" xr:uid="{B22934AC-A265-43C0-849A-52C6EA5B3538}"/>
    <cellStyle name="Normal 2" xfId="4" xr:uid="{00000000-0005-0000-0000-00007F170000}"/>
    <cellStyle name="Normal 2 10" xfId="14" xr:uid="{00000000-0005-0000-0000-000080170000}"/>
    <cellStyle name="Normal 2 10 10" xfId="6064" xr:uid="{00000000-0005-0000-0000-000081170000}"/>
    <cellStyle name="Normal 2 10 2" xfId="71" xr:uid="{00000000-0005-0000-0000-000082170000}"/>
    <cellStyle name="Normal 2 10 3" xfId="6065" xr:uid="{00000000-0005-0000-0000-000083170000}"/>
    <cellStyle name="Normal 2 10 4" xfId="6066" xr:uid="{00000000-0005-0000-0000-000084170000}"/>
    <cellStyle name="Normal 2 10_Enlaces" xfId="6067" xr:uid="{00000000-0005-0000-0000-000085170000}"/>
    <cellStyle name="Normal 2 100" xfId="6068" xr:uid="{00000000-0005-0000-0000-000086170000}"/>
    <cellStyle name="Normal 2 100 2" xfId="6069" xr:uid="{00000000-0005-0000-0000-000087170000}"/>
    <cellStyle name="Normal 2 101" xfId="6070" xr:uid="{00000000-0005-0000-0000-000088170000}"/>
    <cellStyle name="Normal 2 101 2" xfId="6071" xr:uid="{00000000-0005-0000-0000-000089170000}"/>
    <cellStyle name="Normal 2 102" xfId="6072" xr:uid="{00000000-0005-0000-0000-00008A170000}"/>
    <cellStyle name="Normal 2 102 2" xfId="6073" xr:uid="{00000000-0005-0000-0000-00008B170000}"/>
    <cellStyle name="Normal 2 103" xfId="6074" xr:uid="{00000000-0005-0000-0000-00008C170000}"/>
    <cellStyle name="Normal 2 103 2" xfId="6075" xr:uid="{00000000-0005-0000-0000-00008D170000}"/>
    <cellStyle name="Normal 2 104" xfId="6076" xr:uid="{00000000-0005-0000-0000-00008E170000}"/>
    <cellStyle name="Normal 2 104 2" xfId="6077" xr:uid="{00000000-0005-0000-0000-00008F170000}"/>
    <cellStyle name="Normal 2 105" xfId="6078" xr:uid="{00000000-0005-0000-0000-000090170000}"/>
    <cellStyle name="Normal 2 106" xfId="6079" xr:uid="{00000000-0005-0000-0000-000091170000}"/>
    <cellStyle name="Normal 2 107" xfId="6080" xr:uid="{00000000-0005-0000-0000-000092170000}"/>
    <cellStyle name="Normal 2 108" xfId="6081" xr:uid="{00000000-0005-0000-0000-000093170000}"/>
    <cellStyle name="Normal 2 109" xfId="6082" xr:uid="{00000000-0005-0000-0000-000094170000}"/>
    <cellStyle name="Normal 2 11" xfId="6083" xr:uid="{00000000-0005-0000-0000-000095170000}"/>
    <cellStyle name="Normal 2 11 2" xfId="6084" xr:uid="{00000000-0005-0000-0000-000096170000}"/>
    <cellStyle name="Normal 2 11 3" xfId="6085" xr:uid="{00000000-0005-0000-0000-000097170000}"/>
    <cellStyle name="Normal 2 11 4" xfId="6086" xr:uid="{00000000-0005-0000-0000-000098170000}"/>
    <cellStyle name="Normal 2 11 5" xfId="6087" xr:uid="{00000000-0005-0000-0000-000099170000}"/>
    <cellStyle name="Normal 2 110" xfId="6088" xr:uid="{00000000-0005-0000-0000-00009A170000}"/>
    <cellStyle name="Normal 2 111" xfId="6089" xr:uid="{00000000-0005-0000-0000-00009B170000}"/>
    <cellStyle name="Normal 2 112" xfId="6090" xr:uid="{00000000-0005-0000-0000-00009C170000}"/>
    <cellStyle name="Normal 2 113" xfId="6091" xr:uid="{00000000-0005-0000-0000-00009D170000}"/>
    <cellStyle name="Normal 2 114" xfId="6092" xr:uid="{00000000-0005-0000-0000-00009E170000}"/>
    <cellStyle name="Normal 2 115" xfId="6093" xr:uid="{00000000-0005-0000-0000-00009F170000}"/>
    <cellStyle name="Normal 2 116" xfId="6094" xr:uid="{00000000-0005-0000-0000-0000A0170000}"/>
    <cellStyle name="Normal 2 117" xfId="6095" xr:uid="{00000000-0005-0000-0000-0000A1170000}"/>
    <cellStyle name="Normal 2 118" xfId="6096" xr:uid="{00000000-0005-0000-0000-0000A2170000}"/>
    <cellStyle name="Normal 2 119" xfId="6097" xr:uid="{00000000-0005-0000-0000-0000A3170000}"/>
    <cellStyle name="Normal 2 12" xfId="6098" xr:uid="{00000000-0005-0000-0000-0000A4170000}"/>
    <cellStyle name="Normal 2 12 2" xfId="6099" xr:uid="{00000000-0005-0000-0000-0000A5170000}"/>
    <cellStyle name="Normal 2 12 3" xfId="6100" xr:uid="{00000000-0005-0000-0000-0000A6170000}"/>
    <cellStyle name="Normal 2 12 4" xfId="6101" xr:uid="{00000000-0005-0000-0000-0000A7170000}"/>
    <cellStyle name="Normal 2 12 5" xfId="6102" xr:uid="{00000000-0005-0000-0000-0000A8170000}"/>
    <cellStyle name="Normal 2 12 6" xfId="6103" xr:uid="{00000000-0005-0000-0000-0000A9170000}"/>
    <cellStyle name="Normal 2 120" xfId="6104" xr:uid="{00000000-0005-0000-0000-0000AA170000}"/>
    <cellStyle name="Normal 2 121" xfId="6105" xr:uid="{00000000-0005-0000-0000-0000AB170000}"/>
    <cellStyle name="Normal 2 122" xfId="6106" xr:uid="{00000000-0005-0000-0000-0000AC170000}"/>
    <cellStyle name="Normal 2 123" xfId="6107" xr:uid="{00000000-0005-0000-0000-0000AD170000}"/>
    <cellStyle name="Normal 2 124" xfId="6108" xr:uid="{00000000-0005-0000-0000-0000AE170000}"/>
    <cellStyle name="Normal 2 125" xfId="6109" xr:uid="{00000000-0005-0000-0000-0000AF170000}"/>
    <cellStyle name="Normal 2 126" xfId="6110" xr:uid="{00000000-0005-0000-0000-0000B0170000}"/>
    <cellStyle name="Normal 2 127" xfId="6111" xr:uid="{00000000-0005-0000-0000-0000B1170000}"/>
    <cellStyle name="Normal 2 128" xfId="6112" xr:uid="{00000000-0005-0000-0000-0000B2170000}"/>
    <cellStyle name="Normal 2 129" xfId="6113" xr:uid="{00000000-0005-0000-0000-0000B3170000}"/>
    <cellStyle name="Normal 2 13" xfId="6114" xr:uid="{00000000-0005-0000-0000-0000B4170000}"/>
    <cellStyle name="Normal 2 13 2" xfId="6115" xr:uid="{00000000-0005-0000-0000-0000B5170000}"/>
    <cellStyle name="Normal 2 13 3" xfId="6116" xr:uid="{00000000-0005-0000-0000-0000B6170000}"/>
    <cellStyle name="Normal 2 13 4" xfId="6117" xr:uid="{00000000-0005-0000-0000-0000B7170000}"/>
    <cellStyle name="Normal 2 13 5" xfId="6118" xr:uid="{00000000-0005-0000-0000-0000B8170000}"/>
    <cellStyle name="Normal 2 13 6" xfId="6119" xr:uid="{00000000-0005-0000-0000-0000B9170000}"/>
    <cellStyle name="Normal 2 130" xfId="6120" xr:uid="{00000000-0005-0000-0000-0000BA170000}"/>
    <cellStyle name="Normal 2 131" xfId="6121" xr:uid="{00000000-0005-0000-0000-0000BB170000}"/>
    <cellStyle name="Normal 2 132" xfId="6122" xr:uid="{00000000-0005-0000-0000-0000BC170000}"/>
    <cellStyle name="Normal 2 133" xfId="6123" xr:uid="{00000000-0005-0000-0000-0000BD170000}"/>
    <cellStyle name="Normal 2 134" xfId="6124" xr:uid="{00000000-0005-0000-0000-0000BE170000}"/>
    <cellStyle name="Normal 2 135" xfId="6125" xr:uid="{00000000-0005-0000-0000-0000BF170000}"/>
    <cellStyle name="Normal 2 136" xfId="6126" xr:uid="{00000000-0005-0000-0000-0000C0170000}"/>
    <cellStyle name="Normal 2 137" xfId="6127" xr:uid="{00000000-0005-0000-0000-0000C1170000}"/>
    <cellStyle name="Normal 2 138" xfId="6128" xr:uid="{00000000-0005-0000-0000-0000C2170000}"/>
    <cellStyle name="Normal 2 139" xfId="6129" xr:uid="{00000000-0005-0000-0000-0000C3170000}"/>
    <cellStyle name="Normal 2 14" xfId="6130" xr:uid="{00000000-0005-0000-0000-0000C4170000}"/>
    <cellStyle name="Normal 2 14 2" xfId="6131" xr:uid="{00000000-0005-0000-0000-0000C5170000}"/>
    <cellStyle name="Normal 2 14 3" xfId="6132" xr:uid="{00000000-0005-0000-0000-0000C6170000}"/>
    <cellStyle name="Normal 2 14 4" xfId="6133" xr:uid="{00000000-0005-0000-0000-0000C7170000}"/>
    <cellStyle name="Normal 2 14 5" xfId="6134" xr:uid="{00000000-0005-0000-0000-0000C8170000}"/>
    <cellStyle name="Normal 2 140" xfId="6135" xr:uid="{00000000-0005-0000-0000-0000C9170000}"/>
    <cellStyle name="Normal 2 141" xfId="6136" xr:uid="{00000000-0005-0000-0000-0000CA170000}"/>
    <cellStyle name="Normal 2 142" xfId="6137" xr:uid="{00000000-0005-0000-0000-0000CB170000}"/>
    <cellStyle name="Normal 2 143" xfId="6138" xr:uid="{00000000-0005-0000-0000-0000CC170000}"/>
    <cellStyle name="Normal 2 144" xfId="6139" xr:uid="{00000000-0005-0000-0000-0000CD170000}"/>
    <cellStyle name="Normal 2 145" xfId="6140" xr:uid="{00000000-0005-0000-0000-0000CE170000}"/>
    <cellStyle name="Normal 2 146" xfId="6141" xr:uid="{00000000-0005-0000-0000-0000CF170000}"/>
    <cellStyle name="Normal 2 147" xfId="6142" xr:uid="{00000000-0005-0000-0000-0000D0170000}"/>
    <cellStyle name="Normal 2 148" xfId="6143" xr:uid="{00000000-0005-0000-0000-0000D1170000}"/>
    <cellStyle name="Normal 2 149" xfId="6144" xr:uid="{00000000-0005-0000-0000-0000D2170000}"/>
    <cellStyle name="Normal 2 15" xfId="6145" xr:uid="{00000000-0005-0000-0000-0000D3170000}"/>
    <cellStyle name="Normal 2 15 2" xfId="6146" xr:uid="{00000000-0005-0000-0000-0000D4170000}"/>
    <cellStyle name="Normal 2 15 3" xfId="6147" xr:uid="{00000000-0005-0000-0000-0000D5170000}"/>
    <cellStyle name="Normal 2 15 4" xfId="6148" xr:uid="{00000000-0005-0000-0000-0000D6170000}"/>
    <cellStyle name="Normal 2 15 5" xfId="6149" xr:uid="{00000000-0005-0000-0000-0000D7170000}"/>
    <cellStyle name="Normal 2 15 6" xfId="6150" xr:uid="{00000000-0005-0000-0000-0000D8170000}"/>
    <cellStyle name="Normal 2 150" xfId="6151" xr:uid="{00000000-0005-0000-0000-0000D9170000}"/>
    <cellStyle name="Normal 2 151" xfId="6152" xr:uid="{00000000-0005-0000-0000-0000DA170000}"/>
    <cellStyle name="Normal 2 152" xfId="6153" xr:uid="{00000000-0005-0000-0000-0000DB170000}"/>
    <cellStyle name="Normal 2 153" xfId="6154" xr:uid="{00000000-0005-0000-0000-0000DC170000}"/>
    <cellStyle name="Normal 2 154" xfId="6155" xr:uid="{00000000-0005-0000-0000-0000DD170000}"/>
    <cellStyle name="Normal 2 155" xfId="6156" xr:uid="{00000000-0005-0000-0000-0000DE170000}"/>
    <cellStyle name="Normal 2 156" xfId="6157" xr:uid="{00000000-0005-0000-0000-0000DF170000}"/>
    <cellStyle name="Normal 2 157" xfId="6158" xr:uid="{00000000-0005-0000-0000-0000E0170000}"/>
    <cellStyle name="Normal 2 158" xfId="6159" xr:uid="{00000000-0005-0000-0000-0000E1170000}"/>
    <cellStyle name="Normal 2 159" xfId="6160" xr:uid="{00000000-0005-0000-0000-0000E2170000}"/>
    <cellStyle name="Normal 2 16" xfId="6161" xr:uid="{00000000-0005-0000-0000-0000E3170000}"/>
    <cellStyle name="Normal 2 16 2" xfId="6162" xr:uid="{00000000-0005-0000-0000-0000E4170000}"/>
    <cellStyle name="Normal 2 16 3" xfId="6163" xr:uid="{00000000-0005-0000-0000-0000E5170000}"/>
    <cellStyle name="Normal 2 16 4" xfId="6164" xr:uid="{00000000-0005-0000-0000-0000E6170000}"/>
    <cellStyle name="Normal 2 16 5" xfId="6165" xr:uid="{00000000-0005-0000-0000-0000E7170000}"/>
    <cellStyle name="Normal 2 160" xfId="6166" xr:uid="{00000000-0005-0000-0000-0000E8170000}"/>
    <cellStyle name="Normal 2 161" xfId="6167" xr:uid="{00000000-0005-0000-0000-0000E9170000}"/>
    <cellStyle name="Normal 2 162" xfId="6168" xr:uid="{00000000-0005-0000-0000-0000EA170000}"/>
    <cellStyle name="Normal 2 163" xfId="6169" xr:uid="{00000000-0005-0000-0000-0000EB170000}"/>
    <cellStyle name="Normal 2 164" xfId="6170" xr:uid="{00000000-0005-0000-0000-0000EC170000}"/>
    <cellStyle name="Normal 2 165" xfId="6171" xr:uid="{00000000-0005-0000-0000-0000ED170000}"/>
    <cellStyle name="Normal 2 166" xfId="6172" xr:uid="{00000000-0005-0000-0000-0000EE170000}"/>
    <cellStyle name="Normal 2 167" xfId="6173" xr:uid="{00000000-0005-0000-0000-0000EF170000}"/>
    <cellStyle name="Normal 2 168" xfId="6174" xr:uid="{00000000-0005-0000-0000-0000F0170000}"/>
    <cellStyle name="Normal 2 169" xfId="6175" xr:uid="{00000000-0005-0000-0000-0000F1170000}"/>
    <cellStyle name="Normal 2 17" xfId="6176" xr:uid="{00000000-0005-0000-0000-0000F2170000}"/>
    <cellStyle name="Normal 2 17 2" xfId="6177" xr:uid="{00000000-0005-0000-0000-0000F3170000}"/>
    <cellStyle name="Normal 2 17 3" xfId="6178" xr:uid="{00000000-0005-0000-0000-0000F4170000}"/>
    <cellStyle name="Normal 2 17 4" xfId="6179" xr:uid="{00000000-0005-0000-0000-0000F5170000}"/>
    <cellStyle name="Normal 2 17 5" xfId="6180" xr:uid="{00000000-0005-0000-0000-0000F6170000}"/>
    <cellStyle name="Normal 2 170" xfId="6181" xr:uid="{00000000-0005-0000-0000-0000F7170000}"/>
    <cellStyle name="Normal 2 171" xfId="6182" xr:uid="{00000000-0005-0000-0000-0000F8170000}"/>
    <cellStyle name="Normal 2 172" xfId="6183" xr:uid="{00000000-0005-0000-0000-0000F9170000}"/>
    <cellStyle name="Normal 2 173" xfId="6184" xr:uid="{00000000-0005-0000-0000-0000FA170000}"/>
    <cellStyle name="Normal 2 174" xfId="6185" xr:uid="{00000000-0005-0000-0000-0000FB170000}"/>
    <cellStyle name="Normal 2 175" xfId="6186" xr:uid="{00000000-0005-0000-0000-0000FC170000}"/>
    <cellStyle name="Normal 2 176" xfId="6187" xr:uid="{00000000-0005-0000-0000-0000FD170000}"/>
    <cellStyle name="Normal 2 177" xfId="6188" xr:uid="{00000000-0005-0000-0000-0000FE170000}"/>
    <cellStyle name="Normal 2 178" xfId="6189" xr:uid="{00000000-0005-0000-0000-0000FF170000}"/>
    <cellStyle name="Normal 2 179" xfId="6190" xr:uid="{00000000-0005-0000-0000-000000180000}"/>
    <cellStyle name="Normal 2 18" xfId="6191" xr:uid="{00000000-0005-0000-0000-000001180000}"/>
    <cellStyle name="Normal 2 18 2" xfId="6192" xr:uid="{00000000-0005-0000-0000-000002180000}"/>
    <cellStyle name="Normal 2 18 3" xfId="6193" xr:uid="{00000000-0005-0000-0000-000003180000}"/>
    <cellStyle name="Normal 2 18 4" xfId="6194" xr:uid="{00000000-0005-0000-0000-000004180000}"/>
    <cellStyle name="Normal 2 18 5" xfId="6195" xr:uid="{00000000-0005-0000-0000-000005180000}"/>
    <cellStyle name="Normal 2 19" xfId="6196" xr:uid="{00000000-0005-0000-0000-000006180000}"/>
    <cellStyle name="Normal 2 19 2" xfId="6197" xr:uid="{00000000-0005-0000-0000-000007180000}"/>
    <cellStyle name="Normal 2 19 3" xfId="6198" xr:uid="{00000000-0005-0000-0000-000008180000}"/>
    <cellStyle name="Normal 2 19 4" xfId="6199" xr:uid="{00000000-0005-0000-0000-000009180000}"/>
    <cellStyle name="Normal 2 19 5" xfId="6200" xr:uid="{00000000-0005-0000-0000-00000A180000}"/>
    <cellStyle name="Normal 2 2" xfId="8" xr:uid="{00000000-0005-0000-0000-00000B180000}"/>
    <cellStyle name="Normal 2 2 10" xfId="6202" xr:uid="{00000000-0005-0000-0000-00000C180000}"/>
    <cellStyle name="Normal 2 2 10 10" xfId="6203" xr:uid="{00000000-0005-0000-0000-00000D180000}"/>
    <cellStyle name="Normal 2 2 10 10 10" xfId="6204" xr:uid="{00000000-0005-0000-0000-00000E180000}"/>
    <cellStyle name="Normal 2 2 10 10 11" xfId="6205" xr:uid="{00000000-0005-0000-0000-00000F180000}"/>
    <cellStyle name="Normal 2 2 10 10 12" xfId="6206" xr:uid="{00000000-0005-0000-0000-000010180000}"/>
    <cellStyle name="Normal 2 2 10 10 13" xfId="6207" xr:uid="{00000000-0005-0000-0000-000011180000}"/>
    <cellStyle name="Normal 2 2 10 10 14" xfId="6208" xr:uid="{00000000-0005-0000-0000-000012180000}"/>
    <cellStyle name="Normal 2 2 10 10 2" xfId="6209" xr:uid="{00000000-0005-0000-0000-000013180000}"/>
    <cellStyle name="Normal 2 2 10 10 2 10" xfId="6210" xr:uid="{00000000-0005-0000-0000-000014180000}"/>
    <cellStyle name="Normal 2 2 10 10 2 2" xfId="6211" xr:uid="{00000000-0005-0000-0000-000015180000}"/>
    <cellStyle name="Normal 2 2 10 10 2 3" xfId="6212" xr:uid="{00000000-0005-0000-0000-000016180000}"/>
    <cellStyle name="Normal 2 2 10 10 2 4" xfId="6213" xr:uid="{00000000-0005-0000-0000-000017180000}"/>
    <cellStyle name="Normal 2 2 10 10 2 5" xfId="6214" xr:uid="{00000000-0005-0000-0000-000018180000}"/>
    <cellStyle name="Normal 2 2 10 10 2 6" xfId="6215" xr:uid="{00000000-0005-0000-0000-000019180000}"/>
    <cellStyle name="Normal 2 2 10 10 2 7" xfId="6216" xr:uid="{00000000-0005-0000-0000-00001A180000}"/>
    <cellStyle name="Normal 2 2 10 10 2 8" xfId="6217" xr:uid="{00000000-0005-0000-0000-00001B180000}"/>
    <cellStyle name="Normal 2 2 10 10 2 9" xfId="6218" xr:uid="{00000000-0005-0000-0000-00001C180000}"/>
    <cellStyle name="Normal 2 2 10 10 3" xfId="6219" xr:uid="{00000000-0005-0000-0000-00001D180000}"/>
    <cellStyle name="Normal 2 2 10 10 3 10" xfId="6220" xr:uid="{00000000-0005-0000-0000-00001E180000}"/>
    <cellStyle name="Normal 2 2 10 10 3 2" xfId="6221" xr:uid="{00000000-0005-0000-0000-00001F180000}"/>
    <cellStyle name="Normal 2 2 10 10 3 3" xfId="6222" xr:uid="{00000000-0005-0000-0000-000020180000}"/>
    <cellStyle name="Normal 2 2 10 10 3 4" xfId="6223" xr:uid="{00000000-0005-0000-0000-000021180000}"/>
    <cellStyle name="Normal 2 2 10 10 3 5" xfId="6224" xr:uid="{00000000-0005-0000-0000-000022180000}"/>
    <cellStyle name="Normal 2 2 10 10 3 6" xfId="6225" xr:uid="{00000000-0005-0000-0000-000023180000}"/>
    <cellStyle name="Normal 2 2 10 10 3 7" xfId="6226" xr:uid="{00000000-0005-0000-0000-000024180000}"/>
    <cellStyle name="Normal 2 2 10 10 3 8" xfId="6227" xr:uid="{00000000-0005-0000-0000-000025180000}"/>
    <cellStyle name="Normal 2 2 10 10 3 9" xfId="6228" xr:uid="{00000000-0005-0000-0000-000026180000}"/>
    <cellStyle name="Normal 2 2 10 10 4" xfId="6229" xr:uid="{00000000-0005-0000-0000-000027180000}"/>
    <cellStyle name="Normal 2 2 10 10 4 10" xfId="6230" xr:uid="{00000000-0005-0000-0000-000028180000}"/>
    <cellStyle name="Normal 2 2 10 10 4 2" xfId="6231" xr:uid="{00000000-0005-0000-0000-000029180000}"/>
    <cellStyle name="Normal 2 2 10 10 4 3" xfId="6232" xr:uid="{00000000-0005-0000-0000-00002A180000}"/>
    <cellStyle name="Normal 2 2 10 10 4 4" xfId="6233" xr:uid="{00000000-0005-0000-0000-00002B180000}"/>
    <cellStyle name="Normal 2 2 10 10 4 5" xfId="6234" xr:uid="{00000000-0005-0000-0000-00002C180000}"/>
    <cellStyle name="Normal 2 2 10 10 4 6" xfId="6235" xr:uid="{00000000-0005-0000-0000-00002D180000}"/>
    <cellStyle name="Normal 2 2 10 10 4 7" xfId="6236" xr:uid="{00000000-0005-0000-0000-00002E180000}"/>
    <cellStyle name="Normal 2 2 10 10 4 8" xfId="6237" xr:uid="{00000000-0005-0000-0000-00002F180000}"/>
    <cellStyle name="Normal 2 2 10 10 4 9" xfId="6238" xr:uid="{00000000-0005-0000-0000-000030180000}"/>
    <cellStyle name="Normal 2 2 10 10 5" xfId="6239" xr:uid="{00000000-0005-0000-0000-000031180000}"/>
    <cellStyle name="Normal 2 2 10 10 5 10" xfId="6240" xr:uid="{00000000-0005-0000-0000-000032180000}"/>
    <cellStyle name="Normal 2 2 10 10 5 2" xfId="6241" xr:uid="{00000000-0005-0000-0000-000033180000}"/>
    <cellStyle name="Normal 2 2 10 10 5 3" xfId="6242" xr:uid="{00000000-0005-0000-0000-000034180000}"/>
    <cellStyle name="Normal 2 2 10 10 5 4" xfId="6243" xr:uid="{00000000-0005-0000-0000-000035180000}"/>
    <cellStyle name="Normal 2 2 10 10 5 5" xfId="6244" xr:uid="{00000000-0005-0000-0000-000036180000}"/>
    <cellStyle name="Normal 2 2 10 10 5 6" xfId="6245" xr:uid="{00000000-0005-0000-0000-000037180000}"/>
    <cellStyle name="Normal 2 2 10 10 5 7" xfId="6246" xr:uid="{00000000-0005-0000-0000-000038180000}"/>
    <cellStyle name="Normal 2 2 10 10 5 8" xfId="6247" xr:uid="{00000000-0005-0000-0000-000039180000}"/>
    <cellStyle name="Normal 2 2 10 10 5 9" xfId="6248" xr:uid="{00000000-0005-0000-0000-00003A180000}"/>
    <cellStyle name="Normal 2 2 10 10 6" xfId="6249" xr:uid="{00000000-0005-0000-0000-00003B180000}"/>
    <cellStyle name="Normal 2 2 10 10 7" xfId="6250" xr:uid="{00000000-0005-0000-0000-00003C180000}"/>
    <cellStyle name="Normal 2 2 10 10 8" xfId="6251" xr:uid="{00000000-0005-0000-0000-00003D180000}"/>
    <cellStyle name="Normal 2 2 10 10 9" xfId="6252" xr:uid="{00000000-0005-0000-0000-00003E180000}"/>
    <cellStyle name="Normal 2 2 10 11" xfId="6253" xr:uid="{00000000-0005-0000-0000-00003F180000}"/>
    <cellStyle name="Normal 2 2 10 11 10" xfId="6254" xr:uid="{00000000-0005-0000-0000-000040180000}"/>
    <cellStyle name="Normal 2 2 10 11 11" xfId="6255" xr:uid="{00000000-0005-0000-0000-000041180000}"/>
    <cellStyle name="Normal 2 2 10 11 12" xfId="6256" xr:uid="{00000000-0005-0000-0000-000042180000}"/>
    <cellStyle name="Normal 2 2 10 11 13" xfId="6257" xr:uid="{00000000-0005-0000-0000-000043180000}"/>
    <cellStyle name="Normal 2 2 10 11 14" xfId="6258" xr:uid="{00000000-0005-0000-0000-000044180000}"/>
    <cellStyle name="Normal 2 2 10 11 2" xfId="6259" xr:uid="{00000000-0005-0000-0000-000045180000}"/>
    <cellStyle name="Normal 2 2 10 11 2 10" xfId="6260" xr:uid="{00000000-0005-0000-0000-000046180000}"/>
    <cellStyle name="Normal 2 2 10 11 2 2" xfId="6261" xr:uid="{00000000-0005-0000-0000-000047180000}"/>
    <cellStyle name="Normal 2 2 10 11 2 3" xfId="6262" xr:uid="{00000000-0005-0000-0000-000048180000}"/>
    <cellStyle name="Normal 2 2 10 11 2 4" xfId="6263" xr:uid="{00000000-0005-0000-0000-000049180000}"/>
    <cellStyle name="Normal 2 2 10 11 2 5" xfId="6264" xr:uid="{00000000-0005-0000-0000-00004A180000}"/>
    <cellStyle name="Normal 2 2 10 11 2 6" xfId="6265" xr:uid="{00000000-0005-0000-0000-00004B180000}"/>
    <cellStyle name="Normal 2 2 10 11 2 7" xfId="6266" xr:uid="{00000000-0005-0000-0000-00004C180000}"/>
    <cellStyle name="Normal 2 2 10 11 2 8" xfId="6267" xr:uid="{00000000-0005-0000-0000-00004D180000}"/>
    <cellStyle name="Normal 2 2 10 11 2 9" xfId="6268" xr:uid="{00000000-0005-0000-0000-00004E180000}"/>
    <cellStyle name="Normal 2 2 10 11 3" xfId="6269" xr:uid="{00000000-0005-0000-0000-00004F180000}"/>
    <cellStyle name="Normal 2 2 10 11 3 10" xfId="6270" xr:uid="{00000000-0005-0000-0000-000050180000}"/>
    <cellStyle name="Normal 2 2 10 11 3 2" xfId="6271" xr:uid="{00000000-0005-0000-0000-000051180000}"/>
    <cellStyle name="Normal 2 2 10 11 3 3" xfId="6272" xr:uid="{00000000-0005-0000-0000-000052180000}"/>
    <cellStyle name="Normal 2 2 10 11 3 4" xfId="6273" xr:uid="{00000000-0005-0000-0000-000053180000}"/>
    <cellStyle name="Normal 2 2 10 11 3 5" xfId="6274" xr:uid="{00000000-0005-0000-0000-000054180000}"/>
    <cellStyle name="Normal 2 2 10 11 3 6" xfId="6275" xr:uid="{00000000-0005-0000-0000-000055180000}"/>
    <cellStyle name="Normal 2 2 10 11 3 7" xfId="6276" xr:uid="{00000000-0005-0000-0000-000056180000}"/>
    <cellStyle name="Normal 2 2 10 11 3 8" xfId="6277" xr:uid="{00000000-0005-0000-0000-000057180000}"/>
    <cellStyle name="Normal 2 2 10 11 3 9" xfId="6278" xr:uid="{00000000-0005-0000-0000-000058180000}"/>
    <cellStyle name="Normal 2 2 10 11 4" xfId="6279" xr:uid="{00000000-0005-0000-0000-000059180000}"/>
    <cellStyle name="Normal 2 2 10 11 4 10" xfId="6280" xr:uid="{00000000-0005-0000-0000-00005A180000}"/>
    <cellStyle name="Normal 2 2 10 11 4 2" xfId="6281" xr:uid="{00000000-0005-0000-0000-00005B180000}"/>
    <cellStyle name="Normal 2 2 10 11 4 3" xfId="6282" xr:uid="{00000000-0005-0000-0000-00005C180000}"/>
    <cellStyle name="Normal 2 2 10 11 4 4" xfId="6283" xr:uid="{00000000-0005-0000-0000-00005D180000}"/>
    <cellStyle name="Normal 2 2 10 11 4 5" xfId="6284" xr:uid="{00000000-0005-0000-0000-00005E180000}"/>
    <cellStyle name="Normal 2 2 10 11 4 6" xfId="6285" xr:uid="{00000000-0005-0000-0000-00005F180000}"/>
    <cellStyle name="Normal 2 2 10 11 4 7" xfId="6286" xr:uid="{00000000-0005-0000-0000-000060180000}"/>
    <cellStyle name="Normal 2 2 10 11 4 8" xfId="6287" xr:uid="{00000000-0005-0000-0000-000061180000}"/>
    <cellStyle name="Normal 2 2 10 11 4 9" xfId="6288" xr:uid="{00000000-0005-0000-0000-000062180000}"/>
    <cellStyle name="Normal 2 2 10 11 5" xfId="6289" xr:uid="{00000000-0005-0000-0000-000063180000}"/>
    <cellStyle name="Normal 2 2 10 11 5 10" xfId="6290" xr:uid="{00000000-0005-0000-0000-000064180000}"/>
    <cellStyle name="Normal 2 2 10 11 5 2" xfId="6291" xr:uid="{00000000-0005-0000-0000-000065180000}"/>
    <cellStyle name="Normal 2 2 10 11 5 3" xfId="6292" xr:uid="{00000000-0005-0000-0000-000066180000}"/>
    <cellStyle name="Normal 2 2 10 11 5 4" xfId="6293" xr:uid="{00000000-0005-0000-0000-000067180000}"/>
    <cellStyle name="Normal 2 2 10 11 5 5" xfId="6294" xr:uid="{00000000-0005-0000-0000-000068180000}"/>
    <cellStyle name="Normal 2 2 10 11 5 6" xfId="6295" xr:uid="{00000000-0005-0000-0000-000069180000}"/>
    <cellStyle name="Normal 2 2 10 11 5 7" xfId="6296" xr:uid="{00000000-0005-0000-0000-00006A180000}"/>
    <cellStyle name="Normal 2 2 10 11 5 8" xfId="6297" xr:uid="{00000000-0005-0000-0000-00006B180000}"/>
    <cellStyle name="Normal 2 2 10 11 5 9" xfId="6298" xr:uid="{00000000-0005-0000-0000-00006C180000}"/>
    <cellStyle name="Normal 2 2 10 11 6" xfId="6299" xr:uid="{00000000-0005-0000-0000-00006D180000}"/>
    <cellStyle name="Normal 2 2 10 11 7" xfId="6300" xr:uid="{00000000-0005-0000-0000-00006E180000}"/>
    <cellStyle name="Normal 2 2 10 11 8" xfId="6301" xr:uid="{00000000-0005-0000-0000-00006F180000}"/>
    <cellStyle name="Normal 2 2 10 11 9" xfId="6302" xr:uid="{00000000-0005-0000-0000-000070180000}"/>
    <cellStyle name="Normal 2 2 10 12" xfId="6303" xr:uid="{00000000-0005-0000-0000-000071180000}"/>
    <cellStyle name="Normal 2 2 10 12 10" xfId="6304" xr:uid="{00000000-0005-0000-0000-000072180000}"/>
    <cellStyle name="Normal 2 2 10 12 11" xfId="6305" xr:uid="{00000000-0005-0000-0000-000073180000}"/>
    <cellStyle name="Normal 2 2 10 12 12" xfId="6306" xr:uid="{00000000-0005-0000-0000-000074180000}"/>
    <cellStyle name="Normal 2 2 10 12 13" xfId="6307" xr:uid="{00000000-0005-0000-0000-000075180000}"/>
    <cellStyle name="Normal 2 2 10 12 14" xfId="6308" xr:uid="{00000000-0005-0000-0000-000076180000}"/>
    <cellStyle name="Normal 2 2 10 12 2" xfId="6309" xr:uid="{00000000-0005-0000-0000-000077180000}"/>
    <cellStyle name="Normal 2 2 10 12 2 10" xfId="6310" xr:uid="{00000000-0005-0000-0000-000078180000}"/>
    <cellStyle name="Normal 2 2 10 12 2 2" xfId="6311" xr:uid="{00000000-0005-0000-0000-000079180000}"/>
    <cellStyle name="Normal 2 2 10 12 2 3" xfId="6312" xr:uid="{00000000-0005-0000-0000-00007A180000}"/>
    <cellStyle name="Normal 2 2 10 12 2 4" xfId="6313" xr:uid="{00000000-0005-0000-0000-00007B180000}"/>
    <cellStyle name="Normal 2 2 10 12 2 5" xfId="6314" xr:uid="{00000000-0005-0000-0000-00007C180000}"/>
    <cellStyle name="Normal 2 2 10 12 2 6" xfId="6315" xr:uid="{00000000-0005-0000-0000-00007D180000}"/>
    <cellStyle name="Normal 2 2 10 12 2 7" xfId="6316" xr:uid="{00000000-0005-0000-0000-00007E180000}"/>
    <cellStyle name="Normal 2 2 10 12 2 8" xfId="6317" xr:uid="{00000000-0005-0000-0000-00007F180000}"/>
    <cellStyle name="Normal 2 2 10 12 2 9" xfId="6318" xr:uid="{00000000-0005-0000-0000-000080180000}"/>
    <cellStyle name="Normal 2 2 10 12 3" xfId="6319" xr:uid="{00000000-0005-0000-0000-000081180000}"/>
    <cellStyle name="Normal 2 2 10 12 3 10" xfId="6320" xr:uid="{00000000-0005-0000-0000-000082180000}"/>
    <cellStyle name="Normal 2 2 10 12 3 2" xfId="6321" xr:uid="{00000000-0005-0000-0000-000083180000}"/>
    <cellStyle name="Normal 2 2 10 12 3 3" xfId="6322" xr:uid="{00000000-0005-0000-0000-000084180000}"/>
    <cellStyle name="Normal 2 2 10 12 3 4" xfId="6323" xr:uid="{00000000-0005-0000-0000-000085180000}"/>
    <cellStyle name="Normal 2 2 10 12 3 5" xfId="6324" xr:uid="{00000000-0005-0000-0000-000086180000}"/>
    <cellStyle name="Normal 2 2 10 12 3 6" xfId="6325" xr:uid="{00000000-0005-0000-0000-000087180000}"/>
    <cellStyle name="Normal 2 2 10 12 3 7" xfId="6326" xr:uid="{00000000-0005-0000-0000-000088180000}"/>
    <cellStyle name="Normal 2 2 10 12 3 8" xfId="6327" xr:uid="{00000000-0005-0000-0000-000089180000}"/>
    <cellStyle name="Normal 2 2 10 12 3 9" xfId="6328" xr:uid="{00000000-0005-0000-0000-00008A180000}"/>
    <cellStyle name="Normal 2 2 10 12 4" xfId="6329" xr:uid="{00000000-0005-0000-0000-00008B180000}"/>
    <cellStyle name="Normal 2 2 10 12 4 10" xfId="6330" xr:uid="{00000000-0005-0000-0000-00008C180000}"/>
    <cellStyle name="Normal 2 2 10 12 4 2" xfId="6331" xr:uid="{00000000-0005-0000-0000-00008D180000}"/>
    <cellStyle name="Normal 2 2 10 12 4 3" xfId="6332" xr:uid="{00000000-0005-0000-0000-00008E180000}"/>
    <cellStyle name="Normal 2 2 10 12 4 4" xfId="6333" xr:uid="{00000000-0005-0000-0000-00008F180000}"/>
    <cellStyle name="Normal 2 2 10 12 4 5" xfId="6334" xr:uid="{00000000-0005-0000-0000-000090180000}"/>
    <cellStyle name="Normal 2 2 10 12 4 6" xfId="6335" xr:uid="{00000000-0005-0000-0000-000091180000}"/>
    <cellStyle name="Normal 2 2 10 12 4 7" xfId="6336" xr:uid="{00000000-0005-0000-0000-000092180000}"/>
    <cellStyle name="Normal 2 2 10 12 4 8" xfId="6337" xr:uid="{00000000-0005-0000-0000-000093180000}"/>
    <cellStyle name="Normal 2 2 10 12 4 9" xfId="6338" xr:uid="{00000000-0005-0000-0000-000094180000}"/>
    <cellStyle name="Normal 2 2 10 12 5" xfId="6339" xr:uid="{00000000-0005-0000-0000-000095180000}"/>
    <cellStyle name="Normal 2 2 10 12 5 10" xfId="6340" xr:uid="{00000000-0005-0000-0000-000096180000}"/>
    <cellStyle name="Normal 2 2 10 12 5 2" xfId="6341" xr:uid="{00000000-0005-0000-0000-000097180000}"/>
    <cellStyle name="Normal 2 2 10 12 5 3" xfId="6342" xr:uid="{00000000-0005-0000-0000-000098180000}"/>
    <cellStyle name="Normal 2 2 10 12 5 4" xfId="6343" xr:uid="{00000000-0005-0000-0000-000099180000}"/>
    <cellStyle name="Normal 2 2 10 12 5 5" xfId="6344" xr:uid="{00000000-0005-0000-0000-00009A180000}"/>
    <cellStyle name="Normal 2 2 10 12 5 6" xfId="6345" xr:uid="{00000000-0005-0000-0000-00009B180000}"/>
    <cellStyle name="Normal 2 2 10 12 5 7" xfId="6346" xr:uid="{00000000-0005-0000-0000-00009C180000}"/>
    <cellStyle name="Normal 2 2 10 12 5 8" xfId="6347" xr:uid="{00000000-0005-0000-0000-00009D180000}"/>
    <cellStyle name="Normal 2 2 10 12 5 9" xfId="6348" xr:uid="{00000000-0005-0000-0000-00009E180000}"/>
    <cellStyle name="Normal 2 2 10 12 6" xfId="6349" xr:uid="{00000000-0005-0000-0000-00009F180000}"/>
    <cellStyle name="Normal 2 2 10 12 7" xfId="6350" xr:uid="{00000000-0005-0000-0000-0000A0180000}"/>
    <cellStyle name="Normal 2 2 10 12 8" xfId="6351" xr:uid="{00000000-0005-0000-0000-0000A1180000}"/>
    <cellStyle name="Normal 2 2 10 12 9" xfId="6352" xr:uid="{00000000-0005-0000-0000-0000A2180000}"/>
    <cellStyle name="Normal 2 2 10 13" xfId="6353" xr:uid="{00000000-0005-0000-0000-0000A3180000}"/>
    <cellStyle name="Normal 2 2 10 13 10" xfId="6354" xr:uid="{00000000-0005-0000-0000-0000A4180000}"/>
    <cellStyle name="Normal 2 2 10 13 11" xfId="6355" xr:uid="{00000000-0005-0000-0000-0000A5180000}"/>
    <cellStyle name="Normal 2 2 10 13 12" xfId="6356" xr:uid="{00000000-0005-0000-0000-0000A6180000}"/>
    <cellStyle name="Normal 2 2 10 13 13" xfId="6357" xr:uid="{00000000-0005-0000-0000-0000A7180000}"/>
    <cellStyle name="Normal 2 2 10 13 14" xfId="6358" xr:uid="{00000000-0005-0000-0000-0000A8180000}"/>
    <cellStyle name="Normal 2 2 10 13 2" xfId="6359" xr:uid="{00000000-0005-0000-0000-0000A9180000}"/>
    <cellStyle name="Normal 2 2 10 13 2 10" xfId="6360" xr:uid="{00000000-0005-0000-0000-0000AA180000}"/>
    <cellStyle name="Normal 2 2 10 13 2 2" xfId="6361" xr:uid="{00000000-0005-0000-0000-0000AB180000}"/>
    <cellStyle name="Normal 2 2 10 13 2 3" xfId="6362" xr:uid="{00000000-0005-0000-0000-0000AC180000}"/>
    <cellStyle name="Normal 2 2 10 13 2 4" xfId="6363" xr:uid="{00000000-0005-0000-0000-0000AD180000}"/>
    <cellStyle name="Normal 2 2 10 13 2 5" xfId="6364" xr:uid="{00000000-0005-0000-0000-0000AE180000}"/>
    <cellStyle name="Normal 2 2 10 13 2 6" xfId="6365" xr:uid="{00000000-0005-0000-0000-0000AF180000}"/>
    <cellStyle name="Normal 2 2 10 13 2 7" xfId="6366" xr:uid="{00000000-0005-0000-0000-0000B0180000}"/>
    <cellStyle name="Normal 2 2 10 13 2 8" xfId="6367" xr:uid="{00000000-0005-0000-0000-0000B1180000}"/>
    <cellStyle name="Normal 2 2 10 13 2 9" xfId="6368" xr:uid="{00000000-0005-0000-0000-0000B2180000}"/>
    <cellStyle name="Normal 2 2 10 13 3" xfId="6369" xr:uid="{00000000-0005-0000-0000-0000B3180000}"/>
    <cellStyle name="Normal 2 2 10 13 3 10" xfId="6370" xr:uid="{00000000-0005-0000-0000-0000B4180000}"/>
    <cellStyle name="Normal 2 2 10 13 3 2" xfId="6371" xr:uid="{00000000-0005-0000-0000-0000B5180000}"/>
    <cellStyle name="Normal 2 2 10 13 3 3" xfId="6372" xr:uid="{00000000-0005-0000-0000-0000B6180000}"/>
    <cellStyle name="Normal 2 2 10 13 3 4" xfId="6373" xr:uid="{00000000-0005-0000-0000-0000B7180000}"/>
    <cellStyle name="Normal 2 2 10 13 3 5" xfId="6374" xr:uid="{00000000-0005-0000-0000-0000B8180000}"/>
    <cellStyle name="Normal 2 2 10 13 3 6" xfId="6375" xr:uid="{00000000-0005-0000-0000-0000B9180000}"/>
    <cellStyle name="Normal 2 2 10 13 3 7" xfId="6376" xr:uid="{00000000-0005-0000-0000-0000BA180000}"/>
    <cellStyle name="Normal 2 2 10 13 3 8" xfId="6377" xr:uid="{00000000-0005-0000-0000-0000BB180000}"/>
    <cellStyle name="Normal 2 2 10 13 3 9" xfId="6378" xr:uid="{00000000-0005-0000-0000-0000BC180000}"/>
    <cellStyle name="Normal 2 2 10 13 4" xfId="6379" xr:uid="{00000000-0005-0000-0000-0000BD180000}"/>
    <cellStyle name="Normal 2 2 10 13 4 10" xfId="6380" xr:uid="{00000000-0005-0000-0000-0000BE180000}"/>
    <cellStyle name="Normal 2 2 10 13 4 2" xfId="6381" xr:uid="{00000000-0005-0000-0000-0000BF180000}"/>
    <cellStyle name="Normal 2 2 10 13 4 3" xfId="6382" xr:uid="{00000000-0005-0000-0000-0000C0180000}"/>
    <cellStyle name="Normal 2 2 10 13 4 4" xfId="6383" xr:uid="{00000000-0005-0000-0000-0000C1180000}"/>
    <cellStyle name="Normal 2 2 10 13 4 5" xfId="6384" xr:uid="{00000000-0005-0000-0000-0000C2180000}"/>
    <cellStyle name="Normal 2 2 10 13 4 6" xfId="6385" xr:uid="{00000000-0005-0000-0000-0000C3180000}"/>
    <cellStyle name="Normal 2 2 10 13 4 7" xfId="6386" xr:uid="{00000000-0005-0000-0000-0000C4180000}"/>
    <cellStyle name="Normal 2 2 10 13 4 8" xfId="6387" xr:uid="{00000000-0005-0000-0000-0000C5180000}"/>
    <cellStyle name="Normal 2 2 10 13 4 9" xfId="6388" xr:uid="{00000000-0005-0000-0000-0000C6180000}"/>
    <cellStyle name="Normal 2 2 10 13 5" xfId="6389" xr:uid="{00000000-0005-0000-0000-0000C7180000}"/>
    <cellStyle name="Normal 2 2 10 13 5 10" xfId="6390" xr:uid="{00000000-0005-0000-0000-0000C8180000}"/>
    <cellStyle name="Normal 2 2 10 13 5 2" xfId="6391" xr:uid="{00000000-0005-0000-0000-0000C9180000}"/>
    <cellStyle name="Normal 2 2 10 13 5 3" xfId="6392" xr:uid="{00000000-0005-0000-0000-0000CA180000}"/>
    <cellStyle name="Normal 2 2 10 13 5 4" xfId="6393" xr:uid="{00000000-0005-0000-0000-0000CB180000}"/>
    <cellStyle name="Normal 2 2 10 13 5 5" xfId="6394" xr:uid="{00000000-0005-0000-0000-0000CC180000}"/>
    <cellStyle name="Normal 2 2 10 13 5 6" xfId="6395" xr:uid="{00000000-0005-0000-0000-0000CD180000}"/>
    <cellStyle name="Normal 2 2 10 13 5 7" xfId="6396" xr:uid="{00000000-0005-0000-0000-0000CE180000}"/>
    <cellStyle name="Normal 2 2 10 13 5 8" xfId="6397" xr:uid="{00000000-0005-0000-0000-0000CF180000}"/>
    <cellStyle name="Normal 2 2 10 13 5 9" xfId="6398" xr:uid="{00000000-0005-0000-0000-0000D0180000}"/>
    <cellStyle name="Normal 2 2 10 13 6" xfId="6399" xr:uid="{00000000-0005-0000-0000-0000D1180000}"/>
    <cellStyle name="Normal 2 2 10 13 7" xfId="6400" xr:uid="{00000000-0005-0000-0000-0000D2180000}"/>
    <cellStyle name="Normal 2 2 10 13 8" xfId="6401" xr:uid="{00000000-0005-0000-0000-0000D3180000}"/>
    <cellStyle name="Normal 2 2 10 13 9" xfId="6402" xr:uid="{00000000-0005-0000-0000-0000D4180000}"/>
    <cellStyle name="Normal 2 2 10 14" xfId="6403" xr:uid="{00000000-0005-0000-0000-0000D5180000}"/>
    <cellStyle name="Normal 2 2 10 14 10" xfId="6404" xr:uid="{00000000-0005-0000-0000-0000D6180000}"/>
    <cellStyle name="Normal 2 2 10 14 11" xfId="6405" xr:uid="{00000000-0005-0000-0000-0000D7180000}"/>
    <cellStyle name="Normal 2 2 10 14 12" xfId="6406" xr:uid="{00000000-0005-0000-0000-0000D8180000}"/>
    <cellStyle name="Normal 2 2 10 14 13" xfId="6407" xr:uid="{00000000-0005-0000-0000-0000D9180000}"/>
    <cellStyle name="Normal 2 2 10 14 14" xfId="6408" xr:uid="{00000000-0005-0000-0000-0000DA180000}"/>
    <cellStyle name="Normal 2 2 10 14 2" xfId="6409" xr:uid="{00000000-0005-0000-0000-0000DB180000}"/>
    <cellStyle name="Normal 2 2 10 14 2 10" xfId="6410" xr:uid="{00000000-0005-0000-0000-0000DC180000}"/>
    <cellStyle name="Normal 2 2 10 14 2 2" xfId="6411" xr:uid="{00000000-0005-0000-0000-0000DD180000}"/>
    <cellStyle name="Normal 2 2 10 14 2 3" xfId="6412" xr:uid="{00000000-0005-0000-0000-0000DE180000}"/>
    <cellStyle name="Normal 2 2 10 14 2 4" xfId="6413" xr:uid="{00000000-0005-0000-0000-0000DF180000}"/>
    <cellStyle name="Normal 2 2 10 14 2 5" xfId="6414" xr:uid="{00000000-0005-0000-0000-0000E0180000}"/>
    <cellStyle name="Normal 2 2 10 14 2 6" xfId="6415" xr:uid="{00000000-0005-0000-0000-0000E1180000}"/>
    <cellStyle name="Normal 2 2 10 14 2 7" xfId="6416" xr:uid="{00000000-0005-0000-0000-0000E2180000}"/>
    <cellStyle name="Normal 2 2 10 14 2 8" xfId="6417" xr:uid="{00000000-0005-0000-0000-0000E3180000}"/>
    <cellStyle name="Normal 2 2 10 14 2 9" xfId="6418" xr:uid="{00000000-0005-0000-0000-0000E4180000}"/>
    <cellStyle name="Normal 2 2 10 14 3" xfId="6419" xr:uid="{00000000-0005-0000-0000-0000E5180000}"/>
    <cellStyle name="Normal 2 2 10 14 3 10" xfId="6420" xr:uid="{00000000-0005-0000-0000-0000E6180000}"/>
    <cellStyle name="Normal 2 2 10 14 3 2" xfId="6421" xr:uid="{00000000-0005-0000-0000-0000E7180000}"/>
    <cellStyle name="Normal 2 2 10 14 3 3" xfId="6422" xr:uid="{00000000-0005-0000-0000-0000E8180000}"/>
    <cellStyle name="Normal 2 2 10 14 3 4" xfId="6423" xr:uid="{00000000-0005-0000-0000-0000E9180000}"/>
    <cellStyle name="Normal 2 2 10 14 3 5" xfId="6424" xr:uid="{00000000-0005-0000-0000-0000EA180000}"/>
    <cellStyle name="Normal 2 2 10 14 3 6" xfId="6425" xr:uid="{00000000-0005-0000-0000-0000EB180000}"/>
    <cellStyle name="Normal 2 2 10 14 3 7" xfId="6426" xr:uid="{00000000-0005-0000-0000-0000EC180000}"/>
    <cellStyle name="Normal 2 2 10 14 3 8" xfId="6427" xr:uid="{00000000-0005-0000-0000-0000ED180000}"/>
    <cellStyle name="Normal 2 2 10 14 3 9" xfId="6428" xr:uid="{00000000-0005-0000-0000-0000EE180000}"/>
    <cellStyle name="Normal 2 2 10 14 4" xfId="6429" xr:uid="{00000000-0005-0000-0000-0000EF180000}"/>
    <cellStyle name="Normal 2 2 10 14 4 10" xfId="6430" xr:uid="{00000000-0005-0000-0000-0000F0180000}"/>
    <cellStyle name="Normal 2 2 10 14 4 2" xfId="6431" xr:uid="{00000000-0005-0000-0000-0000F1180000}"/>
    <cellStyle name="Normal 2 2 10 14 4 3" xfId="6432" xr:uid="{00000000-0005-0000-0000-0000F2180000}"/>
    <cellStyle name="Normal 2 2 10 14 4 4" xfId="6433" xr:uid="{00000000-0005-0000-0000-0000F3180000}"/>
    <cellStyle name="Normal 2 2 10 14 4 5" xfId="6434" xr:uid="{00000000-0005-0000-0000-0000F4180000}"/>
    <cellStyle name="Normal 2 2 10 14 4 6" xfId="6435" xr:uid="{00000000-0005-0000-0000-0000F5180000}"/>
    <cellStyle name="Normal 2 2 10 14 4 7" xfId="6436" xr:uid="{00000000-0005-0000-0000-0000F6180000}"/>
    <cellStyle name="Normal 2 2 10 14 4 8" xfId="6437" xr:uid="{00000000-0005-0000-0000-0000F7180000}"/>
    <cellStyle name="Normal 2 2 10 14 4 9" xfId="6438" xr:uid="{00000000-0005-0000-0000-0000F8180000}"/>
    <cellStyle name="Normal 2 2 10 14 5" xfId="6439" xr:uid="{00000000-0005-0000-0000-0000F9180000}"/>
    <cellStyle name="Normal 2 2 10 14 5 10" xfId="6440" xr:uid="{00000000-0005-0000-0000-0000FA180000}"/>
    <cellStyle name="Normal 2 2 10 14 5 2" xfId="6441" xr:uid="{00000000-0005-0000-0000-0000FB180000}"/>
    <cellStyle name="Normal 2 2 10 14 5 3" xfId="6442" xr:uid="{00000000-0005-0000-0000-0000FC180000}"/>
    <cellStyle name="Normal 2 2 10 14 5 4" xfId="6443" xr:uid="{00000000-0005-0000-0000-0000FD180000}"/>
    <cellStyle name="Normal 2 2 10 14 5 5" xfId="6444" xr:uid="{00000000-0005-0000-0000-0000FE180000}"/>
    <cellStyle name="Normal 2 2 10 14 5 6" xfId="6445" xr:uid="{00000000-0005-0000-0000-0000FF180000}"/>
    <cellStyle name="Normal 2 2 10 14 5 7" xfId="6446" xr:uid="{00000000-0005-0000-0000-000000190000}"/>
    <cellStyle name="Normal 2 2 10 14 5 8" xfId="6447" xr:uid="{00000000-0005-0000-0000-000001190000}"/>
    <cellStyle name="Normal 2 2 10 14 5 9" xfId="6448" xr:uid="{00000000-0005-0000-0000-000002190000}"/>
    <cellStyle name="Normal 2 2 10 14 6" xfId="6449" xr:uid="{00000000-0005-0000-0000-000003190000}"/>
    <cellStyle name="Normal 2 2 10 14 7" xfId="6450" xr:uid="{00000000-0005-0000-0000-000004190000}"/>
    <cellStyle name="Normal 2 2 10 14 8" xfId="6451" xr:uid="{00000000-0005-0000-0000-000005190000}"/>
    <cellStyle name="Normal 2 2 10 14 9" xfId="6452" xr:uid="{00000000-0005-0000-0000-000006190000}"/>
    <cellStyle name="Normal 2 2 10 15" xfId="6453" xr:uid="{00000000-0005-0000-0000-000007190000}"/>
    <cellStyle name="Normal 2 2 10 15 10" xfId="6454" xr:uid="{00000000-0005-0000-0000-000008190000}"/>
    <cellStyle name="Normal 2 2 10 15 11" xfId="6455" xr:uid="{00000000-0005-0000-0000-000009190000}"/>
    <cellStyle name="Normal 2 2 10 15 12" xfId="6456" xr:uid="{00000000-0005-0000-0000-00000A190000}"/>
    <cellStyle name="Normal 2 2 10 15 13" xfId="6457" xr:uid="{00000000-0005-0000-0000-00000B190000}"/>
    <cellStyle name="Normal 2 2 10 15 14" xfId="6458" xr:uid="{00000000-0005-0000-0000-00000C190000}"/>
    <cellStyle name="Normal 2 2 10 15 2" xfId="6459" xr:uid="{00000000-0005-0000-0000-00000D190000}"/>
    <cellStyle name="Normal 2 2 10 15 2 10" xfId="6460" xr:uid="{00000000-0005-0000-0000-00000E190000}"/>
    <cellStyle name="Normal 2 2 10 15 2 2" xfId="6461" xr:uid="{00000000-0005-0000-0000-00000F190000}"/>
    <cellStyle name="Normal 2 2 10 15 2 3" xfId="6462" xr:uid="{00000000-0005-0000-0000-000010190000}"/>
    <cellStyle name="Normal 2 2 10 15 2 4" xfId="6463" xr:uid="{00000000-0005-0000-0000-000011190000}"/>
    <cellStyle name="Normal 2 2 10 15 2 5" xfId="6464" xr:uid="{00000000-0005-0000-0000-000012190000}"/>
    <cellStyle name="Normal 2 2 10 15 2 6" xfId="6465" xr:uid="{00000000-0005-0000-0000-000013190000}"/>
    <cellStyle name="Normal 2 2 10 15 2 7" xfId="6466" xr:uid="{00000000-0005-0000-0000-000014190000}"/>
    <cellStyle name="Normal 2 2 10 15 2 8" xfId="6467" xr:uid="{00000000-0005-0000-0000-000015190000}"/>
    <cellStyle name="Normal 2 2 10 15 2 9" xfId="6468" xr:uid="{00000000-0005-0000-0000-000016190000}"/>
    <cellStyle name="Normal 2 2 10 15 3" xfId="6469" xr:uid="{00000000-0005-0000-0000-000017190000}"/>
    <cellStyle name="Normal 2 2 10 15 3 10" xfId="6470" xr:uid="{00000000-0005-0000-0000-000018190000}"/>
    <cellStyle name="Normal 2 2 10 15 3 2" xfId="6471" xr:uid="{00000000-0005-0000-0000-000019190000}"/>
    <cellStyle name="Normal 2 2 10 15 3 3" xfId="6472" xr:uid="{00000000-0005-0000-0000-00001A190000}"/>
    <cellStyle name="Normal 2 2 10 15 3 4" xfId="6473" xr:uid="{00000000-0005-0000-0000-00001B190000}"/>
    <cellStyle name="Normal 2 2 10 15 3 5" xfId="6474" xr:uid="{00000000-0005-0000-0000-00001C190000}"/>
    <cellStyle name="Normal 2 2 10 15 3 6" xfId="6475" xr:uid="{00000000-0005-0000-0000-00001D190000}"/>
    <cellStyle name="Normal 2 2 10 15 3 7" xfId="6476" xr:uid="{00000000-0005-0000-0000-00001E190000}"/>
    <cellStyle name="Normal 2 2 10 15 3 8" xfId="6477" xr:uid="{00000000-0005-0000-0000-00001F190000}"/>
    <cellStyle name="Normal 2 2 10 15 3 9" xfId="6478" xr:uid="{00000000-0005-0000-0000-000020190000}"/>
    <cellStyle name="Normal 2 2 10 15 4" xfId="6479" xr:uid="{00000000-0005-0000-0000-000021190000}"/>
    <cellStyle name="Normal 2 2 10 15 4 10" xfId="6480" xr:uid="{00000000-0005-0000-0000-000022190000}"/>
    <cellStyle name="Normal 2 2 10 15 4 2" xfId="6481" xr:uid="{00000000-0005-0000-0000-000023190000}"/>
    <cellStyle name="Normal 2 2 10 15 4 3" xfId="6482" xr:uid="{00000000-0005-0000-0000-000024190000}"/>
    <cellStyle name="Normal 2 2 10 15 4 4" xfId="6483" xr:uid="{00000000-0005-0000-0000-000025190000}"/>
    <cellStyle name="Normal 2 2 10 15 4 5" xfId="6484" xr:uid="{00000000-0005-0000-0000-000026190000}"/>
    <cellStyle name="Normal 2 2 10 15 4 6" xfId="6485" xr:uid="{00000000-0005-0000-0000-000027190000}"/>
    <cellStyle name="Normal 2 2 10 15 4 7" xfId="6486" xr:uid="{00000000-0005-0000-0000-000028190000}"/>
    <cellStyle name="Normal 2 2 10 15 4 8" xfId="6487" xr:uid="{00000000-0005-0000-0000-000029190000}"/>
    <cellStyle name="Normal 2 2 10 15 4 9" xfId="6488" xr:uid="{00000000-0005-0000-0000-00002A190000}"/>
    <cellStyle name="Normal 2 2 10 15 5" xfId="6489" xr:uid="{00000000-0005-0000-0000-00002B190000}"/>
    <cellStyle name="Normal 2 2 10 15 5 10" xfId="6490" xr:uid="{00000000-0005-0000-0000-00002C190000}"/>
    <cellStyle name="Normal 2 2 10 15 5 2" xfId="6491" xr:uid="{00000000-0005-0000-0000-00002D190000}"/>
    <cellStyle name="Normal 2 2 10 15 5 3" xfId="6492" xr:uid="{00000000-0005-0000-0000-00002E190000}"/>
    <cellStyle name="Normal 2 2 10 15 5 4" xfId="6493" xr:uid="{00000000-0005-0000-0000-00002F190000}"/>
    <cellStyle name="Normal 2 2 10 15 5 5" xfId="6494" xr:uid="{00000000-0005-0000-0000-000030190000}"/>
    <cellStyle name="Normal 2 2 10 15 5 6" xfId="6495" xr:uid="{00000000-0005-0000-0000-000031190000}"/>
    <cellStyle name="Normal 2 2 10 15 5 7" xfId="6496" xr:uid="{00000000-0005-0000-0000-000032190000}"/>
    <cellStyle name="Normal 2 2 10 15 5 8" xfId="6497" xr:uid="{00000000-0005-0000-0000-000033190000}"/>
    <cellStyle name="Normal 2 2 10 15 5 9" xfId="6498" xr:uid="{00000000-0005-0000-0000-000034190000}"/>
    <cellStyle name="Normal 2 2 10 15 6" xfId="6499" xr:uid="{00000000-0005-0000-0000-000035190000}"/>
    <cellStyle name="Normal 2 2 10 15 7" xfId="6500" xr:uid="{00000000-0005-0000-0000-000036190000}"/>
    <cellStyle name="Normal 2 2 10 15 8" xfId="6501" xr:uid="{00000000-0005-0000-0000-000037190000}"/>
    <cellStyle name="Normal 2 2 10 15 9" xfId="6502" xr:uid="{00000000-0005-0000-0000-000038190000}"/>
    <cellStyle name="Normal 2 2 10 16" xfId="6503" xr:uid="{00000000-0005-0000-0000-000039190000}"/>
    <cellStyle name="Normal 2 2 10 16 10" xfId="6504" xr:uid="{00000000-0005-0000-0000-00003A190000}"/>
    <cellStyle name="Normal 2 2 10 16 11" xfId="6505" xr:uid="{00000000-0005-0000-0000-00003B190000}"/>
    <cellStyle name="Normal 2 2 10 16 12" xfId="6506" xr:uid="{00000000-0005-0000-0000-00003C190000}"/>
    <cellStyle name="Normal 2 2 10 16 13" xfId="6507" xr:uid="{00000000-0005-0000-0000-00003D190000}"/>
    <cellStyle name="Normal 2 2 10 16 14" xfId="6508" xr:uid="{00000000-0005-0000-0000-00003E190000}"/>
    <cellStyle name="Normal 2 2 10 16 2" xfId="6509" xr:uid="{00000000-0005-0000-0000-00003F190000}"/>
    <cellStyle name="Normal 2 2 10 16 2 10" xfId="6510" xr:uid="{00000000-0005-0000-0000-000040190000}"/>
    <cellStyle name="Normal 2 2 10 16 2 2" xfId="6511" xr:uid="{00000000-0005-0000-0000-000041190000}"/>
    <cellStyle name="Normal 2 2 10 16 2 3" xfId="6512" xr:uid="{00000000-0005-0000-0000-000042190000}"/>
    <cellStyle name="Normal 2 2 10 16 2 4" xfId="6513" xr:uid="{00000000-0005-0000-0000-000043190000}"/>
    <cellStyle name="Normal 2 2 10 16 2 5" xfId="6514" xr:uid="{00000000-0005-0000-0000-000044190000}"/>
    <cellStyle name="Normal 2 2 10 16 2 6" xfId="6515" xr:uid="{00000000-0005-0000-0000-000045190000}"/>
    <cellStyle name="Normal 2 2 10 16 2 7" xfId="6516" xr:uid="{00000000-0005-0000-0000-000046190000}"/>
    <cellStyle name="Normal 2 2 10 16 2 8" xfId="6517" xr:uid="{00000000-0005-0000-0000-000047190000}"/>
    <cellStyle name="Normal 2 2 10 16 2 9" xfId="6518" xr:uid="{00000000-0005-0000-0000-000048190000}"/>
    <cellStyle name="Normal 2 2 10 16 3" xfId="6519" xr:uid="{00000000-0005-0000-0000-000049190000}"/>
    <cellStyle name="Normal 2 2 10 16 3 10" xfId="6520" xr:uid="{00000000-0005-0000-0000-00004A190000}"/>
    <cellStyle name="Normal 2 2 10 16 3 2" xfId="6521" xr:uid="{00000000-0005-0000-0000-00004B190000}"/>
    <cellStyle name="Normal 2 2 10 16 3 3" xfId="6522" xr:uid="{00000000-0005-0000-0000-00004C190000}"/>
    <cellStyle name="Normal 2 2 10 16 3 4" xfId="6523" xr:uid="{00000000-0005-0000-0000-00004D190000}"/>
    <cellStyle name="Normal 2 2 10 16 3 5" xfId="6524" xr:uid="{00000000-0005-0000-0000-00004E190000}"/>
    <cellStyle name="Normal 2 2 10 16 3 6" xfId="6525" xr:uid="{00000000-0005-0000-0000-00004F190000}"/>
    <cellStyle name="Normal 2 2 10 16 3 7" xfId="6526" xr:uid="{00000000-0005-0000-0000-000050190000}"/>
    <cellStyle name="Normal 2 2 10 16 3 8" xfId="6527" xr:uid="{00000000-0005-0000-0000-000051190000}"/>
    <cellStyle name="Normal 2 2 10 16 3 9" xfId="6528" xr:uid="{00000000-0005-0000-0000-000052190000}"/>
    <cellStyle name="Normal 2 2 10 16 4" xfId="6529" xr:uid="{00000000-0005-0000-0000-000053190000}"/>
    <cellStyle name="Normal 2 2 10 16 4 10" xfId="6530" xr:uid="{00000000-0005-0000-0000-000054190000}"/>
    <cellStyle name="Normal 2 2 10 16 4 2" xfId="6531" xr:uid="{00000000-0005-0000-0000-000055190000}"/>
    <cellStyle name="Normal 2 2 10 16 4 3" xfId="6532" xr:uid="{00000000-0005-0000-0000-000056190000}"/>
    <cellStyle name="Normal 2 2 10 16 4 4" xfId="6533" xr:uid="{00000000-0005-0000-0000-000057190000}"/>
    <cellStyle name="Normal 2 2 10 16 4 5" xfId="6534" xr:uid="{00000000-0005-0000-0000-000058190000}"/>
    <cellStyle name="Normal 2 2 10 16 4 6" xfId="6535" xr:uid="{00000000-0005-0000-0000-000059190000}"/>
    <cellStyle name="Normal 2 2 10 16 4 7" xfId="6536" xr:uid="{00000000-0005-0000-0000-00005A190000}"/>
    <cellStyle name="Normal 2 2 10 16 4 8" xfId="6537" xr:uid="{00000000-0005-0000-0000-00005B190000}"/>
    <cellStyle name="Normal 2 2 10 16 4 9" xfId="6538" xr:uid="{00000000-0005-0000-0000-00005C190000}"/>
    <cellStyle name="Normal 2 2 10 16 5" xfId="6539" xr:uid="{00000000-0005-0000-0000-00005D190000}"/>
    <cellStyle name="Normal 2 2 10 16 5 10" xfId="6540" xr:uid="{00000000-0005-0000-0000-00005E190000}"/>
    <cellStyle name="Normal 2 2 10 16 5 2" xfId="6541" xr:uid="{00000000-0005-0000-0000-00005F190000}"/>
    <cellStyle name="Normal 2 2 10 16 5 3" xfId="6542" xr:uid="{00000000-0005-0000-0000-000060190000}"/>
    <cellStyle name="Normal 2 2 10 16 5 4" xfId="6543" xr:uid="{00000000-0005-0000-0000-000061190000}"/>
    <cellStyle name="Normal 2 2 10 16 5 5" xfId="6544" xr:uid="{00000000-0005-0000-0000-000062190000}"/>
    <cellStyle name="Normal 2 2 10 16 5 6" xfId="6545" xr:uid="{00000000-0005-0000-0000-000063190000}"/>
    <cellStyle name="Normal 2 2 10 16 5 7" xfId="6546" xr:uid="{00000000-0005-0000-0000-000064190000}"/>
    <cellStyle name="Normal 2 2 10 16 5 8" xfId="6547" xr:uid="{00000000-0005-0000-0000-000065190000}"/>
    <cellStyle name="Normal 2 2 10 16 5 9" xfId="6548" xr:uid="{00000000-0005-0000-0000-000066190000}"/>
    <cellStyle name="Normal 2 2 10 16 6" xfId="6549" xr:uid="{00000000-0005-0000-0000-000067190000}"/>
    <cellStyle name="Normal 2 2 10 16 7" xfId="6550" xr:uid="{00000000-0005-0000-0000-000068190000}"/>
    <cellStyle name="Normal 2 2 10 16 8" xfId="6551" xr:uid="{00000000-0005-0000-0000-000069190000}"/>
    <cellStyle name="Normal 2 2 10 16 9" xfId="6552" xr:uid="{00000000-0005-0000-0000-00006A190000}"/>
    <cellStyle name="Normal 2 2 10 17" xfId="6553" xr:uid="{00000000-0005-0000-0000-00006B190000}"/>
    <cellStyle name="Normal 2 2 10 17 10" xfId="6554" xr:uid="{00000000-0005-0000-0000-00006C190000}"/>
    <cellStyle name="Normal 2 2 10 17 11" xfId="6555" xr:uid="{00000000-0005-0000-0000-00006D190000}"/>
    <cellStyle name="Normal 2 2 10 17 12" xfId="6556" xr:uid="{00000000-0005-0000-0000-00006E190000}"/>
    <cellStyle name="Normal 2 2 10 17 13" xfId="6557" xr:uid="{00000000-0005-0000-0000-00006F190000}"/>
    <cellStyle name="Normal 2 2 10 17 14" xfId="6558" xr:uid="{00000000-0005-0000-0000-000070190000}"/>
    <cellStyle name="Normal 2 2 10 17 2" xfId="6559" xr:uid="{00000000-0005-0000-0000-000071190000}"/>
    <cellStyle name="Normal 2 2 10 17 2 10" xfId="6560" xr:uid="{00000000-0005-0000-0000-000072190000}"/>
    <cellStyle name="Normal 2 2 10 17 2 2" xfId="6561" xr:uid="{00000000-0005-0000-0000-000073190000}"/>
    <cellStyle name="Normal 2 2 10 17 2 3" xfId="6562" xr:uid="{00000000-0005-0000-0000-000074190000}"/>
    <cellStyle name="Normal 2 2 10 17 2 4" xfId="6563" xr:uid="{00000000-0005-0000-0000-000075190000}"/>
    <cellStyle name="Normal 2 2 10 17 2 5" xfId="6564" xr:uid="{00000000-0005-0000-0000-000076190000}"/>
    <cellStyle name="Normal 2 2 10 17 2 6" xfId="6565" xr:uid="{00000000-0005-0000-0000-000077190000}"/>
    <cellStyle name="Normal 2 2 10 17 2 7" xfId="6566" xr:uid="{00000000-0005-0000-0000-000078190000}"/>
    <cellStyle name="Normal 2 2 10 17 2 8" xfId="6567" xr:uid="{00000000-0005-0000-0000-000079190000}"/>
    <cellStyle name="Normal 2 2 10 17 2 9" xfId="6568" xr:uid="{00000000-0005-0000-0000-00007A190000}"/>
    <cellStyle name="Normal 2 2 10 17 3" xfId="6569" xr:uid="{00000000-0005-0000-0000-00007B190000}"/>
    <cellStyle name="Normal 2 2 10 17 3 10" xfId="6570" xr:uid="{00000000-0005-0000-0000-00007C190000}"/>
    <cellStyle name="Normal 2 2 10 17 3 2" xfId="6571" xr:uid="{00000000-0005-0000-0000-00007D190000}"/>
    <cellStyle name="Normal 2 2 10 17 3 3" xfId="6572" xr:uid="{00000000-0005-0000-0000-00007E190000}"/>
    <cellStyle name="Normal 2 2 10 17 3 4" xfId="6573" xr:uid="{00000000-0005-0000-0000-00007F190000}"/>
    <cellStyle name="Normal 2 2 10 17 3 5" xfId="6574" xr:uid="{00000000-0005-0000-0000-000080190000}"/>
    <cellStyle name="Normal 2 2 10 17 3 6" xfId="6575" xr:uid="{00000000-0005-0000-0000-000081190000}"/>
    <cellStyle name="Normal 2 2 10 17 3 7" xfId="6576" xr:uid="{00000000-0005-0000-0000-000082190000}"/>
    <cellStyle name="Normal 2 2 10 17 3 8" xfId="6577" xr:uid="{00000000-0005-0000-0000-000083190000}"/>
    <cellStyle name="Normal 2 2 10 17 3 9" xfId="6578" xr:uid="{00000000-0005-0000-0000-000084190000}"/>
    <cellStyle name="Normal 2 2 10 17 4" xfId="6579" xr:uid="{00000000-0005-0000-0000-000085190000}"/>
    <cellStyle name="Normal 2 2 10 17 4 10" xfId="6580" xr:uid="{00000000-0005-0000-0000-000086190000}"/>
    <cellStyle name="Normal 2 2 10 17 4 2" xfId="6581" xr:uid="{00000000-0005-0000-0000-000087190000}"/>
    <cellStyle name="Normal 2 2 10 17 4 3" xfId="6582" xr:uid="{00000000-0005-0000-0000-000088190000}"/>
    <cellStyle name="Normal 2 2 10 17 4 4" xfId="6583" xr:uid="{00000000-0005-0000-0000-000089190000}"/>
    <cellStyle name="Normal 2 2 10 17 4 5" xfId="6584" xr:uid="{00000000-0005-0000-0000-00008A190000}"/>
    <cellStyle name="Normal 2 2 10 17 4 6" xfId="6585" xr:uid="{00000000-0005-0000-0000-00008B190000}"/>
    <cellStyle name="Normal 2 2 10 17 4 7" xfId="6586" xr:uid="{00000000-0005-0000-0000-00008C190000}"/>
    <cellStyle name="Normal 2 2 10 17 4 8" xfId="6587" xr:uid="{00000000-0005-0000-0000-00008D190000}"/>
    <cellStyle name="Normal 2 2 10 17 4 9" xfId="6588" xr:uid="{00000000-0005-0000-0000-00008E190000}"/>
    <cellStyle name="Normal 2 2 10 17 5" xfId="6589" xr:uid="{00000000-0005-0000-0000-00008F190000}"/>
    <cellStyle name="Normal 2 2 10 17 5 10" xfId="6590" xr:uid="{00000000-0005-0000-0000-000090190000}"/>
    <cellStyle name="Normal 2 2 10 17 5 2" xfId="6591" xr:uid="{00000000-0005-0000-0000-000091190000}"/>
    <cellStyle name="Normal 2 2 10 17 5 3" xfId="6592" xr:uid="{00000000-0005-0000-0000-000092190000}"/>
    <cellStyle name="Normal 2 2 10 17 5 4" xfId="6593" xr:uid="{00000000-0005-0000-0000-000093190000}"/>
    <cellStyle name="Normal 2 2 10 17 5 5" xfId="6594" xr:uid="{00000000-0005-0000-0000-000094190000}"/>
    <cellStyle name="Normal 2 2 10 17 5 6" xfId="6595" xr:uid="{00000000-0005-0000-0000-000095190000}"/>
    <cellStyle name="Normal 2 2 10 17 5 7" xfId="6596" xr:uid="{00000000-0005-0000-0000-000096190000}"/>
    <cellStyle name="Normal 2 2 10 17 5 8" xfId="6597" xr:uid="{00000000-0005-0000-0000-000097190000}"/>
    <cellStyle name="Normal 2 2 10 17 5 9" xfId="6598" xr:uid="{00000000-0005-0000-0000-000098190000}"/>
    <cellStyle name="Normal 2 2 10 17 6" xfId="6599" xr:uid="{00000000-0005-0000-0000-000099190000}"/>
    <cellStyle name="Normal 2 2 10 17 7" xfId="6600" xr:uid="{00000000-0005-0000-0000-00009A190000}"/>
    <cellStyle name="Normal 2 2 10 17 8" xfId="6601" xr:uid="{00000000-0005-0000-0000-00009B190000}"/>
    <cellStyle name="Normal 2 2 10 17 9" xfId="6602" xr:uid="{00000000-0005-0000-0000-00009C190000}"/>
    <cellStyle name="Normal 2 2 10 18" xfId="6603" xr:uid="{00000000-0005-0000-0000-00009D190000}"/>
    <cellStyle name="Normal 2 2 10 18 10" xfId="6604" xr:uid="{00000000-0005-0000-0000-00009E190000}"/>
    <cellStyle name="Normal 2 2 10 18 11" xfId="6605" xr:uid="{00000000-0005-0000-0000-00009F190000}"/>
    <cellStyle name="Normal 2 2 10 18 12" xfId="6606" xr:uid="{00000000-0005-0000-0000-0000A0190000}"/>
    <cellStyle name="Normal 2 2 10 18 13" xfId="6607" xr:uid="{00000000-0005-0000-0000-0000A1190000}"/>
    <cellStyle name="Normal 2 2 10 18 14" xfId="6608" xr:uid="{00000000-0005-0000-0000-0000A2190000}"/>
    <cellStyle name="Normal 2 2 10 18 2" xfId="6609" xr:uid="{00000000-0005-0000-0000-0000A3190000}"/>
    <cellStyle name="Normal 2 2 10 18 2 10" xfId="6610" xr:uid="{00000000-0005-0000-0000-0000A4190000}"/>
    <cellStyle name="Normal 2 2 10 18 2 2" xfId="6611" xr:uid="{00000000-0005-0000-0000-0000A5190000}"/>
    <cellStyle name="Normal 2 2 10 18 2 3" xfId="6612" xr:uid="{00000000-0005-0000-0000-0000A6190000}"/>
    <cellStyle name="Normal 2 2 10 18 2 4" xfId="6613" xr:uid="{00000000-0005-0000-0000-0000A7190000}"/>
    <cellStyle name="Normal 2 2 10 18 2 5" xfId="6614" xr:uid="{00000000-0005-0000-0000-0000A8190000}"/>
    <cellStyle name="Normal 2 2 10 18 2 6" xfId="6615" xr:uid="{00000000-0005-0000-0000-0000A9190000}"/>
    <cellStyle name="Normal 2 2 10 18 2 7" xfId="6616" xr:uid="{00000000-0005-0000-0000-0000AA190000}"/>
    <cellStyle name="Normal 2 2 10 18 2 8" xfId="6617" xr:uid="{00000000-0005-0000-0000-0000AB190000}"/>
    <cellStyle name="Normal 2 2 10 18 2 9" xfId="6618" xr:uid="{00000000-0005-0000-0000-0000AC190000}"/>
    <cellStyle name="Normal 2 2 10 18 3" xfId="6619" xr:uid="{00000000-0005-0000-0000-0000AD190000}"/>
    <cellStyle name="Normal 2 2 10 18 3 10" xfId="6620" xr:uid="{00000000-0005-0000-0000-0000AE190000}"/>
    <cellStyle name="Normal 2 2 10 18 3 2" xfId="6621" xr:uid="{00000000-0005-0000-0000-0000AF190000}"/>
    <cellStyle name="Normal 2 2 10 18 3 3" xfId="6622" xr:uid="{00000000-0005-0000-0000-0000B0190000}"/>
    <cellStyle name="Normal 2 2 10 18 3 4" xfId="6623" xr:uid="{00000000-0005-0000-0000-0000B1190000}"/>
    <cellStyle name="Normal 2 2 10 18 3 5" xfId="6624" xr:uid="{00000000-0005-0000-0000-0000B2190000}"/>
    <cellStyle name="Normal 2 2 10 18 3 6" xfId="6625" xr:uid="{00000000-0005-0000-0000-0000B3190000}"/>
    <cellStyle name="Normal 2 2 10 18 3 7" xfId="6626" xr:uid="{00000000-0005-0000-0000-0000B4190000}"/>
    <cellStyle name="Normal 2 2 10 18 3 8" xfId="6627" xr:uid="{00000000-0005-0000-0000-0000B5190000}"/>
    <cellStyle name="Normal 2 2 10 18 3 9" xfId="6628" xr:uid="{00000000-0005-0000-0000-0000B6190000}"/>
    <cellStyle name="Normal 2 2 10 18 4" xfId="6629" xr:uid="{00000000-0005-0000-0000-0000B7190000}"/>
    <cellStyle name="Normal 2 2 10 18 4 10" xfId="6630" xr:uid="{00000000-0005-0000-0000-0000B8190000}"/>
    <cellStyle name="Normal 2 2 10 18 4 2" xfId="6631" xr:uid="{00000000-0005-0000-0000-0000B9190000}"/>
    <cellStyle name="Normal 2 2 10 18 4 3" xfId="6632" xr:uid="{00000000-0005-0000-0000-0000BA190000}"/>
    <cellStyle name="Normal 2 2 10 18 4 4" xfId="6633" xr:uid="{00000000-0005-0000-0000-0000BB190000}"/>
    <cellStyle name="Normal 2 2 10 18 4 5" xfId="6634" xr:uid="{00000000-0005-0000-0000-0000BC190000}"/>
    <cellStyle name="Normal 2 2 10 18 4 6" xfId="6635" xr:uid="{00000000-0005-0000-0000-0000BD190000}"/>
    <cellStyle name="Normal 2 2 10 18 4 7" xfId="6636" xr:uid="{00000000-0005-0000-0000-0000BE190000}"/>
    <cellStyle name="Normal 2 2 10 18 4 8" xfId="6637" xr:uid="{00000000-0005-0000-0000-0000BF190000}"/>
    <cellStyle name="Normal 2 2 10 18 4 9" xfId="6638" xr:uid="{00000000-0005-0000-0000-0000C0190000}"/>
    <cellStyle name="Normal 2 2 10 18 5" xfId="6639" xr:uid="{00000000-0005-0000-0000-0000C1190000}"/>
    <cellStyle name="Normal 2 2 10 18 5 10" xfId="6640" xr:uid="{00000000-0005-0000-0000-0000C2190000}"/>
    <cellStyle name="Normal 2 2 10 18 5 2" xfId="6641" xr:uid="{00000000-0005-0000-0000-0000C3190000}"/>
    <cellStyle name="Normal 2 2 10 18 5 3" xfId="6642" xr:uid="{00000000-0005-0000-0000-0000C4190000}"/>
    <cellStyle name="Normal 2 2 10 18 5 4" xfId="6643" xr:uid="{00000000-0005-0000-0000-0000C5190000}"/>
    <cellStyle name="Normal 2 2 10 18 5 5" xfId="6644" xr:uid="{00000000-0005-0000-0000-0000C6190000}"/>
    <cellStyle name="Normal 2 2 10 18 5 6" xfId="6645" xr:uid="{00000000-0005-0000-0000-0000C7190000}"/>
    <cellStyle name="Normal 2 2 10 18 5 7" xfId="6646" xr:uid="{00000000-0005-0000-0000-0000C8190000}"/>
    <cellStyle name="Normal 2 2 10 18 5 8" xfId="6647" xr:uid="{00000000-0005-0000-0000-0000C9190000}"/>
    <cellStyle name="Normal 2 2 10 18 5 9" xfId="6648" xr:uid="{00000000-0005-0000-0000-0000CA190000}"/>
    <cellStyle name="Normal 2 2 10 18 6" xfId="6649" xr:uid="{00000000-0005-0000-0000-0000CB190000}"/>
    <cellStyle name="Normal 2 2 10 18 7" xfId="6650" xr:uid="{00000000-0005-0000-0000-0000CC190000}"/>
    <cellStyle name="Normal 2 2 10 18 8" xfId="6651" xr:uid="{00000000-0005-0000-0000-0000CD190000}"/>
    <cellStyle name="Normal 2 2 10 18 9" xfId="6652" xr:uid="{00000000-0005-0000-0000-0000CE190000}"/>
    <cellStyle name="Normal 2 2 10 19" xfId="6653" xr:uid="{00000000-0005-0000-0000-0000CF190000}"/>
    <cellStyle name="Normal 2 2 10 19 10" xfId="6654" xr:uid="{00000000-0005-0000-0000-0000D0190000}"/>
    <cellStyle name="Normal 2 2 10 19 11" xfId="6655" xr:uid="{00000000-0005-0000-0000-0000D1190000}"/>
    <cellStyle name="Normal 2 2 10 19 12" xfId="6656" xr:uid="{00000000-0005-0000-0000-0000D2190000}"/>
    <cellStyle name="Normal 2 2 10 19 13" xfId="6657" xr:uid="{00000000-0005-0000-0000-0000D3190000}"/>
    <cellStyle name="Normal 2 2 10 19 14" xfId="6658" xr:uid="{00000000-0005-0000-0000-0000D4190000}"/>
    <cellStyle name="Normal 2 2 10 19 2" xfId="6659" xr:uid="{00000000-0005-0000-0000-0000D5190000}"/>
    <cellStyle name="Normal 2 2 10 19 2 10" xfId="6660" xr:uid="{00000000-0005-0000-0000-0000D6190000}"/>
    <cellStyle name="Normal 2 2 10 19 2 2" xfId="6661" xr:uid="{00000000-0005-0000-0000-0000D7190000}"/>
    <cellStyle name="Normal 2 2 10 19 2 3" xfId="6662" xr:uid="{00000000-0005-0000-0000-0000D8190000}"/>
    <cellStyle name="Normal 2 2 10 19 2 4" xfId="6663" xr:uid="{00000000-0005-0000-0000-0000D9190000}"/>
    <cellStyle name="Normal 2 2 10 19 2 5" xfId="6664" xr:uid="{00000000-0005-0000-0000-0000DA190000}"/>
    <cellStyle name="Normal 2 2 10 19 2 6" xfId="6665" xr:uid="{00000000-0005-0000-0000-0000DB190000}"/>
    <cellStyle name="Normal 2 2 10 19 2 7" xfId="6666" xr:uid="{00000000-0005-0000-0000-0000DC190000}"/>
    <cellStyle name="Normal 2 2 10 19 2 8" xfId="6667" xr:uid="{00000000-0005-0000-0000-0000DD190000}"/>
    <cellStyle name="Normal 2 2 10 19 2 9" xfId="6668" xr:uid="{00000000-0005-0000-0000-0000DE190000}"/>
    <cellStyle name="Normal 2 2 10 19 3" xfId="6669" xr:uid="{00000000-0005-0000-0000-0000DF190000}"/>
    <cellStyle name="Normal 2 2 10 19 3 10" xfId="6670" xr:uid="{00000000-0005-0000-0000-0000E0190000}"/>
    <cellStyle name="Normal 2 2 10 19 3 2" xfId="6671" xr:uid="{00000000-0005-0000-0000-0000E1190000}"/>
    <cellStyle name="Normal 2 2 10 19 3 3" xfId="6672" xr:uid="{00000000-0005-0000-0000-0000E2190000}"/>
    <cellStyle name="Normal 2 2 10 19 3 4" xfId="6673" xr:uid="{00000000-0005-0000-0000-0000E3190000}"/>
    <cellStyle name="Normal 2 2 10 19 3 5" xfId="6674" xr:uid="{00000000-0005-0000-0000-0000E4190000}"/>
    <cellStyle name="Normal 2 2 10 19 3 6" xfId="6675" xr:uid="{00000000-0005-0000-0000-0000E5190000}"/>
    <cellStyle name="Normal 2 2 10 19 3 7" xfId="6676" xr:uid="{00000000-0005-0000-0000-0000E6190000}"/>
    <cellStyle name="Normal 2 2 10 19 3 8" xfId="6677" xr:uid="{00000000-0005-0000-0000-0000E7190000}"/>
    <cellStyle name="Normal 2 2 10 19 3 9" xfId="6678" xr:uid="{00000000-0005-0000-0000-0000E8190000}"/>
    <cellStyle name="Normal 2 2 10 19 4" xfId="6679" xr:uid="{00000000-0005-0000-0000-0000E9190000}"/>
    <cellStyle name="Normal 2 2 10 19 4 10" xfId="6680" xr:uid="{00000000-0005-0000-0000-0000EA190000}"/>
    <cellStyle name="Normal 2 2 10 19 4 2" xfId="6681" xr:uid="{00000000-0005-0000-0000-0000EB190000}"/>
    <cellStyle name="Normal 2 2 10 19 4 3" xfId="6682" xr:uid="{00000000-0005-0000-0000-0000EC190000}"/>
    <cellStyle name="Normal 2 2 10 19 4 4" xfId="6683" xr:uid="{00000000-0005-0000-0000-0000ED190000}"/>
    <cellStyle name="Normal 2 2 10 19 4 5" xfId="6684" xr:uid="{00000000-0005-0000-0000-0000EE190000}"/>
    <cellStyle name="Normal 2 2 10 19 4 6" xfId="6685" xr:uid="{00000000-0005-0000-0000-0000EF190000}"/>
    <cellStyle name="Normal 2 2 10 19 4 7" xfId="6686" xr:uid="{00000000-0005-0000-0000-0000F0190000}"/>
    <cellStyle name="Normal 2 2 10 19 4 8" xfId="6687" xr:uid="{00000000-0005-0000-0000-0000F1190000}"/>
    <cellStyle name="Normal 2 2 10 19 4 9" xfId="6688" xr:uid="{00000000-0005-0000-0000-0000F2190000}"/>
    <cellStyle name="Normal 2 2 10 19 5" xfId="6689" xr:uid="{00000000-0005-0000-0000-0000F3190000}"/>
    <cellStyle name="Normal 2 2 10 19 5 10" xfId="6690" xr:uid="{00000000-0005-0000-0000-0000F4190000}"/>
    <cellStyle name="Normal 2 2 10 19 5 2" xfId="6691" xr:uid="{00000000-0005-0000-0000-0000F5190000}"/>
    <cellStyle name="Normal 2 2 10 19 5 3" xfId="6692" xr:uid="{00000000-0005-0000-0000-0000F6190000}"/>
    <cellStyle name="Normal 2 2 10 19 5 4" xfId="6693" xr:uid="{00000000-0005-0000-0000-0000F7190000}"/>
    <cellStyle name="Normal 2 2 10 19 5 5" xfId="6694" xr:uid="{00000000-0005-0000-0000-0000F8190000}"/>
    <cellStyle name="Normal 2 2 10 19 5 6" xfId="6695" xr:uid="{00000000-0005-0000-0000-0000F9190000}"/>
    <cellStyle name="Normal 2 2 10 19 5 7" xfId="6696" xr:uid="{00000000-0005-0000-0000-0000FA190000}"/>
    <cellStyle name="Normal 2 2 10 19 5 8" xfId="6697" xr:uid="{00000000-0005-0000-0000-0000FB190000}"/>
    <cellStyle name="Normal 2 2 10 19 5 9" xfId="6698" xr:uid="{00000000-0005-0000-0000-0000FC190000}"/>
    <cellStyle name="Normal 2 2 10 19 6" xfId="6699" xr:uid="{00000000-0005-0000-0000-0000FD190000}"/>
    <cellStyle name="Normal 2 2 10 19 7" xfId="6700" xr:uid="{00000000-0005-0000-0000-0000FE190000}"/>
    <cellStyle name="Normal 2 2 10 19 8" xfId="6701" xr:uid="{00000000-0005-0000-0000-0000FF190000}"/>
    <cellStyle name="Normal 2 2 10 19 9" xfId="6702" xr:uid="{00000000-0005-0000-0000-0000001A0000}"/>
    <cellStyle name="Normal 2 2 10 2" xfId="6703" xr:uid="{00000000-0005-0000-0000-0000011A0000}"/>
    <cellStyle name="Normal 2 2 10 2 10" xfId="6704" xr:uid="{00000000-0005-0000-0000-0000021A0000}"/>
    <cellStyle name="Normal 2 2 10 2 10 10" xfId="6705" xr:uid="{00000000-0005-0000-0000-0000031A0000}"/>
    <cellStyle name="Normal 2 2 10 2 10 11" xfId="6706" xr:uid="{00000000-0005-0000-0000-0000041A0000}"/>
    <cellStyle name="Normal 2 2 10 2 10 12" xfId="6707" xr:uid="{00000000-0005-0000-0000-0000051A0000}"/>
    <cellStyle name="Normal 2 2 10 2 10 13" xfId="6708" xr:uid="{00000000-0005-0000-0000-0000061A0000}"/>
    <cellStyle name="Normal 2 2 10 2 10 14" xfId="6709" xr:uid="{00000000-0005-0000-0000-0000071A0000}"/>
    <cellStyle name="Normal 2 2 10 2 10 2" xfId="6710" xr:uid="{00000000-0005-0000-0000-0000081A0000}"/>
    <cellStyle name="Normal 2 2 10 2 10 2 10" xfId="6711" xr:uid="{00000000-0005-0000-0000-0000091A0000}"/>
    <cellStyle name="Normal 2 2 10 2 10 2 2" xfId="6712" xr:uid="{00000000-0005-0000-0000-00000A1A0000}"/>
    <cellStyle name="Normal 2 2 10 2 10 2 3" xfId="6713" xr:uid="{00000000-0005-0000-0000-00000B1A0000}"/>
    <cellStyle name="Normal 2 2 10 2 10 2 4" xfId="6714" xr:uid="{00000000-0005-0000-0000-00000C1A0000}"/>
    <cellStyle name="Normal 2 2 10 2 10 2 5" xfId="6715" xr:uid="{00000000-0005-0000-0000-00000D1A0000}"/>
    <cellStyle name="Normal 2 2 10 2 10 2 6" xfId="6716" xr:uid="{00000000-0005-0000-0000-00000E1A0000}"/>
    <cellStyle name="Normal 2 2 10 2 10 2 7" xfId="6717" xr:uid="{00000000-0005-0000-0000-00000F1A0000}"/>
    <cellStyle name="Normal 2 2 10 2 10 2 8" xfId="6718" xr:uid="{00000000-0005-0000-0000-0000101A0000}"/>
    <cellStyle name="Normal 2 2 10 2 10 2 9" xfId="6719" xr:uid="{00000000-0005-0000-0000-0000111A0000}"/>
    <cellStyle name="Normal 2 2 10 2 10 3" xfId="6720" xr:uid="{00000000-0005-0000-0000-0000121A0000}"/>
    <cellStyle name="Normal 2 2 10 2 10 3 10" xfId="6721" xr:uid="{00000000-0005-0000-0000-0000131A0000}"/>
    <cellStyle name="Normal 2 2 10 2 10 3 2" xfId="6722" xr:uid="{00000000-0005-0000-0000-0000141A0000}"/>
    <cellStyle name="Normal 2 2 10 2 10 3 3" xfId="6723" xr:uid="{00000000-0005-0000-0000-0000151A0000}"/>
    <cellStyle name="Normal 2 2 10 2 10 3 4" xfId="6724" xr:uid="{00000000-0005-0000-0000-0000161A0000}"/>
    <cellStyle name="Normal 2 2 10 2 10 3 5" xfId="6725" xr:uid="{00000000-0005-0000-0000-0000171A0000}"/>
    <cellStyle name="Normal 2 2 10 2 10 3 6" xfId="6726" xr:uid="{00000000-0005-0000-0000-0000181A0000}"/>
    <cellStyle name="Normal 2 2 10 2 10 3 7" xfId="6727" xr:uid="{00000000-0005-0000-0000-0000191A0000}"/>
    <cellStyle name="Normal 2 2 10 2 10 3 8" xfId="6728" xr:uid="{00000000-0005-0000-0000-00001A1A0000}"/>
    <cellStyle name="Normal 2 2 10 2 10 3 9" xfId="6729" xr:uid="{00000000-0005-0000-0000-00001B1A0000}"/>
    <cellStyle name="Normal 2 2 10 2 10 4" xfId="6730" xr:uid="{00000000-0005-0000-0000-00001C1A0000}"/>
    <cellStyle name="Normal 2 2 10 2 10 4 10" xfId="6731" xr:uid="{00000000-0005-0000-0000-00001D1A0000}"/>
    <cellStyle name="Normal 2 2 10 2 10 4 2" xfId="6732" xr:uid="{00000000-0005-0000-0000-00001E1A0000}"/>
    <cellStyle name="Normal 2 2 10 2 10 4 3" xfId="6733" xr:uid="{00000000-0005-0000-0000-00001F1A0000}"/>
    <cellStyle name="Normal 2 2 10 2 10 4 4" xfId="6734" xr:uid="{00000000-0005-0000-0000-0000201A0000}"/>
    <cellStyle name="Normal 2 2 10 2 10 4 5" xfId="6735" xr:uid="{00000000-0005-0000-0000-0000211A0000}"/>
    <cellStyle name="Normal 2 2 10 2 10 4 6" xfId="6736" xr:uid="{00000000-0005-0000-0000-0000221A0000}"/>
    <cellStyle name="Normal 2 2 10 2 10 4 7" xfId="6737" xr:uid="{00000000-0005-0000-0000-0000231A0000}"/>
    <cellStyle name="Normal 2 2 10 2 10 4 8" xfId="6738" xr:uid="{00000000-0005-0000-0000-0000241A0000}"/>
    <cellStyle name="Normal 2 2 10 2 10 4 9" xfId="6739" xr:uid="{00000000-0005-0000-0000-0000251A0000}"/>
    <cellStyle name="Normal 2 2 10 2 10 5" xfId="6740" xr:uid="{00000000-0005-0000-0000-0000261A0000}"/>
    <cellStyle name="Normal 2 2 10 2 10 5 10" xfId="6741" xr:uid="{00000000-0005-0000-0000-0000271A0000}"/>
    <cellStyle name="Normal 2 2 10 2 10 5 2" xfId="6742" xr:uid="{00000000-0005-0000-0000-0000281A0000}"/>
    <cellStyle name="Normal 2 2 10 2 10 5 3" xfId="6743" xr:uid="{00000000-0005-0000-0000-0000291A0000}"/>
    <cellStyle name="Normal 2 2 10 2 10 5 4" xfId="6744" xr:uid="{00000000-0005-0000-0000-00002A1A0000}"/>
    <cellStyle name="Normal 2 2 10 2 10 5 5" xfId="6745" xr:uid="{00000000-0005-0000-0000-00002B1A0000}"/>
    <cellStyle name="Normal 2 2 10 2 10 5 6" xfId="6746" xr:uid="{00000000-0005-0000-0000-00002C1A0000}"/>
    <cellStyle name="Normal 2 2 10 2 10 5 7" xfId="6747" xr:uid="{00000000-0005-0000-0000-00002D1A0000}"/>
    <cellStyle name="Normal 2 2 10 2 10 5 8" xfId="6748" xr:uid="{00000000-0005-0000-0000-00002E1A0000}"/>
    <cellStyle name="Normal 2 2 10 2 10 5 9" xfId="6749" xr:uid="{00000000-0005-0000-0000-00002F1A0000}"/>
    <cellStyle name="Normal 2 2 10 2 10 6" xfId="6750" xr:uid="{00000000-0005-0000-0000-0000301A0000}"/>
    <cellStyle name="Normal 2 2 10 2 10 7" xfId="6751" xr:uid="{00000000-0005-0000-0000-0000311A0000}"/>
    <cellStyle name="Normal 2 2 10 2 10 8" xfId="6752" xr:uid="{00000000-0005-0000-0000-0000321A0000}"/>
    <cellStyle name="Normal 2 2 10 2 10 9" xfId="6753" xr:uid="{00000000-0005-0000-0000-0000331A0000}"/>
    <cellStyle name="Normal 2 2 10 2 11" xfId="6754" xr:uid="{00000000-0005-0000-0000-0000341A0000}"/>
    <cellStyle name="Normal 2 2 10 2 11 10" xfId="6755" xr:uid="{00000000-0005-0000-0000-0000351A0000}"/>
    <cellStyle name="Normal 2 2 10 2 11 11" xfId="6756" xr:uid="{00000000-0005-0000-0000-0000361A0000}"/>
    <cellStyle name="Normal 2 2 10 2 11 12" xfId="6757" xr:uid="{00000000-0005-0000-0000-0000371A0000}"/>
    <cellStyle name="Normal 2 2 10 2 11 13" xfId="6758" xr:uid="{00000000-0005-0000-0000-0000381A0000}"/>
    <cellStyle name="Normal 2 2 10 2 11 14" xfId="6759" xr:uid="{00000000-0005-0000-0000-0000391A0000}"/>
    <cellStyle name="Normal 2 2 10 2 11 2" xfId="6760" xr:uid="{00000000-0005-0000-0000-00003A1A0000}"/>
    <cellStyle name="Normal 2 2 10 2 11 2 10" xfId="6761" xr:uid="{00000000-0005-0000-0000-00003B1A0000}"/>
    <cellStyle name="Normal 2 2 10 2 11 2 2" xfId="6762" xr:uid="{00000000-0005-0000-0000-00003C1A0000}"/>
    <cellStyle name="Normal 2 2 10 2 11 2 3" xfId="6763" xr:uid="{00000000-0005-0000-0000-00003D1A0000}"/>
    <cellStyle name="Normal 2 2 10 2 11 2 4" xfId="6764" xr:uid="{00000000-0005-0000-0000-00003E1A0000}"/>
    <cellStyle name="Normal 2 2 10 2 11 2 5" xfId="6765" xr:uid="{00000000-0005-0000-0000-00003F1A0000}"/>
    <cellStyle name="Normal 2 2 10 2 11 2 6" xfId="6766" xr:uid="{00000000-0005-0000-0000-0000401A0000}"/>
    <cellStyle name="Normal 2 2 10 2 11 2 7" xfId="6767" xr:uid="{00000000-0005-0000-0000-0000411A0000}"/>
    <cellStyle name="Normal 2 2 10 2 11 2 8" xfId="6768" xr:uid="{00000000-0005-0000-0000-0000421A0000}"/>
    <cellStyle name="Normal 2 2 10 2 11 2 9" xfId="6769" xr:uid="{00000000-0005-0000-0000-0000431A0000}"/>
    <cellStyle name="Normal 2 2 10 2 11 3" xfId="6770" xr:uid="{00000000-0005-0000-0000-0000441A0000}"/>
    <cellStyle name="Normal 2 2 10 2 11 3 10" xfId="6771" xr:uid="{00000000-0005-0000-0000-0000451A0000}"/>
    <cellStyle name="Normal 2 2 10 2 11 3 2" xfId="6772" xr:uid="{00000000-0005-0000-0000-0000461A0000}"/>
    <cellStyle name="Normal 2 2 10 2 11 3 3" xfId="6773" xr:uid="{00000000-0005-0000-0000-0000471A0000}"/>
    <cellStyle name="Normal 2 2 10 2 11 3 4" xfId="6774" xr:uid="{00000000-0005-0000-0000-0000481A0000}"/>
    <cellStyle name="Normal 2 2 10 2 11 3 5" xfId="6775" xr:uid="{00000000-0005-0000-0000-0000491A0000}"/>
    <cellStyle name="Normal 2 2 10 2 11 3 6" xfId="6776" xr:uid="{00000000-0005-0000-0000-00004A1A0000}"/>
    <cellStyle name="Normal 2 2 10 2 11 3 7" xfId="6777" xr:uid="{00000000-0005-0000-0000-00004B1A0000}"/>
    <cellStyle name="Normal 2 2 10 2 11 3 8" xfId="6778" xr:uid="{00000000-0005-0000-0000-00004C1A0000}"/>
    <cellStyle name="Normal 2 2 10 2 11 3 9" xfId="6779" xr:uid="{00000000-0005-0000-0000-00004D1A0000}"/>
    <cellStyle name="Normal 2 2 10 2 11 4" xfId="6780" xr:uid="{00000000-0005-0000-0000-00004E1A0000}"/>
    <cellStyle name="Normal 2 2 10 2 11 4 10" xfId="6781" xr:uid="{00000000-0005-0000-0000-00004F1A0000}"/>
    <cellStyle name="Normal 2 2 10 2 11 4 2" xfId="6782" xr:uid="{00000000-0005-0000-0000-0000501A0000}"/>
    <cellStyle name="Normal 2 2 10 2 11 4 3" xfId="6783" xr:uid="{00000000-0005-0000-0000-0000511A0000}"/>
    <cellStyle name="Normal 2 2 10 2 11 4 4" xfId="6784" xr:uid="{00000000-0005-0000-0000-0000521A0000}"/>
    <cellStyle name="Normal 2 2 10 2 11 4 5" xfId="6785" xr:uid="{00000000-0005-0000-0000-0000531A0000}"/>
    <cellStyle name="Normal 2 2 10 2 11 4 6" xfId="6786" xr:uid="{00000000-0005-0000-0000-0000541A0000}"/>
    <cellStyle name="Normal 2 2 10 2 11 4 7" xfId="6787" xr:uid="{00000000-0005-0000-0000-0000551A0000}"/>
    <cellStyle name="Normal 2 2 10 2 11 4 8" xfId="6788" xr:uid="{00000000-0005-0000-0000-0000561A0000}"/>
    <cellStyle name="Normal 2 2 10 2 11 4 9" xfId="6789" xr:uid="{00000000-0005-0000-0000-0000571A0000}"/>
    <cellStyle name="Normal 2 2 10 2 11 5" xfId="6790" xr:uid="{00000000-0005-0000-0000-0000581A0000}"/>
    <cellStyle name="Normal 2 2 10 2 11 5 10" xfId="6791" xr:uid="{00000000-0005-0000-0000-0000591A0000}"/>
    <cellStyle name="Normal 2 2 10 2 11 5 2" xfId="6792" xr:uid="{00000000-0005-0000-0000-00005A1A0000}"/>
    <cellStyle name="Normal 2 2 10 2 11 5 3" xfId="6793" xr:uid="{00000000-0005-0000-0000-00005B1A0000}"/>
    <cellStyle name="Normal 2 2 10 2 11 5 4" xfId="6794" xr:uid="{00000000-0005-0000-0000-00005C1A0000}"/>
    <cellStyle name="Normal 2 2 10 2 11 5 5" xfId="6795" xr:uid="{00000000-0005-0000-0000-00005D1A0000}"/>
    <cellStyle name="Normal 2 2 10 2 11 5 6" xfId="6796" xr:uid="{00000000-0005-0000-0000-00005E1A0000}"/>
    <cellStyle name="Normal 2 2 10 2 11 5 7" xfId="6797" xr:uid="{00000000-0005-0000-0000-00005F1A0000}"/>
    <cellStyle name="Normal 2 2 10 2 11 5 8" xfId="6798" xr:uid="{00000000-0005-0000-0000-0000601A0000}"/>
    <cellStyle name="Normal 2 2 10 2 11 5 9" xfId="6799" xr:uid="{00000000-0005-0000-0000-0000611A0000}"/>
    <cellStyle name="Normal 2 2 10 2 11 6" xfId="6800" xr:uid="{00000000-0005-0000-0000-0000621A0000}"/>
    <cellStyle name="Normal 2 2 10 2 11 7" xfId="6801" xr:uid="{00000000-0005-0000-0000-0000631A0000}"/>
    <cellStyle name="Normal 2 2 10 2 11 8" xfId="6802" xr:uid="{00000000-0005-0000-0000-0000641A0000}"/>
    <cellStyle name="Normal 2 2 10 2 11 9" xfId="6803" xr:uid="{00000000-0005-0000-0000-0000651A0000}"/>
    <cellStyle name="Normal 2 2 10 2 12" xfId="6804" xr:uid="{00000000-0005-0000-0000-0000661A0000}"/>
    <cellStyle name="Normal 2 2 10 2 12 10" xfId="6805" xr:uid="{00000000-0005-0000-0000-0000671A0000}"/>
    <cellStyle name="Normal 2 2 10 2 12 11" xfId="6806" xr:uid="{00000000-0005-0000-0000-0000681A0000}"/>
    <cellStyle name="Normal 2 2 10 2 12 12" xfId="6807" xr:uid="{00000000-0005-0000-0000-0000691A0000}"/>
    <cellStyle name="Normal 2 2 10 2 12 13" xfId="6808" xr:uid="{00000000-0005-0000-0000-00006A1A0000}"/>
    <cellStyle name="Normal 2 2 10 2 12 14" xfId="6809" xr:uid="{00000000-0005-0000-0000-00006B1A0000}"/>
    <cellStyle name="Normal 2 2 10 2 12 2" xfId="6810" xr:uid="{00000000-0005-0000-0000-00006C1A0000}"/>
    <cellStyle name="Normal 2 2 10 2 12 2 10" xfId="6811" xr:uid="{00000000-0005-0000-0000-00006D1A0000}"/>
    <cellStyle name="Normal 2 2 10 2 12 2 2" xfId="6812" xr:uid="{00000000-0005-0000-0000-00006E1A0000}"/>
    <cellStyle name="Normal 2 2 10 2 12 2 3" xfId="6813" xr:uid="{00000000-0005-0000-0000-00006F1A0000}"/>
    <cellStyle name="Normal 2 2 10 2 12 2 4" xfId="6814" xr:uid="{00000000-0005-0000-0000-0000701A0000}"/>
    <cellStyle name="Normal 2 2 10 2 12 2 5" xfId="6815" xr:uid="{00000000-0005-0000-0000-0000711A0000}"/>
    <cellStyle name="Normal 2 2 10 2 12 2 6" xfId="6816" xr:uid="{00000000-0005-0000-0000-0000721A0000}"/>
    <cellStyle name="Normal 2 2 10 2 12 2 7" xfId="6817" xr:uid="{00000000-0005-0000-0000-0000731A0000}"/>
    <cellStyle name="Normal 2 2 10 2 12 2 8" xfId="6818" xr:uid="{00000000-0005-0000-0000-0000741A0000}"/>
    <cellStyle name="Normal 2 2 10 2 12 2 9" xfId="6819" xr:uid="{00000000-0005-0000-0000-0000751A0000}"/>
    <cellStyle name="Normal 2 2 10 2 12 3" xfId="6820" xr:uid="{00000000-0005-0000-0000-0000761A0000}"/>
    <cellStyle name="Normal 2 2 10 2 12 3 10" xfId="6821" xr:uid="{00000000-0005-0000-0000-0000771A0000}"/>
    <cellStyle name="Normal 2 2 10 2 12 3 2" xfId="6822" xr:uid="{00000000-0005-0000-0000-0000781A0000}"/>
    <cellStyle name="Normal 2 2 10 2 12 3 3" xfId="6823" xr:uid="{00000000-0005-0000-0000-0000791A0000}"/>
    <cellStyle name="Normal 2 2 10 2 12 3 4" xfId="6824" xr:uid="{00000000-0005-0000-0000-00007A1A0000}"/>
    <cellStyle name="Normal 2 2 10 2 12 3 5" xfId="6825" xr:uid="{00000000-0005-0000-0000-00007B1A0000}"/>
    <cellStyle name="Normal 2 2 10 2 12 3 6" xfId="6826" xr:uid="{00000000-0005-0000-0000-00007C1A0000}"/>
    <cellStyle name="Normal 2 2 10 2 12 3 7" xfId="6827" xr:uid="{00000000-0005-0000-0000-00007D1A0000}"/>
    <cellStyle name="Normal 2 2 10 2 12 3 8" xfId="6828" xr:uid="{00000000-0005-0000-0000-00007E1A0000}"/>
    <cellStyle name="Normal 2 2 10 2 12 3 9" xfId="6829" xr:uid="{00000000-0005-0000-0000-00007F1A0000}"/>
    <cellStyle name="Normal 2 2 10 2 12 4" xfId="6830" xr:uid="{00000000-0005-0000-0000-0000801A0000}"/>
    <cellStyle name="Normal 2 2 10 2 12 4 10" xfId="6831" xr:uid="{00000000-0005-0000-0000-0000811A0000}"/>
    <cellStyle name="Normal 2 2 10 2 12 4 2" xfId="6832" xr:uid="{00000000-0005-0000-0000-0000821A0000}"/>
    <cellStyle name="Normal 2 2 10 2 12 4 3" xfId="6833" xr:uid="{00000000-0005-0000-0000-0000831A0000}"/>
    <cellStyle name="Normal 2 2 10 2 12 4 4" xfId="6834" xr:uid="{00000000-0005-0000-0000-0000841A0000}"/>
    <cellStyle name="Normal 2 2 10 2 12 4 5" xfId="6835" xr:uid="{00000000-0005-0000-0000-0000851A0000}"/>
    <cellStyle name="Normal 2 2 10 2 12 4 6" xfId="6836" xr:uid="{00000000-0005-0000-0000-0000861A0000}"/>
    <cellStyle name="Normal 2 2 10 2 12 4 7" xfId="6837" xr:uid="{00000000-0005-0000-0000-0000871A0000}"/>
    <cellStyle name="Normal 2 2 10 2 12 4 8" xfId="6838" xr:uid="{00000000-0005-0000-0000-0000881A0000}"/>
    <cellStyle name="Normal 2 2 10 2 12 4 9" xfId="6839" xr:uid="{00000000-0005-0000-0000-0000891A0000}"/>
    <cellStyle name="Normal 2 2 10 2 12 5" xfId="6840" xr:uid="{00000000-0005-0000-0000-00008A1A0000}"/>
    <cellStyle name="Normal 2 2 10 2 12 5 10" xfId="6841" xr:uid="{00000000-0005-0000-0000-00008B1A0000}"/>
    <cellStyle name="Normal 2 2 10 2 12 5 2" xfId="6842" xr:uid="{00000000-0005-0000-0000-00008C1A0000}"/>
    <cellStyle name="Normal 2 2 10 2 12 5 3" xfId="6843" xr:uid="{00000000-0005-0000-0000-00008D1A0000}"/>
    <cellStyle name="Normal 2 2 10 2 12 5 4" xfId="6844" xr:uid="{00000000-0005-0000-0000-00008E1A0000}"/>
    <cellStyle name="Normal 2 2 10 2 12 5 5" xfId="6845" xr:uid="{00000000-0005-0000-0000-00008F1A0000}"/>
    <cellStyle name="Normal 2 2 10 2 12 5 6" xfId="6846" xr:uid="{00000000-0005-0000-0000-0000901A0000}"/>
    <cellStyle name="Normal 2 2 10 2 12 5 7" xfId="6847" xr:uid="{00000000-0005-0000-0000-0000911A0000}"/>
    <cellStyle name="Normal 2 2 10 2 12 5 8" xfId="6848" xr:uid="{00000000-0005-0000-0000-0000921A0000}"/>
    <cellStyle name="Normal 2 2 10 2 12 5 9" xfId="6849" xr:uid="{00000000-0005-0000-0000-0000931A0000}"/>
    <cellStyle name="Normal 2 2 10 2 12 6" xfId="6850" xr:uid="{00000000-0005-0000-0000-0000941A0000}"/>
    <cellStyle name="Normal 2 2 10 2 12 7" xfId="6851" xr:uid="{00000000-0005-0000-0000-0000951A0000}"/>
    <cellStyle name="Normal 2 2 10 2 12 8" xfId="6852" xr:uid="{00000000-0005-0000-0000-0000961A0000}"/>
    <cellStyle name="Normal 2 2 10 2 12 9" xfId="6853" xr:uid="{00000000-0005-0000-0000-0000971A0000}"/>
    <cellStyle name="Normal 2 2 10 2 13" xfId="6854" xr:uid="{00000000-0005-0000-0000-0000981A0000}"/>
    <cellStyle name="Normal 2 2 10 2 13 10" xfId="6855" xr:uid="{00000000-0005-0000-0000-0000991A0000}"/>
    <cellStyle name="Normal 2 2 10 2 13 11" xfId="6856" xr:uid="{00000000-0005-0000-0000-00009A1A0000}"/>
    <cellStyle name="Normal 2 2 10 2 13 12" xfId="6857" xr:uid="{00000000-0005-0000-0000-00009B1A0000}"/>
    <cellStyle name="Normal 2 2 10 2 13 13" xfId="6858" xr:uid="{00000000-0005-0000-0000-00009C1A0000}"/>
    <cellStyle name="Normal 2 2 10 2 13 14" xfId="6859" xr:uid="{00000000-0005-0000-0000-00009D1A0000}"/>
    <cellStyle name="Normal 2 2 10 2 13 2" xfId="6860" xr:uid="{00000000-0005-0000-0000-00009E1A0000}"/>
    <cellStyle name="Normal 2 2 10 2 13 2 10" xfId="6861" xr:uid="{00000000-0005-0000-0000-00009F1A0000}"/>
    <cellStyle name="Normal 2 2 10 2 13 2 2" xfId="6862" xr:uid="{00000000-0005-0000-0000-0000A01A0000}"/>
    <cellStyle name="Normal 2 2 10 2 13 2 3" xfId="6863" xr:uid="{00000000-0005-0000-0000-0000A11A0000}"/>
    <cellStyle name="Normal 2 2 10 2 13 2 4" xfId="6864" xr:uid="{00000000-0005-0000-0000-0000A21A0000}"/>
    <cellStyle name="Normal 2 2 10 2 13 2 5" xfId="6865" xr:uid="{00000000-0005-0000-0000-0000A31A0000}"/>
    <cellStyle name="Normal 2 2 10 2 13 2 6" xfId="6866" xr:uid="{00000000-0005-0000-0000-0000A41A0000}"/>
    <cellStyle name="Normal 2 2 10 2 13 2 7" xfId="6867" xr:uid="{00000000-0005-0000-0000-0000A51A0000}"/>
    <cellStyle name="Normal 2 2 10 2 13 2 8" xfId="6868" xr:uid="{00000000-0005-0000-0000-0000A61A0000}"/>
    <cellStyle name="Normal 2 2 10 2 13 2 9" xfId="6869" xr:uid="{00000000-0005-0000-0000-0000A71A0000}"/>
    <cellStyle name="Normal 2 2 10 2 13 3" xfId="6870" xr:uid="{00000000-0005-0000-0000-0000A81A0000}"/>
    <cellStyle name="Normal 2 2 10 2 13 3 10" xfId="6871" xr:uid="{00000000-0005-0000-0000-0000A91A0000}"/>
    <cellStyle name="Normal 2 2 10 2 13 3 2" xfId="6872" xr:uid="{00000000-0005-0000-0000-0000AA1A0000}"/>
    <cellStyle name="Normal 2 2 10 2 13 3 3" xfId="6873" xr:uid="{00000000-0005-0000-0000-0000AB1A0000}"/>
    <cellStyle name="Normal 2 2 10 2 13 3 4" xfId="6874" xr:uid="{00000000-0005-0000-0000-0000AC1A0000}"/>
    <cellStyle name="Normal 2 2 10 2 13 3 5" xfId="6875" xr:uid="{00000000-0005-0000-0000-0000AD1A0000}"/>
    <cellStyle name="Normal 2 2 10 2 13 3 6" xfId="6876" xr:uid="{00000000-0005-0000-0000-0000AE1A0000}"/>
    <cellStyle name="Normal 2 2 10 2 13 3 7" xfId="6877" xr:uid="{00000000-0005-0000-0000-0000AF1A0000}"/>
    <cellStyle name="Normal 2 2 10 2 13 3 8" xfId="6878" xr:uid="{00000000-0005-0000-0000-0000B01A0000}"/>
    <cellStyle name="Normal 2 2 10 2 13 3 9" xfId="6879" xr:uid="{00000000-0005-0000-0000-0000B11A0000}"/>
    <cellStyle name="Normal 2 2 10 2 13 4" xfId="6880" xr:uid="{00000000-0005-0000-0000-0000B21A0000}"/>
    <cellStyle name="Normal 2 2 10 2 13 4 10" xfId="6881" xr:uid="{00000000-0005-0000-0000-0000B31A0000}"/>
    <cellStyle name="Normal 2 2 10 2 13 4 2" xfId="6882" xr:uid="{00000000-0005-0000-0000-0000B41A0000}"/>
    <cellStyle name="Normal 2 2 10 2 13 4 3" xfId="6883" xr:uid="{00000000-0005-0000-0000-0000B51A0000}"/>
    <cellStyle name="Normal 2 2 10 2 13 4 4" xfId="6884" xr:uid="{00000000-0005-0000-0000-0000B61A0000}"/>
    <cellStyle name="Normal 2 2 10 2 13 4 5" xfId="6885" xr:uid="{00000000-0005-0000-0000-0000B71A0000}"/>
    <cellStyle name="Normal 2 2 10 2 13 4 6" xfId="6886" xr:uid="{00000000-0005-0000-0000-0000B81A0000}"/>
    <cellStyle name="Normal 2 2 10 2 13 4 7" xfId="6887" xr:uid="{00000000-0005-0000-0000-0000B91A0000}"/>
    <cellStyle name="Normal 2 2 10 2 13 4 8" xfId="6888" xr:uid="{00000000-0005-0000-0000-0000BA1A0000}"/>
    <cellStyle name="Normal 2 2 10 2 13 4 9" xfId="6889" xr:uid="{00000000-0005-0000-0000-0000BB1A0000}"/>
    <cellStyle name="Normal 2 2 10 2 13 5" xfId="6890" xr:uid="{00000000-0005-0000-0000-0000BC1A0000}"/>
    <cellStyle name="Normal 2 2 10 2 13 5 10" xfId="6891" xr:uid="{00000000-0005-0000-0000-0000BD1A0000}"/>
    <cellStyle name="Normal 2 2 10 2 13 5 2" xfId="6892" xr:uid="{00000000-0005-0000-0000-0000BE1A0000}"/>
    <cellStyle name="Normal 2 2 10 2 13 5 3" xfId="6893" xr:uid="{00000000-0005-0000-0000-0000BF1A0000}"/>
    <cellStyle name="Normal 2 2 10 2 13 5 4" xfId="6894" xr:uid="{00000000-0005-0000-0000-0000C01A0000}"/>
    <cellStyle name="Normal 2 2 10 2 13 5 5" xfId="6895" xr:uid="{00000000-0005-0000-0000-0000C11A0000}"/>
    <cellStyle name="Normal 2 2 10 2 13 5 6" xfId="6896" xr:uid="{00000000-0005-0000-0000-0000C21A0000}"/>
    <cellStyle name="Normal 2 2 10 2 13 5 7" xfId="6897" xr:uid="{00000000-0005-0000-0000-0000C31A0000}"/>
    <cellStyle name="Normal 2 2 10 2 13 5 8" xfId="6898" xr:uid="{00000000-0005-0000-0000-0000C41A0000}"/>
    <cellStyle name="Normal 2 2 10 2 13 5 9" xfId="6899" xr:uid="{00000000-0005-0000-0000-0000C51A0000}"/>
    <cellStyle name="Normal 2 2 10 2 13 6" xfId="6900" xr:uid="{00000000-0005-0000-0000-0000C61A0000}"/>
    <cellStyle name="Normal 2 2 10 2 13 7" xfId="6901" xr:uid="{00000000-0005-0000-0000-0000C71A0000}"/>
    <cellStyle name="Normal 2 2 10 2 13 8" xfId="6902" xr:uid="{00000000-0005-0000-0000-0000C81A0000}"/>
    <cellStyle name="Normal 2 2 10 2 13 9" xfId="6903" xr:uid="{00000000-0005-0000-0000-0000C91A0000}"/>
    <cellStyle name="Normal 2 2 10 2 14" xfId="6904" xr:uid="{00000000-0005-0000-0000-0000CA1A0000}"/>
    <cellStyle name="Normal 2 2 10 2 14 10" xfId="6905" xr:uid="{00000000-0005-0000-0000-0000CB1A0000}"/>
    <cellStyle name="Normal 2 2 10 2 14 11" xfId="6906" xr:uid="{00000000-0005-0000-0000-0000CC1A0000}"/>
    <cellStyle name="Normal 2 2 10 2 14 12" xfId="6907" xr:uid="{00000000-0005-0000-0000-0000CD1A0000}"/>
    <cellStyle name="Normal 2 2 10 2 14 13" xfId="6908" xr:uid="{00000000-0005-0000-0000-0000CE1A0000}"/>
    <cellStyle name="Normal 2 2 10 2 14 14" xfId="6909" xr:uid="{00000000-0005-0000-0000-0000CF1A0000}"/>
    <cellStyle name="Normal 2 2 10 2 14 2" xfId="6910" xr:uid="{00000000-0005-0000-0000-0000D01A0000}"/>
    <cellStyle name="Normal 2 2 10 2 14 2 10" xfId="6911" xr:uid="{00000000-0005-0000-0000-0000D11A0000}"/>
    <cellStyle name="Normal 2 2 10 2 14 2 2" xfId="6912" xr:uid="{00000000-0005-0000-0000-0000D21A0000}"/>
    <cellStyle name="Normal 2 2 10 2 14 2 3" xfId="6913" xr:uid="{00000000-0005-0000-0000-0000D31A0000}"/>
    <cellStyle name="Normal 2 2 10 2 14 2 4" xfId="6914" xr:uid="{00000000-0005-0000-0000-0000D41A0000}"/>
    <cellStyle name="Normal 2 2 10 2 14 2 5" xfId="6915" xr:uid="{00000000-0005-0000-0000-0000D51A0000}"/>
    <cellStyle name="Normal 2 2 10 2 14 2 6" xfId="6916" xr:uid="{00000000-0005-0000-0000-0000D61A0000}"/>
    <cellStyle name="Normal 2 2 10 2 14 2 7" xfId="6917" xr:uid="{00000000-0005-0000-0000-0000D71A0000}"/>
    <cellStyle name="Normal 2 2 10 2 14 2 8" xfId="6918" xr:uid="{00000000-0005-0000-0000-0000D81A0000}"/>
    <cellStyle name="Normal 2 2 10 2 14 2 9" xfId="6919" xr:uid="{00000000-0005-0000-0000-0000D91A0000}"/>
    <cellStyle name="Normal 2 2 10 2 14 3" xfId="6920" xr:uid="{00000000-0005-0000-0000-0000DA1A0000}"/>
    <cellStyle name="Normal 2 2 10 2 14 3 10" xfId="6921" xr:uid="{00000000-0005-0000-0000-0000DB1A0000}"/>
    <cellStyle name="Normal 2 2 10 2 14 3 2" xfId="6922" xr:uid="{00000000-0005-0000-0000-0000DC1A0000}"/>
    <cellStyle name="Normal 2 2 10 2 14 3 3" xfId="6923" xr:uid="{00000000-0005-0000-0000-0000DD1A0000}"/>
    <cellStyle name="Normal 2 2 10 2 14 3 4" xfId="6924" xr:uid="{00000000-0005-0000-0000-0000DE1A0000}"/>
    <cellStyle name="Normal 2 2 10 2 14 3 5" xfId="6925" xr:uid="{00000000-0005-0000-0000-0000DF1A0000}"/>
    <cellStyle name="Normal 2 2 10 2 14 3 6" xfId="6926" xr:uid="{00000000-0005-0000-0000-0000E01A0000}"/>
    <cellStyle name="Normal 2 2 10 2 14 3 7" xfId="6927" xr:uid="{00000000-0005-0000-0000-0000E11A0000}"/>
    <cellStyle name="Normal 2 2 10 2 14 3 8" xfId="6928" xr:uid="{00000000-0005-0000-0000-0000E21A0000}"/>
    <cellStyle name="Normal 2 2 10 2 14 3 9" xfId="6929" xr:uid="{00000000-0005-0000-0000-0000E31A0000}"/>
    <cellStyle name="Normal 2 2 10 2 14 4" xfId="6930" xr:uid="{00000000-0005-0000-0000-0000E41A0000}"/>
    <cellStyle name="Normal 2 2 10 2 14 4 10" xfId="6931" xr:uid="{00000000-0005-0000-0000-0000E51A0000}"/>
    <cellStyle name="Normal 2 2 10 2 14 4 2" xfId="6932" xr:uid="{00000000-0005-0000-0000-0000E61A0000}"/>
    <cellStyle name="Normal 2 2 10 2 14 4 3" xfId="6933" xr:uid="{00000000-0005-0000-0000-0000E71A0000}"/>
    <cellStyle name="Normal 2 2 10 2 14 4 4" xfId="6934" xr:uid="{00000000-0005-0000-0000-0000E81A0000}"/>
    <cellStyle name="Normal 2 2 10 2 14 4 5" xfId="6935" xr:uid="{00000000-0005-0000-0000-0000E91A0000}"/>
    <cellStyle name="Normal 2 2 10 2 14 4 6" xfId="6936" xr:uid="{00000000-0005-0000-0000-0000EA1A0000}"/>
    <cellStyle name="Normal 2 2 10 2 14 4 7" xfId="6937" xr:uid="{00000000-0005-0000-0000-0000EB1A0000}"/>
    <cellStyle name="Normal 2 2 10 2 14 4 8" xfId="6938" xr:uid="{00000000-0005-0000-0000-0000EC1A0000}"/>
    <cellStyle name="Normal 2 2 10 2 14 4 9" xfId="6939" xr:uid="{00000000-0005-0000-0000-0000ED1A0000}"/>
    <cellStyle name="Normal 2 2 10 2 14 5" xfId="6940" xr:uid="{00000000-0005-0000-0000-0000EE1A0000}"/>
    <cellStyle name="Normal 2 2 10 2 14 5 10" xfId="6941" xr:uid="{00000000-0005-0000-0000-0000EF1A0000}"/>
    <cellStyle name="Normal 2 2 10 2 14 5 2" xfId="6942" xr:uid="{00000000-0005-0000-0000-0000F01A0000}"/>
    <cellStyle name="Normal 2 2 10 2 14 5 3" xfId="6943" xr:uid="{00000000-0005-0000-0000-0000F11A0000}"/>
    <cellStyle name="Normal 2 2 10 2 14 5 4" xfId="6944" xr:uid="{00000000-0005-0000-0000-0000F21A0000}"/>
    <cellStyle name="Normal 2 2 10 2 14 5 5" xfId="6945" xr:uid="{00000000-0005-0000-0000-0000F31A0000}"/>
    <cellStyle name="Normal 2 2 10 2 14 5 6" xfId="6946" xr:uid="{00000000-0005-0000-0000-0000F41A0000}"/>
    <cellStyle name="Normal 2 2 10 2 14 5 7" xfId="6947" xr:uid="{00000000-0005-0000-0000-0000F51A0000}"/>
    <cellStyle name="Normal 2 2 10 2 14 5 8" xfId="6948" xr:uid="{00000000-0005-0000-0000-0000F61A0000}"/>
    <cellStyle name="Normal 2 2 10 2 14 5 9" xfId="6949" xr:uid="{00000000-0005-0000-0000-0000F71A0000}"/>
    <cellStyle name="Normal 2 2 10 2 14 6" xfId="6950" xr:uid="{00000000-0005-0000-0000-0000F81A0000}"/>
    <cellStyle name="Normal 2 2 10 2 14 7" xfId="6951" xr:uid="{00000000-0005-0000-0000-0000F91A0000}"/>
    <cellStyle name="Normal 2 2 10 2 14 8" xfId="6952" xr:uid="{00000000-0005-0000-0000-0000FA1A0000}"/>
    <cellStyle name="Normal 2 2 10 2 14 9" xfId="6953" xr:uid="{00000000-0005-0000-0000-0000FB1A0000}"/>
    <cellStyle name="Normal 2 2 10 2 15" xfId="6954" xr:uid="{00000000-0005-0000-0000-0000FC1A0000}"/>
    <cellStyle name="Normal 2 2 10 2 15 10" xfId="6955" xr:uid="{00000000-0005-0000-0000-0000FD1A0000}"/>
    <cellStyle name="Normal 2 2 10 2 15 11" xfId="6956" xr:uid="{00000000-0005-0000-0000-0000FE1A0000}"/>
    <cellStyle name="Normal 2 2 10 2 15 12" xfId="6957" xr:uid="{00000000-0005-0000-0000-0000FF1A0000}"/>
    <cellStyle name="Normal 2 2 10 2 15 13" xfId="6958" xr:uid="{00000000-0005-0000-0000-0000001B0000}"/>
    <cellStyle name="Normal 2 2 10 2 15 14" xfId="6959" xr:uid="{00000000-0005-0000-0000-0000011B0000}"/>
    <cellStyle name="Normal 2 2 10 2 15 2" xfId="6960" xr:uid="{00000000-0005-0000-0000-0000021B0000}"/>
    <cellStyle name="Normal 2 2 10 2 15 2 10" xfId="6961" xr:uid="{00000000-0005-0000-0000-0000031B0000}"/>
    <cellStyle name="Normal 2 2 10 2 15 2 2" xfId="6962" xr:uid="{00000000-0005-0000-0000-0000041B0000}"/>
    <cellStyle name="Normal 2 2 10 2 15 2 3" xfId="6963" xr:uid="{00000000-0005-0000-0000-0000051B0000}"/>
    <cellStyle name="Normal 2 2 10 2 15 2 4" xfId="6964" xr:uid="{00000000-0005-0000-0000-0000061B0000}"/>
    <cellStyle name="Normal 2 2 10 2 15 2 5" xfId="6965" xr:uid="{00000000-0005-0000-0000-0000071B0000}"/>
    <cellStyle name="Normal 2 2 10 2 15 2 6" xfId="6966" xr:uid="{00000000-0005-0000-0000-0000081B0000}"/>
    <cellStyle name="Normal 2 2 10 2 15 2 7" xfId="6967" xr:uid="{00000000-0005-0000-0000-0000091B0000}"/>
    <cellStyle name="Normal 2 2 10 2 15 2 8" xfId="6968" xr:uid="{00000000-0005-0000-0000-00000A1B0000}"/>
    <cellStyle name="Normal 2 2 10 2 15 2 9" xfId="6969" xr:uid="{00000000-0005-0000-0000-00000B1B0000}"/>
    <cellStyle name="Normal 2 2 10 2 15 3" xfId="6970" xr:uid="{00000000-0005-0000-0000-00000C1B0000}"/>
    <cellStyle name="Normal 2 2 10 2 15 3 10" xfId="6971" xr:uid="{00000000-0005-0000-0000-00000D1B0000}"/>
    <cellStyle name="Normal 2 2 10 2 15 3 2" xfId="6972" xr:uid="{00000000-0005-0000-0000-00000E1B0000}"/>
    <cellStyle name="Normal 2 2 10 2 15 3 3" xfId="6973" xr:uid="{00000000-0005-0000-0000-00000F1B0000}"/>
    <cellStyle name="Normal 2 2 10 2 15 3 4" xfId="6974" xr:uid="{00000000-0005-0000-0000-0000101B0000}"/>
    <cellStyle name="Normal 2 2 10 2 15 3 5" xfId="6975" xr:uid="{00000000-0005-0000-0000-0000111B0000}"/>
    <cellStyle name="Normal 2 2 10 2 15 3 6" xfId="6976" xr:uid="{00000000-0005-0000-0000-0000121B0000}"/>
    <cellStyle name="Normal 2 2 10 2 15 3 7" xfId="6977" xr:uid="{00000000-0005-0000-0000-0000131B0000}"/>
    <cellStyle name="Normal 2 2 10 2 15 3 8" xfId="6978" xr:uid="{00000000-0005-0000-0000-0000141B0000}"/>
    <cellStyle name="Normal 2 2 10 2 15 3 9" xfId="6979" xr:uid="{00000000-0005-0000-0000-0000151B0000}"/>
    <cellStyle name="Normal 2 2 10 2 15 4" xfId="6980" xr:uid="{00000000-0005-0000-0000-0000161B0000}"/>
    <cellStyle name="Normal 2 2 10 2 15 4 10" xfId="6981" xr:uid="{00000000-0005-0000-0000-0000171B0000}"/>
    <cellStyle name="Normal 2 2 10 2 15 4 2" xfId="6982" xr:uid="{00000000-0005-0000-0000-0000181B0000}"/>
    <cellStyle name="Normal 2 2 10 2 15 4 3" xfId="6983" xr:uid="{00000000-0005-0000-0000-0000191B0000}"/>
    <cellStyle name="Normal 2 2 10 2 15 4 4" xfId="6984" xr:uid="{00000000-0005-0000-0000-00001A1B0000}"/>
    <cellStyle name="Normal 2 2 10 2 15 4 5" xfId="6985" xr:uid="{00000000-0005-0000-0000-00001B1B0000}"/>
    <cellStyle name="Normal 2 2 10 2 15 4 6" xfId="6986" xr:uid="{00000000-0005-0000-0000-00001C1B0000}"/>
    <cellStyle name="Normal 2 2 10 2 15 4 7" xfId="6987" xr:uid="{00000000-0005-0000-0000-00001D1B0000}"/>
    <cellStyle name="Normal 2 2 10 2 15 4 8" xfId="6988" xr:uid="{00000000-0005-0000-0000-00001E1B0000}"/>
    <cellStyle name="Normal 2 2 10 2 15 4 9" xfId="6989" xr:uid="{00000000-0005-0000-0000-00001F1B0000}"/>
    <cellStyle name="Normal 2 2 10 2 15 5" xfId="6990" xr:uid="{00000000-0005-0000-0000-0000201B0000}"/>
    <cellStyle name="Normal 2 2 10 2 15 5 10" xfId="6991" xr:uid="{00000000-0005-0000-0000-0000211B0000}"/>
    <cellStyle name="Normal 2 2 10 2 15 5 2" xfId="6992" xr:uid="{00000000-0005-0000-0000-0000221B0000}"/>
    <cellStyle name="Normal 2 2 10 2 15 5 3" xfId="6993" xr:uid="{00000000-0005-0000-0000-0000231B0000}"/>
    <cellStyle name="Normal 2 2 10 2 15 5 4" xfId="6994" xr:uid="{00000000-0005-0000-0000-0000241B0000}"/>
    <cellStyle name="Normal 2 2 10 2 15 5 5" xfId="6995" xr:uid="{00000000-0005-0000-0000-0000251B0000}"/>
    <cellStyle name="Normal 2 2 10 2 15 5 6" xfId="6996" xr:uid="{00000000-0005-0000-0000-0000261B0000}"/>
    <cellStyle name="Normal 2 2 10 2 15 5 7" xfId="6997" xr:uid="{00000000-0005-0000-0000-0000271B0000}"/>
    <cellStyle name="Normal 2 2 10 2 15 5 8" xfId="6998" xr:uid="{00000000-0005-0000-0000-0000281B0000}"/>
    <cellStyle name="Normal 2 2 10 2 15 5 9" xfId="6999" xr:uid="{00000000-0005-0000-0000-0000291B0000}"/>
    <cellStyle name="Normal 2 2 10 2 15 6" xfId="7000" xr:uid="{00000000-0005-0000-0000-00002A1B0000}"/>
    <cellStyle name="Normal 2 2 10 2 15 7" xfId="7001" xr:uid="{00000000-0005-0000-0000-00002B1B0000}"/>
    <cellStyle name="Normal 2 2 10 2 15 8" xfId="7002" xr:uid="{00000000-0005-0000-0000-00002C1B0000}"/>
    <cellStyle name="Normal 2 2 10 2 15 9" xfId="7003" xr:uid="{00000000-0005-0000-0000-00002D1B0000}"/>
    <cellStyle name="Normal 2 2 10 2 16" xfId="7004" xr:uid="{00000000-0005-0000-0000-00002E1B0000}"/>
    <cellStyle name="Normal 2 2 10 2 16 10" xfId="7005" xr:uid="{00000000-0005-0000-0000-00002F1B0000}"/>
    <cellStyle name="Normal 2 2 10 2 16 11" xfId="7006" xr:uid="{00000000-0005-0000-0000-0000301B0000}"/>
    <cellStyle name="Normal 2 2 10 2 16 12" xfId="7007" xr:uid="{00000000-0005-0000-0000-0000311B0000}"/>
    <cellStyle name="Normal 2 2 10 2 16 13" xfId="7008" xr:uid="{00000000-0005-0000-0000-0000321B0000}"/>
    <cellStyle name="Normal 2 2 10 2 16 14" xfId="7009" xr:uid="{00000000-0005-0000-0000-0000331B0000}"/>
    <cellStyle name="Normal 2 2 10 2 16 2" xfId="7010" xr:uid="{00000000-0005-0000-0000-0000341B0000}"/>
    <cellStyle name="Normal 2 2 10 2 16 2 10" xfId="7011" xr:uid="{00000000-0005-0000-0000-0000351B0000}"/>
    <cellStyle name="Normal 2 2 10 2 16 2 2" xfId="7012" xr:uid="{00000000-0005-0000-0000-0000361B0000}"/>
    <cellStyle name="Normal 2 2 10 2 16 2 3" xfId="7013" xr:uid="{00000000-0005-0000-0000-0000371B0000}"/>
    <cellStyle name="Normal 2 2 10 2 16 2 4" xfId="7014" xr:uid="{00000000-0005-0000-0000-0000381B0000}"/>
    <cellStyle name="Normal 2 2 10 2 16 2 5" xfId="7015" xr:uid="{00000000-0005-0000-0000-0000391B0000}"/>
    <cellStyle name="Normal 2 2 10 2 16 2 6" xfId="7016" xr:uid="{00000000-0005-0000-0000-00003A1B0000}"/>
    <cellStyle name="Normal 2 2 10 2 16 2 7" xfId="7017" xr:uid="{00000000-0005-0000-0000-00003B1B0000}"/>
    <cellStyle name="Normal 2 2 10 2 16 2 8" xfId="7018" xr:uid="{00000000-0005-0000-0000-00003C1B0000}"/>
    <cellStyle name="Normal 2 2 10 2 16 2 9" xfId="7019" xr:uid="{00000000-0005-0000-0000-00003D1B0000}"/>
    <cellStyle name="Normal 2 2 10 2 16 3" xfId="7020" xr:uid="{00000000-0005-0000-0000-00003E1B0000}"/>
    <cellStyle name="Normal 2 2 10 2 16 3 10" xfId="7021" xr:uid="{00000000-0005-0000-0000-00003F1B0000}"/>
    <cellStyle name="Normal 2 2 10 2 16 3 2" xfId="7022" xr:uid="{00000000-0005-0000-0000-0000401B0000}"/>
    <cellStyle name="Normal 2 2 10 2 16 3 3" xfId="7023" xr:uid="{00000000-0005-0000-0000-0000411B0000}"/>
    <cellStyle name="Normal 2 2 10 2 16 3 4" xfId="7024" xr:uid="{00000000-0005-0000-0000-0000421B0000}"/>
    <cellStyle name="Normal 2 2 10 2 16 3 5" xfId="7025" xr:uid="{00000000-0005-0000-0000-0000431B0000}"/>
    <cellStyle name="Normal 2 2 10 2 16 3 6" xfId="7026" xr:uid="{00000000-0005-0000-0000-0000441B0000}"/>
    <cellStyle name="Normal 2 2 10 2 16 3 7" xfId="7027" xr:uid="{00000000-0005-0000-0000-0000451B0000}"/>
    <cellStyle name="Normal 2 2 10 2 16 3 8" xfId="7028" xr:uid="{00000000-0005-0000-0000-0000461B0000}"/>
    <cellStyle name="Normal 2 2 10 2 16 3 9" xfId="7029" xr:uid="{00000000-0005-0000-0000-0000471B0000}"/>
    <cellStyle name="Normal 2 2 10 2 16 4" xfId="7030" xr:uid="{00000000-0005-0000-0000-0000481B0000}"/>
    <cellStyle name="Normal 2 2 10 2 16 4 10" xfId="7031" xr:uid="{00000000-0005-0000-0000-0000491B0000}"/>
    <cellStyle name="Normal 2 2 10 2 16 4 2" xfId="7032" xr:uid="{00000000-0005-0000-0000-00004A1B0000}"/>
    <cellStyle name="Normal 2 2 10 2 16 4 3" xfId="7033" xr:uid="{00000000-0005-0000-0000-00004B1B0000}"/>
    <cellStyle name="Normal 2 2 10 2 16 4 4" xfId="7034" xr:uid="{00000000-0005-0000-0000-00004C1B0000}"/>
    <cellStyle name="Normal 2 2 10 2 16 4 5" xfId="7035" xr:uid="{00000000-0005-0000-0000-00004D1B0000}"/>
    <cellStyle name="Normal 2 2 10 2 16 4 6" xfId="7036" xr:uid="{00000000-0005-0000-0000-00004E1B0000}"/>
    <cellStyle name="Normal 2 2 10 2 16 4 7" xfId="7037" xr:uid="{00000000-0005-0000-0000-00004F1B0000}"/>
    <cellStyle name="Normal 2 2 10 2 16 4 8" xfId="7038" xr:uid="{00000000-0005-0000-0000-0000501B0000}"/>
    <cellStyle name="Normal 2 2 10 2 16 4 9" xfId="7039" xr:uid="{00000000-0005-0000-0000-0000511B0000}"/>
    <cellStyle name="Normal 2 2 10 2 16 5" xfId="7040" xr:uid="{00000000-0005-0000-0000-0000521B0000}"/>
    <cellStyle name="Normal 2 2 10 2 16 5 10" xfId="7041" xr:uid="{00000000-0005-0000-0000-0000531B0000}"/>
    <cellStyle name="Normal 2 2 10 2 16 5 2" xfId="7042" xr:uid="{00000000-0005-0000-0000-0000541B0000}"/>
    <cellStyle name="Normal 2 2 10 2 16 5 3" xfId="7043" xr:uid="{00000000-0005-0000-0000-0000551B0000}"/>
    <cellStyle name="Normal 2 2 10 2 16 5 4" xfId="7044" xr:uid="{00000000-0005-0000-0000-0000561B0000}"/>
    <cellStyle name="Normal 2 2 10 2 16 5 5" xfId="7045" xr:uid="{00000000-0005-0000-0000-0000571B0000}"/>
    <cellStyle name="Normal 2 2 10 2 16 5 6" xfId="7046" xr:uid="{00000000-0005-0000-0000-0000581B0000}"/>
    <cellStyle name="Normal 2 2 10 2 16 5 7" xfId="7047" xr:uid="{00000000-0005-0000-0000-0000591B0000}"/>
    <cellStyle name="Normal 2 2 10 2 16 5 8" xfId="7048" xr:uid="{00000000-0005-0000-0000-00005A1B0000}"/>
    <cellStyle name="Normal 2 2 10 2 16 5 9" xfId="7049" xr:uid="{00000000-0005-0000-0000-00005B1B0000}"/>
    <cellStyle name="Normal 2 2 10 2 16 6" xfId="7050" xr:uid="{00000000-0005-0000-0000-00005C1B0000}"/>
    <cellStyle name="Normal 2 2 10 2 16 7" xfId="7051" xr:uid="{00000000-0005-0000-0000-00005D1B0000}"/>
    <cellStyle name="Normal 2 2 10 2 16 8" xfId="7052" xr:uid="{00000000-0005-0000-0000-00005E1B0000}"/>
    <cellStyle name="Normal 2 2 10 2 16 9" xfId="7053" xr:uid="{00000000-0005-0000-0000-00005F1B0000}"/>
    <cellStyle name="Normal 2 2 10 2 17" xfId="7054" xr:uid="{00000000-0005-0000-0000-0000601B0000}"/>
    <cellStyle name="Normal 2 2 10 2 17 10" xfId="7055" xr:uid="{00000000-0005-0000-0000-0000611B0000}"/>
    <cellStyle name="Normal 2 2 10 2 17 11" xfId="7056" xr:uid="{00000000-0005-0000-0000-0000621B0000}"/>
    <cellStyle name="Normal 2 2 10 2 17 12" xfId="7057" xr:uid="{00000000-0005-0000-0000-0000631B0000}"/>
    <cellStyle name="Normal 2 2 10 2 17 13" xfId="7058" xr:uid="{00000000-0005-0000-0000-0000641B0000}"/>
    <cellStyle name="Normal 2 2 10 2 17 14" xfId="7059" xr:uid="{00000000-0005-0000-0000-0000651B0000}"/>
    <cellStyle name="Normal 2 2 10 2 17 2" xfId="7060" xr:uid="{00000000-0005-0000-0000-0000661B0000}"/>
    <cellStyle name="Normal 2 2 10 2 17 2 10" xfId="7061" xr:uid="{00000000-0005-0000-0000-0000671B0000}"/>
    <cellStyle name="Normal 2 2 10 2 17 2 2" xfId="7062" xr:uid="{00000000-0005-0000-0000-0000681B0000}"/>
    <cellStyle name="Normal 2 2 10 2 17 2 3" xfId="7063" xr:uid="{00000000-0005-0000-0000-0000691B0000}"/>
    <cellStyle name="Normal 2 2 10 2 17 2 4" xfId="7064" xr:uid="{00000000-0005-0000-0000-00006A1B0000}"/>
    <cellStyle name="Normal 2 2 10 2 17 2 5" xfId="7065" xr:uid="{00000000-0005-0000-0000-00006B1B0000}"/>
    <cellStyle name="Normal 2 2 10 2 17 2 6" xfId="7066" xr:uid="{00000000-0005-0000-0000-00006C1B0000}"/>
    <cellStyle name="Normal 2 2 10 2 17 2 7" xfId="7067" xr:uid="{00000000-0005-0000-0000-00006D1B0000}"/>
    <cellStyle name="Normal 2 2 10 2 17 2 8" xfId="7068" xr:uid="{00000000-0005-0000-0000-00006E1B0000}"/>
    <cellStyle name="Normal 2 2 10 2 17 2 9" xfId="7069" xr:uid="{00000000-0005-0000-0000-00006F1B0000}"/>
    <cellStyle name="Normal 2 2 10 2 17 3" xfId="7070" xr:uid="{00000000-0005-0000-0000-0000701B0000}"/>
    <cellStyle name="Normal 2 2 10 2 17 3 10" xfId="7071" xr:uid="{00000000-0005-0000-0000-0000711B0000}"/>
    <cellStyle name="Normal 2 2 10 2 17 3 2" xfId="7072" xr:uid="{00000000-0005-0000-0000-0000721B0000}"/>
    <cellStyle name="Normal 2 2 10 2 17 3 3" xfId="7073" xr:uid="{00000000-0005-0000-0000-0000731B0000}"/>
    <cellStyle name="Normal 2 2 10 2 17 3 4" xfId="7074" xr:uid="{00000000-0005-0000-0000-0000741B0000}"/>
    <cellStyle name="Normal 2 2 10 2 17 3 5" xfId="7075" xr:uid="{00000000-0005-0000-0000-0000751B0000}"/>
    <cellStyle name="Normal 2 2 10 2 17 3 6" xfId="7076" xr:uid="{00000000-0005-0000-0000-0000761B0000}"/>
    <cellStyle name="Normal 2 2 10 2 17 3 7" xfId="7077" xr:uid="{00000000-0005-0000-0000-0000771B0000}"/>
    <cellStyle name="Normal 2 2 10 2 17 3 8" xfId="7078" xr:uid="{00000000-0005-0000-0000-0000781B0000}"/>
    <cellStyle name="Normal 2 2 10 2 17 3 9" xfId="7079" xr:uid="{00000000-0005-0000-0000-0000791B0000}"/>
    <cellStyle name="Normal 2 2 10 2 17 4" xfId="7080" xr:uid="{00000000-0005-0000-0000-00007A1B0000}"/>
    <cellStyle name="Normal 2 2 10 2 17 4 10" xfId="7081" xr:uid="{00000000-0005-0000-0000-00007B1B0000}"/>
    <cellStyle name="Normal 2 2 10 2 17 4 2" xfId="7082" xr:uid="{00000000-0005-0000-0000-00007C1B0000}"/>
    <cellStyle name="Normal 2 2 10 2 17 4 3" xfId="7083" xr:uid="{00000000-0005-0000-0000-00007D1B0000}"/>
    <cellStyle name="Normal 2 2 10 2 17 4 4" xfId="7084" xr:uid="{00000000-0005-0000-0000-00007E1B0000}"/>
    <cellStyle name="Normal 2 2 10 2 17 4 5" xfId="7085" xr:uid="{00000000-0005-0000-0000-00007F1B0000}"/>
    <cellStyle name="Normal 2 2 10 2 17 4 6" xfId="7086" xr:uid="{00000000-0005-0000-0000-0000801B0000}"/>
    <cellStyle name="Normal 2 2 10 2 17 4 7" xfId="7087" xr:uid="{00000000-0005-0000-0000-0000811B0000}"/>
    <cellStyle name="Normal 2 2 10 2 17 4 8" xfId="7088" xr:uid="{00000000-0005-0000-0000-0000821B0000}"/>
    <cellStyle name="Normal 2 2 10 2 17 4 9" xfId="7089" xr:uid="{00000000-0005-0000-0000-0000831B0000}"/>
    <cellStyle name="Normal 2 2 10 2 17 5" xfId="7090" xr:uid="{00000000-0005-0000-0000-0000841B0000}"/>
    <cellStyle name="Normal 2 2 10 2 17 5 10" xfId="7091" xr:uid="{00000000-0005-0000-0000-0000851B0000}"/>
    <cellStyle name="Normal 2 2 10 2 17 5 2" xfId="7092" xr:uid="{00000000-0005-0000-0000-0000861B0000}"/>
    <cellStyle name="Normal 2 2 10 2 17 5 3" xfId="7093" xr:uid="{00000000-0005-0000-0000-0000871B0000}"/>
    <cellStyle name="Normal 2 2 10 2 17 5 4" xfId="7094" xr:uid="{00000000-0005-0000-0000-0000881B0000}"/>
    <cellStyle name="Normal 2 2 10 2 17 5 5" xfId="7095" xr:uid="{00000000-0005-0000-0000-0000891B0000}"/>
    <cellStyle name="Normal 2 2 10 2 17 5 6" xfId="7096" xr:uid="{00000000-0005-0000-0000-00008A1B0000}"/>
    <cellStyle name="Normal 2 2 10 2 17 5 7" xfId="7097" xr:uid="{00000000-0005-0000-0000-00008B1B0000}"/>
    <cellStyle name="Normal 2 2 10 2 17 5 8" xfId="7098" xr:uid="{00000000-0005-0000-0000-00008C1B0000}"/>
    <cellStyle name="Normal 2 2 10 2 17 5 9" xfId="7099" xr:uid="{00000000-0005-0000-0000-00008D1B0000}"/>
    <cellStyle name="Normal 2 2 10 2 17 6" xfId="7100" xr:uid="{00000000-0005-0000-0000-00008E1B0000}"/>
    <cellStyle name="Normal 2 2 10 2 17 7" xfId="7101" xr:uid="{00000000-0005-0000-0000-00008F1B0000}"/>
    <cellStyle name="Normal 2 2 10 2 17 8" xfId="7102" xr:uid="{00000000-0005-0000-0000-0000901B0000}"/>
    <cellStyle name="Normal 2 2 10 2 17 9" xfId="7103" xr:uid="{00000000-0005-0000-0000-0000911B0000}"/>
    <cellStyle name="Normal 2 2 10 2 18" xfId="7104" xr:uid="{00000000-0005-0000-0000-0000921B0000}"/>
    <cellStyle name="Normal 2 2 10 2 18 10" xfId="7105" xr:uid="{00000000-0005-0000-0000-0000931B0000}"/>
    <cellStyle name="Normal 2 2 10 2 18 11" xfId="7106" xr:uid="{00000000-0005-0000-0000-0000941B0000}"/>
    <cellStyle name="Normal 2 2 10 2 18 12" xfId="7107" xr:uid="{00000000-0005-0000-0000-0000951B0000}"/>
    <cellStyle name="Normal 2 2 10 2 18 13" xfId="7108" xr:uid="{00000000-0005-0000-0000-0000961B0000}"/>
    <cellStyle name="Normal 2 2 10 2 18 14" xfId="7109" xr:uid="{00000000-0005-0000-0000-0000971B0000}"/>
    <cellStyle name="Normal 2 2 10 2 18 2" xfId="7110" xr:uid="{00000000-0005-0000-0000-0000981B0000}"/>
    <cellStyle name="Normal 2 2 10 2 18 2 10" xfId="7111" xr:uid="{00000000-0005-0000-0000-0000991B0000}"/>
    <cellStyle name="Normal 2 2 10 2 18 2 2" xfId="7112" xr:uid="{00000000-0005-0000-0000-00009A1B0000}"/>
    <cellStyle name="Normal 2 2 10 2 18 2 3" xfId="7113" xr:uid="{00000000-0005-0000-0000-00009B1B0000}"/>
    <cellStyle name="Normal 2 2 10 2 18 2 4" xfId="7114" xr:uid="{00000000-0005-0000-0000-00009C1B0000}"/>
    <cellStyle name="Normal 2 2 10 2 18 2 5" xfId="7115" xr:uid="{00000000-0005-0000-0000-00009D1B0000}"/>
    <cellStyle name="Normal 2 2 10 2 18 2 6" xfId="7116" xr:uid="{00000000-0005-0000-0000-00009E1B0000}"/>
    <cellStyle name="Normal 2 2 10 2 18 2 7" xfId="7117" xr:uid="{00000000-0005-0000-0000-00009F1B0000}"/>
    <cellStyle name="Normal 2 2 10 2 18 2 8" xfId="7118" xr:uid="{00000000-0005-0000-0000-0000A01B0000}"/>
    <cellStyle name="Normal 2 2 10 2 18 2 9" xfId="7119" xr:uid="{00000000-0005-0000-0000-0000A11B0000}"/>
    <cellStyle name="Normal 2 2 10 2 18 3" xfId="7120" xr:uid="{00000000-0005-0000-0000-0000A21B0000}"/>
    <cellStyle name="Normal 2 2 10 2 18 3 10" xfId="7121" xr:uid="{00000000-0005-0000-0000-0000A31B0000}"/>
    <cellStyle name="Normal 2 2 10 2 18 3 2" xfId="7122" xr:uid="{00000000-0005-0000-0000-0000A41B0000}"/>
    <cellStyle name="Normal 2 2 10 2 18 3 3" xfId="7123" xr:uid="{00000000-0005-0000-0000-0000A51B0000}"/>
    <cellStyle name="Normal 2 2 10 2 18 3 4" xfId="7124" xr:uid="{00000000-0005-0000-0000-0000A61B0000}"/>
    <cellStyle name="Normal 2 2 10 2 18 3 5" xfId="7125" xr:uid="{00000000-0005-0000-0000-0000A71B0000}"/>
    <cellStyle name="Normal 2 2 10 2 18 3 6" xfId="7126" xr:uid="{00000000-0005-0000-0000-0000A81B0000}"/>
    <cellStyle name="Normal 2 2 10 2 18 3 7" xfId="7127" xr:uid="{00000000-0005-0000-0000-0000A91B0000}"/>
    <cellStyle name="Normal 2 2 10 2 18 3 8" xfId="7128" xr:uid="{00000000-0005-0000-0000-0000AA1B0000}"/>
    <cellStyle name="Normal 2 2 10 2 18 3 9" xfId="7129" xr:uid="{00000000-0005-0000-0000-0000AB1B0000}"/>
    <cellStyle name="Normal 2 2 10 2 18 4" xfId="7130" xr:uid="{00000000-0005-0000-0000-0000AC1B0000}"/>
    <cellStyle name="Normal 2 2 10 2 18 4 10" xfId="7131" xr:uid="{00000000-0005-0000-0000-0000AD1B0000}"/>
    <cellStyle name="Normal 2 2 10 2 18 4 2" xfId="7132" xr:uid="{00000000-0005-0000-0000-0000AE1B0000}"/>
    <cellStyle name="Normal 2 2 10 2 18 4 3" xfId="7133" xr:uid="{00000000-0005-0000-0000-0000AF1B0000}"/>
    <cellStyle name="Normal 2 2 10 2 18 4 4" xfId="7134" xr:uid="{00000000-0005-0000-0000-0000B01B0000}"/>
    <cellStyle name="Normal 2 2 10 2 18 4 5" xfId="7135" xr:uid="{00000000-0005-0000-0000-0000B11B0000}"/>
    <cellStyle name="Normal 2 2 10 2 18 4 6" xfId="7136" xr:uid="{00000000-0005-0000-0000-0000B21B0000}"/>
    <cellStyle name="Normal 2 2 10 2 18 4 7" xfId="7137" xr:uid="{00000000-0005-0000-0000-0000B31B0000}"/>
    <cellStyle name="Normal 2 2 10 2 18 4 8" xfId="7138" xr:uid="{00000000-0005-0000-0000-0000B41B0000}"/>
    <cellStyle name="Normal 2 2 10 2 18 4 9" xfId="7139" xr:uid="{00000000-0005-0000-0000-0000B51B0000}"/>
    <cellStyle name="Normal 2 2 10 2 18 5" xfId="7140" xr:uid="{00000000-0005-0000-0000-0000B61B0000}"/>
    <cellStyle name="Normal 2 2 10 2 18 5 10" xfId="7141" xr:uid="{00000000-0005-0000-0000-0000B71B0000}"/>
    <cellStyle name="Normal 2 2 10 2 18 5 2" xfId="7142" xr:uid="{00000000-0005-0000-0000-0000B81B0000}"/>
    <cellStyle name="Normal 2 2 10 2 18 5 3" xfId="7143" xr:uid="{00000000-0005-0000-0000-0000B91B0000}"/>
    <cellStyle name="Normal 2 2 10 2 18 5 4" xfId="7144" xr:uid="{00000000-0005-0000-0000-0000BA1B0000}"/>
    <cellStyle name="Normal 2 2 10 2 18 5 5" xfId="7145" xr:uid="{00000000-0005-0000-0000-0000BB1B0000}"/>
    <cellStyle name="Normal 2 2 10 2 18 5 6" xfId="7146" xr:uid="{00000000-0005-0000-0000-0000BC1B0000}"/>
    <cellStyle name="Normal 2 2 10 2 18 5 7" xfId="7147" xr:uid="{00000000-0005-0000-0000-0000BD1B0000}"/>
    <cellStyle name="Normal 2 2 10 2 18 5 8" xfId="7148" xr:uid="{00000000-0005-0000-0000-0000BE1B0000}"/>
    <cellStyle name="Normal 2 2 10 2 18 5 9" xfId="7149" xr:uid="{00000000-0005-0000-0000-0000BF1B0000}"/>
    <cellStyle name="Normal 2 2 10 2 18 6" xfId="7150" xr:uid="{00000000-0005-0000-0000-0000C01B0000}"/>
    <cellStyle name="Normal 2 2 10 2 18 7" xfId="7151" xr:uid="{00000000-0005-0000-0000-0000C11B0000}"/>
    <cellStyle name="Normal 2 2 10 2 18 8" xfId="7152" xr:uid="{00000000-0005-0000-0000-0000C21B0000}"/>
    <cellStyle name="Normal 2 2 10 2 18 9" xfId="7153" xr:uid="{00000000-0005-0000-0000-0000C31B0000}"/>
    <cellStyle name="Normal 2 2 10 2 19" xfId="7154" xr:uid="{00000000-0005-0000-0000-0000C41B0000}"/>
    <cellStyle name="Normal 2 2 10 2 19 10" xfId="7155" xr:uid="{00000000-0005-0000-0000-0000C51B0000}"/>
    <cellStyle name="Normal 2 2 10 2 19 11" xfId="7156" xr:uid="{00000000-0005-0000-0000-0000C61B0000}"/>
    <cellStyle name="Normal 2 2 10 2 19 12" xfId="7157" xr:uid="{00000000-0005-0000-0000-0000C71B0000}"/>
    <cellStyle name="Normal 2 2 10 2 19 13" xfId="7158" xr:uid="{00000000-0005-0000-0000-0000C81B0000}"/>
    <cellStyle name="Normal 2 2 10 2 19 14" xfId="7159" xr:uid="{00000000-0005-0000-0000-0000C91B0000}"/>
    <cellStyle name="Normal 2 2 10 2 19 2" xfId="7160" xr:uid="{00000000-0005-0000-0000-0000CA1B0000}"/>
    <cellStyle name="Normal 2 2 10 2 19 2 10" xfId="7161" xr:uid="{00000000-0005-0000-0000-0000CB1B0000}"/>
    <cellStyle name="Normal 2 2 10 2 19 2 2" xfId="7162" xr:uid="{00000000-0005-0000-0000-0000CC1B0000}"/>
    <cellStyle name="Normal 2 2 10 2 19 2 3" xfId="7163" xr:uid="{00000000-0005-0000-0000-0000CD1B0000}"/>
    <cellStyle name="Normal 2 2 10 2 19 2 4" xfId="7164" xr:uid="{00000000-0005-0000-0000-0000CE1B0000}"/>
    <cellStyle name="Normal 2 2 10 2 19 2 5" xfId="7165" xr:uid="{00000000-0005-0000-0000-0000CF1B0000}"/>
    <cellStyle name="Normal 2 2 10 2 19 2 6" xfId="7166" xr:uid="{00000000-0005-0000-0000-0000D01B0000}"/>
    <cellStyle name="Normal 2 2 10 2 19 2 7" xfId="7167" xr:uid="{00000000-0005-0000-0000-0000D11B0000}"/>
    <cellStyle name="Normal 2 2 10 2 19 2 8" xfId="7168" xr:uid="{00000000-0005-0000-0000-0000D21B0000}"/>
    <cellStyle name="Normal 2 2 10 2 19 2 9" xfId="7169" xr:uid="{00000000-0005-0000-0000-0000D31B0000}"/>
    <cellStyle name="Normal 2 2 10 2 19 3" xfId="7170" xr:uid="{00000000-0005-0000-0000-0000D41B0000}"/>
    <cellStyle name="Normal 2 2 10 2 19 3 10" xfId="7171" xr:uid="{00000000-0005-0000-0000-0000D51B0000}"/>
    <cellStyle name="Normal 2 2 10 2 19 3 2" xfId="7172" xr:uid="{00000000-0005-0000-0000-0000D61B0000}"/>
    <cellStyle name="Normal 2 2 10 2 19 3 3" xfId="7173" xr:uid="{00000000-0005-0000-0000-0000D71B0000}"/>
    <cellStyle name="Normal 2 2 10 2 19 3 4" xfId="7174" xr:uid="{00000000-0005-0000-0000-0000D81B0000}"/>
    <cellStyle name="Normal 2 2 10 2 19 3 5" xfId="7175" xr:uid="{00000000-0005-0000-0000-0000D91B0000}"/>
    <cellStyle name="Normal 2 2 10 2 19 3 6" xfId="7176" xr:uid="{00000000-0005-0000-0000-0000DA1B0000}"/>
    <cellStyle name="Normal 2 2 10 2 19 3 7" xfId="7177" xr:uid="{00000000-0005-0000-0000-0000DB1B0000}"/>
    <cellStyle name="Normal 2 2 10 2 19 3 8" xfId="7178" xr:uid="{00000000-0005-0000-0000-0000DC1B0000}"/>
    <cellStyle name="Normal 2 2 10 2 19 3 9" xfId="7179" xr:uid="{00000000-0005-0000-0000-0000DD1B0000}"/>
    <cellStyle name="Normal 2 2 10 2 19 4" xfId="7180" xr:uid="{00000000-0005-0000-0000-0000DE1B0000}"/>
    <cellStyle name="Normal 2 2 10 2 19 4 10" xfId="7181" xr:uid="{00000000-0005-0000-0000-0000DF1B0000}"/>
    <cellStyle name="Normal 2 2 10 2 19 4 2" xfId="7182" xr:uid="{00000000-0005-0000-0000-0000E01B0000}"/>
    <cellStyle name="Normal 2 2 10 2 19 4 3" xfId="7183" xr:uid="{00000000-0005-0000-0000-0000E11B0000}"/>
    <cellStyle name="Normal 2 2 10 2 19 4 4" xfId="7184" xr:uid="{00000000-0005-0000-0000-0000E21B0000}"/>
    <cellStyle name="Normal 2 2 10 2 19 4 5" xfId="7185" xr:uid="{00000000-0005-0000-0000-0000E31B0000}"/>
    <cellStyle name="Normal 2 2 10 2 19 4 6" xfId="7186" xr:uid="{00000000-0005-0000-0000-0000E41B0000}"/>
    <cellStyle name="Normal 2 2 10 2 19 4 7" xfId="7187" xr:uid="{00000000-0005-0000-0000-0000E51B0000}"/>
    <cellStyle name="Normal 2 2 10 2 19 4 8" xfId="7188" xr:uid="{00000000-0005-0000-0000-0000E61B0000}"/>
    <cellStyle name="Normal 2 2 10 2 19 4 9" xfId="7189" xr:uid="{00000000-0005-0000-0000-0000E71B0000}"/>
    <cellStyle name="Normal 2 2 10 2 19 5" xfId="7190" xr:uid="{00000000-0005-0000-0000-0000E81B0000}"/>
    <cellStyle name="Normal 2 2 10 2 19 5 10" xfId="7191" xr:uid="{00000000-0005-0000-0000-0000E91B0000}"/>
    <cellStyle name="Normal 2 2 10 2 19 5 2" xfId="7192" xr:uid="{00000000-0005-0000-0000-0000EA1B0000}"/>
    <cellStyle name="Normal 2 2 10 2 19 5 3" xfId="7193" xr:uid="{00000000-0005-0000-0000-0000EB1B0000}"/>
    <cellStyle name="Normal 2 2 10 2 19 5 4" xfId="7194" xr:uid="{00000000-0005-0000-0000-0000EC1B0000}"/>
    <cellStyle name="Normal 2 2 10 2 19 5 5" xfId="7195" xr:uid="{00000000-0005-0000-0000-0000ED1B0000}"/>
    <cellStyle name="Normal 2 2 10 2 19 5 6" xfId="7196" xr:uid="{00000000-0005-0000-0000-0000EE1B0000}"/>
    <cellStyle name="Normal 2 2 10 2 19 5 7" xfId="7197" xr:uid="{00000000-0005-0000-0000-0000EF1B0000}"/>
    <cellStyle name="Normal 2 2 10 2 19 5 8" xfId="7198" xr:uid="{00000000-0005-0000-0000-0000F01B0000}"/>
    <cellStyle name="Normal 2 2 10 2 19 5 9" xfId="7199" xr:uid="{00000000-0005-0000-0000-0000F11B0000}"/>
    <cellStyle name="Normal 2 2 10 2 19 6" xfId="7200" xr:uid="{00000000-0005-0000-0000-0000F21B0000}"/>
    <cellStyle name="Normal 2 2 10 2 19 7" xfId="7201" xr:uid="{00000000-0005-0000-0000-0000F31B0000}"/>
    <cellStyle name="Normal 2 2 10 2 19 8" xfId="7202" xr:uid="{00000000-0005-0000-0000-0000F41B0000}"/>
    <cellStyle name="Normal 2 2 10 2 19 9" xfId="7203" xr:uid="{00000000-0005-0000-0000-0000F51B0000}"/>
    <cellStyle name="Normal 2 2 10 2 2" xfId="7204" xr:uid="{00000000-0005-0000-0000-0000F61B0000}"/>
    <cellStyle name="Normal 2 2 10 2 2 10" xfId="7205" xr:uid="{00000000-0005-0000-0000-0000F71B0000}"/>
    <cellStyle name="Normal 2 2 10 2 2 11" xfId="7206" xr:uid="{00000000-0005-0000-0000-0000F81B0000}"/>
    <cellStyle name="Normal 2 2 10 2 2 12" xfId="7207" xr:uid="{00000000-0005-0000-0000-0000F91B0000}"/>
    <cellStyle name="Normal 2 2 10 2 2 13" xfId="7208" xr:uid="{00000000-0005-0000-0000-0000FA1B0000}"/>
    <cellStyle name="Normal 2 2 10 2 2 14" xfId="7209" xr:uid="{00000000-0005-0000-0000-0000FB1B0000}"/>
    <cellStyle name="Normal 2 2 10 2 2 2" xfId="7210" xr:uid="{00000000-0005-0000-0000-0000FC1B0000}"/>
    <cellStyle name="Normal 2 2 10 2 2 2 10" xfId="7211" xr:uid="{00000000-0005-0000-0000-0000FD1B0000}"/>
    <cellStyle name="Normal 2 2 10 2 2 2 2" xfId="7212" xr:uid="{00000000-0005-0000-0000-0000FE1B0000}"/>
    <cellStyle name="Normal 2 2 10 2 2 2 3" xfId="7213" xr:uid="{00000000-0005-0000-0000-0000FF1B0000}"/>
    <cellStyle name="Normal 2 2 10 2 2 2 4" xfId="7214" xr:uid="{00000000-0005-0000-0000-0000001C0000}"/>
    <cellStyle name="Normal 2 2 10 2 2 2 5" xfId="7215" xr:uid="{00000000-0005-0000-0000-0000011C0000}"/>
    <cellStyle name="Normal 2 2 10 2 2 2 6" xfId="7216" xr:uid="{00000000-0005-0000-0000-0000021C0000}"/>
    <cellStyle name="Normal 2 2 10 2 2 2 7" xfId="7217" xr:uid="{00000000-0005-0000-0000-0000031C0000}"/>
    <cellStyle name="Normal 2 2 10 2 2 2 8" xfId="7218" xr:uid="{00000000-0005-0000-0000-0000041C0000}"/>
    <cellStyle name="Normal 2 2 10 2 2 2 9" xfId="7219" xr:uid="{00000000-0005-0000-0000-0000051C0000}"/>
    <cellStyle name="Normal 2 2 10 2 2 3" xfId="7220" xr:uid="{00000000-0005-0000-0000-0000061C0000}"/>
    <cellStyle name="Normal 2 2 10 2 2 3 10" xfId="7221" xr:uid="{00000000-0005-0000-0000-0000071C0000}"/>
    <cellStyle name="Normal 2 2 10 2 2 3 2" xfId="7222" xr:uid="{00000000-0005-0000-0000-0000081C0000}"/>
    <cellStyle name="Normal 2 2 10 2 2 3 3" xfId="7223" xr:uid="{00000000-0005-0000-0000-0000091C0000}"/>
    <cellStyle name="Normal 2 2 10 2 2 3 4" xfId="7224" xr:uid="{00000000-0005-0000-0000-00000A1C0000}"/>
    <cellStyle name="Normal 2 2 10 2 2 3 5" xfId="7225" xr:uid="{00000000-0005-0000-0000-00000B1C0000}"/>
    <cellStyle name="Normal 2 2 10 2 2 3 6" xfId="7226" xr:uid="{00000000-0005-0000-0000-00000C1C0000}"/>
    <cellStyle name="Normal 2 2 10 2 2 3 7" xfId="7227" xr:uid="{00000000-0005-0000-0000-00000D1C0000}"/>
    <cellStyle name="Normal 2 2 10 2 2 3 8" xfId="7228" xr:uid="{00000000-0005-0000-0000-00000E1C0000}"/>
    <cellStyle name="Normal 2 2 10 2 2 3 9" xfId="7229" xr:uid="{00000000-0005-0000-0000-00000F1C0000}"/>
    <cellStyle name="Normal 2 2 10 2 2 4" xfId="7230" xr:uid="{00000000-0005-0000-0000-0000101C0000}"/>
    <cellStyle name="Normal 2 2 10 2 2 4 10" xfId="7231" xr:uid="{00000000-0005-0000-0000-0000111C0000}"/>
    <cellStyle name="Normal 2 2 10 2 2 4 2" xfId="7232" xr:uid="{00000000-0005-0000-0000-0000121C0000}"/>
    <cellStyle name="Normal 2 2 10 2 2 4 3" xfId="7233" xr:uid="{00000000-0005-0000-0000-0000131C0000}"/>
    <cellStyle name="Normal 2 2 10 2 2 4 4" xfId="7234" xr:uid="{00000000-0005-0000-0000-0000141C0000}"/>
    <cellStyle name="Normal 2 2 10 2 2 4 5" xfId="7235" xr:uid="{00000000-0005-0000-0000-0000151C0000}"/>
    <cellStyle name="Normal 2 2 10 2 2 4 6" xfId="7236" xr:uid="{00000000-0005-0000-0000-0000161C0000}"/>
    <cellStyle name="Normal 2 2 10 2 2 4 7" xfId="7237" xr:uid="{00000000-0005-0000-0000-0000171C0000}"/>
    <cellStyle name="Normal 2 2 10 2 2 4 8" xfId="7238" xr:uid="{00000000-0005-0000-0000-0000181C0000}"/>
    <cellStyle name="Normal 2 2 10 2 2 4 9" xfId="7239" xr:uid="{00000000-0005-0000-0000-0000191C0000}"/>
    <cellStyle name="Normal 2 2 10 2 2 5" xfId="7240" xr:uid="{00000000-0005-0000-0000-00001A1C0000}"/>
    <cellStyle name="Normal 2 2 10 2 2 5 10" xfId="7241" xr:uid="{00000000-0005-0000-0000-00001B1C0000}"/>
    <cellStyle name="Normal 2 2 10 2 2 5 2" xfId="7242" xr:uid="{00000000-0005-0000-0000-00001C1C0000}"/>
    <cellStyle name="Normal 2 2 10 2 2 5 3" xfId="7243" xr:uid="{00000000-0005-0000-0000-00001D1C0000}"/>
    <cellStyle name="Normal 2 2 10 2 2 5 4" xfId="7244" xr:uid="{00000000-0005-0000-0000-00001E1C0000}"/>
    <cellStyle name="Normal 2 2 10 2 2 5 5" xfId="7245" xr:uid="{00000000-0005-0000-0000-00001F1C0000}"/>
    <cellStyle name="Normal 2 2 10 2 2 5 6" xfId="7246" xr:uid="{00000000-0005-0000-0000-0000201C0000}"/>
    <cellStyle name="Normal 2 2 10 2 2 5 7" xfId="7247" xr:uid="{00000000-0005-0000-0000-0000211C0000}"/>
    <cellStyle name="Normal 2 2 10 2 2 5 8" xfId="7248" xr:uid="{00000000-0005-0000-0000-0000221C0000}"/>
    <cellStyle name="Normal 2 2 10 2 2 5 9" xfId="7249" xr:uid="{00000000-0005-0000-0000-0000231C0000}"/>
    <cellStyle name="Normal 2 2 10 2 2 6" xfId="7250" xr:uid="{00000000-0005-0000-0000-0000241C0000}"/>
    <cellStyle name="Normal 2 2 10 2 2 7" xfId="7251" xr:uid="{00000000-0005-0000-0000-0000251C0000}"/>
    <cellStyle name="Normal 2 2 10 2 2 8" xfId="7252" xr:uid="{00000000-0005-0000-0000-0000261C0000}"/>
    <cellStyle name="Normal 2 2 10 2 2 9" xfId="7253" xr:uid="{00000000-0005-0000-0000-0000271C0000}"/>
    <cellStyle name="Normal 2 2 10 2 20" xfId="7254" xr:uid="{00000000-0005-0000-0000-0000281C0000}"/>
    <cellStyle name="Normal 2 2 10 2 20 10" xfId="7255" xr:uid="{00000000-0005-0000-0000-0000291C0000}"/>
    <cellStyle name="Normal 2 2 10 2 20 11" xfId="7256" xr:uid="{00000000-0005-0000-0000-00002A1C0000}"/>
    <cellStyle name="Normal 2 2 10 2 20 12" xfId="7257" xr:uid="{00000000-0005-0000-0000-00002B1C0000}"/>
    <cellStyle name="Normal 2 2 10 2 20 13" xfId="7258" xr:uid="{00000000-0005-0000-0000-00002C1C0000}"/>
    <cellStyle name="Normal 2 2 10 2 20 14" xfId="7259" xr:uid="{00000000-0005-0000-0000-00002D1C0000}"/>
    <cellStyle name="Normal 2 2 10 2 20 2" xfId="7260" xr:uid="{00000000-0005-0000-0000-00002E1C0000}"/>
    <cellStyle name="Normal 2 2 10 2 20 2 10" xfId="7261" xr:uid="{00000000-0005-0000-0000-00002F1C0000}"/>
    <cellStyle name="Normal 2 2 10 2 20 2 2" xfId="7262" xr:uid="{00000000-0005-0000-0000-0000301C0000}"/>
    <cellStyle name="Normal 2 2 10 2 20 2 3" xfId="7263" xr:uid="{00000000-0005-0000-0000-0000311C0000}"/>
    <cellStyle name="Normal 2 2 10 2 20 2 4" xfId="7264" xr:uid="{00000000-0005-0000-0000-0000321C0000}"/>
    <cellStyle name="Normal 2 2 10 2 20 2 5" xfId="7265" xr:uid="{00000000-0005-0000-0000-0000331C0000}"/>
    <cellStyle name="Normal 2 2 10 2 20 2 6" xfId="7266" xr:uid="{00000000-0005-0000-0000-0000341C0000}"/>
    <cellStyle name="Normal 2 2 10 2 20 2 7" xfId="7267" xr:uid="{00000000-0005-0000-0000-0000351C0000}"/>
    <cellStyle name="Normal 2 2 10 2 20 2 8" xfId="7268" xr:uid="{00000000-0005-0000-0000-0000361C0000}"/>
    <cellStyle name="Normal 2 2 10 2 20 2 9" xfId="7269" xr:uid="{00000000-0005-0000-0000-0000371C0000}"/>
    <cellStyle name="Normal 2 2 10 2 20 3" xfId="7270" xr:uid="{00000000-0005-0000-0000-0000381C0000}"/>
    <cellStyle name="Normal 2 2 10 2 20 3 10" xfId="7271" xr:uid="{00000000-0005-0000-0000-0000391C0000}"/>
    <cellStyle name="Normal 2 2 10 2 20 3 2" xfId="7272" xr:uid="{00000000-0005-0000-0000-00003A1C0000}"/>
    <cellStyle name="Normal 2 2 10 2 20 3 3" xfId="7273" xr:uid="{00000000-0005-0000-0000-00003B1C0000}"/>
    <cellStyle name="Normal 2 2 10 2 20 3 4" xfId="7274" xr:uid="{00000000-0005-0000-0000-00003C1C0000}"/>
    <cellStyle name="Normal 2 2 10 2 20 3 5" xfId="7275" xr:uid="{00000000-0005-0000-0000-00003D1C0000}"/>
    <cellStyle name="Normal 2 2 10 2 20 3 6" xfId="7276" xr:uid="{00000000-0005-0000-0000-00003E1C0000}"/>
    <cellStyle name="Normal 2 2 10 2 20 3 7" xfId="7277" xr:uid="{00000000-0005-0000-0000-00003F1C0000}"/>
    <cellStyle name="Normal 2 2 10 2 20 3 8" xfId="7278" xr:uid="{00000000-0005-0000-0000-0000401C0000}"/>
    <cellStyle name="Normal 2 2 10 2 20 3 9" xfId="7279" xr:uid="{00000000-0005-0000-0000-0000411C0000}"/>
    <cellStyle name="Normal 2 2 10 2 20 4" xfId="7280" xr:uid="{00000000-0005-0000-0000-0000421C0000}"/>
    <cellStyle name="Normal 2 2 10 2 20 4 10" xfId="7281" xr:uid="{00000000-0005-0000-0000-0000431C0000}"/>
    <cellStyle name="Normal 2 2 10 2 20 4 2" xfId="7282" xr:uid="{00000000-0005-0000-0000-0000441C0000}"/>
    <cellStyle name="Normal 2 2 10 2 20 4 3" xfId="7283" xr:uid="{00000000-0005-0000-0000-0000451C0000}"/>
    <cellStyle name="Normal 2 2 10 2 20 4 4" xfId="7284" xr:uid="{00000000-0005-0000-0000-0000461C0000}"/>
    <cellStyle name="Normal 2 2 10 2 20 4 5" xfId="7285" xr:uid="{00000000-0005-0000-0000-0000471C0000}"/>
    <cellStyle name="Normal 2 2 10 2 20 4 6" xfId="7286" xr:uid="{00000000-0005-0000-0000-0000481C0000}"/>
    <cellStyle name="Normal 2 2 10 2 20 4 7" xfId="7287" xr:uid="{00000000-0005-0000-0000-0000491C0000}"/>
    <cellStyle name="Normal 2 2 10 2 20 4 8" xfId="7288" xr:uid="{00000000-0005-0000-0000-00004A1C0000}"/>
    <cellStyle name="Normal 2 2 10 2 20 4 9" xfId="7289" xr:uid="{00000000-0005-0000-0000-00004B1C0000}"/>
    <cellStyle name="Normal 2 2 10 2 20 5" xfId="7290" xr:uid="{00000000-0005-0000-0000-00004C1C0000}"/>
    <cellStyle name="Normal 2 2 10 2 20 5 10" xfId="7291" xr:uid="{00000000-0005-0000-0000-00004D1C0000}"/>
    <cellStyle name="Normal 2 2 10 2 20 5 2" xfId="7292" xr:uid="{00000000-0005-0000-0000-00004E1C0000}"/>
    <cellStyle name="Normal 2 2 10 2 20 5 3" xfId="7293" xr:uid="{00000000-0005-0000-0000-00004F1C0000}"/>
    <cellStyle name="Normal 2 2 10 2 20 5 4" xfId="7294" xr:uid="{00000000-0005-0000-0000-0000501C0000}"/>
    <cellStyle name="Normal 2 2 10 2 20 5 5" xfId="7295" xr:uid="{00000000-0005-0000-0000-0000511C0000}"/>
    <cellStyle name="Normal 2 2 10 2 20 5 6" xfId="7296" xr:uid="{00000000-0005-0000-0000-0000521C0000}"/>
    <cellStyle name="Normal 2 2 10 2 20 5 7" xfId="7297" xr:uid="{00000000-0005-0000-0000-0000531C0000}"/>
    <cellStyle name="Normal 2 2 10 2 20 5 8" xfId="7298" xr:uid="{00000000-0005-0000-0000-0000541C0000}"/>
    <cellStyle name="Normal 2 2 10 2 20 5 9" xfId="7299" xr:uid="{00000000-0005-0000-0000-0000551C0000}"/>
    <cellStyle name="Normal 2 2 10 2 20 6" xfId="7300" xr:uid="{00000000-0005-0000-0000-0000561C0000}"/>
    <cellStyle name="Normal 2 2 10 2 20 7" xfId="7301" xr:uid="{00000000-0005-0000-0000-0000571C0000}"/>
    <cellStyle name="Normal 2 2 10 2 20 8" xfId="7302" xr:uid="{00000000-0005-0000-0000-0000581C0000}"/>
    <cellStyle name="Normal 2 2 10 2 20 9" xfId="7303" xr:uid="{00000000-0005-0000-0000-0000591C0000}"/>
    <cellStyle name="Normal 2 2 10 2 21" xfId="7304" xr:uid="{00000000-0005-0000-0000-00005A1C0000}"/>
    <cellStyle name="Normal 2 2 10 2 21 10" xfId="7305" xr:uid="{00000000-0005-0000-0000-00005B1C0000}"/>
    <cellStyle name="Normal 2 2 10 2 21 11" xfId="7306" xr:uid="{00000000-0005-0000-0000-00005C1C0000}"/>
    <cellStyle name="Normal 2 2 10 2 21 12" xfId="7307" xr:uid="{00000000-0005-0000-0000-00005D1C0000}"/>
    <cellStyle name="Normal 2 2 10 2 21 13" xfId="7308" xr:uid="{00000000-0005-0000-0000-00005E1C0000}"/>
    <cellStyle name="Normal 2 2 10 2 21 14" xfId="7309" xr:uid="{00000000-0005-0000-0000-00005F1C0000}"/>
    <cellStyle name="Normal 2 2 10 2 21 2" xfId="7310" xr:uid="{00000000-0005-0000-0000-0000601C0000}"/>
    <cellStyle name="Normal 2 2 10 2 21 2 10" xfId="7311" xr:uid="{00000000-0005-0000-0000-0000611C0000}"/>
    <cellStyle name="Normal 2 2 10 2 21 2 2" xfId="7312" xr:uid="{00000000-0005-0000-0000-0000621C0000}"/>
    <cellStyle name="Normal 2 2 10 2 21 2 3" xfId="7313" xr:uid="{00000000-0005-0000-0000-0000631C0000}"/>
    <cellStyle name="Normal 2 2 10 2 21 2 4" xfId="7314" xr:uid="{00000000-0005-0000-0000-0000641C0000}"/>
    <cellStyle name="Normal 2 2 10 2 21 2 5" xfId="7315" xr:uid="{00000000-0005-0000-0000-0000651C0000}"/>
    <cellStyle name="Normal 2 2 10 2 21 2 6" xfId="7316" xr:uid="{00000000-0005-0000-0000-0000661C0000}"/>
    <cellStyle name="Normal 2 2 10 2 21 2 7" xfId="7317" xr:uid="{00000000-0005-0000-0000-0000671C0000}"/>
    <cellStyle name="Normal 2 2 10 2 21 2 8" xfId="7318" xr:uid="{00000000-0005-0000-0000-0000681C0000}"/>
    <cellStyle name="Normal 2 2 10 2 21 2 9" xfId="7319" xr:uid="{00000000-0005-0000-0000-0000691C0000}"/>
    <cellStyle name="Normal 2 2 10 2 21 3" xfId="7320" xr:uid="{00000000-0005-0000-0000-00006A1C0000}"/>
    <cellStyle name="Normal 2 2 10 2 21 3 10" xfId="7321" xr:uid="{00000000-0005-0000-0000-00006B1C0000}"/>
    <cellStyle name="Normal 2 2 10 2 21 3 2" xfId="7322" xr:uid="{00000000-0005-0000-0000-00006C1C0000}"/>
    <cellStyle name="Normal 2 2 10 2 21 3 3" xfId="7323" xr:uid="{00000000-0005-0000-0000-00006D1C0000}"/>
    <cellStyle name="Normal 2 2 10 2 21 3 4" xfId="7324" xr:uid="{00000000-0005-0000-0000-00006E1C0000}"/>
    <cellStyle name="Normal 2 2 10 2 21 3 5" xfId="7325" xr:uid="{00000000-0005-0000-0000-00006F1C0000}"/>
    <cellStyle name="Normal 2 2 10 2 21 3 6" xfId="7326" xr:uid="{00000000-0005-0000-0000-0000701C0000}"/>
    <cellStyle name="Normal 2 2 10 2 21 3 7" xfId="7327" xr:uid="{00000000-0005-0000-0000-0000711C0000}"/>
    <cellStyle name="Normal 2 2 10 2 21 3 8" xfId="7328" xr:uid="{00000000-0005-0000-0000-0000721C0000}"/>
    <cellStyle name="Normal 2 2 10 2 21 3 9" xfId="7329" xr:uid="{00000000-0005-0000-0000-0000731C0000}"/>
    <cellStyle name="Normal 2 2 10 2 21 4" xfId="7330" xr:uid="{00000000-0005-0000-0000-0000741C0000}"/>
    <cellStyle name="Normal 2 2 10 2 21 4 10" xfId="7331" xr:uid="{00000000-0005-0000-0000-0000751C0000}"/>
    <cellStyle name="Normal 2 2 10 2 21 4 2" xfId="7332" xr:uid="{00000000-0005-0000-0000-0000761C0000}"/>
    <cellStyle name="Normal 2 2 10 2 21 4 3" xfId="7333" xr:uid="{00000000-0005-0000-0000-0000771C0000}"/>
    <cellStyle name="Normal 2 2 10 2 21 4 4" xfId="7334" xr:uid="{00000000-0005-0000-0000-0000781C0000}"/>
    <cellStyle name="Normal 2 2 10 2 21 4 5" xfId="7335" xr:uid="{00000000-0005-0000-0000-0000791C0000}"/>
    <cellStyle name="Normal 2 2 10 2 21 4 6" xfId="7336" xr:uid="{00000000-0005-0000-0000-00007A1C0000}"/>
    <cellStyle name="Normal 2 2 10 2 21 4 7" xfId="7337" xr:uid="{00000000-0005-0000-0000-00007B1C0000}"/>
    <cellStyle name="Normal 2 2 10 2 21 4 8" xfId="7338" xr:uid="{00000000-0005-0000-0000-00007C1C0000}"/>
    <cellStyle name="Normal 2 2 10 2 21 4 9" xfId="7339" xr:uid="{00000000-0005-0000-0000-00007D1C0000}"/>
    <cellStyle name="Normal 2 2 10 2 21 5" xfId="7340" xr:uid="{00000000-0005-0000-0000-00007E1C0000}"/>
    <cellStyle name="Normal 2 2 10 2 21 5 10" xfId="7341" xr:uid="{00000000-0005-0000-0000-00007F1C0000}"/>
    <cellStyle name="Normal 2 2 10 2 21 5 2" xfId="7342" xr:uid="{00000000-0005-0000-0000-0000801C0000}"/>
    <cellStyle name="Normal 2 2 10 2 21 5 3" xfId="7343" xr:uid="{00000000-0005-0000-0000-0000811C0000}"/>
    <cellStyle name="Normal 2 2 10 2 21 5 4" xfId="7344" xr:uid="{00000000-0005-0000-0000-0000821C0000}"/>
    <cellStyle name="Normal 2 2 10 2 21 5 5" xfId="7345" xr:uid="{00000000-0005-0000-0000-0000831C0000}"/>
    <cellStyle name="Normal 2 2 10 2 21 5 6" xfId="7346" xr:uid="{00000000-0005-0000-0000-0000841C0000}"/>
    <cellStyle name="Normal 2 2 10 2 21 5 7" xfId="7347" xr:uid="{00000000-0005-0000-0000-0000851C0000}"/>
    <cellStyle name="Normal 2 2 10 2 21 5 8" xfId="7348" xr:uid="{00000000-0005-0000-0000-0000861C0000}"/>
    <cellStyle name="Normal 2 2 10 2 21 5 9" xfId="7349" xr:uid="{00000000-0005-0000-0000-0000871C0000}"/>
    <cellStyle name="Normal 2 2 10 2 21 6" xfId="7350" xr:uid="{00000000-0005-0000-0000-0000881C0000}"/>
    <cellStyle name="Normal 2 2 10 2 21 7" xfId="7351" xr:uid="{00000000-0005-0000-0000-0000891C0000}"/>
    <cellStyle name="Normal 2 2 10 2 21 8" xfId="7352" xr:uid="{00000000-0005-0000-0000-00008A1C0000}"/>
    <cellStyle name="Normal 2 2 10 2 21 9" xfId="7353" xr:uid="{00000000-0005-0000-0000-00008B1C0000}"/>
    <cellStyle name="Normal 2 2 10 2 22" xfId="7354" xr:uid="{00000000-0005-0000-0000-00008C1C0000}"/>
    <cellStyle name="Normal 2 2 10 2 22 10" xfId="7355" xr:uid="{00000000-0005-0000-0000-00008D1C0000}"/>
    <cellStyle name="Normal 2 2 10 2 22 11" xfId="7356" xr:uid="{00000000-0005-0000-0000-00008E1C0000}"/>
    <cellStyle name="Normal 2 2 10 2 22 12" xfId="7357" xr:uid="{00000000-0005-0000-0000-00008F1C0000}"/>
    <cellStyle name="Normal 2 2 10 2 22 13" xfId="7358" xr:uid="{00000000-0005-0000-0000-0000901C0000}"/>
    <cellStyle name="Normal 2 2 10 2 22 14" xfId="7359" xr:uid="{00000000-0005-0000-0000-0000911C0000}"/>
    <cellStyle name="Normal 2 2 10 2 22 2" xfId="7360" xr:uid="{00000000-0005-0000-0000-0000921C0000}"/>
    <cellStyle name="Normal 2 2 10 2 22 2 10" xfId="7361" xr:uid="{00000000-0005-0000-0000-0000931C0000}"/>
    <cellStyle name="Normal 2 2 10 2 22 2 2" xfId="7362" xr:uid="{00000000-0005-0000-0000-0000941C0000}"/>
    <cellStyle name="Normal 2 2 10 2 22 2 3" xfId="7363" xr:uid="{00000000-0005-0000-0000-0000951C0000}"/>
    <cellStyle name="Normal 2 2 10 2 22 2 4" xfId="7364" xr:uid="{00000000-0005-0000-0000-0000961C0000}"/>
    <cellStyle name="Normal 2 2 10 2 22 2 5" xfId="7365" xr:uid="{00000000-0005-0000-0000-0000971C0000}"/>
    <cellStyle name="Normal 2 2 10 2 22 2 6" xfId="7366" xr:uid="{00000000-0005-0000-0000-0000981C0000}"/>
    <cellStyle name="Normal 2 2 10 2 22 2 7" xfId="7367" xr:uid="{00000000-0005-0000-0000-0000991C0000}"/>
    <cellStyle name="Normal 2 2 10 2 22 2 8" xfId="7368" xr:uid="{00000000-0005-0000-0000-00009A1C0000}"/>
    <cellStyle name="Normal 2 2 10 2 22 2 9" xfId="7369" xr:uid="{00000000-0005-0000-0000-00009B1C0000}"/>
    <cellStyle name="Normal 2 2 10 2 22 3" xfId="7370" xr:uid="{00000000-0005-0000-0000-00009C1C0000}"/>
    <cellStyle name="Normal 2 2 10 2 22 3 10" xfId="7371" xr:uid="{00000000-0005-0000-0000-00009D1C0000}"/>
    <cellStyle name="Normal 2 2 10 2 22 3 2" xfId="7372" xr:uid="{00000000-0005-0000-0000-00009E1C0000}"/>
    <cellStyle name="Normal 2 2 10 2 22 3 3" xfId="7373" xr:uid="{00000000-0005-0000-0000-00009F1C0000}"/>
    <cellStyle name="Normal 2 2 10 2 22 3 4" xfId="7374" xr:uid="{00000000-0005-0000-0000-0000A01C0000}"/>
    <cellStyle name="Normal 2 2 10 2 22 3 5" xfId="7375" xr:uid="{00000000-0005-0000-0000-0000A11C0000}"/>
    <cellStyle name="Normal 2 2 10 2 22 3 6" xfId="7376" xr:uid="{00000000-0005-0000-0000-0000A21C0000}"/>
    <cellStyle name="Normal 2 2 10 2 22 3 7" xfId="7377" xr:uid="{00000000-0005-0000-0000-0000A31C0000}"/>
    <cellStyle name="Normal 2 2 10 2 22 3 8" xfId="7378" xr:uid="{00000000-0005-0000-0000-0000A41C0000}"/>
    <cellStyle name="Normal 2 2 10 2 22 3 9" xfId="7379" xr:uid="{00000000-0005-0000-0000-0000A51C0000}"/>
    <cellStyle name="Normal 2 2 10 2 22 4" xfId="7380" xr:uid="{00000000-0005-0000-0000-0000A61C0000}"/>
    <cellStyle name="Normal 2 2 10 2 22 4 10" xfId="7381" xr:uid="{00000000-0005-0000-0000-0000A71C0000}"/>
    <cellStyle name="Normal 2 2 10 2 22 4 2" xfId="7382" xr:uid="{00000000-0005-0000-0000-0000A81C0000}"/>
    <cellStyle name="Normal 2 2 10 2 22 4 3" xfId="7383" xr:uid="{00000000-0005-0000-0000-0000A91C0000}"/>
    <cellStyle name="Normal 2 2 10 2 22 4 4" xfId="7384" xr:uid="{00000000-0005-0000-0000-0000AA1C0000}"/>
    <cellStyle name="Normal 2 2 10 2 22 4 5" xfId="7385" xr:uid="{00000000-0005-0000-0000-0000AB1C0000}"/>
    <cellStyle name="Normal 2 2 10 2 22 4 6" xfId="7386" xr:uid="{00000000-0005-0000-0000-0000AC1C0000}"/>
    <cellStyle name="Normal 2 2 10 2 22 4 7" xfId="7387" xr:uid="{00000000-0005-0000-0000-0000AD1C0000}"/>
    <cellStyle name="Normal 2 2 10 2 22 4 8" xfId="7388" xr:uid="{00000000-0005-0000-0000-0000AE1C0000}"/>
    <cellStyle name="Normal 2 2 10 2 22 4 9" xfId="7389" xr:uid="{00000000-0005-0000-0000-0000AF1C0000}"/>
    <cellStyle name="Normal 2 2 10 2 22 5" xfId="7390" xr:uid="{00000000-0005-0000-0000-0000B01C0000}"/>
    <cellStyle name="Normal 2 2 10 2 22 5 10" xfId="7391" xr:uid="{00000000-0005-0000-0000-0000B11C0000}"/>
    <cellStyle name="Normal 2 2 10 2 22 5 2" xfId="7392" xr:uid="{00000000-0005-0000-0000-0000B21C0000}"/>
    <cellStyle name="Normal 2 2 10 2 22 5 3" xfId="7393" xr:uid="{00000000-0005-0000-0000-0000B31C0000}"/>
    <cellStyle name="Normal 2 2 10 2 22 5 4" xfId="7394" xr:uid="{00000000-0005-0000-0000-0000B41C0000}"/>
    <cellStyle name="Normal 2 2 10 2 22 5 5" xfId="7395" xr:uid="{00000000-0005-0000-0000-0000B51C0000}"/>
    <cellStyle name="Normal 2 2 10 2 22 5 6" xfId="7396" xr:uid="{00000000-0005-0000-0000-0000B61C0000}"/>
    <cellStyle name="Normal 2 2 10 2 22 5 7" xfId="7397" xr:uid="{00000000-0005-0000-0000-0000B71C0000}"/>
    <cellStyle name="Normal 2 2 10 2 22 5 8" xfId="7398" xr:uid="{00000000-0005-0000-0000-0000B81C0000}"/>
    <cellStyle name="Normal 2 2 10 2 22 5 9" xfId="7399" xr:uid="{00000000-0005-0000-0000-0000B91C0000}"/>
    <cellStyle name="Normal 2 2 10 2 22 6" xfId="7400" xr:uid="{00000000-0005-0000-0000-0000BA1C0000}"/>
    <cellStyle name="Normal 2 2 10 2 22 7" xfId="7401" xr:uid="{00000000-0005-0000-0000-0000BB1C0000}"/>
    <cellStyle name="Normal 2 2 10 2 22 8" xfId="7402" xr:uid="{00000000-0005-0000-0000-0000BC1C0000}"/>
    <cellStyle name="Normal 2 2 10 2 22 9" xfId="7403" xr:uid="{00000000-0005-0000-0000-0000BD1C0000}"/>
    <cellStyle name="Normal 2 2 10 2 23" xfId="7404" xr:uid="{00000000-0005-0000-0000-0000BE1C0000}"/>
    <cellStyle name="Normal 2 2 10 2 23 10" xfId="7405" xr:uid="{00000000-0005-0000-0000-0000BF1C0000}"/>
    <cellStyle name="Normal 2 2 10 2 23 11" xfId="7406" xr:uid="{00000000-0005-0000-0000-0000C01C0000}"/>
    <cellStyle name="Normal 2 2 10 2 23 12" xfId="7407" xr:uid="{00000000-0005-0000-0000-0000C11C0000}"/>
    <cellStyle name="Normal 2 2 10 2 23 13" xfId="7408" xr:uid="{00000000-0005-0000-0000-0000C21C0000}"/>
    <cellStyle name="Normal 2 2 10 2 23 14" xfId="7409" xr:uid="{00000000-0005-0000-0000-0000C31C0000}"/>
    <cellStyle name="Normal 2 2 10 2 23 2" xfId="7410" xr:uid="{00000000-0005-0000-0000-0000C41C0000}"/>
    <cellStyle name="Normal 2 2 10 2 23 2 10" xfId="7411" xr:uid="{00000000-0005-0000-0000-0000C51C0000}"/>
    <cellStyle name="Normal 2 2 10 2 23 2 2" xfId="7412" xr:uid="{00000000-0005-0000-0000-0000C61C0000}"/>
    <cellStyle name="Normal 2 2 10 2 23 2 3" xfId="7413" xr:uid="{00000000-0005-0000-0000-0000C71C0000}"/>
    <cellStyle name="Normal 2 2 10 2 23 2 4" xfId="7414" xr:uid="{00000000-0005-0000-0000-0000C81C0000}"/>
    <cellStyle name="Normal 2 2 10 2 23 2 5" xfId="7415" xr:uid="{00000000-0005-0000-0000-0000C91C0000}"/>
    <cellStyle name="Normal 2 2 10 2 23 2 6" xfId="7416" xr:uid="{00000000-0005-0000-0000-0000CA1C0000}"/>
    <cellStyle name="Normal 2 2 10 2 23 2 7" xfId="7417" xr:uid="{00000000-0005-0000-0000-0000CB1C0000}"/>
    <cellStyle name="Normal 2 2 10 2 23 2 8" xfId="7418" xr:uid="{00000000-0005-0000-0000-0000CC1C0000}"/>
    <cellStyle name="Normal 2 2 10 2 23 2 9" xfId="7419" xr:uid="{00000000-0005-0000-0000-0000CD1C0000}"/>
    <cellStyle name="Normal 2 2 10 2 23 3" xfId="7420" xr:uid="{00000000-0005-0000-0000-0000CE1C0000}"/>
    <cellStyle name="Normal 2 2 10 2 23 3 10" xfId="7421" xr:uid="{00000000-0005-0000-0000-0000CF1C0000}"/>
    <cellStyle name="Normal 2 2 10 2 23 3 2" xfId="7422" xr:uid="{00000000-0005-0000-0000-0000D01C0000}"/>
    <cellStyle name="Normal 2 2 10 2 23 3 3" xfId="7423" xr:uid="{00000000-0005-0000-0000-0000D11C0000}"/>
    <cellStyle name="Normal 2 2 10 2 23 3 4" xfId="7424" xr:uid="{00000000-0005-0000-0000-0000D21C0000}"/>
    <cellStyle name="Normal 2 2 10 2 23 3 5" xfId="7425" xr:uid="{00000000-0005-0000-0000-0000D31C0000}"/>
    <cellStyle name="Normal 2 2 10 2 23 3 6" xfId="7426" xr:uid="{00000000-0005-0000-0000-0000D41C0000}"/>
    <cellStyle name="Normal 2 2 10 2 23 3 7" xfId="7427" xr:uid="{00000000-0005-0000-0000-0000D51C0000}"/>
    <cellStyle name="Normal 2 2 10 2 23 3 8" xfId="7428" xr:uid="{00000000-0005-0000-0000-0000D61C0000}"/>
    <cellStyle name="Normal 2 2 10 2 23 3 9" xfId="7429" xr:uid="{00000000-0005-0000-0000-0000D71C0000}"/>
    <cellStyle name="Normal 2 2 10 2 23 4" xfId="7430" xr:uid="{00000000-0005-0000-0000-0000D81C0000}"/>
    <cellStyle name="Normal 2 2 10 2 23 4 10" xfId="7431" xr:uid="{00000000-0005-0000-0000-0000D91C0000}"/>
    <cellStyle name="Normal 2 2 10 2 23 4 2" xfId="7432" xr:uid="{00000000-0005-0000-0000-0000DA1C0000}"/>
    <cellStyle name="Normal 2 2 10 2 23 4 3" xfId="7433" xr:uid="{00000000-0005-0000-0000-0000DB1C0000}"/>
    <cellStyle name="Normal 2 2 10 2 23 4 4" xfId="7434" xr:uid="{00000000-0005-0000-0000-0000DC1C0000}"/>
    <cellStyle name="Normal 2 2 10 2 23 4 5" xfId="7435" xr:uid="{00000000-0005-0000-0000-0000DD1C0000}"/>
    <cellStyle name="Normal 2 2 10 2 23 4 6" xfId="7436" xr:uid="{00000000-0005-0000-0000-0000DE1C0000}"/>
    <cellStyle name="Normal 2 2 10 2 23 4 7" xfId="7437" xr:uid="{00000000-0005-0000-0000-0000DF1C0000}"/>
    <cellStyle name="Normal 2 2 10 2 23 4 8" xfId="7438" xr:uid="{00000000-0005-0000-0000-0000E01C0000}"/>
    <cellStyle name="Normal 2 2 10 2 23 4 9" xfId="7439" xr:uid="{00000000-0005-0000-0000-0000E11C0000}"/>
    <cellStyle name="Normal 2 2 10 2 23 5" xfId="7440" xr:uid="{00000000-0005-0000-0000-0000E21C0000}"/>
    <cellStyle name="Normal 2 2 10 2 23 5 10" xfId="7441" xr:uid="{00000000-0005-0000-0000-0000E31C0000}"/>
    <cellStyle name="Normal 2 2 10 2 23 5 2" xfId="7442" xr:uid="{00000000-0005-0000-0000-0000E41C0000}"/>
    <cellStyle name="Normal 2 2 10 2 23 5 3" xfId="7443" xr:uid="{00000000-0005-0000-0000-0000E51C0000}"/>
    <cellStyle name="Normal 2 2 10 2 23 5 4" xfId="7444" xr:uid="{00000000-0005-0000-0000-0000E61C0000}"/>
    <cellStyle name="Normal 2 2 10 2 23 5 5" xfId="7445" xr:uid="{00000000-0005-0000-0000-0000E71C0000}"/>
    <cellStyle name="Normal 2 2 10 2 23 5 6" xfId="7446" xr:uid="{00000000-0005-0000-0000-0000E81C0000}"/>
    <cellStyle name="Normal 2 2 10 2 23 5 7" xfId="7447" xr:uid="{00000000-0005-0000-0000-0000E91C0000}"/>
    <cellStyle name="Normal 2 2 10 2 23 5 8" xfId="7448" xr:uid="{00000000-0005-0000-0000-0000EA1C0000}"/>
    <cellStyle name="Normal 2 2 10 2 23 5 9" xfId="7449" xr:uid="{00000000-0005-0000-0000-0000EB1C0000}"/>
    <cellStyle name="Normal 2 2 10 2 23 6" xfId="7450" xr:uid="{00000000-0005-0000-0000-0000EC1C0000}"/>
    <cellStyle name="Normal 2 2 10 2 23 7" xfId="7451" xr:uid="{00000000-0005-0000-0000-0000ED1C0000}"/>
    <cellStyle name="Normal 2 2 10 2 23 8" xfId="7452" xr:uid="{00000000-0005-0000-0000-0000EE1C0000}"/>
    <cellStyle name="Normal 2 2 10 2 23 9" xfId="7453" xr:uid="{00000000-0005-0000-0000-0000EF1C0000}"/>
    <cellStyle name="Normal 2 2 10 2 24" xfId="7454" xr:uid="{00000000-0005-0000-0000-0000F01C0000}"/>
    <cellStyle name="Normal 2 2 10 2 24 10" xfId="7455" xr:uid="{00000000-0005-0000-0000-0000F11C0000}"/>
    <cellStyle name="Normal 2 2 10 2 24 11" xfId="7456" xr:uid="{00000000-0005-0000-0000-0000F21C0000}"/>
    <cellStyle name="Normal 2 2 10 2 24 12" xfId="7457" xr:uid="{00000000-0005-0000-0000-0000F31C0000}"/>
    <cellStyle name="Normal 2 2 10 2 24 13" xfId="7458" xr:uid="{00000000-0005-0000-0000-0000F41C0000}"/>
    <cellStyle name="Normal 2 2 10 2 24 14" xfId="7459" xr:uid="{00000000-0005-0000-0000-0000F51C0000}"/>
    <cellStyle name="Normal 2 2 10 2 24 2" xfId="7460" xr:uid="{00000000-0005-0000-0000-0000F61C0000}"/>
    <cellStyle name="Normal 2 2 10 2 24 2 10" xfId="7461" xr:uid="{00000000-0005-0000-0000-0000F71C0000}"/>
    <cellStyle name="Normal 2 2 10 2 24 2 2" xfId="7462" xr:uid="{00000000-0005-0000-0000-0000F81C0000}"/>
    <cellStyle name="Normal 2 2 10 2 24 2 3" xfId="7463" xr:uid="{00000000-0005-0000-0000-0000F91C0000}"/>
    <cellStyle name="Normal 2 2 10 2 24 2 4" xfId="7464" xr:uid="{00000000-0005-0000-0000-0000FA1C0000}"/>
    <cellStyle name="Normal 2 2 10 2 24 2 5" xfId="7465" xr:uid="{00000000-0005-0000-0000-0000FB1C0000}"/>
    <cellStyle name="Normal 2 2 10 2 24 2 6" xfId="7466" xr:uid="{00000000-0005-0000-0000-0000FC1C0000}"/>
    <cellStyle name="Normal 2 2 10 2 24 2 7" xfId="7467" xr:uid="{00000000-0005-0000-0000-0000FD1C0000}"/>
    <cellStyle name="Normal 2 2 10 2 24 2 8" xfId="7468" xr:uid="{00000000-0005-0000-0000-0000FE1C0000}"/>
    <cellStyle name="Normal 2 2 10 2 24 2 9" xfId="7469" xr:uid="{00000000-0005-0000-0000-0000FF1C0000}"/>
    <cellStyle name="Normal 2 2 10 2 24 3" xfId="7470" xr:uid="{00000000-0005-0000-0000-0000001D0000}"/>
    <cellStyle name="Normal 2 2 10 2 24 3 10" xfId="7471" xr:uid="{00000000-0005-0000-0000-0000011D0000}"/>
    <cellStyle name="Normal 2 2 10 2 24 3 2" xfId="7472" xr:uid="{00000000-0005-0000-0000-0000021D0000}"/>
    <cellStyle name="Normal 2 2 10 2 24 3 3" xfId="7473" xr:uid="{00000000-0005-0000-0000-0000031D0000}"/>
    <cellStyle name="Normal 2 2 10 2 24 3 4" xfId="7474" xr:uid="{00000000-0005-0000-0000-0000041D0000}"/>
    <cellStyle name="Normal 2 2 10 2 24 3 5" xfId="7475" xr:uid="{00000000-0005-0000-0000-0000051D0000}"/>
    <cellStyle name="Normal 2 2 10 2 24 3 6" xfId="7476" xr:uid="{00000000-0005-0000-0000-0000061D0000}"/>
    <cellStyle name="Normal 2 2 10 2 24 3 7" xfId="7477" xr:uid="{00000000-0005-0000-0000-0000071D0000}"/>
    <cellStyle name="Normal 2 2 10 2 24 3 8" xfId="7478" xr:uid="{00000000-0005-0000-0000-0000081D0000}"/>
    <cellStyle name="Normal 2 2 10 2 24 3 9" xfId="7479" xr:uid="{00000000-0005-0000-0000-0000091D0000}"/>
    <cellStyle name="Normal 2 2 10 2 24 4" xfId="7480" xr:uid="{00000000-0005-0000-0000-00000A1D0000}"/>
    <cellStyle name="Normal 2 2 10 2 24 4 10" xfId="7481" xr:uid="{00000000-0005-0000-0000-00000B1D0000}"/>
    <cellStyle name="Normal 2 2 10 2 24 4 2" xfId="7482" xr:uid="{00000000-0005-0000-0000-00000C1D0000}"/>
    <cellStyle name="Normal 2 2 10 2 24 4 3" xfId="7483" xr:uid="{00000000-0005-0000-0000-00000D1D0000}"/>
    <cellStyle name="Normal 2 2 10 2 24 4 4" xfId="7484" xr:uid="{00000000-0005-0000-0000-00000E1D0000}"/>
    <cellStyle name="Normal 2 2 10 2 24 4 5" xfId="7485" xr:uid="{00000000-0005-0000-0000-00000F1D0000}"/>
    <cellStyle name="Normal 2 2 10 2 24 4 6" xfId="7486" xr:uid="{00000000-0005-0000-0000-0000101D0000}"/>
    <cellStyle name="Normal 2 2 10 2 24 4 7" xfId="7487" xr:uid="{00000000-0005-0000-0000-0000111D0000}"/>
    <cellStyle name="Normal 2 2 10 2 24 4 8" xfId="7488" xr:uid="{00000000-0005-0000-0000-0000121D0000}"/>
    <cellStyle name="Normal 2 2 10 2 24 4 9" xfId="7489" xr:uid="{00000000-0005-0000-0000-0000131D0000}"/>
    <cellStyle name="Normal 2 2 10 2 24 5" xfId="7490" xr:uid="{00000000-0005-0000-0000-0000141D0000}"/>
    <cellStyle name="Normal 2 2 10 2 24 5 10" xfId="7491" xr:uid="{00000000-0005-0000-0000-0000151D0000}"/>
    <cellStyle name="Normal 2 2 10 2 24 5 2" xfId="7492" xr:uid="{00000000-0005-0000-0000-0000161D0000}"/>
    <cellStyle name="Normal 2 2 10 2 24 5 3" xfId="7493" xr:uid="{00000000-0005-0000-0000-0000171D0000}"/>
    <cellStyle name="Normal 2 2 10 2 24 5 4" xfId="7494" xr:uid="{00000000-0005-0000-0000-0000181D0000}"/>
    <cellStyle name="Normal 2 2 10 2 24 5 5" xfId="7495" xr:uid="{00000000-0005-0000-0000-0000191D0000}"/>
    <cellStyle name="Normal 2 2 10 2 24 5 6" xfId="7496" xr:uid="{00000000-0005-0000-0000-00001A1D0000}"/>
    <cellStyle name="Normal 2 2 10 2 24 5 7" xfId="7497" xr:uid="{00000000-0005-0000-0000-00001B1D0000}"/>
    <cellStyle name="Normal 2 2 10 2 24 5 8" xfId="7498" xr:uid="{00000000-0005-0000-0000-00001C1D0000}"/>
    <cellStyle name="Normal 2 2 10 2 24 5 9" xfId="7499" xr:uid="{00000000-0005-0000-0000-00001D1D0000}"/>
    <cellStyle name="Normal 2 2 10 2 24 6" xfId="7500" xr:uid="{00000000-0005-0000-0000-00001E1D0000}"/>
    <cellStyle name="Normal 2 2 10 2 24 7" xfId="7501" xr:uid="{00000000-0005-0000-0000-00001F1D0000}"/>
    <cellStyle name="Normal 2 2 10 2 24 8" xfId="7502" xr:uid="{00000000-0005-0000-0000-0000201D0000}"/>
    <cellStyle name="Normal 2 2 10 2 24 9" xfId="7503" xr:uid="{00000000-0005-0000-0000-0000211D0000}"/>
    <cellStyle name="Normal 2 2 10 2 25" xfId="7504" xr:uid="{00000000-0005-0000-0000-0000221D0000}"/>
    <cellStyle name="Normal 2 2 10 2 25 10" xfId="7505" xr:uid="{00000000-0005-0000-0000-0000231D0000}"/>
    <cellStyle name="Normal 2 2 10 2 25 11" xfId="7506" xr:uid="{00000000-0005-0000-0000-0000241D0000}"/>
    <cellStyle name="Normal 2 2 10 2 25 12" xfId="7507" xr:uid="{00000000-0005-0000-0000-0000251D0000}"/>
    <cellStyle name="Normal 2 2 10 2 25 13" xfId="7508" xr:uid="{00000000-0005-0000-0000-0000261D0000}"/>
    <cellStyle name="Normal 2 2 10 2 25 14" xfId="7509" xr:uid="{00000000-0005-0000-0000-0000271D0000}"/>
    <cellStyle name="Normal 2 2 10 2 25 2" xfId="7510" xr:uid="{00000000-0005-0000-0000-0000281D0000}"/>
    <cellStyle name="Normal 2 2 10 2 25 2 10" xfId="7511" xr:uid="{00000000-0005-0000-0000-0000291D0000}"/>
    <cellStyle name="Normal 2 2 10 2 25 2 2" xfId="7512" xr:uid="{00000000-0005-0000-0000-00002A1D0000}"/>
    <cellStyle name="Normal 2 2 10 2 25 2 3" xfId="7513" xr:uid="{00000000-0005-0000-0000-00002B1D0000}"/>
    <cellStyle name="Normal 2 2 10 2 25 2 4" xfId="7514" xr:uid="{00000000-0005-0000-0000-00002C1D0000}"/>
    <cellStyle name="Normal 2 2 10 2 25 2 5" xfId="7515" xr:uid="{00000000-0005-0000-0000-00002D1D0000}"/>
    <cellStyle name="Normal 2 2 10 2 25 2 6" xfId="7516" xr:uid="{00000000-0005-0000-0000-00002E1D0000}"/>
    <cellStyle name="Normal 2 2 10 2 25 2 7" xfId="7517" xr:uid="{00000000-0005-0000-0000-00002F1D0000}"/>
    <cellStyle name="Normal 2 2 10 2 25 2 8" xfId="7518" xr:uid="{00000000-0005-0000-0000-0000301D0000}"/>
    <cellStyle name="Normal 2 2 10 2 25 2 9" xfId="7519" xr:uid="{00000000-0005-0000-0000-0000311D0000}"/>
    <cellStyle name="Normal 2 2 10 2 25 3" xfId="7520" xr:uid="{00000000-0005-0000-0000-0000321D0000}"/>
    <cellStyle name="Normal 2 2 10 2 25 3 10" xfId="7521" xr:uid="{00000000-0005-0000-0000-0000331D0000}"/>
    <cellStyle name="Normal 2 2 10 2 25 3 2" xfId="7522" xr:uid="{00000000-0005-0000-0000-0000341D0000}"/>
    <cellStyle name="Normal 2 2 10 2 25 3 3" xfId="7523" xr:uid="{00000000-0005-0000-0000-0000351D0000}"/>
    <cellStyle name="Normal 2 2 10 2 25 3 4" xfId="7524" xr:uid="{00000000-0005-0000-0000-0000361D0000}"/>
    <cellStyle name="Normal 2 2 10 2 25 3 5" xfId="7525" xr:uid="{00000000-0005-0000-0000-0000371D0000}"/>
    <cellStyle name="Normal 2 2 10 2 25 3 6" xfId="7526" xr:uid="{00000000-0005-0000-0000-0000381D0000}"/>
    <cellStyle name="Normal 2 2 10 2 25 3 7" xfId="7527" xr:uid="{00000000-0005-0000-0000-0000391D0000}"/>
    <cellStyle name="Normal 2 2 10 2 25 3 8" xfId="7528" xr:uid="{00000000-0005-0000-0000-00003A1D0000}"/>
    <cellStyle name="Normal 2 2 10 2 25 3 9" xfId="7529" xr:uid="{00000000-0005-0000-0000-00003B1D0000}"/>
    <cellStyle name="Normal 2 2 10 2 25 4" xfId="7530" xr:uid="{00000000-0005-0000-0000-00003C1D0000}"/>
    <cellStyle name="Normal 2 2 10 2 25 4 10" xfId="7531" xr:uid="{00000000-0005-0000-0000-00003D1D0000}"/>
    <cellStyle name="Normal 2 2 10 2 25 4 2" xfId="7532" xr:uid="{00000000-0005-0000-0000-00003E1D0000}"/>
    <cellStyle name="Normal 2 2 10 2 25 4 3" xfId="7533" xr:uid="{00000000-0005-0000-0000-00003F1D0000}"/>
    <cellStyle name="Normal 2 2 10 2 25 4 4" xfId="7534" xr:uid="{00000000-0005-0000-0000-0000401D0000}"/>
    <cellStyle name="Normal 2 2 10 2 25 4 5" xfId="7535" xr:uid="{00000000-0005-0000-0000-0000411D0000}"/>
    <cellStyle name="Normal 2 2 10 2 25 4 6" xfId="7536" xr:uid="{00000000-0005-0000-0000-0000421D0000}"/>
    <cellStyle name="Normal 2 2 10 2 25 4 7" xfId="7537" xr:uid="{00000000-0005-0000-0000-0000431D0000}"/>
    <cellStyle name="Normal 2 2 10 2 25 4 8" xfId="7538" xr:uid="{00000000-0005-0000-0000-0000441D0000}"/>
    <cellStyle name="Normal 2 2 10 2 25 4 9" xfId="7539" xr:uid="{00000000-0005-0000-0000-0000451D0000}"/>
    <cellStyle name="Normal 2 2 10 2 25 5" xfId="7540" xr:uid="{00000000-0005-0000-0000-0000461D0000}"/>
    <cellStyle name="Normal 2 2 10 2 25 5 10" xfId="7541" xr:uid="{00000000-0005-0000-0000-0000471D0000}"/>
    <cellStyle name="Normal 2 2 10 2 25 5 2" xfId="7542" xr:uid="{00000000-0005-0000-0000-0000481D0000}"/>
    <cellStyle name="Normal 2 2 10 2 25 5 3" xfId="7543" xr:uid="{00000000-0005-0000-0000-0000491D0000}"/>
    <cellStyle name="Normal 2 2 10 2 25 5 4" xfId="7544" xr:uid="{00000000-0005-0000-0000-00004A1D0000}"/>
    <cellStyle name="Normal 2 2 10 2 25 5 5" xfId="7545" xr:uid="{00000000-0005-0000-0000-00004B1D0000}"/>
    <cellStyle name="Normal 2 2 10 2 25 5 6" xfId="7546" xr:uid="{00000000-0005-0000-0000-00004C1D0000}"/>
    <cellStyle name="Normal 2 2 10 2 25 5 7" xfId="7547" xr:uid="{00000000-0005-0000-0000-00004D1D0000}"/>
    <cellStyle name="Normal 2 2 10 2 25 5 8" xfId="7548" xr:uid="{00000000-0005-0000-0000-00004E1D0000}"/>
    <cellStyle name="Normal 2 2 10 2 25 5 9" xfId="7549" xr:uid="{00000000-0005-0000-0000-00004F1D0000}"/>
    <cellStyle name="Normal 2 2 10 2 25 6" xfId="7550" xr:uid="{00000000-0005-0000-0000-0000501D0000}"/>
    <cellStyle name="Normal 2 2 10 2 25 7" xfId="7551" xr:uid="{00000000-0005-0000-0000-0000511D0000}"/>
    <cellStyle name="Normal 2 2 10 2 25 8" xfId="7552" xr:uid="{00000000-0005-0000-0000-0000521D0000}"/>
    <cellStyle name="Normal 2 2 10 2 25 9" xfId="7553" xr:uid="{00000000-0005-0000-0000-0000531D0000}"/>
    <cellStyle name="Normal 2 2 10 2 26" xfId="7554" xr:uid="{00000000-0005-0000-0000-0000541D0000}"/>
    <cellStyle name="Normal 2 2 10 2 26 10" xfId="7555" xr:uid="{00000000-0005-0000-0000-0000551D0000}"/>
    <cellStyle name="Normal 2 2 10 2 26 11" xfId="7556" xr:uid="{00000000-0005-0000-0000-0000561D0000}"/>
    <cellStyle name="Normal 2 2 10 2 26 12" xfId="7557" xr:uid="{00000000-0005-0000-0000-0000571D0000}"/>
    <cellStyle name="Normal 2 2 10 2 26 13" xfId="7558" xr:uid="{00000000-0005-0000-0000-0000581D0000}"/>
    <cellStyle name="Normal 2 2 10 2 26 14" xfId="7559" xr:uid="{00000000-0005-0000-0000-0000591D0000}"/>
    <cellStyle name="Normal 2 2 10 2 26 2" xfId="7560" xr:uid="{00000000-0005-0000-0000-00005A1D0000}"/>
    <cellStyle name="Normal 2 2 10 2 26 2 10" xfId="7561" xr:uid="{00000000-0005-0000-0000-00005B1D0000}"/>
    <cellStyle name="Normal 2 2 10 2 26 2 2" xfId="7562" xr:uid="{00000000-0005-0000-0000-00005C1D0000}"/>
    <cellStyle name="Normal 2 2 10 2 26 2 3" xfId="7563" xr:uid="{00000000-0005-0000-0000-00005D1D0000}"/>
    <cellStyle name="Normal 2 2 10 2 26 2 4" xfId="7564" xr:uid="{00000000-0005-0000-0000-00005E1D0000}"/>
    <cellStyle name="Normal 2 2 10 2 26 2 5" xfId="7565" xr:uid="{00000000-0005-0000-0000-00005F1D0000}"/>
    <cellStyle name="Normal 2 2 10 2 26 2 6" xfId="7566" xr:uid="{00000000-0005-0000-0000-0000601D0000}"/>
    <cellStyle name="Normal 2 2 10 2 26 2 7" xfId="7567" xr:uid="{00000000-0005-0000-0000-0000611D0000}"/>
    <cellStyle name="Normal 2 2 10 2 26 2 8" xfId="7568" xr:uid="{00000000-0005-0000-0000-0000621D0000}"/>
    <cellStyle name="Normal 2 2 10 2 26 2 9" xfId="7569" xr:uid="{00000000-0005-0000-0000-0000631D0000}"/>
    <cellStyle name="Normal 2 2 10 2 26 3" xfId="7570" xr:uid="{00000000-0005-0000-0000-0000641D0000}"/>
    <cellStyle name="Normal 2 2 10 2 26 3 10" xfId="7571" xr:uid="{00000000-0005-0000-0000-0000651D0000}"/>
    <cellStyle name="Normal 2 2 10 2 26 3 2" xfId="7572" xr:uid="{00000000-0005-0000-0000-0000661D0000}"/>
    <cellStyle name="Normal 2 2 10 2 26 3 3" xfId="7573" xr:uid="{00000000-0005-0000-0000-0000671D0000}"/>
    <cellStyle name="Normal 2 2 10 2 26 3 4" xfId="7574" xr:uid="{00000000-0005-0000-0000-0000681D0000}"/>
    <cellStyle name="Normal 2 2 10 2 26 3 5" xfId="7575" xr:uid="{00000000-0005-0000-0000-0000691D0000}"/>
    <cellStyle name="Normal 2 2 10 2 26 3 6" xfId="7576" xr:uid="{00000000-0005-0000-0000-00006A1D0000}"/>
    <cellStyle name="Normal 2 2 10 2 26 3 7" xfId="7577" xr:uid="{00000000-0005-0000-0000-00006B1D0000}"/>
    <cellStyle name="Normal 2 2 10 2 26 3 8" xfId="7578" xr:uid="{00000000-0005-0000-0000-00006C1D0000}"/>
    <cellStyle name="Normal 2 2 10 2 26 3 9" xfId="7579" xr:uid="{00000000-0005-0000-0000-00006D1D0000}"/>
    <cellStyle name="Normal 2 2 10 2 26 4" xfId="7580" xr:uid="{00000000-0005-0000-0000-00006E1D0000}"/>
    <cellStyle name="Normal 2 2 10 2 26 4 10" xfId="7581" xr:uid="{00000000-0005-0000-0000-00006F1D0000}"/>
    <cellStyle name="Normal 2 2 10 2 26 4 2" xfId="7582" xr:uid="{00000000-0005-0000-0000-0000701D0000}"/>
    <cellStyle name="Normal 2 2 10 2 26 4 3" xfId="7583" xr:uid="{00000000-0005-0000-0000-0000711D0000}"/>
    <cellStyle name="Normal 2 2 10 2 26 4 4" xfId="7584" xr:uid="{00000000-0005-0000-0000-0000721D0000}"/>
    <cellStyle name="Normal 2 2 10 2 26 4 5" xfId="7585" xr:uid="{00000000-0005-0000-0000-0000731D0000}"/>
    <cellStyle name="Normal 2 2 10 2 26 4 6" xfId="7586" xr:uid="{00000000-0005-0000-0000-0000741D0000}"/>
    <cellStyle name="Normal 2 2 10 2 26 4 7" xfId="7587" xr:uid="{00000000-0005-0000-0000-0000751D0000}"/>
    <cellStyle name="Normal 2 2 10 2 26 4 8" xfId="7588" xr:uid="{00000000-0005-0000-0000-0000761D0000}"/>
    <cellStyle name="Normal 2 2 10 2 26 4 9" xfId="7589" xr:uid="{00000000-0005-0000-0000-0000771D0000}"/>
    <cellStyle name="Normal 2 2 10 2 26 5" xfId="7590" xr:uid="{00000000-0005-0000-0000-0000781D0000}"/>
    <cellStyle name="Normal 2 2 10 2 26 5 10" xfId="7591" xr:uid="{00000000-0005-0000-0000-0000791D0000}"/>
    <cellStyle name="Normal 2 2 10 2 26 5 2" xfId="7592" xr:uid="{00000000-0005-0000-0000-00007A1D0000}"/>
    <cellStyle name="Normal 2 2 10 2 26 5 3" xfId="7593" xr:uid="{00000000-0005-0000-0000-00007B1D0000}"/>
    <cellStyle name="Normal 2 2 10 2 26 5 4" xfId="7594" xr:uid="{00000000-0005-0000-0000-00007C1D0000}"/>
    <cellStyle name="Normal 2 2 10 2 26 5 5" xfId="7595" xr:uid="{00000000-0005-0000-0000-00007D1D0000}"/>
    <cellStyle name="Normal 2 2 10 2 26 5 6" xfId="7596" xr:uid="{00000000-0005-0000-0000-00007E1D0000}"/>
    <cellStyle name="Normal 2 2 10 2 26 5 7" xfId="7597" xr:uid="{00000000-0005-0000-0000-00007F1D0000}"/>
    <cellStyle name="Normal 2 2 10 2 26 5 8" xfId="7598" xr:uid="{00000000-0005-0000-0000-0000801D0000}"/>
    <cellStyle name="Normal 2 2 10 2 26 5 9" xfId="7599" xr:uid="{00000000-0005-0000-0000-0000811D0000}"/>
    <cellStyle name="Normal 2 2 10 2 26 6" xfId="7600" xr:uid="{00000000-0005-0000-0000-0000821D0000}"/>
    <cellStyle name="Normal 2 2 10 2 26 7" xfId="7601" xr:uid="{00000000-0005-0000-0000-0000831D0000}"/>
    <cellStyle name="Normal 2 2 10 2 26 8" xfId="7602" xr:uid="{00000000-0005-0000-0000-0000841D0000}"/>
    <cellStyle name="Normal 2 2 10 2 26 9" xfId="7603" xr:uid="{00000000-0005-0000-0000-0000851D0000}"/>
    <cellStyle name="Normal 2 2 10 2 27" xfId="7604" xr:uid="{00000000-0005-0000-0000-0000861D0000}"/>
    <cellStyle name="Normal 2 2 10 2 27 10" xfId="7605" xr:uid="{00000000-0005-0000-0000-0000871D0000}"/>
    <cellStyle name="Normal 2 2 10 2 27 11" xfId="7606" xr:uid="{00000000-0005-0000-0000-0000881D0000}"/>
    <cellStyle name="Normal 2 2 10 2 27 12" xfId="7607" xr:uid="{00000000-0005-0000-0000-0000891D0000}"/>
    <cellStyle name="Normal 2 2 10 2 27 13" xfId="7608" xr:uid="{00000000-0005-0000-0000-00008A1D0000}"/>
    <cellStyle name="Normal 2 2 10 2 27 14" xfId="7609" xr:uid="{00000000-0005-0000-0000-00008B1D0000}"/>
    <cellStyle name="Normal 2 2 10 2 27 2" xfId="7610" xr:uid="{00000000-0005-0000-0000-00008C1D0000}"/>
    <cellStyle name="Normal 2 2 10 2 27 2 10" xfId="7611" xr:uid="{00000000-0005-0000-0000-00008D1D0000}"/>
    <cellStyle name="Normal 2 2 10 2 27 2 2" xfId="7612" xr:uid="{00000000-0005-0000-0000-00008E1D0000}"/>
    <cellStyle name="Normal 2 2 10 2 27 2 3" xfId="7613" xr:uid="{00000000-0005-0000-0000-00008F1D0000}"/>
    <cellStyle name="Normal 2 2 10 2 27 2 4" xfId="7614" xr:uid="{00000000-0005-0000-0000-0000901D0000}"/>
    <cellStyle name="Normal 2 2 10 2 27 2 5" xfId="7615" xr:uid="{00000000-0005-0000-0000-0000911D0000}"/>
    <cellStyle name="Normal 2 2 10 2 27 2 6" xfId="7616" xr:uid="{00000000-0005-0000-0000-0000921D0000}"/>
    <cellStyle name="Normal 2 2 10 2 27 2 7" xfId="7617" xr:uid="{00000000-0005-0000-0000-0000931D0000}"/>
    <cellStyle name="Normal 2 2 10 2 27 2 8" xfId="7618" xr:uid="{00000000-0005-0000-0000-0000941D0000}"/>
    <cellStyle name="Normal 2 2 10 2 27 2 9" xfId="7619" xr:uid="{00000000-0005-0000-0000-0000951D0000}"/>
    <cellStyle name="Normal 2 2 10 2 27 3" xfId="7620" xr:uid="{00000000-0005-0000-0000-0000961D0000}"/>
    <cellStyle name="Normal 2 2 10 2 27 3 10" xfId="7621" xr:uid="{00000000-0005-0000-0000-0000971D0000}"/>
    <cellStyle name="Normal 2 2 10 2 27 3 2" xfId="7622" xr:uid="{00000000-0005-0000-0000-0000981D0000}"/>
    <cellStyle name="Normal 2 2 10 2 27 3 3" xfId="7623" xr:uid="{00000000-0005-0000-0000-0000991D0000}"/>
    <cellStyle name="Normal 2 2 10 2 27 3 4" xfId="7624" xr:uid="{00000000-0005-0000-0000-00009A1D0000}"/>
    <cellStyle name="Normal 2 2 10 2 27 3 5" xfId="7625" xr:uid="{00000000-0005-0000-0000-00009B1D0000}"/>
    <cellStyle name="Normal 2 2 10 2 27 3 6" xfId="7626" xr:uid="{00000000-0005-0000-0000-00009C1D0000}"/>
    <cellStyle name="Normal 2 2 10 2 27 3 7" xfId="7627" xr:uid="{00000000-0005-0000-0000-00009D1D0000}"/>
    <cellStyle name="Normal 2 2 10 2 27 3 8" xfId="7628" xr:uid="{00000000-0005-0000-0000-00009E1D0000}"/>
    <cellStyle name="Normal 2 2 10 2 27 3 9" xfId="7629" xr:uid="{00000000-0005-0000-0000-00009F1D0000}"/>
    <cellStyle name="Normal 2 2 10 2 27 4" xfId="7630" xr:uid="{00000000-0005-0000-0000-0000A01D0000}"/>
    <cellStyle name="Normal 2 2 10 2 27 4 10" xfId="7631" xr:uid="{00000000-0005-0000-0000-0000A11D0000}"/>
    <cellStyle name="Normal 2 2 10 2 27 4 2" xfId="7632" xr:uid="{00000000-0005-0000-0000-0000A21D0000}"/>
    <cellStyle name="Normal 2 2 10 2 27 4 3" xfId="7633" xr:uid="{00000000-0005-0000-0000-0000A31D0000}"/>
    <cellStyle name="Normal 2 2 10 2 27 4 4" xfId="7634" xr:uid="{00000000-0005-0000-0000-0000A41D0000}"/>
    <cellStyle name="Normal 2 2 10 2 27 4 5" xfId="7635" xr:uid="{00000000-0005-0000-0000-0000A51D0000}"/>
    <cellStyle name="Normal 2 2 10 2 27 4 6" xfId="7636" xr:uid="{00000000-0005-0000-0000-0000A61D0000}"/>
    <cellStyle name="Normal 2 2 10 2 27 4 7" xfId="7637" xr:uid="{00000000-0005-0000-0000-0000A71D0000}"/>
    <cellStyle name="Normal 2 2 10 2 27 4 8" xfId="7638" xr:uid="{00000000-0005-0000-0000-0000A81D0000}"/>
    <cellStyle name="Normal 2 2 10 2 27 4 9" xfId="7639" xr:uid="{00000000-0005-0000-0000-0000A91D0000}"/>
    <cellStyle name="Normal 2 2 10 2 27 5" xfId="7640" xr:uid="{00000000-0005-0000-0000-0000AA1D0000}"/>
    <cellStyle name="Normal 2 2 10 2 27 5 10" xfId="7641" xr:uid="{00000000-0005-0000-0000-0000AB1D0000}"/>
    <cellStyle name="Normal 2 2 10 2 27 5 2" xfId="7642" xr:uid="{00000000-0005-0000-0000-0000AC1D0000}"/>
    <cellStyle name="Normal 2 2 10 2 27 5 3" xfId="7643" xr:uid="{00000000-0005-0000-0000-0000AD1D0000}"/>
    <cellStyle name="Normal 2 2 10 2 27 5 4" xfId="7644" xr:uid="{00000000-0005-0000-0000-0000AE1D0000}"/>
    <cellStyle name="Normal 2 2 10 2 27 5 5" xfId="7645" xr:uid="{00000000-0005-0000-0000-0000AF1D0000}"/>
    <cellStyle name="Normal 2 2 10 2 27 5 6" xfId="7646" xr:uid="{00000000-0005-0000-0000-0000B01D0000}"/>
    <cellStyle name="Normal 2 2 10 2 27 5 7" xfId="7647" xr:uid="{00000000-0005-0000-0000-0000B11D0000}"/>
    <cellStyle name="Normal 2 2 10 2 27 5 8" xfId="7648" xr:uid="{00000000-0005-0000-0000-0000B21D0000}"/>
    <cellStyle name="Normal 2 2 10 2 27 5 9" xfId="7649" xr:uid="{00000000-0005-0000-0000-0000B31D0000}"/>
    <cellStyle name="Normal 2 2 10 2 27 6" xfId="7650" xr:uid="{00000000-0005-0000-0000-0000B41D0000}"/>
    <cellStyle name="Normal 2 2 10 2 27 7" xfId="7651" xr:uid="{00000000-0005-0000-0000-0000B51D0000}"/>
    <cellStyle name="Normal 2 2 10 2 27 8" xfId="7652" xr:uid="{00000000-0005-0000-0000-0000B61D0000}"/>
    <cellStyle name="Normal 2 2 10 2 27 9" xfId="7653" xr:uid="{00000000-0005-0000-0000-0000B71D0000}"/>
    <cellStyle name="Normal 2 2 10 2 28" xfId="7654" xr:uid="{00000000-0005-0000-0000-0000B81D0000}"/>
    <cellStyle name="Normal 2 2 10 2 28 10" xfId="7655" xr:uid="{00000000-0005-0000-0000-0000B91D0000}"/>
    <cellStyle name="Normal 2 2 10 2 28 11" xfId="7656" xr:uid="{00000000-0005-0000-0000-0000BA1D0000}"/>
    <cellStyle name="Normal 2 2 10 2 28 12" xfId="7657" xr:uid="{00000000-0005-0000-0000-0000BB1D0000}"/>
    <cellStyle name="Normal 2 2 10 2 28 13" xfId="7658" xr:uid="{00000000-0005-0000-0000-0000BC1D0000}"/>
    <cellStyle name="Normal 2 2 10 2 28 14" xfId="7659" xr:uid="{00000000-0005-0000-0000-0000BD1D0000}"/>
    <cellStyle name="Normal 2 2 10 2 28 2" xfId="7660" xr:uid="{00000000-0005-0000-0000-0000BE1D0000}"/>
    <cellStyle name="Normal 2 2 10 2 28 2 10" xfId="7661" xr:uid="{00000000-0005-0000-0000-0000BF1D0000}"/>
    <cellStyle name="Normal 2 2 10 2 28 2 2" xfId="7662" xr:uid="{00000000-0005-0000-0000-0000C01D0000}"/>
    <cellStyle name="Normal 2 2 10 2 28 2 3" xfId="7663" xr:uid="{00000000-0005-0000-0000-0000C11D0000}"/>
    <cellStyle name="Normal 2 2 10 2 28 2 4" xfId="7664" xr:uid="{00000000-0005-0000-0000-0000C21D0000}"/>
    <cellStyle name="Normal 2 2 10 2 28 2 5" xfId="7665" xr:uid="{00000000-0005-0000-0000-0000C31D0000}"/>
    <cellStyle name="Normal 2 2 10 2 28 2 6" xfId="7666" xr:uid="{00000000-0005-0000-0000-0000C41D0000}"/>
    <cellStyle name="Normal 2 2 10 2 28 2 7" xfId="7667" xr:uid="{00000000-0005-0000-0000-0000C51D0000}"/>
    <cellStyle name="Normal 2 2 10 2 28 2 8" xfId="7668" xr:uid="{00000000-0005-0000-0000-0000C61D0000}"/>
    <cellStyle name="Normal 2 2 10 2 28 2 9" xfId="7669" xr:uid="{00000000-0005-0000-0000-0000C71D0000}"/>
    <cellStyle name="Normal 2 2 10 2 28 3" xfId="7670" xr:uid="{00000000-0005-0000-0000-0000C81D0000}"/>
    <cellStyle name="Normal 2 2 10 2 28 3 10" xfId="7671" xr:uid="{00000000-0005-0000-0000-0000C91D0000}"/>
    <cellStyle name="Normal 2 2 10 2 28 3 2" xfId="7672" xr:uid="{00000000-0005-0000-0000-0000CA1D0000}"/>
    <cellStyle name="Normal 2 2 10 2 28 3 3" xfId="7673" xr:uid="{00000000-0005-0000-0000-0000CB1D0000}"/>
    <cellStyle name="Normal 2 2 10 2 28 3 4" xfId="7674" xr:uid="{00000000-0005-0000-0000-0000CC1D0000}"/>
    <cellStyle name="Normal 2 2 10 2 28 3 5" xfId="7675" xr:uid="{00000000-0005-0000-0000-0000CD1D0000}"/>
    <cellStyle name="Normal 2 2 10 2 28 3 6" xfId="7676" xr:uid="{00000000-0005-0000-0000-0000CE1D0000}"/>
    <cellStyle name="Normal 2 2 10 2 28 3 7" xfId="7677" xr:uid="{00000000-0005-0000-0000-0000CF1D0000}"/>
    <cellStyle name="Normal 2 2 10 2 28 3 8" xfId="7678" xr:uid="{00000000-0005-0000-0000-0000D01D0000}"/>
    <cellStyle name="Normal 2 2 10 2 28 3 9" xfId="7679" xr:uid="{00000000-0005-0000-0000-0000D11D0000}"/>
    <cellStyle name="Normal 2 2 10 2 28 4" xfId="7680" xr:uid="{00000000-0005-0000-0000-0000D21D0000}"/>
    <cellStyle name="Normal 2 2 10 2 28 4 10" xfId="7681" xr:uid="{00000000-0005-0000-0000-0000D31D0000}"/>
    <cellStyle name="Normal 2 2 10 2 28 4 2" xfId="7682" xr:uid="{00000000-0005-0000-0000-0000D41D0000}"/>
    <cellStyle name="Normal 2 2 10 2 28 4 3" xfId="7683" xr:uid="{00000000-0005-0000-0000-0000D51D0000}"/>
    <cellStyle name="Normal 2 2 10 2 28 4 4" xfId="7684" xr:uid="{00000000-0005-0000-0000-0000D61D0000}"/>
    <cellStyle name="Normal 2 2 10 2 28 4 5" xfId="7685" xr:uid="{00000000-0005-0000-0000-0000D71D0000}"/>
    <cellStyle name="Normal 2 2 10 2 28 4 6" xfId="7686" xr:uid="{00000000-0005-0000-0000-0000D81D0000}"/>
    <cellStyle name="Normal 2 2 10 2 28 4 7" xfId="7687" xr:uid="{00000000-0005-0000-0000-0000D91D0000}"/>
    <cellStyle name="Normal 2 2 10 2 28 4 8" xfId="7688" xr:uid="{00000000-0005-0000-0000-0000DA1D0000}"/>
    <cellStyle name="Normal 2 2 10 2 28 4 9" xfId="7689" xr:uid="{00000000-0005-0000-0000-0000DB1D0000}"/>
    <cellStyle name="Normal 2 2 10 2 28 5" xfId="7690" xr:uid="{00000000-0005-0000-0000-0000DC1D0000}"/>
    <cellStyle name="Normal 2 2 10 2 28 5 10" xfId="7691" xr:uid="{00000000-0005-0000-0000-0000DD1D0000}"/>
    <cellStyle name="Normal 2 2 10 2 28 5 2" xfId="7692" xr:uid="{00000000-0005-0000-0000-0000DE1D0000}"/>
    <cellStyle name="Normal 2 2 10 2 28 5 3" xfId="7693" xr:uid="{00000000-0005-0000-0000-0000DF1D0000}"/>
    <cellStyle name="Normal 2 2 10 2 28 5 4" xfId="7694" xr:uid="{00000000-0005-0000-0000-0000E01D0000}"/>
    <cellStyle name="Normal 2 2 10 2 28 5 5" xfId="7695" xr:uid="{00000000-0005-0000-0000-0000E11D0000}"/>
    <cellStyle name="Normal 2 2 10 2 28 5 6" xfId="7696" xr:uid="{00000000-0005-0000-0000-0000E21D0000}"/>
    <cellStyle name="Normal 2 2 10 2 28 5 7" xfId="7697" xr:uid="{00000000-0005-0000-0000-0000E31D0000}"/>
    <cellStyle name="Normal 2 2 10 2 28 5 8" xfId="7698" xr:uid="{00000000-0005-0000-0000-0000E41D0000}"/>
    <cellStyle name="Normal 2 2 10 2 28 5 9" xfId="7699" xr:uid="{00000000-0005-0000-0000-0000E51D0000}"/>
    <cellStyle name="Normal 2 2 10 2 28 6" xfId="7700" xr:uid="{00000000-0005-0000-0000-0000E61D0000}"/>
    <cellStyle name="Normal 2 2 10 2 28 7" xfId="7701" xr:uid="{00000000-0005-0000-0000-0000E71D0000}"/>
    <cellStyle name="Normal 2 2 10 2 28 8" xfId="7702" xr:uid="{00000000-0005-0000-0000-0000E81D0000}"/>
    <cellStyle name="Normal 2 2 10 2 28 9" xfId="7703" xr:uid="{00000000-0005-0000-0000-0000E91D0000}"/>
    <cellStyle name="Normal 2 2 10 2 29" xfId="7704" xr:uid="{00000000-0005-0000-0000-0000EA1D0000}"/>
    <cellStyle name="Normal 2 2 10 2 29 10" xfId="7705" xr:uid="{00000000-0005-0000-0000-0000EB1D0000}"/>
    <cellStyle name="Normal 2 2 10 2 29 11" xfId="7706" xr:uid="{00000000-0005-0000-0000-0000EC1D0000}"/>
    <cellStyle name="Normal 2 2 10 2 29 12" xfId="7707" xr:uid="{00000000-0005-0000-0000-0000ED1D0000}"/>
    <cellStyle name="Normal 2 2 10 2 29 13" xfId="7708" xr:uid="{00000000-0005-0000-0000-0000EE1D0000}"/>
    <cellStyle name="Normal 2 2 10 2 29 14" xfId="7709" xr:uid="{00000000-0005-0000-0000-0000EF1D0000}"/>
    <cellStyle name="Normal 2 2 10 2 29 2" xfId="7710" xr:uid="{00000000-0005-0000-0000-0000F01D0000}"/>
    <cellStyle name="Normal 2 2 10 2 29 2 10" xfId="7711" xr:uid="{00000000-0005-0000-0000-0000F11D0000}"/>
    <cellStyle name="Normal 2 2 10 2 29 2 2" xfId="7712" xr:uid="{00000000-0005-0000-0000-0000F21D0000}"/>
    <cellStyle name="Normal 2 2 10 2 29 2 3" xfId="7713" xr:uid="{00000000-0005-0000-0000-0000F31D0000}"/>
    <cellStyle name="Normal 2 2 10 2 29 2 4" xfId="7714" xr:uid="{00000000-0005-0000-0000-0000F41D0000}"/>
    <cellStyle name="Normal 2 2 10 2 29 2 5" xfId="7715" xr:uid="{00000000-0005-0000-0000-0000F51D0000}"/>
    <cellStyle name="Normal 2 2 10 2 29 2 6" xfId="7716" xr:uid="{00000000-0005-0000-0000-0000F61D0000}"/>
    <cellStyle name="Normal 2 2 10 2 29 2 7" xfId="7717" xr:uid="{00000000-0005-0000-0000-0000F71D0000}"/>
    <cellStyle name="Normal 2 2 10 2 29 2 8" xfId="7718" xr:uid="{00000000-0005-0000-0000-0000F81D0000}"/>
    <cellStyle name="Normal 2 2 10 2 29 2 9" xfId="7719" xr:uid="{00000000-0005-0000-0000-0000F91D0000}"/>
    <cellStyle name="Normal 2 2 10 2 29 3" xfId="7720" xr:uid="{00000000-0005-0000-0000-0000FA1D0000}"/>
    <cellStyle name="Normal 2 2 10 2 29 3 10" xfId="7721" xr:uid="{00000000-0005-0000-0000-0000FB1D0000}"/>
    <cellStyle name="Normal 2 2 10 2 29 3 2" xfId="7722" xr:uid="{00000000-0005-0000-0000-0000FC1D0000}"/>
    <cellStyle name="Normal 2 2 10 2 29 3 3" xfId="7723" xr:uid="{00000000-0005-0000-0000-0000FD1D0000}"/>
    <cellStyle name="Normal 2 2 10 2 29 3 4" xfId="7724" xr:uid="{00000000-0005-0000-0000-0000FE1D0000}"/>
    <cellStyle name="Normal 2 2 10 2 29 3 5" xfId="7725" xr:uid="{00000000-0005-0000-0000-0000FF1D0000}"/>
    <cellStyle name="Normal 2 2 10 2 29 3 6" xfId="7726" xr:uid="{00000000-0005-0000-0000-0000001E0000}"/>
    <cellStyle name="Normal 2 2 10 2 29 3 7" xfId="7727" xr:uid="{00000000-0005-0000-0000-0000011E0000}"/>
    <cellStyle name="Normal 2 2 10 2 29 3 8" xfId="7728" xr:uid="{00000000-0005-0000-0000-0000021E0000}"/>
    <cellStyle name="Normal 2 2 10 2 29 3 9" xfId="7729" xr:uid="{00000000-0005-0000-0000-0000031E0000}"/>
    <cellStyle name="Normal 2 2 10 2 29 4" xfId="7730" xr:uid="{00000000-0005-0000-0000-0000041E0000}"/>
    <cellStyle name="Normal 2 2 10 2 29 4 10" xfId="7731" xr:uid="{00000000-0005-0000-0000-0000051E0000}"/>
    <cellStyle name="Normal 2 2 10 2 29 4 2" xfId="7732" xr:uid="{00000000-0005-0000-0000-0000061E0000}"/>
    <cellStyle name="Normal 2 2 10 2 29 4 3" xfId="7733" xr:uid="{00000000-0005-0000-0000-0000071E0000}"/>
    <cellStyle name="Normal 2 2 10 2 29 4 4" xfId="7734" xr:uid="{00000000-0005-0000-0000-0000081E0000}"/>
    <cellStyle name="Normal 2 2 10 2 29 4 5" xfId="7735" xr:uid="{00000000-0005-0000-0000-0000091E0000}"/>
    <cellStyle name="Normal 2 2 10 2 29 4 6" xfId="7736" xr:uid="{00000000-0005-0000-0000-00000A1E0000}"/>
    <cellStyle name="Normal 2 2 10 2 29 4 7" xfId="7737" xr:uid="{00000000-0005-0000-0000-00000B1E0000}"/>
    <cellStyle name="Normal 2 2 10 2 29 4 8" xfId="7738" xr:uid="{00000000-0005-0000-0000-00000C1E0000}"/>
    <cellStyle name="Normal 2 2 10 2 29 4 9" xfId="7739" xr:uid="{00000000-0005-0000-0000-00000D1E0000}"/>
    <cellStyle name="Normal 2 2 10 2 29 5" xfId="7740" xr:uid="{00000000-0005-0000-0000-00000E1E0000}"/>
    <cellStyle name="Normal 2 2 10 2 29 5 10" xfId="7741" xr:uid="{00000000-0005-0000-0000-00000F1E0000}"/>
    <cellStyle name="Normal 2 2 10 2 29 5 2" xfId="7742" xr:uid="{00000000-0005-0000-0000-0000101E0000}"/>
    <cellStyle name="Normal 2 2 10 2 29 5 3" xfId="7743" xr:uid="{00000000-0005-0000-0000-0000111E0000}"/>
    <cellStyle name="Normal 2 2 10 2 29 5 4" xfId="7744" xr:uid="{00000000-0005-0000-0000-0000121E0000}"/>
    <cellStyle name="Normal 2 2 10 2 29 5 5" xfId="7745" xr:uid="{00000000-0005-0000-0000-0000131E0000}"/>
    <cellStyle name="Normal 2 2 10 2 29 5 6" xfId="7746" xr:uid="{00000000-0005-0000-0000-0000141E0000}"/>
    <cellStyle name="Normal 2 2 10 2 29 5 7" xfId="7747" xr:uid="{00000000-0005-0000-0000-0000151E0000}"/>
    <cellStyle name="Normal 2 2 10 2 29 5 8" xfId="7748" xr:uid="{00000000-0005-0000-0000-0000161E0000}"/>
    <cellStyle name="Normal 2 2 10 2 29 5 9" xfId="7749" xr:uid="{00000000-0005-0000-0000-0000171E0000}"/>
    <cellStyle name="Normal 2 2 10 2 29 6" xfId="7750" xr:uid="{00000000-0005-0000-0000-0000181E0000}"/>
    <cellStyle name="Normal 2 2 10 2 29 7" xfId="7751" xr:uid="{00000000-0005-0000-0000-0000191E0000}"/>
    <cellStyle name="Normal 2 2 10 2 29 8" xfId="7752" xr:uid="{00000000-0005-0000-0000-00001A1E0000}"/>
    <cellStyle name="Normal 2 2 10 2 29 9" xfId="7753" xr:uid="{00000000-0005-0000-0000-00001B1E0000}"/>
    <cellStyle name="Normal 2 2 10 2 3" xfId="7754" xr:uid="{00000000-0005-0000-0000-00001C1E0000}"/>
    <cellStyle name="Normal 2 2 10 2 3 10" xfId="7755" xr:uid="{00000000-0005-0000-0000-00001D1E0000}"/>
    <cellStyle name="Normal 2 2 10 2 3 11" xfId="7756" xr:uid="{00000000-0005-0000-0000-00001E1E0000}"/>
    <cellStyle name="Normal 2 2 10 2 3 12" xfId="7757" xr:uid="{00000000-0005-0000-0000-00001F1E0000}"/>
    <cellStyle name="Normal 2 2 10 2 3 13" xfId="7758" xr:uid="{00000000-0005-0000-0000-0000201E0000}"/>
    <cellStyle name="Normal 2 2 10 2 3 14" xfId="7759" xr:uid="{00000000-0005-0000-0000-0000211E0000}"/>
    <cellStyle name="Normal 2 2 10 2 3 2" xfId="7760" xr:uid="{00000000-0005-0000-0000-0000221E0000}"/>
    <cellStyle name="Normal 2 2 10 2 3 2 10" xfId="7761" xr:uid="{00000000-0005-0000-0000-0000231E0000}"/>
    <cellStyle name="Normal 2 2 10 2 3 2 2" xfId="7762" xr:uid="{00000000-0005-0000-0000-0000241E0000}"/>
    <cellStyle name="Normal 2 2 10 2 3 2 3" xfId="7763" xr:uid="{00000000-0005-0000-0000-0000251E0000}"/>
    <cellStyle name="Normal 2 2 10 2 3 2 4" xfId="7764" xr:uid="{00000000-0005-0000-0000-0000261E0000}"/>
    <cellStyle name="Normal 2 2 10 2 3 2 5" xfId="7765" xr:uid="{00000000-0005-0000-0000-0000271E0000}"/>
    <cellStyle name="Normal 2 2 10 2 3 2 6" xfId="7766" xr:uid="{00000000-0005-0000-0000-0000281E0000}"/>
    <cellStyle name="Normal 2 2 10 2 3 2 7" xfId="7767" xr:uid="{00000000-0005-0000-0000-0000291E0000}"/>
    <cellStyle name="Normal 2 2 10 2 3 2 8" xfId="7768" xr:uid="{00000000-0005-0000-0000-00002A1E0000}"/>
    <cellStyle name="Normal 2 2 10 2 3 2 9" xfId="7769" xr:uid="{00000000-0005-0000-0000-00002B1E0000}"/>
    <cellStyle name="Normal 2 2 10 2 3 3" xfId="7770" xr:uid="{00000000-0005-0000-0000-00002C1E0000}"/>
    <cellStyle name="Normal 2 2 10 2 3 3 10" xfId="7771" xr:uid="{00000000-0005-0000-0000-00002D1E0000}"/>
    <cellStyle name="Normal 2 2 10 2 3 3 2" xfId="7772" xr:uid="{00000000-0005-0000-0000-00002E1E0000}"/>
    <cellStyle name="Normal 2 2 10 2 3 3 3" xfId="7773" xr:uid="{00000000-0005-0000-0000-00002F1E0000}"/>
    <cellStyle name="Normal 2 2 10 2 3 3 4" xfId="7774" xr:uid="{00000000-0005-0000-0000-0000301E0000}"/>
    <cellStyle name="Normal 2 2 10 2 3 3 5" xfId="7775" xr:uid="{00000000-0005-0000-0000-0000311E0000}"/>
    <cellStyle name="Normal 2 2 10 2 3 3 6" xfId="7776" xr:uid="{00000000-0005-0000-0000-0000321E0000}"/>
    <cellStyle name="Normal 2 2 10 2 3 3 7" xfId="7777" xr:uid="{00000000-0005-0000-0000-0000331E0000}"/>
    <cellStyle name="Normal 2 2 10 2 3 3 8" xfId="7778" xr:uid="{00000000-0005-0000-0000-0000341E0000}"/>
    <cellStyle name="Normal 2 2 10 2 3 3 9" xfId="7779" xr:uid="{00000000-0005-0000-0000-0000351E0000}"/>
    <cellStyle name="Normal 2 2 10 2 3 4" xfId="7780" xr:uid="{00000000-0005-0000-0000-0000361E0000}"/>
    <cellStyle name="Normal 2 2 10 2 3 4 10" xfId="7781" xr:uid="{00000000-0005-0000-0000-0000371E0000}"/>
    <cellStyle name="Normal 2 2 10 2 3 4 2" xfId="7782" xr:uid="{00000000-0005-0000-0000-0000381E0000}"/>
    <cellStyle name="Normal 2 2 10 2 3 4 3" xfId="7783" xr:uid="{00000000-0005-0000-0000-0000391E0000}"/>
    <cellStyle name="Normal 2 2 10 2 3 4 4" xfId="7784" xr:uid="{00000000-0005-0000-0000-00003A1E0000}"/>
    <cellStyle name="Normal 2 2 10 2 3 4 5" xfId="7785" xr:uid="{00000000-0005-0000-0000-00003B1E0000}"/>
    <cellStyle name="Normal 2 2 10 2 3 4 6" xfId="7786" xr:uid="{00000000-0005-0000-0000-00003C1E0000}"/>
    <cellStyle name="Normal 2 2 10 2 3 4 7" xfId="7787" xr:uid="{00000000-0005-0000-0000-00003D1E0000}"/>
    <cellStyle name="Normal 2 2 10 2 3 4 8" xfId="7788" xr:uid="{00000000-0005-0000-0000-00003E1E0000}"/>
    <cellStyle name="Normal 2 2 10 2 3 4 9" xfId="7789" xr:uid="{00000000-0005-0000-0000-00003F1E0000}"/>
    <cellStyle name="Normal 2 2 10 2 3 5" xfId="7790" xr:uid="{00000000-0005-0000-0000-0000401E0000}"/>
    <cellStyle name="Normal 2 2 10 2 3 5 10" xfId="7791" xr:uid="{00000000-0005-0000-0000-0000411E0000}"/>
    <cellStyle name="Normal 2 2 10 2 3 5 2" xfId="7792" xr:uid="{00000000-0005-0000-0000-0000421E0000}"/>
    <cellStyle name="Normal 2 2 10 2 3 5 3" xfId="7793" xr:uid="{00000000-0005-0000-0000-0000431E0000}"/>
    <cellStyle name="Normal 2 2 10 2 3 5 4" xfId="7794" xr:uid="{00000000-0005-0000-0000-0000441E0000}"/>
    <cellStyle name="Normal 2 2 10 2 3 5 5" xfId="7795" xr:uid="{00000000-0005-0000-0000-0000451E0000}"/>
    <cellStyle name="Normal 2 2 10 2 3 5 6" xfId="7796" xr:uid="{00000000-0005-0000-0000-0000461E0000}"/>
    <cellStyle name="Normal 2 2 10 2 3 5 7" xfId="7797" xr:uid="{00000000-0005-0000-0000-0000471E0000}"/>
    <cellStyle name="Normal 2 2 10 2 3 5 8" xfId="7798" xr:uid="{00000000-0005-0000-0000-0000481E0000}"/>
    <cellStyle name="Normal 2 2 10 2 3 5 9" xfId="7799" xr:uid="{00000000-0005-0000-0000-0000491E0000}"/>
    <cellStyle name="Normal 2 2 10 2 3 6" xfId="7800" xr:uid="{00000000-0005-0000-0000-00004A1E0000}"/>
    <cellStyle name="Normal 2 2 10 2 3 7" xfId="7801" xr:uid="{00000000-0005-0000-0000-00004B1E0000}"/>
    <cellStyle name="Normal 2 2 10 2 3 8" xfId="7802" xr:uid="{00000000-0005-0000-0000-00004C1E0000}"/>
    <cellStyle name="Normal 2 2 10 2 3 9" xfId="7803" xr:uid="{00000000-0005-0000-0000-00004D1E0000}"/>
    <cellStyle name="Normal 2 2 10 2 30" xfId="7804" xr:uid="{00000000-0005-0000-0000-00004E1E0000}"/>
    <cellStyle name="Normal 2 2 10 2 30 10" xfId="7805" xr:uid="{00000000-0005-0000-0000-00004F1E0000}"/>
    <cellStyle name="Normal 2 2 10 2 30 11" xfId="7806" xr:uid="{00000000-0005-0000-0000-0000501E0000}"/>
    <cellStyle name="Normal 2 2 10 2 30 12" xfId="7807" xr:uid="{00000000-0005-0000-0000-0000511E0000}"/>
    <cellStyle name="Normal 2 2 10 2 30 13" xfId="7808" xr:uid="{00000000-0005-0000-0000-0000521E0000}"/>
    <cellStyle name="Normal 2 2 10 2 30 14" xfId="7809" xr:uid="{00000000-0005-0000-0000-0000531E0000}"/>
    <cellStyle name="Normal 2 2 10 2 30 2" xfId="7810" xr:uid="{00000000-0005-0000-0000-0000541E0000}"/>
    <cellStyle name="Normal 2 2 10 2 30 2 10" xfId="7811" xr:uid="{00000000-0005-0000-0000-0000551E0000}"/>
    <cellStyle name="Normal 2 2 10 2 30 2 2" xfId="7812" xr:uid="{00000000-0005-0000-0000-0000561E0000}"/>
    <cellStyle name="Normal 2 2 10 2 30 2 3" xfId="7813" xr:uid="{00000000-0005-0000-0000-0000571E0000}"/>
    <cellStyle name="Normal 2 2 10 2 30 2 4" xfId="7814" xr:uid="{00000000-0005-0000-0000-0000581E0000}"/>
    <cellStyle name="Normal 2 2 10 2 30 2 5" xfId="7815" xr:uid="{00000000-0005-0000-0000-0000591E0000}"/>
    <cellStyle name="Normal 2 2 10 2 30 2 6" xfId="7816" xr:uid="{00000000-0005-0000-0000-00005A1E0000}"/>
    <cellStyle name="Normal 2 2 10 2 30 2 7" xfId="7817" xr:uid="{00000000-0005-0000-0000-00005B1E0000}"/>
    <cellStyle name="Normal 2 2 10 2 30 2 8" xfId="7818" xr:uid="{00000000-0005-0000-0000-00005C1E0000}"/>
    <cellStyle name="Normal 2 2 10 2 30 2 9" xfId="7819" xr:uid="{00000000-0005-0000-0000-00005D1E0000}"/>
    <cellStyle name="Normal 2 2 10 2 30 3" xfId="7820" xr:uid="{00000000-0005-0000-0000-00005E1E0000}"/>
    <cellStyle name="Normal 2 2 10 2 30 3 10" xfId="7821" xr:uid="{00000000-0005-0000-0000-00005F1E0000}"/>
    <cellStyle name="Normal 2 2 10 2 30 3 2" xfId="7822" xr:uid="{00000000-0005-0000-0000-0000601E0000}"/>
    <cellStyle name="Normal 2 2 10 2 30 3 3" xfId="7823" xr:uid="{00000000-0005-0000-0000-0000611E0000}"/>
    <cellStyle name="Normal 2 2 10 2 30 3 4" xfId="7824" xr:uid="{00000000-0005-0000-0000-0000621E0000}"/>
    <cellStyle name="Normal 2 2 10 2 30 3 5" xfId="7825" xr:uid="{00000000-0005-0000-0000-0000631E0000}"/>
    <cellStyle name="Normal 2 2 10 2 30 3 6" xfId="7826" xr:uid="{00000000-0005-0000-0000-0000641E0000}"/>
    <cellStyle name="Normal 2 2 10 2 30 3 7" xfId="7827" xr:uid="{00000000-0005-0000-0000-0000651E0000}"/>
    <cellStyle name="Normal 2 2 10 2 30 3 8" xfId="7828" xr:uid="{00000000-0005-0000-0000-0000661E0000}"/>
    <cellStyle name="Normal 2 2 10 2 30 3 9" xfId="7829" xr:uid="{00000000-0005-0000-0000-0000671E0000}"/>
    <cellStyle name="Normal 2 2 10 2 30 4" xfId="7830" xr:uid="{00000000-0005-0000-0000-0000681E0000}"/>
    <cellStyle name="Normal 2 2 10 2 30 4 10" xfId="7831" xr:uid="{00000000-0005-0000-0000-0000691E0000}"/>
    <cellStyle name="Normal 2 2 10 2 30 4 2" xfId="7832" xr:uid="{00000000-0005-0000-0000-00006A1E0000}"/>
    <cellStyle name="Normal 2 2 10 2 30 4 3" xfId="7833" xr:uid="{00000000-0005-0000-0000-00006B1E0000}"/>
    <cellStyle name="Normal 2 2 10 2 30 4 4" xfId="7834" xr:uid="{00000000-0005-0000-0000-00006C1E0000}"/>
    <cellStyle name="Normal 2 2 10 2 30 4 5" xfId="7835" xr:uid="{00000000-0005-0000-0000-00006D1E0000}"/>
    <cellStyle name="Normal 2 2 10 2 30 4 6" xfId="7836" xr:uid="{00000000-0005-0000-0000-00006E1E0000}"/>
    <cellStyle name="Normal 2 2 10 2 30 4 7" xfId="7837" xr:uid="{00000000-0005-0000-0000-00006F1E0000}"/>
    <cellStyle name="Normal 2 2 10 2 30 4 8" xfId="7838" xr:uid="{00000000-0005-0000-0000-0000701E0000}"/>
    <cellStyle name="Normal 2 2 10 2 30 4 9" xfId="7839" xr:uid="{00000000-0005-0000-0000-0000711E0000}"/>
    <cellStyle name="Normal 2 2 10 2 30 5" xfId="7840" xr:uid="{00000000-0005-0000-0000-0000721E0000}"/>
    <cellStyle name="Normal 2 2 10 2 30 5 10" xfId="7841" xr:uid="{00000000-0005-0000-0000-0000731E0000}"/>
    <cellStyle name="Normal 2 2 10 2 30 5 2" xfId="7842" xr:uid="{00000000-0005-0000-0000-0000741E0000}"/>
    <cellStyle name="Normal 2 2 10 2 30 5 3" xfId="7843" xr:uid="{00000000-0005-0000-0000-0000751E0000}"/>
    <cellStyle name="Normal 2 2 10 2 30 5 4" xfId="7844" xr:uid="{00000000-0005-0000-0000-0000761E0000}"/>
    <cellStyle name="Normal 2 2 10 2 30 5 5" xfId="7845" xr:uid="{00000000-0005-0000-0000-0000771E0000}"/>
    <cellStyle name="Normal 2 2 10 2 30 5 6" xfId="7846" xr:uid="{00000000-0005-0000-0000-0000781E0000}"/>
    <cellStyle name="Normal 2 2 10 2 30 5 7" xfId="7847" xr:uid="{00000000-0005-0000-0000-0000791E0000}"/>
    <cellStyle name="Normal 2 2 10 2 30 5 8" xfId="7848" xr:uid="{00000000-0005-0000-0000-00007A1E0000}"/>
    <cellStyle name="Normal 2 2 10 2 30 5 9" xfId="7849" xr:uid="{00000000-0005-0000-0000-00007B1E0000}"/>
    <cellStyle name="Normal 2 2 10 2 30 6" xfId="7850" xr:uid="{00000000-0005-0000-0000-00007C1E0000}"/>
    <cellStyle name="Normal 2 2 10 2 30 7" xfId="7851" xr:uid="{00000000-0005-0000-0000-00007D1E0000}"/>
    <cellStyle name="Normal 2 2 10 2 30 8" xfId="7852" xr:uid="{00000000-0005-0000-0000-00007E1E0000}"/>
    <cellStyle name="Normal 2 2 10 2 30 9" xfId="7853" xr:uid="{00000000-0005-0000-0000-00007F1E0000}"/>
    <cellStyle name="Normal 2 2 10 2 31" xfId="7854" xr:uid="{00000000-0005-0000-0000-0000801E0000}"/>
    <cellStyle name="Normal 2 2 10 2 31 10" xfId="7855" xr:uid="{00000000-0005-0000-0000-0000811E0000}"/>
    <cellStyle name="Normal 2 2 10 2 31 11" xfId="7856" xr:uid="{00000000-0005-0000-0000-0000821E0000}"/>
    <cellStyle name="Normal 2 2 10 2 31 12" xfId="7857" xr:uid="{00000000-0005-0000-0000-0000831E0000}"/>
    <cellStyle name="Normal 2 2 10 2 31 13" xfId="7858" xr:uid="{00000000-0005-0000-0000-0000841E0000}"/>
    <cellStyle name="Normal 2 2 10 2 31 14" xfId="7859" xr:uid="{00000000-0005-0000-0000-0000851E0000}"/>
    <cellStyle name="Normal 2 2 10 2 31 2" xfId="7860" xr:uid="{00000000-0005-0000-0000-0000861E0000}"/>
    <cellStyle name="Normal 2 2 10 2 31 2 10" xfId="7861" xr:uid="{00000000-0005-0000-0000-0000871E0000}"/>
    <cellStyle name="Normal 2 2 10 2 31 2 2" xfId="7862" xr:uid="{00000000-0005-0000-0000-0000881E0000}"/>
    <cellStyle name="Normal 2 2 10 2 31 2 3" xfId="7863" xr:uid="{00000000-0005-0000-0000-0000891E0000}"/>
    <cellStyle name="Normal 2 2 10 2 31 2 4" xfId="7864" xr:uid="{00000000-0005-0000-0000-00008A1E0000}"/>
    <cellStyle name="Normal 2 2 10 2 31 2 5" xfId="7865" xr:uid="{00000000-0005-0000-0000-00008B1E0000}"/>
    <cellStyle name="Normal 2 2 10 2 31 2 6" xfId="7866" xr:uid="{00000000-0005-0000-0000-00008C1E0000}"/>
    <cellStyle name="Normal 2 2 10 2 31 2 7" xfId="7867" xr:uid="{00000000-0005-0000-0000-00008D1E0000}"/>
    <cellStyle name="Normal 2 2 10 2 31 2 8" xfId="7868" xr:uid="{00000000-0005-0000-0000-00008E1E0000}"/>
    <cellStyle name="Normal 2 2 10 2 31 2 9" xfId="7869" xr:uid="{00000000-0005-0000-0000-00008F1E0000}"/>
    <cellStyle name="Normal 2 2 10 2 31 3" xfId="7870" xr:uid="{00000000-0005-0000-0000-0000901E0000}"/>
    <cellStyle name="Normal 2 2 10 2 31 3 10" xfId="7871" xr:uid="{00000000-0005-0000-0000-0000911E0000}"/>
    <cellStyle name="Normal 2 2 10 2 31 3 2" xfId="7872" xr:uid="{00000000-0005-0000-0000-0000921E0000}"/>
    <cellStyle name="Normal 2 2 10 2 31 3 3" xfId="7873" xr:uid="{00000000-0005-0000-0000-0000931E0000}"/>
    <cellStyle name="Normal 2 2 10 2 31 3 4" xfId="7874" xr:uid="{00000000-0005-0000-0000-0000941E0000}"/>
    <cellStyle name="Normal 2 2 10 2 31 3 5" xfId="7875" xr:uid="{00000000-0005-0000-0000-0000951E0000}"/>
    <cellStyle name="Normal 2 2 10 2 31 3 6" xfId="7876" xr:uid="{00000000-0005-0000-0000-0000961E0000}"/>
    <cellStyle name="Normal 2 2 10 2 31 3 7" xfId="7877" xr:uid="{00000000-0005-0000-0000-0000971E0000}"/>
    <cellStyle name="Normal 2 2 10 2 31 3 8" xfId="7878" xr:uid="{00000000-0005-0000-0000-0000981E0000}"/>
    <cellStyle name="Normal 2 2 10 2 31 3 9" xfId="7879" xr:uid="{00000000-0005-0000-0000-0000991E0000}"/>
    <cellStyle name="Normal 2 2 10 2 31 4" xfId="7880" xr:uid="{00000000-0005-0000-0000-00009A1E0000}"/>
    <cellStyle name="Normal 2 2 10 2 31 4 10" xfId="7881" xr:uid="{00000000-0005-0000-0000-00009B1E0000}"/>
    <cellStyle name="Normal 2 2 10 2 31 4 2" xfId="7882" xr:uid="{00000000-0005-0000-0000-00009C1E0000}"/>
    <cellStyle name="Normal 2 2 10 2 31 4 3" xfId="7883" xr:uid="{00000000-0005-0000-0000-00009D1E0000}"/>
    <cellStyle name="Normal 2 2 10 2 31 4 4" xfId="7884" xr:uid="{00000000-0005-0000-0000-00009E1E0000}"/>
    <cellStyle name="Normal 2 2 10 2 31 4 5" xfId="7885" xr:uid="{00000000-0005-0000-0000-00009F1E0000}"/>
    <cellStyle name="Normal 2 2 10 2 31 4 6" xfId="7886" xr:uid="{00000000-0005-0000-0000-0000A01E0000}"/>
    <cellStyle name="Normal 2 2 10 2 31 4 7" xfId="7887" xr:uid="{00000000-0005-0000-0000-0000A11E0000}"/>
    <cellStyle name="Normal 2 2 10 2 31 4 8" xfId="7888" xr:uid="{00000000-0005-0000-0000-0000A21E0000}"/>
    <cellStyle name="Normal 2 2 10 2 31 4 9" xfId="7889" xr:uid="{00000000-0005-0000-0000-0000A31E0000}"/>
    <cellStyle name="Normal 2 2 10 2 31 5" xfId="7890" xr:uid="{00000000-0005-0000-0000-0000A41E0000}"/>
    <cellStyle name="Normal 2 2 10 2 31 5 10" xfId="7891" xr:uid="{00000000-0005-0000-0000-0000A51E0000}"/>
    <cellStyle name="Normal 2 2 10 2 31 5 2" xfId="7892" xr:uid="{00000000-0005-0000-0000-0000A61E0000}"/>
    <cellStyle name="Normal 2 2 10 2 31 5 3" xfId="7893" xr:uid="{00000000-0005-0000-0000-0000A71E0000}"/>
    <cellStyle name="Normal 2 2 10 2 31 5 4" xfId="7894" xr:uid="{00000000-0005-0000-0000-0000A81E0000}"/>
    <cellStyle name="Normal 2 2 10 2 31 5 5" xfId="7895" xr:uid="{00000000-0005-0000-0000-0000A91E0000}"/>
    <cellStyle name="Normal 2 2 10 2 31 5 6" xfId="7896" xr:uid="{00000000-0005-0000-0000-0000AA1E0000}"/>
    <cellStyle name="Normal 2 2 10 2 31 5 7" xfId="7897" xr:uid="{00000000-0005-0000-0000-0000AB1E0000}"/>
    <cellStyle name="Normal 2 2 10 2 31 5 8" xfId="7898" xr:uid="{00000000-0005-0000-0000-0000AC1E0000}"/>
    <cellStyle name="Normal 2 2 10 2 31 5 9" xfId="7899" xr:uid="{00000000-0005-0000-0000-0000AD1E0000}"/>
    <cellStyle name="Normal 2 2 10 2 31 6" xfId="7900" xr:uid="{00000000-0005-0000-0000-0000AE1E0000}"/>
    <cellStyle name="Normal 2 2 10 2 31 7" xfId="7901" xr:uid="{00000000-0005-0000-0000-0000AF1E0000}"/>
    <cellStyle name="Normal 2 2 10 2 31 8" xfId="7902" xr:uid="{00000000-0005-0000-0000-0000B01E0000}"/>
    <cellStyle name="Normal 2 2 10 2 31 9" xfId="7903" xr:uid="{00000000-0005-0000-0000-0000B11E0000}"/>
    <cellStyle name="Normal 2 2 10 2 32" xfId="7904" xr:uid="{00000000-0005-0000-0000-0000B21E0000}"/>
    <cellStyle name="Normal 2 2 10 2 32 10" xfId="7905" xr:uid="{00000000-0005-0000-0000-0000B31E0000}"/>
    <cellStyle name="Normal 2 2 10 2 32 11" xfId="7906" xr:uid="{00000000-0005-0000-0000-0000B41E0000}"/>
    <cellStyle name="Normal 2 2 10 2 32 12" xfId="7907" xr:uid="{00000000-0005-0000-0000-0000B51E0000}"/>
    <cellStyle name="Normal 2 2 10 2 32 13" xfId="7908" xr:uid="{00000000-0005-0000-0000-0000B61E0000}"/>
    <cellStyle name="Normal 2 2 10 2 32 14" xfId="7909" xr:uid="{00000000-0005-0000-0000-0000B71E0000}"/>
    <cellStyle name="Normal 2 2 10 2 32 2" xfId="7910" xr:uid="{00000000-0005-0000-0000-0000B81E0000}"/>
    <cellStyle name="Normal 2 2 10 2 32 2 10" xfId="7911" xr:uid="{00000000-0005-0000-0000-0000B91E0000}"/>
    <cellStyle name="Normal 2 2 10 2 32 2 2" xfId="7912" xr:uid="{00000000-0005-0000-0000-0000BA1E0000}"/>
    <cellStyle name="Normal 2 2 10 2 32 2 3" xfId="7913" xr:uid="{00000000-0005-0000-0000-0000BB1E0000}"/>
    <cellStyle name="Normal 2 2 10 2 32 2 4" xfId="7914" xr:uid="{00000000-0005-0000-0000-0000BC1E0000}"/>
    <cellStyle name="Normal 2 2 10 2 32 2 5" xfId="7915" xr:uid="{00000000-0005-0000-0000-0000BD1E0000}"/>
    <cellStyle name="Normal 2 2 10 2 32 2 6" xfId="7916" xr:uid="{00000000-0005-0000-0000-0000BE1E0000}"/>
    <cellStyle name="Normal 2 2 10 2 32 2 7" xfId="7917" xr:uid="{00000000-0005-0000-0000-0000BF1E0000}"/>
    <cellStyle name="Normal 2 2 10 2 32 2 8" xfId="7918" xr:uid="{00000000-0005-0000-0000-0000C01E0000}"/>
    <cellStyle name="Normal 2 2 10 2 32 2 9" xfId="7919" xr:uid="{00000000-0005-0000-0000-0000C11E0000}"/>
    <cellStyle name="Normal 2 2 10 2 32 3" xfId="7920" xr:uid="{00000000-0005-0000-0000-0000C21E0000}"/>
    <cellStyle name="Normal 2 2 10 2 32 3 10" xfId="7921" xr:uid="{00000000-0005-0000-0000-0000C31E0000}"/>
    <cellStyle name="Normal 2 2 10 2 32 3 2" xfId="7922" xr:uid="{00000000-0005-0000-0000-0000C41E0000}"/>
    <cellStyle name="Normal 2 2 10 2 32 3 3" xfId="7923" xr:uid="{00000000-0005-0000-0000-0000C51E0000}"/>
    <cellStyle name="Normal 2 2 10 2 32 3 4" xfId="7924" xr:uid="{00000000-0005-0000-0000-0000C61E0000}"/>
    <cellStyle name="Normal 2 2 10 2 32 3 5" xfId="7925" xr:uid="{00000000-0005-0000-0000-0000C71E0000}"/>
    <cellStyle name="Normal 2 2 10 2 32 3 6" xfId="7926" xr:uid="{00000000-0005-0000-0000-0000C81E0000}"/>
    <cellStyle name="Normal 2 2 10 2 32 3 7" xfId="7927" xr:uid="{00000000-0005-0000-0000-0000C91E0000}"/>
    <cellStyle name="Normal 2 2 10 2 32 3 8" xfId="7928" xr:uid="{00000000-0005-0000-0000-0000CA1E0000}"/>
    <cellStyle name="Normal 2 2 10 2 32 3 9" xfId="7929" xr:uid="{00000000-0005-0000-0000-0000CB1E0000}"/>
    <cellStyle name="Normal 2 2 10 2 32 4" xfId="7930" xr:uid="{00000000-0005-0000-0000-0000CC1E0000}"/>
    <cellStyle name="Normal 2 2 10 2 32 4 10" xfId="7931" xr:uid="{00000000-0005-0000-0000-0000CD1E0000}"/>
    <cellStyle name="Normal 2 2 10 2 32 4 2" xfId="7932" xr:uid="{00000000-0005-0000-0000-0000CE1E0000}"/>
    <cellStyle name="Normal 2 2 10 2 32 4 3" xfId="7933" xr:uid="{00000000-0005-0000-0000-0000CF1E0000}"/>
    <cellStyle name="Normal 2 2 10 2 32 4 4" xfId="7934" xr:uid="{00000000-0005-0000-0000-0000D01E0000}"/>
    <cellStyle name="Normal 2 2 10 2 32 4 5" xfId="7935" xr:uid="{00000000-0005-0000-0000-0000D11E0000}"/>
    <cellStyle name="Normal 2 2 10 2 32 4 6" xfId="7936" xr:uid="{00000000-0005-0000-0000-0000D21E0000}"/>
    <cellStyle name="Normal 2 2 10 2 32 4 7" xfId="7937" xr:uid="{00000000-0005-0000-0000-0000D31E0000}"/>
    <cellStyle name="Normal 2 2 10 2 32 4 8" xfId="7938" xr:uid="{00000000-0005-0000-0000-0000D41E0000}"/>
    <cellStyle name="Normal 2 2 10 2 32 4 9" xfId="7939" xr:uid="{00000000-0005-0000-0000-0000D51E0000}"/>
    <cellStyle name="Normal 2 2 10 2 32 5" xfId="7940" xr:uid="{00000000-0005-0000-0000-0000D61E0000}"/>
    <cellStyle name="Normal 2 2 10 2 32 5 10" xfId="7941" xr:uid="{00000000-0005-0000-0000-0000D71E0000}"/>
    <cellStyle name="Normal 2 2 10 2 32 5 2" xfId="7942" xr:uid="{00000000-0005-0000-0000-0000D81E0000}"/>
    <cellStyle name="Normal 2 2 10 2 32 5 3" xfId="7943" xr:uid="{00000000-0005-0000-0000-0000D91E0000}"/>
    <cellStyle name="Normal 2 2 10 2 32 5 4" xfId="7944" xr:uid="{00000000-0005-0000-0000-0000DA1E0000}"/>
    <cellStyle name="Normal 2 2 10 2 32 5 5" xfId="7945" xr:uid="{00000000-0005-0000-0000-0000DB1E0000}"/>
    <cellStyle name="Normal 2 2 10 2 32 5 6" xfId="7946" xr:uid="{00000000-0005-0000-0000-0000DC1E0000}"/>
    <cellStyle name="Normal 2 2 10 2 32 5 7" xfId="7947" xr:uid="{00000000-0005-0000-0000-0000DD1E0000}"/>
    <cellStyle name="Normal 2 2 10 2 32 5 8" xfId="7948" xr:uid="{00000000-0005-0000-0000-0000DE1E0000}"/>
    <cellStyle name="Normal 2 2 10 2 32 5 9" xfId="7949" xr:uid="{00000000-0005-0000-0000-0000DF1E0000}"/>
    <cellStyle name="Normal 2 2 10 2 32 6" xfId="7950" xr:uid="{00000000-0005-0000-0000-0000E01E0000}"/>
    <cellStyle name="Normal 2 2 10 2 32 7" xfId="7951" xr:uid="{00000000-0005-0000-0000-0000E11E0000}"/>
    <cellStyle name="Normal 2 2 10 2 32 8" xfId="7952" xr:uid="{00000000-0005-0000-0000-0000E21E0000}"/>
    <cellStyle name="Normal 2 2 10 2 32 9" xfId="7953" xr:uid="{00000000-0005-0000-0000-0000E31E0000}"/>
    <cellStyle name="Normal 2 2 10 2 33" xfId="7954" xr:uid="{00000000-0005-0000-0000-0000E41E0000}"/>
    <cellStyle name="Normal 2 2 10 2 33 10" xfId="7955" xr:uid="{00000000-0005-0000-0000-0000E51E0000}"/>
    <cellStyle name="Normal 2 2 10 2 33 11" xfId="7956" xr:uid="{00000000-0005-0000-0000-0000E61E0000}"/>
    <cellStyle name="Normal 2 2 10 2 33 12" xfId="7957" xr:uid="{00000000-0005-0000-0000-0000E71E0000}"/>
    <cellStyle name="Normal 2 2 10 2 33 13" xfId="7958" xr:uid="{00000000-0005-0000-0000-0000E81E0000}"/>
    <cellStyle name="Normal 2 2 10 2 33 14" xfId="7959" xr:uid="{00000000-0005-0000-0000-0000E91E0000}"/>
    <cellStyle name="Normal 2 2 10 2 33 2" xfId="7960" xr:uid="{00000000-0005-0000-0000-0000EA1E0000}"/>
    <cellStyle name="Normal 2 2 10 2 33 2 10" xfId="7961" xr:uid="{00000000-0005-0000-0000-0000EB1E0000}"/>
    <cellStyle name="Normal 2 2 10 2 33 2 2" xfId="7962" xr:uid="{00000000-0005-0000-0000-0000EC1E0000}"/>
    <cellStyle name="Normal 2 2 10 2 33 2 3" xfId="7963" xr:uid="{00000000-0005-0000-0000-0000ED1E0000}"/>
    <cellStyle name="Normal 2 2 10 2 33 2 4" xfId="7964" xr:uid="{00000000-0005-0000-0000-0000EE1E0000}"/>
    <cellStyle name="Normal 2 2 10 2 33 2 5" xfId="7965" xr:uid="{00000000-0005-0000-0000-0000EF1E0000}"/>
    <cellStyle name="Normal 2 2 10 2 33 2 6" xfId="7966" xr:uid="{00000000-0005-0000-0000-0000F01E0000}"/>
    <cellStyle name="Normal 2 2 10 2 33 2 7" xfId="7967" xr:uid="{00000000-0005-0000-0000-0000F11E0000}"/>
    <cellStyle name="Normal 2 2 10 2 33 2 8" xfId="7968" xr:uid="{00000000-0005-0000-0000-0000F21E0000}"/>
    <cellStyle name="Normal 2 2 10 2 33 2 9" xfId="7969" xr:uid="{00000000-0005-0000-0000-0000F31E0000}"/>
    <cellStyle name="Normal 2 2 10 2 33 3" xfId="7970" xr:uid="{00000000-0005-0000-0000-0000F41E0000}"/>
    <cellStyle name="Normal 2 2 10 2 33 3 10" xfId="7971" xr:uid="{00000000-0005-0000-0000-0000F51E0000}"/>
    <cellStyle name="Normal 2 2 10 2 33 3 2" xfId="7972" xr:uid="{00000000-0005-0000-0000-0000F61E0000}"/>
    <cellStyle name="Normal 2 2 10 2 33 3 3" xfId="7973" xr:uid="{00000000-0005-0000-0000-0000F71E0000}"/>
    <cellStyle name="Normal 2 2 10 2 33 3 4" xfId="7974" xr:uid="{00000000-0005-0000-0000-0000F81E0000}"/>
    <cellStyle name="Normal 2 2 10 2 33 3 5" xfId="7975" xr:uid="{00000000-0005-0000-0000-0000F91E0000}"/>
    <cellStyle name="Normal 2 2 10 2 33 3 6" xfId="7976" xr:uid="{00000000-0005-0000-0000-0000FA1E0000}"/>
    <cellStyle name="Normal 2 2 10 2 33 3 7" xfId="7977" xr:uid="{00000000-0005-0000-0000-0000FB1E0000}"/>
    <cellStyle name="Normal 2 2 10 2 33 3 8" xfId="7978" xr:uid="{00000000-0005-0000-0000-0000FC1E0000}"/>
    <cellStyle name="Normal 2 2 10 2 33 3 9" xfId="7979" xr:uid="{00000000-0005-0000-0000-0000FD1E0000}"/>
    <cellStyle name="Normal 2 2 10 2 33 4" xfId="7980" xr:uid="{00000000-0005-0000-0000-0000FE1E0000}"/>
    <cellStyle name="Normal 2 2 10 2 33 4 10" xfId="7981" xr:uid="{00000000-0005-0000-0000-0000FF1E0000}"/>
    <cellStyle name="Normal 2 2 10 2 33 4 2" xfId="7982" xr:uid="{00000000-0005-0000-0000-0000001F0000}"/>
    <cellStyle name="Normal 2 2 10 2 33 4 3" xfId="7983" xr:uid="{00000000-0005-0000-0000-0000011F0000}"/>
    <cellStyle name="Normal 2 2 10 2 33 4 4" xfId="7984" xr:uid="{00000000-0005-0000-0000-0000021F0000}"/>
    <cellStyle name="Normal 2 2 10 2 33 4 5" xfId="7985" xr:uid="{00000000-0005-0000-0000-0000031F0000}"/>
    <cellStyle name="Normal 2 2 10 2 33 4 6" xfId="7986" xr:uid="{00000000-0005-0000-0000-0000041F0000}"/>
    <cellStyle name="Normal 2 2 10 2 33 4 7" xfId="7987" xr:uid="{00000000-0005-0000-0000-0000051F0000}"/>
    <cellStyle name="Normal 2 2 10 2 33 4 8" xfId="7988" xr:uid="{00000000-0005-0000-0000-0000061F0000}"/>
    <cellStyle name="Normal 2 2 10 2 33 4 9" xfId="7989" xr:uid="{00000000-0005-0000-0000-0000071F0000}"/>
    <cellStyle name="Normal 2 2 10 2 33 5" xfId="7990" xr:uid="{00000000-0005-0000-0000-0000081F0000}"/>
    <cellStyle name="Normal 2 2 10 2 33 5 10" xfId="7991" xr:uid="{00000000-0005-0000-0000-0000091F0000}"/>
    <cellStyle name="Normal 2 2 10 2 33 5 2" xfId="7992" xr:uid="{00000000-0005-0000-0000-00000A1F0000}"/>
    <cellStyle name="Normal 2 2 10 2 33 5 3" xfId="7993" xr:uid="{00000000-0005-0000-0000-00000B1F0000}"/>
    <cellStyle name="Normal 2 2 10 2 33 5 4" xfId="7994" xr:uid="{00000000-0005-0000-0000-00000C1F0000}"/>
    <cellStyle name="Normal 2 2 10 2 33 5 5" xfId="7995" xr:uid="{00000000-0005-0000-0000-00000D1F0000}"/>
    <cellStyle name="Normal 2 2 10 2 33 5 6" xfId="7996" xr:uid="{00000000-0005-0000-0000-00000E1F0000}"/>
    <cellStyle name="Normal 2 2 10 2 33 5 7" xfId="7997" xr:uid="{00000000-0005-0000-0000-00000F1F0000}"/>
    <cellStyle name="Normal 2 2 10 2 33 5 8" xfId="7998" xr:uid="{00000000-0005-0000-0000-0000101F0000}"/>
    <cellStyle name="Normal 2 2 10 2 33 5 9" xfId="7999" xr:uid="{00000000-0005-0000-0000-0000111F0000}"/>
    <cellStyle name="Normal 2 2 10 2 33 6" xfId="8000" xr:uid="{00000000-0005-0000-0000-0000121F0000}"/>
    <cellStyle name="Normal 2 2 10 2 33 7" xfId="8001" xr:uid="{00000000-0005-0000-0000-0000131F0000}"/>
    <cellStyle name="Normal 2 2 10 2 33 8" xfId="8002" xr:uid="{00000000-0005-0000-0000-0000141F0000}"/>
    <cellStyle name="Normal 2 2 10 2 33 9" xfId="8003" xr:uid="{00000000-0005-0000-0000-0000151F0000}"/>
    <cellStyle name="Normal 2 2 10 2 34" xfId="8004" xr:uid="{00000000-0005-0000-0000-0000161F0000}"/>
    <cellStyle name="Normal 2 2 10 2 34 10" xfId="8005" xr:uid="{00000000-0005-0000-0000-0000171F0000}"/>
    <cellStyle name="Normal 2 2 10 2 34 2" xfId="8006" xr:uid="{00000000-0005-0000-0000-0000181F0000}"/>
    <cellStyle name="Normal 2 2 10 2 34 3" xfId="8007" xr:uid="{00000000-0005-0000-0000-0000191F0000}"/>
    <cellStyle name="Normal 2 2 10 2 34 4" xfId="8008" xr:uid="{00000000-0005-0000-0000-00001A1F0000}"/>
    <cellStyle name="Normal 2 2 10 2 34 5" xfId="8009" xr:uid="{00000000-0005-0000-0000-00001B1F0000}"/>
    <cellStyle name="Normal 2 2 10 2 34 6" xfId="8010" xr:uid="{00000000-0005-0000-0000-00001C1F0000}"/>
    <cellStyle name="Normal 2 2 10 2 34 7" xfId="8011" xr:uid="{00000000-0005-0000-0000-00001D1F0000}"/>
    <cellStyle name="Normal 2 2 10 2 34 8" xfId="8012" xr:uid="{00000000-0005-0000-0000-00001E1F0000}"/>
    <cellStyle name="Normal 2 2 10 2 34 9" xfId="8013" xr:uid="{00000000-0005-0000-0000-00001F1F0000}"/>
    <cellStyle name="Normal 2 2 10 2 35" xfId="8014" xr:uid="{00000000-0005-0000-0000-0000201F0000}"/>
    <cellStyle name="Normal 2 2 10 2 35 10" xfId="8015" xr:uid="{00000000-0005-0000-0000-0000211F0000}"/>
    <cellStyle name="Normal 2 2 10 2 35 2" xfId="8016" xr:uid="{00000000-0005-0000-0000-0000221F0000}"/>
    <cellStyle name="Normal 2 2 10 2 35 3" xfId="8017" xr:uid="{00000000-0005-0000-0000-0000231F0000}"/>
    <cellStyle name="Normal 2 2 10 2 35 4" xfId="8018" xr:uid="{00000000-0005-0000-0000-0000241F0000}"/>
    <cellStyle name="Normal 2 2 10 2 35 5" xfId="8019" xr:uid="{00000000-0005-0000-0000-0000251F0000}"/>
    <cellStyle name="Normal 2 2 10 2 35 6" xfId="8020" xr:uid="{00000000-0005-0000-0000-0000261F0000}"/>
    <cellStyle name="Normal 2 2 10 2 35 7" xfId="8021" xr:uid="{00000000-0005-0000-0000-0000271F0000}"/>
    <cellStyle name="Normal 2 2 10 2 35 8" xfId="8022" xr:uid="{00000000-0005-0000-0000-0000281F0000}"/>
    <cellStyle name="Normal 2 2 10 2 35 9" xfId="8023" xr:uid="{00000000-0005-0000-0000-0000291F0000}"/>
    <cellStyle name="Normal 2 2 10 2 36" xfId="8024" xr:uid="{00000000-0005-0000-0000-00002A1F0000}"/>
    <cellStyle name="Normal 2 2 10 2 36 10" xfId="8025" xr:uid="{00000000-0005-0000-0000-00002B1F0000}"/>
    <cellStyle name="Normal 2 2 10 2 36 2" xfId="8026" xr:uid="{00000000-0005-0000-0000-00002C1F0000}"/>
    <cellStyle name="Normal 2 2 10 2 36 3" xfId="8027" xr:uid="{00000000-0005-0000-0000-00002D1F0000}"/>
    <cellStyle name="Normal 2 2 10 2 36 4" xfId="8028" xr:uid="{00000000-0005-0000-0000-00002E1F0000}"/>
    <cellStyle name="Normal 2 2 10 2 36 5" xfId="8029" xr:uid="{00000000-0005-0000-0000-00002F1F0000}"/>
    <cellStyle name="Normal 2 2 10 2 36 6" xfId="8030" xr:uid="{00000000-0005-0000-0000-0000301F0000}"/>
    <cellStyle name="Normal 2 2 10 2 36 7" xfId="8031" xr:uid="{00000000-0005-0000-0000-0000311F0000}"/>
    <cellStyle name="Normal 2 2 10 2 36 8" xfId="8032" xr:uid="{00000000-0005-0000-0000-0000321F0000}"/>
    <cellStyle name="Normal 2 2 10 2 36 9" xfId="8033" xr:uid="{00000000-0005-0000-0000-0000331F0000}"/>
    <cellStyle name="Normal 2 2 10 2 37" xfId="8034" xr:uid="{00000000-0005-0000-0000-0000341F0000}"/>
    <cellStyle name="Normal 2 2 10 2 37 10" xfId="8035" xr:uid="{00000000-0005-0000-0000-0000351F0000}"/>
    <cellStyle name="Normal 2 2 10 2 37 2" xfId="8036" xr:uid="{00000000-0005-0000-0000-0000361F0000}"/>
    <cellStyle name="Normal 2 2 10 2 37 3" xfId="8037" xr:uid="{00000000-0005-0000-0000-0000371F0000}"/>
    <cellStyle name="Normal 2 2 10 2 37 4" xfId="8038" xr:uid="{00000000-0005-0000-0000-0000381F0000}"/>
    <cellStyle name="Normal 2 2 10 2 37 5" xfId="8039" xr:uid="{00000000-0005-0000-0000-0000391F0000}"/>
    <cellStyle name="Normal 2 2 10 2 37 6" xfId="8040" xr:uid="{00000000-0005-0000-0000-00003A1F0000}"/>
    <cellStyle name="Normal 2 2 10 2 37 7" xfId="8041" xr:uid="{00000000-0005-0000-0000-00003B1F0000}"/>
    <cellStyle name="Normal 2 2 10 2 37 8" xfId="8042" xr:uid="{00000000-0005-0000-0000-00003C1F0000}"/>
    <cellStyle name="Normal 2 2 10 2 37 9" xfId="8043" xr:uid="{00000000-0005-0000-0000-00003D1F0000}"/>
    <cellStyle name="Normal 2 2 10 2 38" xfId="8044" xr:uid="{00000000-0005-0000-0000-00003E1F0000}"/>
    <cellStyle name="Normal 2 2 10 2 39" xfId="8045" xr:uid="{00000000-0005-0000-0000-00003F1F0000}"/>
    <cellStyle name="Normal 2 2 10 2 4" xfId="8046" xr:uid="{00000000-0005-0000-0000-0000401F0000}"/>
    <cellStyle name="Normal 2 2 10 2 4 10" xfId="8047" xr:uid="{00000000-0005-0000-0000-0000411F0000}"/>
    <cellStyle name="Normal 2 2 10 2 4 11" xfId="8048" xr:uid="{00000000-0005-0000-0000-0000421F0000}"/>
    <cellStyle name="Normal 2 2 10 2 4 12" xfId="8049" xr:uid="{00000000-0005-0000-0000-0000431F0000}"/>
    <cellStyle name="Normal 2 2 10 2 4 13" xfId="8050" xr:uid="{00000000-0005-0000-0000-0000441F0000}"/>
    <cellStyle name="Normal 2 2 10 2 4 14" xfId="8051" xr:uid="{00000000-0005-0000-0000-0000451F0000}"/>
    <cellStyle name="Normal 2 2 10 2 4 2" xfId="8052" xr:uid="{00000000-0005-0000-0000-0000461F0000}"/>
    <cellStyle name="Normal 2 2 10 2 4 2 10" xfId="8053" xr:uid="{00000000-0005-0000-0000-0000471F0000}"/>
    <cellStyle name="Normal 2 2 10 2 4 2 2" xfId="8054" xr:uid="{00000000-0005-0000-0000-0000481F0000}"/>
    <cellStyle name="Normal 2 2 10 2 4 2 3" xfId="8055" xr:uid="{00000000-0005-0000-0000-0000491F0000}"/>
    <cellStyle name="Normal 2 2 10 2 4 2 4" xfId="8056" xr:uid="{00000000-0005-0000-0000-00004A1F0000}"/>
    <cellStyle name="Normal 2 2 10 2 4 2 5" xfId="8057" xr:uid="{00000000-0005-0000-0000-00004B1F0000}"/>
    <cellStyle name="Normal 2 2 10 2 4 2 6" xfId="8058" xr:uid="{00000000-0005-0000-0000-00004C1F0000}"/>
    <cellStyle name="Normal 2 2 10 2 4 2 7" xfId="8059" xr:uid="{00000000-0005-0000-0000-00004D1F0000}"/>
    <cellStyle name="Normal 2 2 10 2 4 2 8" xfId="8060" xr:uid="{00000000-0005-0000-0000-00004E1F0000}"/>
    <cellStyle name="Normal 2 2 10 2 4 2 9" xfId="8061" xr:uid="{00000000-0005-0000-0000-00004F1F0000}"/>
    <cellStyle name="Normal 2 2 10 2 4 3" xfId="8062" xr:uid="{00000000-0005-0000-0000-0000501F0000}"/>
    <cellStyle name="Normal 2 2 10 2 4 3 10" xfId="8063" xr:uid="{00000000-0005-0000-0000-0000511F0000}"/>
    <cellStyle name="Normal 2 2 10 2 4 3 2" xfId="8064" xr:uid="{00000000-0005-0000-0000-0000521F0000}"/>
    <cellStyle name="Normal 2 2 10 2 4 3 3" xfId="8065" xr:uid="{00000000-0005-0000-0000-0000531F0000}"/>
    <cellStyle name="Normal 2 2 10 2 4 3 4" xfId="8066" xr:uid="{00000000-0005-0000-0000-0000541F0000}"/>
    <cellStyle name="Normal 2 2 10 2 4 3 5" xfId="8067" xr:uid="{00000000-0005-0000-0000-0000551F0000}"/>
    <cellStyle name="Normal 2 2 10 2 4 3 6" xfId="8068" xr:uid="{00000000-0005-0000-0000-0000561F0000}"/>
    <cellStyle name="Normal 2 2 10 2 4 3 7" xfId="8069" xr:uid="{00000000-0005-0000-0000-0000571F0000}"/>
    <cellStyle name="Normal 2 2 10 2 4 3 8" xfId="8070" xr:uid="{00000000-0005-0000-0000-0000581F0000}"/>
    <cellStyle name="Normal 2 2 10 2 4 3 9" xfId="8071" xr:uid="{00000000-0005-0000-0000-0000591F0000}"/>
    <cellStyle name="Normal 2 2 10 2 4 4" xfId="8072" xr:uid="{00000000-0005-0000-0000-00005A1F0000}"/>
    <cellStyle name="Normal 2 2 10 2 4 4 10" xfId="8073" xr:uid="{00000000-0005-0000-0000-00005B1F0000}"/>
    <cellStyle name="Normal 2 2 10 2 4 4 2" xfId="8074" xr:uid="{00000000-0005-0000-0000-00005C1F0000}"/>
    <cellStyle name="Normal 2 2 10 2 4 4 3" xfId="8075" xr:uid="{00000000-0005-0000-0000-00005D1F0000}"/>
    <cellStyle name="Normal 2 2 10 2 4 4 4" xfId="8076" xr:uid="{00000000-0005-0000-0000-00005E1F0000}"/>
    <cellStyle name="Normal 2 2 10 2 4 4 5" xfId="8077" xr:uid="{00000000-0005-0000-0000-00005F1F0000}"/>
    <cellStyle name="Normal 2 2 10 2 4 4 6" xfId="8078" xr:uid="{00000000-0005-0000-0000-0000601F0000}"/>
    <cellStyle name="Normal 2 2 10 2 4 4 7" xfId="8079" xr:uid="{00000000-0005-0000-0000-0000611F0000}"/>
    <cellStyle name="Normal 2 2 10 2 4 4 8" xfId="8080" xr:uid="{00000000-0005-0000-0000-0000621F0000}"/>
    <cellStyle name="Normal 2 2 10 2 4 4 9" xfId="8081" xr:uid="{00000000-0005-0000-0000-0000631F0000}"/>
    <cellStyle name="Normal 2 2 10 2 4 5" xfId="8082" xr:uid="{00000000-0005-0000-0000-0000641F0000}"/>
    <cellStyle name="Normal 2 2 10 2 4 5 10" xfId="8083" xr:uid="{00000000-0005-0000-0000-0000651F0000}"/>
    <cellStyle name="Normal 2 2 10 2 4 5 2" xfId="8084" xr:uid="{00000000-0005-0000-0000-0000661F0000}"/>
    <cellStyle name="Normal 2 2 10 2 4 5 3" xfId="8085" xr:uid="{00000000-0005-0000-0000-0000671F0000}"/>
    <cellStyle name="Normal 2 2 10 2 4 5 4" xfId="8086" xr:uid="{00000000-0005-0000-0000-0000681F0000}"/>
    <cellStyle name="Normal 2 2 10 2 4 5 5" xfId="8087" xr:uid="{00000000-0005-0000-0000-0000691F0000}"/>
    <cellStyle name="Normal 2 2 10 2 4 5 6" xfId="8088" xr:uid="{00000000-0005-0000-0000-00006A1F0000}"/>
    <cellStyle name="Normal 2 2 10 2 4 5 7" xfId="8089" xr:uid="{00000000-0005-0000-0000-00006B1F0000}"/>
    <cellStyle name="Normal 2 2 10 2 4 5 8" xfId="8090" xr:uid="{00000000-0005-0000-0000-00006C1F0000}"/>
    <cellStyle name="Normal 2 2 10 2 4 5 9" xfId="8091" xr:uid="{00000000-0005-0000-0000-00006D1F0000}"/>
    <cellStyle name="Normal 2 2 10 2 4 6" xfId="8092" xr:uid="{00000000-0005-0000-0000-00006E1F0000}"/>
    <cellStyle name="Normal 2 2 10 2 4 7" xfId="8093" xr:uid="{00000000-0005-0000-0000-00006F1F0000}"/>
    <cellStyle name="Normal 2 2 10 2 4 8" xfId="8094" xr:uid="{00000000-0005-0000-0000-0000701F0000}"/>
    <cellStyle name="Normal 2 2 10 2 4 9" xfId="8095" xr:uid="{00000000-0005-0000-0000-0000711F0000}"/>
    <cellStyle name="Normal 2 2 10 2 40" xfId="8096" xr:uid="{00000000-0005-0000-0000-0000721F0000}"/>
    <cellStyle name="Normal 2 2 10 2 41" xfId="8097" xr:uid="{00000000-0005-0000-0000-0000731F0000}"/>
    <cellStyle name="Normal 2 2 10 2 42" xfId="8098" xr:uid="{00000000-0005-0000-0000-0000741F0000}"/>
    <cellStyle name="Normal 2 2 10 2 43" xfId="8099" xr:uid="{00000000-0005-0000-0000-0000751F0000}"/>
    <cellStyle name="Normal 2 2 10 2 44" xfId="8100" xr:uid="{00000000-0005-0000-0000-0000761F0000}"/>
    <cellStyle name="Normal 2 2 10 2 45" xfId="8101" xr:uid="{00000000-0005-0000-0000-0000771F0000}"/>
    <cellStyle name="Normal 2 2 10 2 46" xfId="8102" xr:uid="{00000000-0005-0000-0000-0000781F0000}"/>
    <cellStyle name="Normal 2 2 10 2 5" xfId="8103" xr:uid="{00000000-0005-0000-0000-0000791F0000}"/>
    <cellStyle name="Normal 2 2 10 2 5 10" xfId="8104" xr:uid="{00000000-0005-0000-0000-00007A1F0000}"/>
    <cellStyle name="Normal 2 2 10 2 5 11" xfId="8105" xr:uid="{00000000-0005-0000-0000-00007B1F0000}"/>
    <cellStyle name="Normal 2 2 10 2 5 12" xfId="8106" xr:uid="{00000000-0005-0000-0000-00007C1F0000}"/>
    <cellStyle name="Normal 2 2 10 2 5 13" xfId="8107" xr:uid="{00000000-0005-0000-0000-00007D1F0000}"/>
    <cellStyle name="Normal 2 2 10 2 5 14" xfId="8108" xr:uid="{00000000-0005-0000-0000-00007E1F0000}"/>
    <cellStyle name="Normal 2 2 10 2 5 2" xfId="8109" xr:uid="{00000000-0005-0000-0000-00007F1F0000}"/>
    <cellStyle name="Normal 2 2 10 2 5 2 10" xfId="8110" xr:uid="{00000000-0005-0000-0000-0000801F0000}"/>
    <cellStyle name="Normal 2 2 10 2 5 2 2" xfId="8111" xr:uid="{00000000-0005-0000-0000-0000811F0000}"/>
    <cellStyle name="Normal 2 2 10 2 5 2 3" xfId="8112" xr:uid="{00000000-0005-0000-0000-0000821F0000}"/>
    <cellStyle name="Normal 2 2 10 2 5 2 4" xfId="8113" xr:uid="{00000000-0005-0000-0000-0000831F0000}"/>
    <cellStyle name="Normal 2 2 10 2 5 2 5" xfId="8114" xr:uid="{00000000-0005-0000-0000-0000841F0000}"/>
    <cellStyle name="Normal 2 2 10 2 5 2 6" xfId="8115" xr:uid="{00000000-0005-0000-0000-0000851F0000}"/>
    <cellStyle name="Normal 2 2 10 2 5 2 7" xfId="8116" xr:uid="{00000000-0005-0000-0000-0000861F0000}"/>
    <cellStyle name="Normal 2 2 10 2 5 2 8" xfId="8117" xr:uid="{00000000-0005-0000-0000-0000871F0000}"/>
    <cellStyle name="Normal 2 2 10 2 5 2 9" xfId="8118" xr:uid="{00000000-0005-0000-0000-0000881F0000}"/>
    <cellStyle name="Normal 2 2 10 2 5 3" xfId="8119" xr:uid="{00000000-0005-0000-0000-0000891F0000}"/>
    <cellStyle name="Normal 2 2 10 2 5 3 10" xfId="8120" xr:uid="{00000000-0005-0000-0000-00008A1F0000}"/>
    <cellStyle name="Normal 2 2 10 2 5 3 2" xfId="8121" xr:uid="{00000000-0005-0000-0000-00008B1F0000}"/>
    <cellStyle name="Normal 2 2 10 2 5 3 3" xfId="8122" xr:uid="{00000000-0005-0000-0000-00008C1F0000}"/>
    <cellStyle name="Normal 2 2 10 2 5 3 4" xfId="8123" xr:uid="{00000000-0005-0000-0000-00008D1F0000}"/>
    <cellStyle name="Normal 2 2 10 2 5 3 5" xfId="8124" xr:uid="{00000000-0005-0000-0000-00008E1F0000}"/>
    <cellStyle name="Normal 2 2 10 2 5 3 6" xfId="8125" xr:uid="{00000000-0005-0000-0000-00008F1F0000}"/>
    <cellStyle name="Normal 2 2 10 2 5 3 7" xfId="8126" xr:uid="{00000000-0005-0000-0000-0000901F0000}"/>
    <cellStyle name="Normal 2 2 10 2 5 3 8" xfId="8127" xr:uid="{00000000-0005-0000-0000-0000911F0000}"/>
    <cellStyle name="Normal 2 2 10 2 5 3 9" xfId="8128" xr:uid="{00000000-0005-0000-0000-0000921F0000}"/>
    <cellStyle name="Normal 2 2 10 2 5 4" xfId="8129" xr:uid="{00000000-0005-0000-0000-0000931F0000}"/>
    <cellStyle name="Normal 2 2 10 2 5 4 10" xfId="8130" xr:uid="{00000000-0005-0000-0000-0000941F0000}"/>
    <cellStyle name="Normal 2 2 10 2 5 4 2" xfId="8131" xr:uid="{00000000-0005-0000-0000-0000951F0000}"/>
    <cellStyle name="Normal 2 2 10 2 5 4 3" xfId="8132" xr:uid="{00000000-0005-0000-0000-0000961F0000}"/>
    <cellStyle name="Normal 2 2 10 2 5 4 4" xfId="8133" xr:uid="{00000000-0005-0000-0000-0000971F0000}"/>
    <cellStyle name="Normal 2 2 10 2 5 4 5" xfId="8134" xr:uid="{00000000-0005-0000-0000-0000981F0000}"/>
    <cellStyle name="Normal 2 2 10 2 5 4 6" xfId="8135" xr:uid="{00000000-0005-0000-0000-0000991F0000}"/>
    <cellStyle name="Normal 2 2 10 2 5 4 7" xfId="8136" xr:uid="{00000000-0005-0000-0000-00009A1F0000}"/>
    <cellStyle name="Normal 2 2 10 2 5 4 8" xfId="8137" xr:uid="{00000000-0005-0000-0000-00009B1F0000}"/>
    <cellStyle name="Normal 2 2 10 2 5 4 9" xfId="8138" xr:uid="{00000000-0005-0000-0000-00009C1F0000}"/>
    <cellStyle name="Normal 2 2 10 2 5 5" xfId="8139" xr:uid="{00000000-0005-0000-0000-00009D1F0000}"/>
    <cellStyle name="Normal 2 2 10 2 5 5 10" xfId="8140" xr:uid="{00000000-0005-0000-0000-00009E1F0000}"/>
    <cellStyle name="Normal 2 2 10 2 5 5 2" xfId="8141" xr:uid="{00000000-0005-0000-0000-00009F1F0000}"/>
    <cellStyle name="Normal 2 2 10 2 5 5 3" xfId="8142" xr:uid="{00000000-0005-0000-0000-0000A01F0000}"/>
    <cellStyle name="Normal 2 2 10 2 5 5 4" xfId="8143" xr:uid="{00000000-0005-0000-0000-0000A11F0000}"/>
    <cellStyle name="Normal 2 2 10 2 5 5 5" xfId="8144" xr:uid="{00000000-0005-0000-0000-0000A21F0000}"/>
    <cellStyle name="Normal 2 2 10 2 5 5 6" xfId="8145" xr:uid="{00000000-0005-0000-0000-0000A31F0000}"/>
    <cellStyle name="Normal 2 2 10 2 5 5 7" xfId="8146" xr:uid="{00000000-0005-0000-0000-0000A41F0000}"/>
    <cellStyle name="Normal 2 2 10 2 5 5 8" xfId="8147" xr:uid="{00000000-0005-0000-0000-0000A51F0000}"/>
    <cellStyle name="Normal 2 2 10 2 5 5 9" xfId="8148" xr:uid="{00000000-0005-0000-0000-0000A61F0000}"/>
    <cellStyle name="Normal 2 2 10 2 5 6" xfId="8149" xr:uid="{00000000-0005-0000-0000-0000A71F0000}"/>
    <cellStyle name="Normal 2 2 10 2 5 7" xfId="8150" xr:uid="{00000000-0005-0000-0000-0000A81F0000}"/>
    <cellStyle name="Normal 2 2 10 2 5 8" xfId="8151" xr:uid="{00000000-0005-0000-0000-0000A91F0000}"/>
    <cellStyle name="Normal 2 2 10 2 5 9" xfId="8152" xr:uid="{00000000-0005-0000-0000-0000AA1F0000}"/>
    <cellStyle name="Normal 2 2 10 2 6" xfId="8153" xr:uid="{00000000-0005-0000-0000-0000AB1F0000}"/>
    <cellStyle name="Normal 2 2 10 2 6 10" xfId="8154" xr:uid="{00000000-0005-0000-0000-0000AC1F0000}"/>
    <cellStyle name="Normal 2 2 10 2 6 11" xfId="8155" xr:uid="{00000000-0005-0000-0000-0000AD1F0000}"/>
    <cellStyle name="Normal 2 2 10 2 6 12" xfId="8156" xr:uid="{00000000-0005-0000-0000-0000AE1F0000}"/>
    <cellStyle name="Normal 2 2 10 2 6 13" xfId="8157" xr:uid="{00000000-0005-0000-0000-0000AF1F0000}"/>
    <cellStyle name="Normal 2 2 10 2 6 14" xfId="8158" xr:uid="{00000000-0005-0000-0000-0000B01F0000}"/>
    <cellStyle name="Normal 2 2 10 2 6 2" xfId="8159" xr:uid="{00000000-0005-0000-0000-0000B11F0000}"/>
    <cellStyle name="Normal 2 2 10 2 6 2 10" xfId="8160" xr:uid="{00000000-0005-0000-0000-0000B21F0000}"/>
    <cellStyle name="Normal 2 2 10 2 6 2 2" xfId="8161" xr:uid="{00000000-0005-0000-0000-0000B31F0000}"/>
    <cellStyle name="Normal 2 2 10 2 6 2 3" xfId="8162" xr:uid="{00000000-0005-0000-0000-0000B41F0000}"/>
    <cellStyle name="Normal 2 2 10 2 6 2 4" xfId="8163" xr:uid="{00000000-0005-0000-0000-0000B51F0000}"/>
    <cellStyle name="Normal 2 2 10 2 6 2 5" xfId="8164" xr:uid="{00000000-0005-0000-0000-0000B61F0000}"/>
    <cellStyle name="Normal 2 2 10 2 6 2 6" xfId="8165" xr:uid="{00000000-0005-0000-0000-0000B71F0000}"/>
    <cellStyle name="Normal 2 2 10 2 6 2 7" xfId="8166" xr:uid="{00000000-0005-0000-0000-0000B81F0000}"/>
    <cellStyle name="Normal 2 2 10 2 6 2 8" xfId="8167" xr:uid="{00000000-0005-0000-0000-0000B91F0000}"/>
    <cellStyle name="Normal 2 2 10 2 6 2 9" xfId="8168" xr:uid="{00000000-0005-0000-0000-0000BA1F0000}"/>
    <cellStyle name="Normal 2 2 10 2 6 3" xfId="8169" xr:uid="{00000000-0005-0000-0000-0000BB1F0000}"/>
    <cellStyle name="Normal 2 2 10 2 6 3 10" xfId="8170" xr:uid="{00000000-0005-0000-0000-0000BC1F0000}"/>
    <cellStyle name="Normal 2 2 10 2 6 3 2" xfId="8171" xr:uid="{00000000-0005-0000-0000-0000BD1F0000}"/>
    <cellStyle name="Normal 2 2 10 2 6 3 3" xfId="8172" xr:uid="{00000000-0005-0000-0000-0000BE1F0000}"/>
    <cellStyle name="Normal 2 2 10 2 6 3 4" xfId="8173" xr:uid="{00000000-0005-0000-0000-0000BF1F0000}"/>
    <cellStyle name="Normal 2 2 10 2 6 3 5" xfId="8174" xr:uid="{00000000-0005-0000-0000-0000C01F0000}"/>
    <cellStyle name="Normal 2 2 10 2 6 3 6" xfId="8175" xr:uid="{00000000-0005-0000-0000-0000C11F0000}"/>
    <cellStyle name="Normal 2 2 10 2 6 3 7" xfId="8176" xr:uid="{00000000-0005-0000-0000-0000C21F0000}"/>
    <cellStyle name="Normal 2 2 10 2 6 3 8" xfId="8177" xr:uid="{00000000-0005-0000-0000-0000C31F0000}"/>
    <cellStyle name="Normal 2 2 10 2 6 3 9" xfId="8178" xr:uid="{00000000-0005-0000-0000-0000C41F0000}"/>
    <cellStyle name="Normal 2 2 10 2 6 4" xfId="8179" xr:uid="{00000000-0005-0000-0000-0000C51F0000}"/>
    <cellStyle name="Normal 2 2 10 2 6 4 10" xfId="8180" xr:uid="{00000000-0005-0000-0000-0000C61F0000}"/>
    <cellStyle name="Normal 2 2 10 2 6 4 2" xfId="8181" xr:uid="{00000000-0005-0000-0000-0000C71F0000}"/>
    <cellStyle name="Normal 2 2 10 2 6 4 3" xfId="8182" xr:uid="{00000000-0005-0000-0000-0000C81F0000}"/>
    <cellStyle name="Normal 2 2 10 2 6 4 4" xfId="8183" xr:uid="{00000000-0005-0000-0000-0000C91F0000}"/>
    <cellStyle name="Normal 2 2 10 2 6 4 5" xfId="8184" xr:uid="{00000000-0005-0000-0000-0000CA1F0000}"/>
    <cellStyle name="Normal 2 2 10 2 6 4 6" xfId="8185" xr:uid="{00000000-0005-0000-0000-0000CB1F0000}"/>
    <cellStyle name="Normal 2 2 10 2 6 4 7" xfId="8186" xr:uid="{00000000-0005-0000-0000-0000CC1F0000}"/>
    <cellStyle name="Normal 2 2 10 2 6 4 8" xfId="8187" xr:uid="{00000000-0005-0000-0000-0000CD1F0000}"/>
    <cellStyle name="Normal 2 2 10 2 6 4 9" xfId="8188" xr:uid="{00000000-0005-0000-0000-0000CE1F0000}"/>
    <cellStyle name="Normal 2 2 10 2 6 5" xfId="8189" xr:uid="{00000000-0005-0000-0000-0000CF1F0000}"/>
    <cellStyle name="Normal 2 2 10 2 6 5 10" xfId="8190" xr:uid="{00000000-0005-0000-0000-0000D01F0000}"/>
    <cellStyle name="Normal 2 2 10 2 6 5 2" xfId="8191" xr:uid="{00000000-0005-0000-0000-0000D11F0000}"/>
    <cellStyle name="Normal 2 2 10 2 6 5 3" xfId="8192" xr:uid="{00000000-0005-0000-0000-0000D21F0000}"/>
    <cellStyle name="Normal 2 2 10 2 6 5 4" xfId="8193" xr:uid="{00000000-0005-0000-0000-0000D31F0000}"/>
    <cellStyle name="Normal 2 2 10 2 6 5 5" xfId="8194" xr:uid="{00000000-0005-0000-0000-0000D41F0000}"/>
    <cellStyle name="Normal 2 2 10 2 6 5 6" xfId="8195" xr:uid="{00000000-0005-0000-0000-0000D51F0000}"/>
    <cellStyle name="Normal 2 2 10 2 6 5 7" xfId="8196" xr:uid="{00000000-0005-0000-0000-0000D61F0000}"/>
    <cellStyle name="Normal 2 2 10 2 6 5 8" xfId="8197" xr:uid="{00000000-0005-0000-0000-0000D71F0000}"/>
    <cellStyle name="Normal 2 2 10 2 6 5 9" xfId="8198" xr:uid="{00000000-0005-0000-0000-0000D81F0000}"/>
    <cellStyle name="Normal 2 2 10 2 6 6" xfId="8199" xr:uid="{00000000-0005-0000-0000-0000D91F0000}"/>
    <cellStyle name="Normal 2 2 10 2 6 7" xfId="8200" xr:uid="{00000000-0005-0000-0000-0000DA1F0000}"/>
    <cellStyle name="Normal 2 2 10 2 6 8" xfId="8201" xr:uid="{00000000-0005-0000-0000-0000DB1F0000}"/>
    <cellStyle name="Normal 2 2 10 2 6 9" xfId="8202" xr:uid="{00000000-0005-0000-0000-0000DC1F0000}"/>
    <cellStyle name="Normal 2 2 10 2 7" xfId="8203" xr:uid="{00000000-0005-0000-0000-0000DD1F0000}"/>
    <cellStyle name="Normal 2 2 10 2 7 10" xfId="8204" xr:uid="{00000000-0005-0000-0000-0000DE1F0000}"/>
    <cellStyle name="Normal 2 2 10 2 7 11" xfId="8205" xr:uid="{00000000-0005-0000-0000-0000DF1F0000}"/>
    <cellStyle name="Normal 2 2 10 2 7 12" xfId="8206" xr:uid="{00000000-0005-0000-0000-0000E01F0000}"/>
    <cellStyle name="Normal 2 2 10 2 7 13" xfId="8207" xr:uid="{00000000-0005-0000-0000-0000E11F0000}"/>
    <cellStyle name="Normal 2 2 10 2 7 14" xfId="8208" xr:uid="{00000000-0005-0000-0000-0000E21F0000}"/>
    <cellStyle name="Normal 2 2 10 2 7 2" xfId="8209" xr:uid="{00000000-0005-0000-0000-0000E31F0000}"/>
    <cellStyle name="Normal 2 2 10 2 7 2 10" xfId="8210" xr:uid="{00000000-0005-0000-0000-0000E41F0000}"/>
    <cellStyle name="Normal 2 2 10 2 7 2 2" xfId="8211" xr:uid="{00000000-0005-0000-0000-0000E51F0000}"/>
    <cellStyle name="Normal 2 2 10 2 7 2 3" xfId="8212" xr:uid="{00000000-0005-0000-0000-0000E61F0000}"/>
    <cellStyle name="Normal 2 2 10 2 7 2 4" xfId="8213" xr:uid="{00000000-0005-0000-0000-0000E71F0000}"/>
    <cellStyle name="Normal 2 2 10 2 7 2 5" xfId="8214" xr:uid="{00000000-0005-0000-0000-0000E81F0000}"/>
    <cellStyle name="Normal 2 2 10 2 7 2 6" xfId="8215" xr:uid="{00000000-0005-0000-0000-0000E91F0000}"/>
    <cellStyle name="Normal 2 2 10 2 7 2 7" xfId="8216" xr:uid="{00000000-0005-0000-0000-0000EA1F0000}"/>
    <cellStyle name="Normal 2 2 10 2 7 2 8" xfId="8217" xr:uid="{00000000-0005-0000-0000-0000EB1F0000}"/>
    <cellStyle name="Normal 2 2 10 2 7 2 9" xfId="8218" xr:uid="{00000000-0005-0000-0000-0000EC1F0000}"/>
    <cellStyle name="Normal 2 2 10 2 7 3" xfId="8219" xr:uid="{00000000-0005-0000-0000-0000ED1F0000}"/>
    <cellStyle name="Normal 2 2 10 2 7 3 10" xfId="8220" xr:uid="{00000000-0005-0000-0000-0000EE1F0000}"/>
    <cellStyle name="Normal 2 2 10 2 7 3 2" xfId="8221" xr:uid="{00000000-0005-0000-0000-0000EF1F0000}"/>
    <cellStyle name="Normal 2 2 10 2 7 3 3" xfId="8222" xr:uid="{00000000-0005-0000-0000-0000F01F0000}"/>
    <cellStyle name="Normal 2 2 10 2 7 3 4" xfId="8223" xr:uid="{00000000-0005-0000-0000-0000F11F0000}"/>
    <cellStyle name="Normal 2 2 10 2 7 3 5" xfId="8224" xr:uid="{00000000-0005-0000-0000-0000F21F0000}"/>
    <cellStyle name="Normal 2 2 10 2 7 3 6" xfId="8225" xr:uid="{00000000-0005-0000-0000-0000F31F0000}"/>
    <cellStyle name="Normal 2 2 10 2 7 3 7" xfId="8226" xr:uid="{00000000-0005-0000-0000-0000F41F0000}"/>
    <cellStyle name="Normal 2 2 10 2 7 3 8" xfId="8227" xr:uid="{00000000-0005-0000-0000-0000F51F0000}"/>
    <cellStyle name="Normal 2 2 10 2 7 3 9" xfId="8228" xr:uid="{00000000-0005-0000-0000-0000F61F0000}"/>
    <cellStyle name="Normal 2 2 10 2 7 4" xfId="8229" xr:uid="{00000000-0005-0000-0000-0000F71F0000}"/>
    <cellStyle name="Normal 2 2 10 2 7 4 10" xfId="8230" xr:uid="{00000000-0005-0000-0000-0000F81F0000}"/>
    <cellStyle name="Normal 2 2 10 2 7 4 2" xfId="8231" xr:uid="{00000000-0005-0000-0000-0000F91F0000}"/>
    <cellStyle name="Normal 2 2 10 2 7 4 3" xfId="8232" xr:uid="{00000000-0005-0000-0000-0000FA1F0000}"/>
    <cellStyle name="Normal 2 2 10 2 7 4 4" xfId="8233" xr:uid="{00000000-0005-0000-0000-0000FB1F0000}"/>
    <cellStyle name="Normal 2 2 10 2 7 4 5" xfId="8234" xr:uid="{00000000-0005-0000-0000-0000FC1F0000}"/>
    <cellStyle name="Normal 2 2 10 2 7 4 6" xfId="8235" xr:uid="{00000000-0005-0000-0000-0000FD1F0000}"/>
    <cellStyle name="Normal 2 2 10 2 7 4 7" xfId="8236" xr:uid="{00000000-0005-0000-0000-0000FE1F0000}"/>
    <cellStyle name="Normal 2 2 10 2 7 4 8" xfId="8237" xr:uid="{00000000-0005-0000-0000-0000FF1F0000}"/>
    <cellStyle name="Normal 2 2 10 2 7 4 9" xfId="8238" xr:uid="{00000000-0005-0000-0000-000000200000}"/>
    <cellStyle name="Normal 2 2 10 2 7 5" xfId="8239" xr:uid="{00000000-0005-0000-0000-000001200000}"/>
    <cellStyle name="Normal 2 2 10 2 7 5 10" xfId="8240" xr:uid="{00000000-0005-0000-0000-000002200000}"/>
    <cellStyle name="Normal 2 2 10 2 7 5 2" xfId="8241" xr:uid="{00000000-0005-0000-0000-000003200000}"/>
    <cellStyle name="Normal 2 2 10 2 7 5 3" xfId="8242" xr:uid="{00000000-0005-0000-0000-000004200000}"/>
    <cellStyle name="Normal 2 2 10 2 7 5 4" xfId="8243" xr:uid="{00000000-0005-0000-0000-000005200000}"/>
    <cellStyle name="Normal 2 2 10 2 7 5 5" xfId="8244" xr:uid="{00000000-0005-0000-0000-000006200000}"/>
    <cellStyle name="Normal 2 2 10 2 7 5 6" xfId="8245" xr:uid="{00000000-0005-0000-0000-000007200000}"/>
    <cellStyle name="Normal 2 2 10 2 7 5 7" xfId="8246" xr:uid="{00000000-0005-0000-0000-000008200000}"/>
    <cellStyle name="Normal 2 2 10 2 7 5 8" xfId="8247" xr:uid="{00000000-0005-0000-0000-000009200000}"/>
    <cellStyle name="Normal 2 2 10 2 7 5 9" xfId="8248" xr:uid="{00000000-0005-0000-0000-00000A200000}"/>
    <cellStyle name="Normal 2 2 10 2 7 6" xfId="8249" xr:uid="{00000000-0005-0000-0000-00000B200000}"/>
    <cellStyle name="Normal 2 2 10 2 7 7" xfId="8250" xr:uid="{00000000-0005-0000-0000-00000C200000}"/>
    <cellStyle name="Normal 2 2 10 2 7 8" xfId="8251" xr:uid="{00000000-0005-0000-0000-00000D200000}"/>
    <cellStyle name="Normal 2 2 10 2 7 9" xfId="8252" xr:uid="{00000000-0005-0000-0000-00000E200000}"/>
    <cellStyle name="Normal 2 2 10 2 8" xfId="8253" xr:uid="{00000000-0005-0000-0000-00000F200000}"/>
    <cellStyle name="Normal 2 2 10 2 8 10" xfId="8254" xr:uid="{00000000-0005-0000-0000-000010200000}"/>
    <cellStyle name="Normal 2 2 10 2 8 11" xfId="8255" xr:uid="{00000000-0005-0000-0000-000011200000}"/>
    <cellStyle name="Normal 2 2 10 2 8 12" xfId="8256" xr:uid="{00000000-0005-0000-0000-000012200000}"/>
    <cellStyle name="Normal 2 2 10 2 8 13" xfId="8257" xr:uid="{00000000-0005-0000-0000-000013200000}"/>
    <cellStyle name="Normal 2 2 10 2 8 14" xfId="8258" xr:uid="{00000000-0005-0000-0000-000014200000}"/>
    <cellStyle name="Normal 2 2 10 2 8 2" xfId="8259" xr:uid="{00000000-0005-0000-0000-000015200000}"/>
    <cellStyle name="Normal 2 2 10 2 8 2 10" xfId="8260" xr:uid="{00000000-0005-0000-0000-000016200000}"/>
    <cellStyle name="Normal 2 2 10 2 8 2 2" xfId="8261" xr:uid="{00000000-0005-0000-0000-000017200000}"/>
    <cellStyle name="Normal 2 2 10 2 8 2 3" xfId="8262" xr:uid="{00000000-0005-0000-0000-000018200000}"/>
    <cellStyle name="Normal 2 2 10 2 8 2 4" xfId="8263" xr:uid="{00000000-0005-0000-0000-000019200000}"/>
    <cellStyle name="Normal 2 2 10 2 8 2 5" xfId="8264" xr:uid="{00000000-0005-0000-0000-00001A200000}"/>
    <cellStyle name="Normal 2 2 10 2 8 2 6" xfId="8265" xr:uid="{00000000-0005-0000-0000-00001B200000}"/>
    <cellStyle name="Normal 2 2 10 2 8 2 7" xfId="8266" xr:uid="{00000000-0005-0000-0000-00001C200000}"/>
    <cellStyle name="Normal 2 2 10 2 8 2 8" xfId="8267" xr:uid="{00000000-0005-0000-0000-00001D200000}"/>
    <cellStyle name="Normal 2 2 10 2 8 2 9" xfId="8268" xr:uid="{00000000-0005-0000-0000-00001E200000}"/>
    <cellStyle name="Normal 2 2 10 2 8 3" xfId="8269" xr:uid="{00000000-0005-0000-0000-00001F200000}"/>
    <cellStyle name="Normal 2 2 10 2 8 3 10" xfId="8270" xr:uid="{00000000-0005-0000-0000-000020200000}"/>
    <cellStyle name="Normal 2 2 10 2 8 3 2" xfId="8271" xr:uid="{00000000-0005-0000-0000-000021200000}"/>
    <cellStyle name="Normal 2 2 10 2 8 3 3" xfId="8272" xr:uid="{00000000-0005-0000-0000-000022200000}"/>
    <cellStyle name="Normal 2 2 10 2 8 3 4" xfId="8273" xr:uid="{00000000-0005-0000-0000-000023200000}"/>
    <cellStyle name="Normal 2 2 10 2 8 3 5" xfId="8274" xr:uid="{00000000-0005-0000-0000-000024200000}"/>
    <cellStyle name="Normal 2 2 10 2 8 3 6" xfId="8275" xr:uid="{00000000-0005-0000-0000-000025200000}"/>
    <cellStyle name="Normal 2 2 10 2 8 3 7" xfId="8276" xr:uid="{00000000-0005-0000-0000-000026200000}"/>
    <cellStyle name="Normal 2 2 10 2 8 3 8" xfId="8277" xr:uid="{00000000-0005-0000-0000-000027200000}"/>
    <cellStyle name="Normal 2 2 10 2 8 3 9" xfId="8278" xr:uid="{00000000-0005-0000-0000-000028200000}"/>
    <cellStyle name="Normal 2 2 10 2 8 4" xfId="8279" xr:uid="{00000000-0005-0000-0000-000029200000}"/>
    <cellStyle name="Normal 2 2 10 2 8 4 10" xfId="8280" xr:uid="{00000000-0005-0000-0000-00002A200000}"/>
    <cellStyle name="Normal 2 2 10 2 8 4 2" xfId="8281" xr:uid="{00000000-0005-0000-0000-00002B200000}"/>
    <cellStyle name="Normal 2 2 10 2 8 4 3" xfId="8282" xr:uid="{00000000-0005-0000-0000-00002C200000}"/>
    <cellStyle name="Normal 2 2 10 2 8 4 4" xfId="8283" xr:uid="{00000000-0005-0000-0000-00002D200000}"/>
    <cellStyle name="Normal 2 2 10 2 8 4 5" xfId="8284" xr:uid="{00000000-0005-0000-0000-00002E200000}"/>
    <cellStyle name="Normal 2 2 10 2 8 4 6" xfId="8285" xr:uid="{00000000-0005-0000-0000-00002F200000}"/>
    <cellStyle name="Normal 2 2 10 2 8 4 7" xfId="8286" xr:uid="{00000000-0005-0000-0000-000030200000}"/>
    <cellStyle name="Normal 2 2 10 2 8 4 8" xfId="8287" xr:uid="{00000000-0005-0000-0000-000031200000}"/>
    <cellStyle name="Normal 2 2 10 2 8 4 9" xfId="8288" xr:uid="{00000000-0005-0000-0000-000032200000}"/>
    <cellStyle name="Normal 2 2 10 2 8 5" xfId="8289" xr:uid="{00000000-0005-0000-0000-000033200000}"/>
    <cellStyle name="Normal 2 2 10 2 8 5 10" xfId="8290" xr:uid="{00000000-0005-0000-0000-000034200000}"/>
    <cellStyle name="Normal 2 2 10 2 8 5 2" xfId="8291" xr:uid="{00000000-0005-0000-0000-000035200000}"/>
    <cellStyle name="Normal 2 2 10 2 8 5 3" xfId="8292" xr:uid="{00000000-0005-0000-0000-000036200000}"/>
    <cellStyle name="Normal 2 2 10 2 8 5 4" xfId="8293" xr:uid="{00000000-0005-0000-0000-000037200000}"/>
    <cellStyle name="Normal 2 2 10 2 8 5 5" xfId="8294" xr:uid="{00000000-0005-0000-0000-000038200000}"/>
    <cellStyle name="Normal 2 2 10 2 8 5 6" xfId="8295" xr:uid="{00000000-0005-0000-0000-000039200000}"/>
    <cellStyle name="Normal 2 2 10 2 8 5 7" xfId="8296" xr:uid="{00000000-0005-0000-0000-00003A200000}"/>
    <cellStyle name="Normal 2 2 10 2 8 5 8" xfId="8297" xr:uid="{00000000-0005-0000-0000-00003B200000}"/>
    <cellStyle name="Normal 2 2 10 2 8 5 9" xfId="8298" xr:uid="{00000000-0005-0000-0000-00003C200000}"/>
    <cellStyle name="Normal 2 2 10 2 8 6" xfId="8299" xr:uid="{00000000-0005-0000-0000-00003D200000}"/>
    <cellStyle name="Normal 2 2 10 2 8 7" xfId="8300" xr:uid="{00000000-0005-0000-0000-00003E200000}"/>
    <cellStyle name="Normal 2 2 10 2 8 8" xfId="8301" xr:uid="{00000000-0005-0000-0000-00003F200000}"/>
    <cellStyle name="Normal 2 2 10 2 8 9" xfId="8302" xr:uid="{00000000-0005-0000-0000-000040200000}"/>
    <cellStyle name="Normal 2 2 10 2 9" xfId="8303" xr:uid="{00000000-0005-0000-0000-000041200000}"/>
    <cellStyle name="Normal 2 2 10 2 9 10" xfId="8304" xr:uid="{00000000-0005-0000-0000-000042200000}"/>
    <cellStyle name="Normal 2 2 10 2 9 11" xfId="8305" xr:uid="{00000000-0005-0000-0000-000043200000}"/>
    <cellStyle name="Normal 2 2 10 2 9 12" xfId="8306" xr:uid="{00000000-0005-0000-0000-000044200000}"/>
    <cellStyle name="Normal 2 2 10 2 9 13" xfId="8307" xr:uid="{00000000-0005-0000-0000-000045200000}"/>
    <cellStyle name="Normal 2 2 10 2 9 14" xfId="8308" xr:uid="{00000000-0005-0000-0000-000046200000}"/>
    <cellStyle name="Normal 2 2 10 2 9 2" xfId="8309" xr:uid="{00000000-0005-0000-0000-000047200000}"/>
    <cellStyle name="Normal 2 2 10 2 9 2 10" xfId="8310" xr:uid="{00000000-0005-0000-0000-000048200000}"/>
    <cellStyle name="Normal 2 2 10 2 9 2 2" xfId="8311" xr:uid="{00000000-0005-0000-0000-000049200000}"/>
    <cellStyle name="Normal 2 2 10 2 9 2 3" xfId="8312" xr:uid="{00000000-0005-0000-0000-00004A200000}"/>
    <cellStyle name="Normal 2 2 10 2 9 2 4" xfId="8313" xr:uid="{00000000-0005-0000-0000-00004B200000}"/>
    <cellStyle name="Normal 2 2 10 2 9 2 5" xfId="8314" xr:uid="{00000000-0005-0000-0000-00004C200000}"/>
    <cellStyle name="Normal 2 2 10 2 9 2 6" xfId="8315" xr:uid="{00000000-0005-0000-0000-00004D200000}"/>
    <cellStyle name="Normal 2 2 10 2 9 2 7" xfId="8316" xr:uid="{00000000-0005-0000-0000-00004E200000}"/>
    <cellStyle name="Normal 2 2 10 2 9 2 8" xfId="8317" xr:uid="{00000000-0005-0000-0000-00004F200000}"/>
    <cellStyle name="Normal 2 2 10 2 9 2 9" xfId="8318" xr:uid="{00000000-0005-0000-0000-000050200000}"/>
    <cellStyle name="Normal 2 2 10 2 9 3" xfId="8319" xr:uid="{00000000-0005-0000-0000-000051200000}"/>
    <cellStyle name="Normal 2 2 10 2 9 3 10" xfId="8320" xr:uid="{00000000-0005-0000-0000-000052200000}"/>
    <cellStyle name="Normal 2 2 10 2 9 3 2" xfId="8321" xr:uid="{00000000-0005-0000-0000-000053200000}"/>
    <cellStyle name="Normal 2 2 10 2 9 3 3" xfId="8322" xr:uid="{00000000-0005-0000-0000-000054200000}"/>
    <cellStyle name="Normal 2 2 10 2 9 3 4" xfId="8323" xr:uid="{00000000-0005-0000-0000-000055200000}"/>
    <cellStyle name="Normal 2 2 10 2 9 3 5" xfId="8324" xr:uid="{00000000-0005-0000-0000-000056200000}"/>
    <cellStyle name="Normal 2 2 10 2 9 3 6" xfId="8325" xr:uid="{00000000-0005-0000-0000-000057200000}"/>
    <cellStyle name="Normal 2 2 10 2 9 3 7" xfId="8326" xr:uid="{00000000-0005-0000-0000-000058200000}"/>
    <cellStyle name="Normal 2 2 10 2 9 3 8" xfId="8327" xr:uid="{00000000-0005-0000-0000-000059200000}"/>
    <cellStyle name="Normal 2 2 10 2 9 3 9" xfId="8328" xr:uid="{00000000-0005-0000-0000-00005A200000}"/>
    <cellStyle name="Normal 2 2 10 2 9 4" xfId="8329" xr:uid="{00000000-0005-0000-0000-00005B200000}"/>
    <cellStyle name="Normal 2 2 10 2 9 4 10" xfId="8330" xr:uid="{00000000-0005-0000-0000-00005C200000}"/>
    <cellStyle name="Normal 2 2 10 2 9 4 2" xfId="8331" xr:uid="{00000000-0005-0000-0000-00005D200000}"/>
    <cellStyle name="Normal 2 2 10 2 9 4 3" xfId="8332" xr:uid="{00000000-0005-0000-0000-00005E200000}"/>
    <cellStyle name="Normal 2 2 10 2 9 4 4" xfId="8333" xr:uid="{00000000-0005-0000-0000-00005F200000}"/>
    <cellStyle name="Normal 2 2 10 2 9 4 5" xfId="8334" xr:uid="{00000000-0005-0000-0000-000060200000}"/>
    <cellStyle name="Normal 2 2 10 2 9 4 6" xfId="8335" xr:uid="{00000000-0005-0000-0000-000061200000}"/>
    <cellStyle name="Normal 2 2 10 2 9 4 7" xfId="8336" xr:uid="{00000000-0005-0000-0000-000062200000}"/>
    <cellStyle name="Normal 2 2 10 2 9 4 8" xfId="8337" xr:uid="{00000000-0005-0000-0000-000063200000}"/>
    <cellStyle name="Normal 2 2 10 2 9 4 9" xfId="8338" xr:uid="{00000000-0005-0000-0000-000064200000}"/>
    <cellStyle name="Normal 2 2 10 2 9 5" xfId="8339" xr:uid="{00000000-0005-0000-0000-000065200000}"/>
    <cellStyle name="Normal 2 2 10 2 9 5 10" xfId="8340" xr:uid="{00000000-0005-0000-0000-000066200000}"/>
    <cellStyle name="Normal 2 2 10 2 9 5 2" xfId="8341" xr:uid="{00000000-0005-0000-0000-000067200000}"/>
    <cellStyle name="Normal 2 2 10 2 9 5 3" xfId="8342" xr:uid="{00000000-0005-0000-0000-000068200000}"/>
    <cellStyle name="Normal 2 2 10 2 9 5 4" xfId="8343" xr:uid="{00000000-0005-0000-0000-000069200000}"/>
    <cellStyle name="Normal 2 2 10 2 9 5 5" xfId="8344" xr:uid="{00000000-0005-0000-0000-00006A200000}"/>
    <cellStyle name="Normal 2 2 10 2 9 5 6" xfId="8345" xr:uid="{00000000-0005-0000-0000-00006B200000}"/>
    <cellStyle name="Normal 2 2 10 2 9 5 7" xfId="8346" xr:uid="{00000000-0005-0000-0000-00006C200000}"/>
    <cellStyle name="Normal 2 2 10 2 9 5 8" xfId="8347" xr:uid="{00000000-0005-0000-0000-00006D200000}"/>
    <cellStyle name="Normal 2 2 10 2 9 5 9" xfId="8348" xr:uid="{00000000-0005-0000-0000-00006E200000}"/>
    <cellStyle name="Normal 2 2 10 2 9 6" xfId="8349" xr:uid="{00000000-0005-0000-0000-00006F200000}"/>
    <cellStyle name="Normal 2 2 10 2 9 7" xfId="8350" xr:uid="{00000000-0005-0000-0000-000070200000}"/>
    <cellStyle name="Normal 2 2 10 2 9 8" xfId="8351" xr:uid="{00000000-0005-0000-0000-000071200000}"/>
    <cellStyle name="Normal 2 2 10 2 9 9" xfId="8352" xr:uid="{00000000-0005-0000-0000-000072200000}"/>
    <cellStyle name="Normal 2 2 10 20" xfId="8353" xr:uid="{00000000-0005-0000-0000-000073200000}"/>
    <cellStyle name="Normal 2 2 10 20 10" xfId="8354" xr:uid="{00000000-0005-0000-0000-000074200000}"/>
    <cellStyle name="Normal 2 2 10 20 11" xfId="8355" xr:uid="{00000000-0005-0000-0000-000075200000}"/>
    <cellStyle name="Normal 2 2 10 20 12" xfId="8356" xr:uid="{00000000-0005-0000-0000-000076200000}"/>
    <cellStyle name="Normal 2 2 10 20 13" xfId="8357" xr:uid="{00000000-0005-0000-0000-000077200000}"/>
    <cellStyle name="Normal 2 2 10 20 14" xfId="8358" xr:uid="{00000000-0005-0000-0000-000078200000}"/>
    <cellStyle name="Normal 2 2 10 20 2" xfId="8359" xr:uid="{00000000-0005-0000-0000-000079200000}"/>
    <cellStyle name="Normal 2 2 10 20 2 10" xfId="8360" xr:uid="{00000000-0005-0000-0000-00007A200000}"/>
    <cellStyle name="Normal 2 2 10 20 2 2" xfId="8361" xr:uid="{00000000-0005-0000-0000-00007B200000}"/>
    <cellStyle name="Normal 2 2 10 20 2 3" xfId="8362" xr:uid="{00000000-0005-0000-0000-00007C200000}"/>
    <cellStyle name="Normal 2 2 10 20 2 4" xfId="8363" xr:uid="{00000000-0005-0000-0000-00007D200000}"/>
    <cellStyle name="Normal 2 2 10 20 2 5" xfId="8364" xr:uid="{00000000-0005-0000-0000-00007E200000}"/>
    <cellStyle name="Normal 2 2 10 20 2 6" xfId="8365" xr:uid="{00000000-0005-0000-0000-00007F200000}"/>
    <cellStyle name="Normal 2 2 10 20 2 7" xfId="8366" xr:uid="{00000000-0005-0000-0000-000080200000}"/>
    <cellStyle name="Normal 2 2 10 20 2 8" xfId="8367" xr:uid="{00000000-0005-0000-0000-000081200000}"/>
    <cellStyle name="Normal 2 2 10 20 2 9" xfId="8368" xr:uid="{00000000-0005-0000-0000-000082200000}"/>
    <cellStyle name="Normal 2 2 10 20 3" xfId="8369" xr:uid="{00000000-0005-0000-0000-000083200000}"/>
    <cellStyle name="Normal 2 2 10 20 3 10" xfId="8370" xr:uid="{00000000-0005-0000-0000-000084200000}"/>
    <cellStyle name="Normal 2 2 10 20 3 2" xfId="8371" xr:uid="{00000000-0005-0000-0000-000085200000}"/>
    <cellStyle name="Normal 2 2 10 20 3 3" xfId="8372" xr:uid="{00000000-0005-0000-0000-000086200000}"/>
    <cellStyle name="Normal 2 2 10 20 3 4" xfId="8373" xr:uid="{00000000-0005-0000-0000-000087200000}"/>
    <cellStyle name="Normal 2 2 10 20 3 5" xfId="8374" xr:uid="{00000000-0005-0000-0000-000088200000}"/>
    <cellStyle name="Normal 2 2 10 20 3 6" xfId="8375" xr:uid="{00000000-0005-0000-0000-000089200000}"/>
    <cellStyle name="Normal 2 2 10 20 3 7" xfId="8376" xr:uid="{00000000-0005-0000-0000-00008A200000}"/>
    <cellStyle name="Normal 2 2 10 20 3 8" xfId="8377" xr:uid="{00000000-0005-0000-0000-00008B200000}"/>
    <cellStyle name="Normal 2 2 10 20 3 9" xfId="8378" xr:uid="{00000000-0005-0000-0000-00008C200000}"/>
    <cellStyle name="Normal 2 2 10 20 4" xfId="8379" xr:uid="{00000000-0005-0000-0000-00008D200000}"/>
    <cellStyle name="Normal 2 2 10 20 4 10" xfId="8380" xr:uid="{00000000-0005-0000-0000-00008E200000}"/>
    <cellStyle name="Normal 2 2 10 20 4 2" xfId="8381" xr:uid="{00000000-0005-0000-0000-00008F200000}"/>
    <cellStyle name="Normal 2 2 10 20 4 3" xfId="8382" xr:uid="{00000000-0005-0000-0000-000090200000}"/>
    <cellStyle name="Normal 2 2 10 20 4 4" xfId="8383" xr:uid="{00000000-0005-0000-0000-000091200000}"/>
    <cellStyle name="Normal 2 2 10 20 4 5" xfId="8384" xr:uid="{00000000-0005-0000-0000-000092200000}"/>
    <cellStyle name="Normal 2 2 10 20 4 6" xfId="8385" xr:uid="{00000000-0005-0000-0000-000093200000}"/>
    <cellStyle name="Normal 2 2 10 20 4 7" xfId="8386" xr:uid="{00000000-0005-0000-0000-000094200000}"/>
    <cellStyle name="Normal 2 2 10 20 4 8" xfId="8387" xr:uid="{00000000-0005-0000-0000-000095200000}"/>
    <cellStyle name="Normal 2 2 10 20 4 9" xfId="8388" xr:uid="{00000000-0005-0000-0000-000096200000}"/>
    <cellStyle name="Normal 2 2 10 20 5" xfId="8389" xr:uid="{00000000-0005-0000-0000-000097200000}"/>
    <cellStyle name="Normal 2 2 10 20 5 10" xfId="8390" xr:uid="{00000000-0005-0000-0000-000098200000}"/>
    <cellStyle name="Normal 2 2 10 20 5 2" xfId="8391" xr:uid="{00000000-0005-0000-0000-000099200000}"/>
    <cellStyle name="Normal 2 2 10 20 5 3" xfId="8392" xr:uid="{00000000-0005-0000-0000-00009A200000}"/>
    <cellStyle name="Normal 2 2 10 20 5 4" xfId="8393" xr:uid="{00000000-0005-0000-0000-00009B200000}"/>
    <cellStyle name="Normal 2 2 10 20 5 5" xfId="8394" xr:uid="{00000000-0005-0000-0000-00009C200000}"/>
    <cellStyle name="Normal 2 2 10 20 5 6" xfId="8395" xr:uid="{00000000-0005-0000-0000-00009D200000}"/>
    <cellStyle name="Normal 2 2 10 20 5 7" xfId="8396" xr:uid="{00000000-0005-0000-0000-00009E200000}"/>
    <cellStyle name="Normal 2 2 10 20 5 8" xfId="8397" xr:uid="{00000000-0005-0000-0000-00009F200000}"/>
    <cellStyle name="Normal 2 2 10 20 5 9" xfId="8398" xr:uid="{00000000-0005-0000-0000-0000A0200000}"/>
    <cellStyle name="Normal 2 2 10 20 6" xfId="8399" xr:uid="{00000000-0005-0000-0000-0000A1200000}"/>
    <cellStyle name="Normal 2 2 10 20 7" xfId="8400" xr:uid="{00000000-0005-0000-0000-0000A2200000}"/>
    <cellStyle name="Normal 2 2 10 20 8" xfId="8401" xr:uid="{00000000-0005-0000-0000-0000A3200000}"/>
    <cellStyle name="Normal 2 2 10 20 9" xfId="8402" xr:uid="{00000000-0005-0000-0000-0000A4200000}"/>
    <cellStyle name="Normal 2 2 10 21" xfId="8403" xr:uid="{00000000-0005-0000-0000-0000A5200000}"/>
    <cellStyle name="Normal 2 2 10 21 10" xfId="8404" xr:uid="{00000000-0005-0000-0000-0000A6200000}"/>
    <cellStyle name="Normal 2 2 10 21 11" xfId="8405" xr:uid="{00000000-0005-0000-0000-0000A7200000}"/>
    <cellStyle name="Normal 2 2 10 21 12" xfId="8406" xr:uid="{00000000-0005-0000-0000-0000A8200000}"/>
    <cellStyle name="Normal 2 2 10 21 13" xfId="8407" xr:uid="{00000000-0005-0000-0000-0000A9200000}"/>
    <cellStyle name="Normal 2 2 10 21 14" xfId="8408" xr:uid="{00000000-0005-0000-0000-0000AA200000}"/>
    <cellStyle name="Normal 2 2 10 21 2" xfId="8409" xr:uid="{00000000-0005-0000-0000-0000AB200000}"/>
    <cellStyle name="Normal 2 2 10 21 2 10" xfId="8410" xr:uid="{00000000-0005-0000-0000-0000AC200000}"/>
    <cellStyle name="Normal 2 2 10 21 2 2" xfId="8411" xr:uid="{00000000-0005-0000-0000-0000AD200000}"/>
    <cellStyle name="Normal 2 2 10 21 2 3" xfId="8412" xr:uid="{00000000-0005-0000-0000-0000AE200000}"/>
    <cellStyle name="Normal 2 2 10 21 2 4" xfId="8413" xr:uid="{00000000-0005-0000-0000-0000AF200000}"/>
    <cellStyle name="Normal 2 2 10 21 2 5" xfId="8414" xr:uid="{00000000-0005-0000-0000-0000B0200000}"/>
    <cellStyle name="Normal 2 2 10 21 2 6" xfId="8415" xr:uid="{00000000-0005-0000-0000-0000B1200000}"/>
    <cellStyle name="Normal 2 2 10 21 2 7" xfId="8416" xr:uid="{00000000-0005-0000-0000-0000B2200000}"/>
    <cellStyle name="Normal 2 2 10 21 2 8" xfId="8417" xr:uid="{00000000-0005-0000-0000-0000B3200000}"/>
    <cellStyle name="Normal 2 2 10 21 2 9" xfId="8418" xr:uid="{00000000-0005-0000-0000-0000B4200000}"/>
    <cellStyle name="Normal 2 2 10 21 3" xfId="8419" xr:uid="{00000000-0005-0000-0000-0000B5200000}"/>
    <cellStyle name="Normal 2 2 10 21 3 10" xfId="8420" xr:uid="{00000000-0005-0000-0000-0000B6200000}"/>
    <cellStyle name="Normal 2 2 10 21 3 2" xfId="8421" xr:uid="{00000000-0005-0000-0000-0000B7200000}"/>
    <cellStyle name="Normal 2 2 10 21 3 3" xfId="8422" xr:uid="{00000000-0005-0000-0000-0000B8200000}"/>
    <cellStyle name="Normal 2 2 10 21 3 4" xfId="8423" xr:uid="{00000000-0005-0000-0000-0000B9200000}"/>
    <cellStyle name="Normal 2 2 10 21 3 5" xfId="8424" xr:uid="{00000000-0005-0000-0000-0000BA200000}"/>
    <cellStyle name="Normal 2 2 10 21 3 6" xfId="8425" xr:uid="{00000000-0005-0000-0000-0000BB200000}"/>
    <cellStyle name="Normal 2 2 10 21 3 7" xfId="8426" xr:uid="{00000000-0005-0000-0000-0000BC200000}"/>
    <cellStyle name="Normal 2 2 10 21 3 8" xfId="8427" xr:uid="{00000000-0005-0000-0000-0000BD200000}"/>
    <cellStyle name="Normal 2 2 10 21 3 9" xfId="8428" xr:uid="{00000000-0005-0000-0000-0000BE200000}"/>
    <cellStyle name="Normal 2 2 10 21 4" xfId="8429" xr:uid="{00000000-0005-0000-0000-0000BF200000}"/>
    <cellStyle name="Normal 2 2 10 21 4 10" xfId="8430" xr:uid="{00000000-0005-0000-0000-0000C0200000}"/>
    <cellStyle name="Normal 2 2 10 21 4 2" xfId="8431" xr:uid="{00000000-0005-0000-0000-0000C1200000}"/>
    <cellStyle name="Normal 2 2 10 21 4 3" xfId="8432" xr:uid="{00000000-0005-0000-0000-0000C2200000}"/>
    <cellStyle name="Normal 2 2 10 21 4 4" xfId="8433" xr:uid="{00000000-0005-0000-0000-0000C3200000}"/>
    <cellStyle name="Normal 2 2 10 21 4 5" xfId="8434" xr:uid="{00000000-0005-0000-0000-0000C4200000}"/>
    <cellStyle name="Normal 2 2 10 21 4 6" xfId="8435" xr:uid="{00000000-0005-0000-0000-0000C5200000}"/>
    <cellStyle name="Normal 2 2 10 21 4 7" xfId="8436" xr:uid="{00000000-0005-0000-0000-0000C6200000}"/>
    <cellStyle name="Normal 2 2 10 21 4 8" xfId="8437" xr:uid="{00000000-0005-0000-0000-0000C7200000}"/>
    <cellStyle name="Normal 2 2 10 21 4 9" xfId="8438" xr:uid="{00000000-0005-0000-0000-0000C8200000}"/>
    <cellStyle name="Normal 2 2 10 21 5" xfId="8439" xr:uid="{00000000-0005-0000-0000-0000C9200000}"/>
    <cellStyle name="Normal 2 2 10 21 5 10" xfId="8440" xr:uid="{00000000-0005-0000-0000-0000CA200000}"/>
    <cellStyle name="Normal 2 2 10 21 5 2" xfId="8441" xr:uid="{00000000-0005-0000-0000-0000CB200000}"/>
    <cellStyle name="Normal 2 2 10 21 5 3" xfId="8442" xr:uid="{00000000-0005-0000-0000-0000CC200000}"/>
    <cellStyle name="Normal 2 2 10 21 5 4" xfId="8443" xr:uid="{00000000-0005-0000-0000-0000CD200000}"/>
    <cellStyle name="Normal 2 2 10 21 5 5" xfId="8444" xr:uid="{00000000-0005-0000-0000-0000CE200000}"/>
    <cellStyle name="Normal 2 2 10 21 5 6" xfId="8445" xr:uid="{00000000-0005-0000-0000-0000CF200000}"/>
    <cellStyle name="Normal 2 2 10 21 5 7" xfId="8446" xr:uid="{00000000-0005-0000-0000-0000D0200000}"/>
    <cellStyle name="Normal 2 2 10 21 5 8" xfId="8447" xr:uid="{00000000-0005-0000-0000-0000D1200000}"/>
    <cellStyle name="Normal 2 2 10 21 5 9" xfId="8448" xr:uid="{00000000-0005-0000-0000-0000D2200000}"/>
    <cellStyle name="Normal 2 2 10 21 6" xfId="8449" xr:uid="{00000000-0005-0000-0000-0000D3200000}"/>
    <cellStyle name="Normal 2 2 10 21 7" xfId="8450" xr:uid="{00000000-0005-0000-0000-0000D4200000}"/>
    <cellStyle name="Normal 2 2 10 21 8" xfId="8451" xr:uid="{00000000-0005-0000-0000-0000D5200000}"/>
    <cellStyle name="Normal 2 2 10 21 9" xfId="8452" xr:uid="{00000000-0005-0000-0000-0000D6200000}"/>
    <cellStyle name="Normal 2 2 10 22" xfId="8453" xr:uid="{00000000-0005-0000-0000-0000D7200000}"/>
    <cellStyle name="Normal 2 2 10 22 10" xfId="8454" xr:uid="{00000000-0005-0000-0000-0000D8200000}"/>
    <cellStyle name="Normal 2 2 10 22 11" xfId="8455" xr:uid="{00000000-0005-0000-0000-0000D9200000}"/>
    <cellStyle name="Normal 2 2 10 22 12" xfId="8456" xr:uid="{00000000-0005-0000-0000-0000DA200000}"/>
    <cellStyle name="Normal 2 2 10 22 13" xfId="8457" xr:uid="{00000000-0005-0000-0000-0000DB200000}"/>
    <cellStyle name="Normal 2 2 10 22 14" xfId="8458" xr:uid="{00000000-0005-0000-0000-0000DC200000}"/>
    <cellStyle name="Normal 2 2 10 22 2" xfId="8459" xr:uid="{00000000-0005-0000-0000-0000DD200000}"/>
    <cellStyle name="Normal 2 2 10 22 2 10" xfId="8460" xr:uid="{00000000-0005-0000-0000-0000DE200000}"/>
    <cellStyle name="Normal 2 2 10 22 2 2" xfId="8461" xr:uid="{00000000-0005-0000-0000-0000DF200000}"/>
    <cellStyle name="Normal 2 2 10 22 2 3" xfId="8462" xr:uid="{00000000-0005-0000-0000-0000E0200000}"/>
    <cellStyle name="Normal 2 2 10 22 2 4" xfId="8463" xr:uid="{00000000-0005-0000-0000-0000E1200000}"/>
    <cellStyle name="Normal 2 2 10 22 2 5" xfId="8464" xr:uid="{00000000-0005-0000-0000-0000E2200000}"/>
    <cellStyle name="Normal 2 2 10 22 2 6" xfId="8465" xr:uid="{00000000-0005-0000-0000-0000E3200000}"/>
    <cellStyle name="Normal 2 2 10 22 2 7" xfId="8466" xr:uid="{00000000-0005-0000-0000-0000E4200000}"/>
    <cellStyle name="Normal 2 2 10 22 2 8" xfId="8467" xr:uid="{00000000-0005-0000-0000-0000E5200000}"/>
    <cellStyle name="Normal 2 2 10 22 2 9" xfId="8468" xr:uid="{00000000-0005-0000-0000-0000E6200000}"/>
    <cellStyle name="Normal 2 2 10 22 3" xfId="8469" xr:uid="{00000000-0005-0000-0000-0000E7200000}"/>
    <cellStyle name="Normal 2 2 10 22 3 10" xfId="8470" xr:uid="{00000000-0005-0000-0000-0000E8200000}"/>
    <cellStyle name="Normal 2 2 10 22 3 2" xfId="8471" xr:uid="{00000000-0005-0000-0000-0000E9200000}"/>
    <cellStyle name="Normal 2 2 10 22 3 3" xfId="8472" xr:uid="{00000000-0005-0000-0000-0000EA200000}"/>
    <cellStyle name="Normal 2 2 10 22 3 4" xfId="8473" xr:uid="{00000000-0005-0000-0000-0000EB200000}"/>
    <cellStyle name="Normal 2 2 10 22 3 5" xfId="8474" xr:uid="{00000000-0005-0000-0000-0000EC200000}"/>
    <cellStyle name="Normal 2 2 10 22 3 6" xfId="8475" xr:uid="{00000000-0005-0000-0000-0000ED200000}"/>
    <cellStyle name="Normal 2 2 10 22 3 7" xfId="8476" xr:uid="{00000000-0005-0000-0000-0000EE200000}"/>
    <cellStyle name="Normal 2 2 10 22 3 8" xfId="8477" xr:uid="{00000000-0005-0000-0000-0000EF200000}"/>
    <cellStyle name="Normal 2 2 10 22 3 9" xfId="8478" xr:uid="{00000000-0005-0000-0000-0000F0200000}"/>
    <cellStyle name="Normal 2 2 10 22 4" xfId="8479" xr:uid="{00000000-0005-0000-0000-0000F1200000}"/>
    <cellStyle name="Normal 2 2 10 22 4 10" xfId="8480" xr:uid="{00000000-0005-0000-0000-0000F2200000}"/>
    <cellStyle name="Normal 2 2 10 22 4 2" xfId="8481" xr:uid="{00000000-0005-0000-0000-0000F3200000}"/>
    <cellStyle name="Normal 2 2 10 22 4 3" xfId="8482" xr:uid="{00000000-0005-0000-0000-0000F4200000}"/>
    <cellStyle name="Normal 2 2 10 22 4 4" xfId="8483" xr:uid="{00000000-0005-0000-0000-0000F5200000}"/>
    <cellStyle name="Normal 2 2 10 22 4 5" xfId="8484" xr:uid="{00000000-0005-0000-0000-0000F6200000}"/>
    <cellStyle name="Normal 2 2 10 22 4 6" xfId="8485" xr:uid="{00000000-0005-0000-0000-0000F7200000}"/>
    <cellStyle name="Normal 2 2 10 22 4 7" xfId="8486" xr:uid="{00000000-0005-0000-0000-0000F8200000}"/>
    <cellStyle name="Normal 2 2 10 22 4 8" xfId="8487" xr:uid="{00000000-0005-0000-0000-0000F9200000}"/>
    <cellStyle name="Normal 2 2 10 22 4 9" xfId="8488" xr:uid="{00000000-0005-0000-0000-0000FA200000}"/>
    <cellStyle name="Normal 2 2 10 22 5" xfId="8489" xr:uid="{00000000-0005-0000-0000-0000FB200000}"/>
    <cellStyle name="Normal 2 2 10 22 5 10" xfId="8490" xr:uid="{00000000-0005-0000-0000-0000FC200000}"/>
    <cellStyle name="Normal 2 2 10 22 5 2" xfId="8491" xr:uid="{00000000-0005-0000-0000-0000FD200000}"/>
    <cellStyle name="Normal 2 2 10 22 5 3" xfId="8492" xr:uid="{00000000-0005-0000-0000-0000FE200000}"/>
    <cellStyle name="Normal 2 2 10 22 5 4" xfId="8493" xr:uid="{00000000-0005-0000-0000-0000FF200000}"/>
    <cellStyle name="Normal 2 2 10 22 5 5" xfId="8494" xr:uid="{00000000-0005-0000-0000-000000210000}"/>
    <cellStyle name="Normal 2 2 10 22 5 6" xfId="8495" xr:uid="{00000000-0005-0000-0000-000001210000}"/>
    <cellStyle name="Normal 2 2 10 22 5 7" xfId="8496" xr:uid="{00000000-0005-0000-0000-000002210000}"/>
    <cellStyle name="Normal 2 2 10 22 5 8" xfId="8497" xr:uid="{00000000-0005-0000-0000-000003210000}"/>
    <cellStyle name="Normal 2 2 10 22 5 9" xfId="8498" xr:uid="{00000000-0005-0000-0000-000004210000}"/>
    <cellStyle name="Normal 2 2 10 22 6" xfId="8499" xr:uid="{00000000-0005-0000-0000-000005210000}"/>
    <cellStyle name="Normal 2 2 10 22 7" xfId="8500" xr:uid="{00000000-0005-0000-0000-000006210000}"/>
    <cellStyle name="Normal 2 2 10 22 8" xfId="8501" xr:uid="{00000000-0005-0000-0000-000007210000}"/>
    <cellStyle name="Normal 2 2 10 22 9" xfId="8502" xr:uid="{00000000-0005-0000-0000-000008210000}"/>
    <cellStyle name="Normal 2 2 10 23" xfId="8503" xr:uid="{00000000-0005-0000-0000-000009210000}"/>
    <cellStyle name="Normal 2 2 10 23 10" xfId="8504" xr:uid="{00000000-0005-0000-0000-00000A210000}"/>
    <cellStyle name="Normal 2 2 10 23 11" xfId="8505" xr:uid="{00000000-0005-0000-0000-00000B210000}"/>
    <cellStyle name="Normal 2 2 10 23 12" xfId="8506" xr:uid="{00000000-0005-0000-0000-00000C210000}"/>
    <cellStyle name="Normal 2 2 10 23 13" xfId="8507" xr:uid="{00000000-0005-0000-0000-00000D210000}"/>
    <cellStyle name="Normal 2 2 10 23 14" xfId="8508" xr:uid="{00000000-0005-0000-0000-00000E210000}"/>
    <cellStyle name="Normal 2 2 10 23 2" xfId="8509" xr:uid="{00000000-0005-0000-0000-00000F210000}"/>
    <cellStyle name="Normal 2 2 10 23 2 10" xfId="8510" xr:uid="{00000000-0005-0000-0000-000010210000}"/>
    <cellStyle name="Normal 2 2 10 23 2 2" xfId="8511" xr:uid="{00000000-0005-0000-0000-000011210000}"/>
    <cellStyle name="Normal 2 2 10 23 2 3" xfId="8512" xr:uid="{00000000-0005-0000-0000-000012210000}"/>
    <cellStyle name="Normal 2 2 10 23 2 4" xfId="8513" xr:uid="{00000000-0005-0000-0000-000013210000}"/>
    <cellStyle name="Normal 2 2 10 23 2 5" xfId="8514" xr:uid="{00000000-0005-0000-0000-000014210000}"/>
    <cellStyle name="Normal 2 2 10 23 2 6" xfId="8515" xr:uid="{00000000-0005-0000-0000-000015210000}"/>
    <cellStyle name="Normal 2 2 10 23 2 7" xfId="8516" xr:uid="{00000000-0005-0000-0000-000016210000}"/>
    <cellStyle name="Normal 2 2 10 23 2 8" xfId="8517" xr:uid="{00000000-0005-0000-0000-000017210000}"/>
    <cellStyle name="Normal 2 2 10 23 2 9" xfId="8518" xr:uid="{00000000-0005-0000-0000-000018210000}"/>
    <cellStyle name="Normal 2 2 10 23 3" xfId="8519" xr:uid="{00000000-0005-0000-0000-000019210000}"/>
    <cellStyle name="Normal 2 2 10 23 3 10" xfId="8520" xr:uid="{00000000-0005-0000-0000-00001A210000}"/>
    <cellStyle name="Normal 2 2 10 23 3 2" xfId="8521" xr:uid="{00000000-0005-0000-0000-00001B210000}"/>
    <cellStyle name="Normal 2 2 10 23 3 3" xfId="8522" xr:uid="{00000000-0005-0000-0000-00001C210000}"/>
    <cellStyle name="Normal 2 2 10 23 3 4" xfId="8523" xr:uid="{00000000-0005-0000-0000-00001D210000}"/>
    <cellStyle name="Normal 2 2 10 23 3 5" xfId="8524" xr:uid="{00000000-0005-0000-0000-00001E210000}"/>
    <cellStyle name="Normal 2 2 10 23 3 6" xfId="8525" xr:uid="{00000000-0005-0000-0000-00001F210000}"/>
    <cellStyle name="Normal 2 2 10 23 3 7" xfId="8526" xr:uid="{00000000-0005-0000-0000-000020210000}"/>
    <cellStyle name="Normal 2 2 10 23 3 8" xfId="8527" xr:uid="{00000000-0005-0000-0000-000021210000}"/>
    <cellStyle name="Normal 2 2 10 23 3 9" xfId="8528" xr:uid="{00000000-0005-0000-0000-000022210000}"/>
    <cellStyle name="Normal 2 2 10 23 4" xfId="8529" xr:uid="{00000000-0005-0000-0000-000023210000}"/>
    <cellStyle name="Normal 2 2 10 23 4 10" xfId="8530" xr:uid="{00000000-0005-0000-0000-000024210000}"/>
    <cellStyle name="Normal 2 2 10 23 4 2" xfId="8531" xr:uid="{00000000-0005-0000-0000-000025210000}"/>
    <cellStyle name="Normal 2 2 10 23 4 3" xfId="8532" xr:uid="{00000000-0005-0000-0000-000026210000}"/>
    <cellStyle name="Normal 2 2 10 23 4 4" xfId="8533" xr:uid="{00000000-0005-0000-0000-000027210000}"/>
    <cellStyle name="Normal 2 2 10 23 4 5" xfId="8534" xr:uid="{00000000-0005-0000-0000-000028210000}"/>
    <cellStyle name="Normal 2 2 10 23 4 6" xfId="8535" xr:uid="{00000000-0005-0000-0000-000029210000}"/>
    <cellStyle name="Normal 2 2 10 23 4 7" xfId="8536" xr:uid="{00000000-0005-0000-0000-00002A210000}"/>
    <cellStyle name="Normal 2 2 10 23 4 8" xfId="8537" xr:uid="{00000000-0005-0000-0000-00002B210000}"/>
    <cellStyle name="Normal 2 2 10 23 4 9" xfId="8538" xr:uid="{00000000-0005-0000-0000-00002C210000}"/>
    <cellStyle name="Normal 2 2 10 23 5" xfId="8539" xr:uid="{00000000-0005-0000-0000-00002D210000}"/>
    <cellStyle name="Normal 2 2 10 23 5 10" xfId="8540" xr:uid="{00000000-0005-0000-0000-00002E210000}"/>
    <cellStyle name="Normal 2 2 10 23 5 2" xfId="8541" xr:uid="{00000000-0005-0000-0000-00002F210000}"/>
    <cellStyle name="Normal 2 2 10 23 5 3" xfId="8542" xr:uid="{00000000-0005-0000-0000-000030210000}"/>
    <cellStyle name="Normal 2 2 10 23 5 4" xfId="8543" xr:uid="{00000000-0005-0000-0000-000031210000}"/>
    <cellStyle name="Normal 2 2 10 23 5 5" xfId="8544" xr:uid="{00000000-0005-0000-0000-000032210000}"/>
    <cellStyle name="Normal 2 2 10 23 5 6" xfId="8545" xr:uid="{00000000-0005-0000-0000-000033210000}"/>
    <cellStyle name="Normal 2 2 10 23 5 7" xfId="8546" xr:uid="{00000000-0005-0000-0000-000034210000}"/>
    <cellStyle name="Normal 2 2 10 23 5 8" xfId="8547" xr:uid="{00000000-0005-0000-0000-000035210000}"/>
    <cellStyle name="Normal 2 2 10 23 5 9" xfId="8548" xr:uid="{00000000-0005-0000-0000-000036210000}"/>
    <cellStyle name="Normal 2 2 10 23 6" xfId="8549" xr:uid="{00000000-0005-0000-0000-000037210000}"/>
    <cellStyle name="Normal 2 2 10 23 7" xfId="8550" xr:uid="{00000000-0005-0000-0000-000038210000}"/>
    <cellStyle name="Normal 2 2 10 23 8" xfId="8551" xr:uid="{00000000-0005-0000-0000-000039210000}"/>
    <cellStyle name="Normal 2 2 10 23 9" xfId="8552" xr:uid="{00000000-0005-0000-0000-00003A210000}"/>
    <cellStyle name="Normal 2 2 10 24" xfId="8553" xr:uid="{00000000-0005-0000-0000-00003B210000}"/>
    <cellStyle name="Normal 2 2 10 24 10" xfId="8554" xr:uid="{00000000-0005-0000-0000-00003C210000}"/>
    <cellStyle name="Normal 2 2 10 24 11" xfId="8555" xr:uid="{00000000-0005-0000-0000-00003D210000}"/>
    <cellStyle name="Normal 2 2 10 24 12" xfId="8556" xr:uid="{00000000-0005-0000-0000-00003E210000}"/>
    <cellStyle name="Normal 2 2 10 24 13" xfId="8557" xr:uid="{00000000-0005-0000-0000-00003F210000}"/>
    <cellStyle name="Normal 2 2 10 24 14" xfId="8558" xr:uid="{00000000-0005-0000-0000-000040210000}"/>
    <cellStyle name="Normal 2 2 10 24 2" xfId="8559" xr:uid="{00000000-0005-0000-0000-000041210000}"/>
    <cellStyle name="Normal 2 2 10 24 2 10" xfId="8560" xr:uid="{00000000-0005-0000-0000-000042210000}"/>
    <cellStyle name="Normal 2 2 10 24 2 2" xfId="8561" xr:uid="{00000000-0005-0000-0000-000043210000}"/>
    <cellStyle name="Normal 2 2 10 24 2 3" xfId="8562" xr:uid="{00000000-0005-0000-0000-000044210000}"/>
    <cellStyle name="Normal 2 2 10 24 2 4" xfId="8563" xr:uid="{00000000-0005-0000-0000-000045210000}"/>
    <cellStyle name="Normal 2 2 10 24 2 5" xfId="8564" xr:uid="{00000000-0005-0000-0000-000046210000}"/>
    <cellStyle name="Normal 2 2 10 24 2 6" xfId="8565" xr:uid="{00000000-0005-0000-0000-000047210000}"/>
    <cellStyle name="Normal 2 2 10 24 2 7" xfId="8566" xr:uid="{00000000-0005-0000-0000-000048210000}"/>
    <cellStyle name="Normal 2 2 10 24 2 8" xfId="8567" xr:uid="{00000000-0005-0000-0000-000049210000}"/>
    <cellStyle name="Normal 2 2 10 24 2 9" xfId="8568" xr:uid="{00000000-0005-0000-0000-00004A210000}"/>
    <cellStyle name="Normal 2 2 10 24 3" xfId="8569" xr:uid="{00000000-0005-0000-0000-00004B210000}"/>
    <cellStyle name="Normal 2 2 10 24 3 10" xfId="8570" xr:uid="{00000000-0005-0000-0000-00004C210000}"/>
    <cellStyle name="Normal 2 2 10 24 3 2" xfId="8571" xr:uid="{00000000-0005-0000-0000-00004D210000}"/>
    <cellStyle name="Normal 2 2 10 24 3 3" xfId="8572" xr:uid="{00000000-0005-0000-0000-00004E210000}"/>
    <cellStyle name="Normal 2 2 10 24 3 4" xfId="8573" xr:uid="{00000000-0005-0000-0000-00004F210000}"/>
    <cellStyle name="Normal 2 2 10 24 3 5" xfId="8574" xr:uid="{00000000-0005-0000-0000-000050210000}"/>
    <cellStyle name="Normal 2 2 10 24 3 6" xfId="8575" xr:uid="{00000000-0005-0000-0000-000051210000}"/>
    <cellStyle name="Normal 2 2 10 24 3 7" xfId="8576" xr:uid="{00000000-0005-0000-0000-000052210000}"/>
    <cellStyle name="Normal 2 2 10 24 3 8" xfId="8577" xr:uid="{00000000-0005-0000-0000-000053210000}"/>
    <cellStyle name="Normal 2 2 10 24 3 9" xfId="8578" xr:uid="{00000000-0005-0000-0000-000054210000}"/>
    <cellStyle name="Normal 2 2 10 24 4" xfId="8579" xr:uid="{00000000-0005-0000-0000-000055210000}"/>
    <cellStyle name="Normal 2 2 10 24 4 10" xfId="8580" xr:uid="{00000000-0005-0000-0000-000056210000}"/>
    <cellStyle name="Normal 2 2 10 24 4 2" xfId="8581" xr:uid="{00000000-0005-0000-0000-000057210000}"/>
    <cellStyle name="Normal 2 2 10 24 4 3" xfId="8582" xr:uid="{00000000-0005-0000-0000-000058210000}"/>
    <cellStyle name="Normal 2 2 10 24 4 4" xfId="8583" xr:uid="{00000000-0005-0000-0000-000059210000}"/>
    <cellStyle name="Normal 2 2 10 24 4 5" xfId="8584" xr:uid="{00000000-0005-0000-0000-00005A210000}"/>
    <cellStyle name="Normal 2 2 10 24 4 6" xfId="8585" xr:uid="{00000000-0005-0000-0000-00005B210000}"/>
    <cellStyle name="Normal 2 2 10 24 4 7" xfId="8586" xr:uid="{00000000-0005-0000-0000-00005C210000}"/>
    <cellStyle name="Normal 2 2 10 24 4 8" xfId="8587" xr:uid="{00000000-0005-0000-0000-00005D210000}"/>
    <cellStyle name="Normal 2 2 10 24 4 9" xfId="8588" xr:uid="{00000000-0005-0000-0000-00005E210000}"/>
    <cellStyle name="Normal 2 2 10 24 5" xfId="8589" xr:uid="{00000000-0005-0000-0000-00005F210000}"/>
    <cellStyle name="Normal 2 2 10 24 5 10" xfId="8590" xr:uid="{00000000-0005-0000-0000-000060210000}"/>
    <cellStyle name="Normal 2 2 10 24 5 2" xfId="8591" xr:uid="{00000000-0005-0000-0000-000061210000}"/>
    <cellStyle name="Normal 2 2 10 24 5 3" xfId="8592" xr:uid="{00000000-0005-0000-0000-000062210000}"/>
    <cellStyle name="Normal 2 2 10 24 5 4" xfId="8593" xr:uid="{00000000-0005-0000-0000-000063210000}"/>
    <cellStyle name="Normal 2 2 10 24 5 5" xfId="8594" xr:uid="{00000000-0005-0000-0000-000064210000}"/>
    <cellStyle name="Normal 2 2 10 24 5 6" xfId="8595" xr:uid="{00000000-0005-0000-0000-000065210000}"/>
    <cellStyle name="Normal 2 2 10 24 5 7" xfId="8596" xr:uid="{00000000-0005-0000-0000-000066210000}"/>
    <cellStyle name="Normal 2 2 10 24 5 8" xfId="8597" xr:uid="{00000000-0005-0000-0000-000067210000}"/>
    <cellStyle name="Normal 2 2 10 24 5 9" xfId="8598" xr:uid="{00000000-0005-0000-0000-000068210000}"/>
    <cellStyle name="Normal 2 2 10 24 6" xfId="8599" xr:uid="{00000000-0005-0000-0000-000069210000}"/>
    <cellStyle name="Normal 2 2 10 24 7" xfId="8600" xr:uid="{00000000-0005-0000-0000-00006A210000}"/>
    <cellStyle name="Normal 2 2 10 24 8" xfId="8601" xr:uid="{00000000-0005-0000-0000-00006B210000}"/>
    <cellStyle name="Normal 2 2 10 24 9" xfId="8602" xr:uid="{00000000-0005-0000-0000-00006C210000}"/>
    <cellStyle name="Normal 2 2 10 25" xfId="8603" xr:uid="{00000000-0005-0000-0000-00006D210000}"/>
    <cellStyle name="Normal 2 2 10 25 10" xfId="8604" xr:uid="{00000000-0005-0000-0000-00006E210000}"/>
    <cellStyle name="Normal 2 2 10 25 11" xfId="8605" xr:uid="{00000000-0005-0000-0000-00006F210000}"/>
    <cellStyle name="Normal 2 2 10 25 12" xfId="8606" xr:uid="{00000000-0005-0000-0000-000070210000}"/>
    <cellStyle name="Normal 2 2 10 25 13" xfId="8607" xr:uid="{00000000-0005-0000-0000-000071210000}"/>
    <cellStyle name="Normal 2 2 10 25 14" xfId="8608" xr:uid="{00000000-0005-0000-0000-000072210000}"/>
    <cellStyle name="Normal 2 2 10 25 2" xfId="8609" xr:uid="{00000000-0005-0000-0000-000073210000}"/>
    <cellStyle name="Normal 2 2 10 25 2 10" xfId="8610" xr:uid="{00000000-0005-0000-0000-000074210000}"/>
    <cellStyle name="Normal 2 2 10 25 2 2" xfId="8611" xr:uid="{00000000-0005-0000-0000-000075210000}"/>
    <cellStyle name="Normal 2 2 10 25 2 3" xfId="8612" xr:uid="{00000000-0005-0000-0000-000076210000}"/>
    <cellStyle name="Normal 2 2 10 25 2 4" xfId="8613" xr:uid="{00000000-0005-0000-0000-000077210000}"/>
    <cellStyle name="Normal 2 2 10 25 2 5" xfId="8614" xr:uid="{00000000-0005-0000-0000-000078210000}"/>
    <cellStyle name="Normal 2 2 10 25 2 6" xfId="8615" xr:uid="{00000000-0005-0000-0000-000079210000}"/>
    <cellStyle name="Normal 2 2 10 25 2 7" xfId="8616" xr:uid="{00000000-0005-0000-0000-00007A210000}"/>
    <cellStyle name="Normal 2 2 10 25 2 8" xfId="8617" xr:uid="{00000000-0005-0000-0000-00007B210000}"/>
    <cellStyle name="Normal 2 2 10 25 2 9" xfId="8618" xr:uid="{00000000-0005-0000-0000-00007C210000}"/>
    <cellStyle name="Normal 2 2 10 25 3" xfId="8619" xr:uid="{00000000-0005-0000-0000-00007D210000}"/>
    <cellStyle name="Normal 2 2 10 25 3 10" xfId="8620" xr:uid="{00000000-0005-0000-0000-00007E210000}"/>
    <cellStyle name="Normal 2 2 10 25 3 2" xfId="8621" xr:uid="{00000000-0005-0000-0000-00007F210000}"/>
    <cellStyle name="Normal 2 2 10 25 3 3" xfId="8622" xr:uid="{00000000-0005-0000-0000-000080210000}"/>
    <cellStyle name="Normal 2 2 10 25 3 4" xfId="8623" xr:uid="{00000000-0005-0000-0000-000081210000}"/>
    <cellStyle name="Normal 2 2 10 25 3 5" xfId="8624" xr:uid="{00000000-0005-0000-0000-000082210000}"/>
    <cellStyle name="Normal 2 2 10 25 3 6" xfId="8625" xr:uid="{00000000-0005-0000-0000-000083210000}"/>
    <cellStyle name="Normal 2 2 10 25 3 7" xfId="8626" xr:uid="{00000000-0005-0000-0000-000084210000}"/>
    <cellStyle name="Normal 2 2 10 25 3 8" xfId="8627" xr:uid="{00000000-0005-0000-0000-000085210000}"/>
    <cellStyle name="Normal 2 2 10 25 3 9" xfId="8628" xr:uid="{00000000-0005-0000-0000-000086210000}"/>
    <cellStyle name="Normal 2 2 10 25 4" xfId="8629" xr:uid="{00000000-0005-0000-0000-000087210000}"/>
    <cellStyle name="Normal 2 2 10 25 4 10" xfId="8630" xr:uid="{00000000-0005-0000-0000-000088210000}"/>
    <cellStyle name="Normal 2 2 10 25 4 2" xfId="8631" xr:uid="{00000000-0005-0000-0000-000089210000}"/>
    <cellStyle name="Normal 2 2 10 25 4 3" xfId="8632" xr:uid="{00000000-0005-0000-0000-00008A210000}"/>
    <cellStyle name="Normal 2 2 10 25 4 4" xfId="8633" xr:uid="{00000000-0005-0000-0000-00008B210000}"/>
    <cellStyle name="Normal 2 2 10 25 4 5" xfId="8634" xr:uid="{00000000-0005-0000-0000-00008C210000}"/>
    <cellStyle name="Normal 2 2 10 25 4 6" xfId="8635" xr:uid="{00000000-0005-0000-0000-00008D210000}"/>
    <cellStyle name="Normal 2 2 10 25 4 7" xfId="8636" xr:uid="{00000000-0005-0000-0000-00008E210000}"/>
    <cellStyle name="Normal 2 2 10 25 4 8" xfId="8637" xr:uid="{00000000-0005-0000-0000-00008F210000}"/>
    <cellStyle name="Normal 2 2 10 25 4 9" xfId="8638" xr:uid="{00000000-0005-0000-0000-000090210000}"/>
    <cellStyle name="Normal 2 2 10 25 5" xfId="8639" xr:uid="{00000000-0005-0000-0000-000091210000}"/>
    <cellStyle name="Normal 2 2 10 25 5 10" xfId="8640" xr:uid="{00000000-0005-0000-0000-000092210000}"/>
    <cellStyle name="Normal 2 2 10 25 5 2" xfId="8641" xr:uid="{00000000-0005-0000-0000-000093210000}"/>
    <cellStyle name="Normal 2 2 10 25 5 3" xfId="8642" xr:uid="{00000000-0005-0000-0000-000094210000}"/>
    <cellStyle name="Normal 2 2 10 25 5 4" xfId="8643" xr:uid="{00000000-0005-0000-0000-000095210000}"/>
    <cellStyle name="Normal 2 2 10 25 5 5" xfId="8644" xr:uid="{00000000-0005-0000-0000-000096210000}"/>
    <cellStyle name="Normal 2 2 10 25 5 6" xfId="8645" xr:uid="{00000000-0005-0000-0000-000097210000}"/>
    <cellStyle name="Normal 2 2 10 25 5 7" xfId="8646" xr:uid="{00000000-0005-0000-0000-000098210000}"/>
    <cellStyle name="Normal 2 2 10 25 5 8" xfId="8647" xr:uid="{00000000-0005-0000-0000-000099210000}"/>
    <cellStyle name="Normal 2 2 10 25 5 9" xfId="8648" xr:uid="{00000000-0005-0000-0000-00009A210000}"/>
    <cellStyle name="Normal 2 2 10 25 6" xfId="8649" xr:uid="{00000000-0005-0000-0000-00009B210000}"/>
    <cellStyle name="Normal 2 2 10 25 7" xfId="8650" xr:uid="{00000000-0005-0000-0000-00009C210000}"/>
    <cellStyle name="Normal 2 2 10 25 8" xfId="8651" xr:uid="{00000000-0005-0000-0000-00009D210000}"/>
    <cellStyle name="Normal 2 2 10 25 9" xfId="8652" xr:uid="{00000000-0005-0000-0000-00009E210000}"/>
    <cellStyle name="Normal 2 2 10 26" xfId="8653" xr:uid="{00000000-0005-0000-0000-00009F210000}"/>
    <cellStyle name="Normal 2 2 10 26 10" xfId="8654" xr:uid="{00000000-0005-0000-0000-0000A0210000}"/>
    <cellStyle name="Normal 2 2 10 26 11" xfId="8655" xr:uid="{00000000-0005-0000-0000-0000A1210000}"/>
    <cellStyle name="Normal 2 2 10 26 12" xfId="8656" xr:uid="{00000000-0005-0000-0000-0000A2210000}"/>
    <cellStyle name="Normal 2 2 10 26 13" xfId="8657" xr:uid="{00000000-0005-0000-0000-0000A3210000}"/>
    <cellStyle name="Normal 2 2 10 26 14" xfId="8658" xr:uid="{00000000-0005-0000-0000-0000A4210000}"/>
    <cellStyle name="Normal 2 2 10 26 2" xfId="8659" xr:uid="{00000000-0005-0000-0000-0000A5210000}"/>
    <cellStyle name="Normal 2 2 10 26 2 10" xfId="8660" xr:uid="{00000000-0005-0000-0000-0000A6210000}"/>
    <cellStyle name="Normal 2 2 10 26 2 2" xfId="8661" xr:uid="{00000000-0005-0000-0000-0000A7210000}"/>
    <cellStyle name="Normal 2 2 10 26 2 3" xfId="8662" xr:uid="{00000000-0005-0000-0000-0000A8210000}"/>
    <cellStyle name="Normal 2 2 10 26 2 4" xfId="8663" xr:uid="{00000000-0005-0000-0000-0000A9210000}"/>
    <cellStyle name="Normal 2 2 10 26 2 5" xfId="8664" xr:uid="{00000000-0005-0000-0000-0000AA210000}"/>
    <cellStyle name="Normal 2 2 10 26 2 6" xfId="8665" xr:uid="{00000000-0005-0000-0000-0000AB210000}"/>
    <cellStyle name="Normal 2 2 10 26 2 7" xfId="8666" xr:uid="{00000000-0005-0000-0000-0000AC210000}"/>
    <cellStyle name="Normal 2 2 10 26 2 8" xfId="8667" xr:uid="{00000000-0005-0000-0000-0000AD210000}"/>
    <cellStyle name="Normal 2 2 10 26 2 9" xfId="8668" xr:uid="{00000000-0005-0000-0000-0000AE210000}"/>
    <cellStyle name="Normal 2 2 10 26 3" xfId="8669" xr:uid="{00000000-0005-0000-0000-0000AF210000}"/>
    <cellStyle name="Normal 2 2 10 26 3 10" xfId="8670" xr:uid="{00000000-0005-0000-0000-0000B0210000}"/>
    <cellStyle name="Normal 2 2 10 26 3 2" xfId="8671" xr:uid="{00000000-0005-0000-0000-0000B1210000}"/>
    <cellStyle name="Normal 2 2 10 26 3 3" xfId="8672" xr:uid="{00000000-0005-0000-0000-0000B2210000}"/>
    <cellStyle name="Normal 2 2 10 26 3 4" xfId="8673" xr:uid="{00000000-0005-0000-0000-0000B3210000}"/>
    <cellStyle name="Normal 2 2 10 26 3 5" xfId="8674" xr:uid="{00000000-0005-0000-0000-0000B4210000}"/>
    <cellStyle name="Normal 2 2 10 26 3 6" xfId="8675" xr:uid="{00000000-0005-0000-0000-0000B5210000}"/>
    <cellStyle name="Normal 2 2 10 26 3 7" xfId="8676" xr:uid="{00000000-0005-0000-0000-0000B6210000}"/>
    <cellStyle name="Normal 2 2 10 26 3 8" xfId="8677" xr:uid="{00000000-0005-0000-0000-0000B7210000}"/>
    <cellStyle name="Normal 2 2 10 26 3 9" xfId="8678" xr:uid="{00000000-0005-0000-0000-0000B8210000}"/>
    <cellStyle name="Normal 2 2 10 26 4" xfId="8679" xr:uid="{00000000-0005-0000-0000-0000B9210000}"/>
    <cellStyle name="Normal 2 2 10 26 4 10" xfId="8680" xr:uid="{00000000-0005-0000-0000-0000BA210000}"/>
    <cellStyle name="Normal 2 2 10 26 4 2" xfId="8681" xr:uid="{00000000-0005-0000-0000-0000BB210000}"/>
    <cellStyle name="Normal 2 2 10 26 4 3" xfId="8682" xr:uid="{00000000-0005-0000-0000-0000BC210000}"/>
    <cellStyle name="Normal 2 2 10 26 4 4" xfId="8683" xr:uid="{00000000-0005-0000-0000-0000BD210000}"/>
    <cellStyle name="Normal 2 2 10 26 4 5" xfId="8684" xr:uid="{00000000-0005-0000-0000-0000BE210000}"/>
    <cellStyle name="Normal 2 2 10 26 4 6" xfId="8685" xr:uid="{00000000-0005-0000-0000-0000BF210000}"/>
    <cellStyle name="Normal 2 2 10 26 4 7" xfId="8686" xr:uid="{00000000-0005-0000-0000-0000C0210000}"/>
    <cellStyle name="Normal 2 2 10 26 4 8" xfId="8687" xr:uid="{00000000-0005-0000-0000-0000C1210000}"/>
    <cellStyle name="Normal 2 2 10 26 4 9" xfId="8688" xr:uid="{00000000-0005-0000-0000-0000C2210000}"/>
    <cellStyle name="Normal 2 2 10 26 5" xfId="8689" xr:uid="{00000000-0005-0000-0000-0000C3210000}"/>
    <cellStyle name="Normal 2 2 10 26 5 10" xfId="8690" xr:uid="{00000000-0005-0000-0000-0000C4210000}"/>
    <cellStyle name="Normal 2 2 10 26 5 2" xfId="8691" xr:uid="{00000000-0005-0000-0000-0000C5210000}"/>
    <cellStyle name="Normal 2 2 10 26 5 3" xfId="8692" xr:uid="{00000000-0005-0000-0000-0000C6210000}"/>
    <cellStyle name="Normal 2 2 10 26 5 4" xfId="8693" xr:uid="{00000000-0005-0000-0000-0000C7210000}"/>
    <cellStyle name="Normal 2 2 10 26 5 5" xfId="8694" xr:uid="{00000000-0005-0000-0000-0000C8210000}"/>
    <cellStyle name="Normal 2 2 10 26 5 6" xfId="8695" xr:uid="{00000000-0005-0000-0000-0000C9210000}"/>
    <cellStyle name="Normal 2 2 10 26 5 7" xfId="8696" xr:uid="{00000000-0005-0000-0000-0000CA210000}"/>
    <cellStyle name="Normal 2 2 10 26 5 8" xfId="8697" xr:uid="{00000000-0005-0000-0000-0000CB210000}"/>
    <cellStyle name="Normal 2 2 10 26 5 9" xfId="8698" xr:uid="{00000000-0005-0000-0000-0000CC210000}"/>
    <cellStyle name="Normal 2 2 10 26 6" xfId="8699" xr:uid="{00000000-0005-0000-0000-0000CD210000}"/>
    <cellStyle name="Normal 2 2 10 26 7" xfId="8700" xr:uid="{00000000-0005-0000-0000-0000CE210000}"/>
    <cellStyle name="Normal 2 2 10 26 8" xfId="8701" xr:uid="{00000000-0005-0000-0000-0000CF210000}"/>
    <cellStyle name="Normal 2 2 10 26 9" xfId="8702" xr:uid="{00000000-0005-0000-0000-0000D0210000}"/>
    <cellStyle name="Normal 2 2 10 27" xfId="8703" xr:uid="{00000000-0005-0000-0000-0000D1210000}"/>
    <cellStyle name="Normal 2 2 10 27 10" xfId="8704" xr:uid="{00000000-0005-0000-0000-0000D2210000}"/>
    <cellStyle name="Normal 2 2 10 27 11" xfId="8705" xr:uid="{00000000-0005-0000-0000-0000D3210000}"/>
    <cellStyle name="Normal 2 2 10 27 12" xfId="8706" xr:uid="{00000000-0005-0000-0000-0000D4210000}"/>
    <cellStyle name="Normal 2 2 10 27 13" xfId="8707" xr:uid="{00000000-0005-0000-0000-0000D5210000}"/>
    <cellStyle name="Normal 2 2 10 27 14" xfId="8708" xr:uid="{00000000-0005-0000-0000-0000D6210000}"/>
    <cellStyle name="Normal 2 2 10 27 2" xfId="8709" xr:uid="{00000000-0005-0000-0000-0000D7210000}"/>
    <cellStyle name="Normal 2 2 10 27 2 10" xfId="8710" xr:uid="{00000000-0005-0000-0000-0000D8210000}"/>
    <cellStyle name="Normal 2 2 10 27 2 2" xfId="8711" xr:uid="{00000000-0005-0000-0000-0000D9210000}"/>
    <cellStyle name="Normal 2 2 10 27 2 3" xfId="8712" xr:uid="{00000000-0005-0000-0000-0000DA210000}"/>
    <cellStyle name="Normal 2 2 10 27 2 4" xfId="8713" xr:uid="{00000000-0005-0000-0000-0000DB210000}"/>
    <cellStyle name="Normal 2 2 10 27 2 5" xfId="8714" xr:uid="{00000000-0005-0000-0000-0000DC210000}"/>
    <cellStyle name="Normal 2 2 10 27 2 6" xfId="8715" xr:uid="{00000000-0005-0000-0000-0000DD210000}"/>
    <cellStyle name="Normal 2 2 10 27 2 7" xfId="8716" xr:uid="{00000000-0005-0000-0000-0000DE210000}"/>
    <cellStyle name="Normal 2 2 10 27 2 8" xfId="8717" xr:uid="{00000000-0005-0000-0000-0000DF210000}"/>
    <cellStyle name="Normal 2 2 10 27 2 9" xfId="8718" xr:uid="{00000000-0005-0000-0000-0000E0210000}"/>
    <cellStyle name="Normal 2 2 10 27 3" xfId="8719" xr:uid="{00000000-0005-0000-0000-0000E1210000}"/>
    <cellStyle name="Normal 2 2 10 27 3 10" xfId="8720" xr:uid="{00000000-0005-0000-0000-0000E2210000}"/>
    <cellStyle name="Normal 2 2 10 27 3 2" xfId="8721" xr:uid="{00000000-0005-0000-0000-0000E3210000}"/>
    <cellStyle name="Normal 2 2 10 27 3 3" xfId="8722" xr:uid="{00000000-0005-0000-0000-0000E4210000}"/>
    <cellStyle name="Normal 2 2 10 27 3 4" xfId="8723" xr:uid="{00000000-0005-0000-0000-0000E5210000}"/>
    <cellStyle name="Normal 2 2 10 27 3 5" xfId="8724" xr:uid="{00000000-0005-0000-0000-0000E6210000}"/>
    <cellStyle name="Normal 2 2 10 27 3 6" xfId="8725" xr:uid="{00000000-0005-0000-0000-0000E7210000}"/>
    <cellStyle name="Normal 2 2 10 27 3 7" xfId="8726" xr:uid="{00000000-0005-0000-0000-0000E8210000}"/>
    <cellStyle name="Normal 2 2 10 27 3 8" xfId="8727" xr:uid="{00000000-0005-0000-0000-0000E9210000}"/>
    <cellStyle name="Normal 2 2 10 27 3 9" xfId="8728" xr:uid="{00000000-0005-0000-0000-0000EA210000}"/>
    <cellStyle name="Normal 2 2 10 27 4" xfId="8729" xr:uid="{00000000-0005-0000-0000-0000EB210000}"/>
    <cellStyle name="Normal 2 2 10 27 4 10" xfId="8730" xr:uid="{00000000-0005-0000-0000-0000EC210000}"/>
    <cellStyle name="Normal 2 2 10 27 4 2" xfId="8731" xr:uid="{00000000-0005-0000-0000-0000ED210000}"/>
    <cellStyle name="Normal 2 2 10 27 4 3" xfId="8732" xr:uid="{00000000-0005-0000-0000-0000EE210000}"/>
    <cellStyle name="Normal 2 2 10 27 4 4" xfId="8733" xr:uid="{00000000-0005-0000-0000-0000EF210000}"/>
    <cellStyle name="Normal 2 2 10 27 4 5" xfId="8734" xr:uid="{00000000-0005-0000-0000-0000F0210000}"/>
    <cellStyle name="Normal 2 2 10 27 4 6" xfId="8735" xr:uid="{00000000-0005-0000-0000-0000F1210000}"/>
    <cellStyle name="Normal 2 2 10 27 4 7" xfId="8736" xr:uid="{00000000-0005-0000-0000-0000F2210000}"/>
    <cellStyle name="Normal 2 2 10 27 4 8" xfId="8737" xr:uid="{00000000-0005-0000-0000-0000F3210000}"/>
    <cellStyle name="Normal 2 2 10 27 4 9" xfId="8738" xr:uid="{00000000-0005-0000-0000-0000F4210000}"/>
    <cellStyle name="Normal 2 2 10 27 5" xfId="8739" xr:uid="{00000000-0005-0000-0000-0000F5210000}"/>
    <cellStyle name="Normal 2 2 10 27 5 10" xfId="8740" xr:uid="{00000000-0005-0000-0000-0000F6210000}"/>
    <cellStyle name="Normal 2 2 10 27 5 2" xfId="8741" xr:uid="{00000000-0005-0000-0000-0000F7210000}"/>
    <cellStyle name="Normal 2 2 10 27 5 3" xfId="8742" xr:uid="{00000000-0005-0000-0000-0000F8210000}"/>
    <cellStyle name="Normal 2 2 10 27 5 4" xfId="8743" xr:uid="{00000000-0005-0000-0000-0000F9210000}"/>
    <cellStyle name="Normal 2 2 10 27 5 5" xfId="8744" xr:uid="{00000000-0005-0000-0000-0000FA210000}"/>
    <cellStyle name="Normal 2 2 10 27 5 6" xfId="8745" xr:uid="{00000000-0005-0000-0000-0000FB210000}"/>
    <cellStyle name="Normal 2 2 10 27 5 7" xfId="8746" xr:uid="{00000000-0005-0000-0000-0000FC210000}"/>
    <cellStyle name="Normal 2 2 10 27 5 8" xfId="8747" xr:uid="{00000000-0005-0000-0000-0000FD210000}"/>
    <cellStyle name="Normal 2 2 10 27 5 9" xfId="8748" xr:uid="{00000000-0005-0000-0000-0000FE210000}"/>
    <cellStyle name="Normal 2 2 10 27 6" xfId="8749" xr:uid="{00000000-0005-0000-0000-0000FF210000}"/>
    <cellStyle name="Normal 2 2 10 27 7" xfId="8750" xr:uid="{00000000-0005-0000-0000-000000220000}"/>
    <cellStyle name="Normal 2 2 10 27 8" xfId="8751" xr:uid="{00000000-0005-0000-0000-000001220000}"/>
    <cellStyle name="Normal 2 2 10 27 9" xfId="8752" xr:uid="{00000000-0005-0000-0000-000002220000}"/>
    <cellStyle name="Normal 2 2 10 28" xfId="8753" xr:uid="{00000000-0005-0000-0000-000003220000}"/>
    <cellStyle name="Normal 2 2 10 28 10" xfId="8754" xr:uid="{00000000-0005-0000-0000-000004220000}"/>
    <cellStyle name="Normal 2 2 10 28 11" xfId="8755" xr:uid="{00000000-0005-0000-0000-000005220000}"/>
    <cellStyle name="Normal 2 2 10 28 12" xfId="8756" xr:uid="{00000000-0005-0000-0000-000006220000}"/>
    <cellStyle name="Normal 2 2 10 28 13" xfId="8757" xr:uid="{00000000-0005-0000-0000-000007220000}"/>
    <cellStyle name="Normal 2 2 10 28 14" xfId="8758" xr:uid="{00000000-0005-0000-0000-000008220000}"/>
    <cellStyle name="Normal 2 2 10 28 2" xfId="8759" xr:uid="{00000000-0005-0000-0000-000009220000}"/>
    <cellStyle name="Normal 2 2 10 28 2 10" xfId="8760" xr:uid="{00000000-0005-0000-0000-00000A220000}"/>
    <cellStyle name="Normal 2 2 10 28 2 2" xfId="8761" xr:uid="{00000000-0005-0000-0000-00000B220000}"/>
    <cellStyle name="Normal 2 2 10 28 2 3" xfId="8762" xr:uid="{00000000-0005-0000-0000-00000C220000}"/>
    <cellStyle name="Normal 2 2 10 28 2 4" xfId="8763" xr:uid="{00000000-0005-0000-0000-00000D220000}"/>
    <cellStyle name="Normal 2 2 10 28 2 5" xfId="8764" xr:uid="{00000000-0005-0000-0000-00000E220000}"/>
    <cellStyle name="Normal 2 2 10 28 2 6" xfId="8765" xr:uid="{00000000-0005-0000-0000-00000F220000}"/>
    <cellStyle name="Normal 2 2 10 28 2 7" xfId="8766" xr:uid="{00000000-0005-0000-0000-000010220000}"/>
    <cellStyle name="Normal 2 2 10 28 2 8" xfId="8767" xr:uid="{00000000-0005-0000-0000-000011220000}"/>
    <cellStyle name="Normal 2 2 10 28 2 9" xfId="8768" xr:uid="{00000000-0005-0000-0000-000012220000}"/>
    <cellStyle name="Normal 2 2 10 28 3" xfId="8769" xr:uid="{00000000-0005-0000-0000-000013220000}"/>
    <cellStyle name="Normal 2 2 10 28 3 10" xfId="8770" xr:uid="{00000000-0005-0000-0000-000014220000}"/>
    <cellStyle name="Normal 2 2 10 28 3 2" xfId="8771" xr:uid="{00000000-0005-0000-0000-000015220000}"/>
    <cellStyle name="Normal 2 2 10 28 3 3" xfId="8772" xr:uid="{00000000-0005-0000-0000-000016220000}"/>
    <cellStyle name="Normal 2 2 10 28 3 4" xfId="8773" xr:uid="{00000000-0005-0000-0000-000017220000}"/>
    <cellStyle name="Normal 2 2 10 28 3 5" xfId="8774" xr:uid="{00000000-0005-0000-0000-000018220000}"/>
    <cellStyle name="Normal 2 2 10 28 3 6" xfId="8775" xr:uid="{00000000-0005-0000-0000-000019220000}"/>
    <cellStyle name="Normal 2 2 10 28 3 7" xfId="8776" xr:uid="{00000000-0005-0000-0000-00001A220000}"/>
    <cellStyle name="Normal 2 2 10 28 3 8" xfId="8777" xr:uid="{00000000-0005-0000-0000-00001B220000}"/>
    <cellStyle name="Normal 2 2 10 28 3 9" xfId="8778" xr:uid="{00000000-0005-0000-0000-00001C220000}"/>
    <cellStyle name="Normal 2 2 10 28 4" xfId="8779" xr:uid="{00000000-0005-0000-0000-00001D220000}"/>
    <cellStyle name="Normal 2 2 10 28 4 10" xfId="8780" xr:uid="{00000000-0005-0000-0000-00001E220000}"/>
    <cellStyle name="Normal 2 2 10 28 4 2" xfId="8781" xr:uid="{00000000-0005-0000-0000-00001F220000}"/>
    <cellStyle name="Normal 2 2 10 28 4 3" xfId="8782" xr:uid="{00000000-0005-0000-0000-000020220000}"/>
    <cellStyle name="Normal 2 2 10 28 4 4" xfId="8783" xr:uid="{00000000-0005-0000-0000-000021220000}"/>
    <cellStyle name="Normal 2 2 10 28 4 5" xfId="8784" xr:uid="{00000000-0005-0000-0000-000022220000}"/>
    <cellStyle name="Normal 2 2 10 28 4 6" xfId="8785" xr:uid="{00000000-0005-0000-0000-000023220000}"/>
    <cellStyle name="Normal 2 2 10 28 4 7" xfId="8786" xr:uid="{00000000-0005-0000-0000-000024220000}"/>
    <cellStyle name="Normal 2 2 10 28 4 8" xfId="8787" xr:uid="{00000000-0005-0000-0000-000025220000}"/>
    <cellStyle name="Normal 2 2 10 28 4 9" xfId="8788" xr:uid="{00000000-0005-0000-0000-000026220000}"/>
    <cellStyle name="Normal 2 2 10 28 5" xfId="8789" xr:uid="{00000000-0005-0000-0000-000027220000}"/>
    <cellStyle name="Normal 2 2 10 28 5 10" xfId="8790" xr:uid="{00000000-0005-0000-0000-000028220000}"/>
    <cellStyle name="Normal 2 2 10 28 5 2" xfId="8791" xr:uid="{00000000-0005-0000-0000-000029220000}"/>
    <cellStyle name="Normal 2 2 10 28 5 3" xfId="8792" xr:uid="{00000000-0005-0000-0000-00002A220000}"/>
    <cellStyle name="Normal 2 2 10 28 5 4" xfId="8793" xr:uid="{00000000-0005-0000-0000-00002B220000}"/>
    <cellStyle name="Normal 2 2 10 28 5 5" xfId="8794" xr:uid="{00000000-0005-0000-0000-00002C220000}"/>
    <cellStyle name="Normal 2 2 10 28 5 6" xfId="8795" xr:uid="{00000000-0005-0000-0000-00002D220000}"/>
    <cellStyle name="Normal 2 2 10 28 5 7" xfId="8796" xr:uid="{00000000-0005-0000-0000-00002E220000}"/>
    <cellStyle name="Normal 2 2 10 28 5 8" xfId="8797" xr:uid="{00000000-0005-0000-0000-00002F220000}"/>
    <cellStyle name="Normal 2 2 10 28 5 9" xfId="8798" xr:uid="{00000000-0005-0000-0000-000030220000}"/>
    <cellStyle name="Normal 2 2 10 28 6" xfId="8799" xr:uid="{00000000-0005-0000-0000-000031220000}"/>
    <cellStyle name="Normal 2 2 10 28 7" xfId="8800" xr:uid="{00000000-0005-0000-0000-000032220000}"/>
    <cellStyle name="Normal 2 2 10 28 8" xfId="8801" xr:uid="{00000000-0005-0000-0000-000033220000}"/>
    <cellStyle name="Normal 2 2 10 28 9" xfId="8802" xr:uid="{00000000-0005-0000-0000-000034220000}"/>
    <cellStyle name="Normal 2 2 10 29" xfId="8803" xr:uid="{00000000-0005-0000-0000-000035220000}"/>
    <cellStyle name="Normal 2 2 10 29 10" xfId="8804" xr:uid="{00000000-0005-0000-0000-000036220000}"/>
    <cellStyle name="Normal 2 2 10 29 11" xfId="8805" xr:uid="{00000000-0005-0000-0000-000037220000}"/>
    <cellStyle name="Normal 2 2 10 29 12" xfId="8806" xr:uid="{00000000-0005-0000-0000-000038220000}"/>
    <cellStyle name="Normal 2 2 10 29 13" xfId="8807" xr:uid="{00000000-0005-0000-0000-000039220000}"/>
    <cellStyle name="Normal 2 2 10 29 14" xfId="8808" xr:uid="{00000000-0005-0000-0000-00003A220000}"/>
    <cellStyle name="Normal 2 2 10 29 2" xfId="8809" xr:uid="{00000000-0005-0000-0000-00003B220000}"/>
    <cellStyle name="Normal 2 2 10 29 2 10" xfId="8810" xr:uid="{00000000-0005-0000-0000-00003C220000}"/>
    <cellStyle name="Normal 2 2 10 29 2 2" xfId="8811" xr:uid="{00000000-0005-0000-0000-00003D220000}"/>
    <cellStyle name="Normal 2 2 10 29 2 3" xfId="8812" xr:uid="{00000000-0005-0000-0000-00003E220000}"/>
    <cellStyle name="Normal 2 2 10 29 2 4" xfId="8813" xr:uid="{00000000-0005-0000-0000-00003F220000}"/>
    <cellStyle name="Normal 2 2 10 29 2 5" xfId="8814" xr:uid="{00000000-0005-0000-0000-000040220000}"/>
    <cellStyle name="Normal 2 2 10 29 2 6" xfId="8815" xr:uid="{00000000-0005-0000-0000-000041220000}"/>
    <cellStyle name="Normal 2 2 10 29 2 7" xfId="8816" xr:uid="{00000000-0005-0000-0000-000042220000}"/>
    <cellStyle name="Normal 2 2 10 29 2 8" xfId="8817" xr:uid="{00000000-0005-0000-0000-000043220000}"/>
    <cellStyle name="Normal 2 2 10 29 2 9" xfId="8818" xr:uid="{00000000-0005-0000-0000-000044220000}"/>
    <cellStyle name="Normal 2 2 10 29 3" xfId="8819" xr:uid="{00000000-0005-0000-0000-000045220000}"/>
    <cellStyle name="Normal 2 2 10 29 3 10" xfId="8820" xr:uid="{00000000-0005-0000-0000-000046220000}"/>
    <cellStyle name="Normal 2 2 10 29 3 2" xfId="8821" xr:uid="{00000000-0005-0000-0000-000047220000}"/>
    <cellStyle name="Normal 2 2 10 29 3 3" xfId="8822" xr:uid="{00000000-0005-0000-0000-000048220000}"/>
    <cellStyle name="Normal 2 2 10 29 3 4" xfId="8823" xr:uid="{00000000-0005-0000-0000-000049220000}"/>
    <cellStyle name="Normal 2 2 10 29 3 5" xfId="8824" xr:uid="{00000000-0005-0000-0000-00004A220000}"/>
    <cellStyle name="Normal 2 2 10 29 3 6" xfId="8825" xr:uid="{00000000-0005-0000-0000-00004B220000}"/>
    <cellStyle name="Normal 2 2 10 29 3 7" xfId="8826" xr:uid="{00000000-0005-0000-0000-00004C220000}"/>
    <cellStyle name="Normal 2 2 10 29 3 8" xfId="8827" xr:uid="{00000000-0005-0000-0000-00004D220000}"/>
    <cellStyle name="Normal 2 2 10 29 3 9" xfId="8828" xr:uid="{00000000-0005-0000-0000-00004E220000}"/>
    <cellStyle name="Normal 2 2 10 29 4" xfId="8829" xr:uid="{00000000-0005-0000-0000-00004F220000}"/>
    <cellStyle name="Normal 2 2 10 29 4 10" xfId="8830" xr:uid="{00000000-0005-0000-0000-000050220000}"/>
    <cellStyle name="Normal 2 2 10 29 4 2" xfId="8831" xr:uid="{00000000-0005-0000-0000-000051220000}"/>
    <cellStyle name="Normal 2 2 10 29 4 3" xfId="8832" xr:uid="{00000000-0005-0000-0000-000052220000}"/>
    <cellStyle name="Normal 2 2 10 29 4 4" xfId="8833" xr:uid="{00000000-0005-0000-0000-000053220000}"/>
    <cellStyle name="Normal 2 2 10 29 4 5" xfId="8834" xr:uid="{00000000-0005-0000-0000-000054220000}"/>
    <cellStyle name="Normal 2 2 10 29 4 6" xfId="8835" xr:uid="{00000000-0005-0000-0000-000055220000}"/>
    <cellStyle name="Normal 2 2 10 29 4 7" xfId="8836" xr:uid="{00000000-0005-0000-0000-000056220000}"/>
    <cellStyle name="Normal 2 2 10 29 4 8" xfId="8837" xr:uid="{00000000-0005-0000-0000-000057220000}"/>
    <cellStyle name="Normal 2 2 10 29 4 9" xfId="8838" xr:uid="{00000000-0005-0000-0000-000058220000}"/>
    <cellStyle name="Normal 2 2 10 29 5" xfId="8839" xr:uid="{00000000-0005-0000-0000-000059220000}"/>
    <cellStyle name="Normal 2 2 10 29 5 10" xfId="8840" xr:uid="{00000000-0005-0000-0000-00005A220000}"/>
    <cellStyle name="Normal 2 2 10 29 5 2" xfId="8841" xr:uid="{00000000-0005-0000-0000-00005B220000}"/>
    <cellStyle name="Normal 2 2 10 29 5 3" xfId="8842" xr:uid="{00000000-0005-0000-0000-00005C220000}"/>
    <cellStyle name="Normal 2 2 10 29 5 4" xfId="8843" xr:uid="{00000000-0005-0000-0000-00005D220000}"/>
    <cellStyle name="Normal 2 2 10 29 5 5" xfId="8844" xr:uid="{00000000-0005-0000-0000-00005E220000}"/>
    <cellStyle name="Normal 2 2 10 29 5 6" xfId="8845" xr:uid="{00000000-0005-0000-0000-00005F220000}"/>
    <cellStyle name="Normal 2 2 10 29 5 7" xfId="8846" xr:uid="{00000000-0005-0000-0000-000060220000}"/>
    <cellStyle name="Normal 2 2 10 29 5 8" xfId="8847" xr:uid="{00000000-0005-0000-0000-000061220000}"/>
    <cellStyle name="Normal 2 2 10 29 5 9" xfId="8848" xr:uid="{00000000-0005-0000-0000-000062220000}"/>
    <cellStyle name="Normal 2 2 10 29 6" xfId="8849" xr:uid="{00000000-0005-0000-0000-000063220000}"/>
    <cellStyle name="Normal 2 2 10 29 7" xfId="8850" xr:uid="{00000000-0005-0000-0000-000064220000}"/>
    <cellStyle name="Normal 2 2 10 29 8" xfId="8851" xr:uid="{00000000-0005-0000-0000-000065220000}"/>
    <cellStyle name="Normal 2 2 10 29 9" xfId="8852" xr:uid="{00000000-0005-0000-0000-000066220000}"/>
    <cellStyle name="Normal 2 2 10 3" xfId="8853" xr:uid="{00000000-0005-0000-0000-000067220000}"/>
    <cellStyle name="Normal 2 2 10 3 10" xfId="8854" xr:uid="{00000000-0005-0000-0000-000068220000}"/>
    <cellStyle name="Normal 2 2 10 3 11" xfId="8855" xr:uid="{00000000-0005-0000-0000-000069220000}"/>
    <cellStyle name="Normal 2 2 10 3 12" xfId="8856" xr:uid="{00000000-0005-0000-0000-00006A220000}"/>
    <cellStyle name="Normal 2 2 10 3 13" xfId="8857" xr:uid="{00000000-0005-0000-0000-00006B220000}"/>
    <cellStyle name="Normal 2 2 10 3 14" xfId="8858" xr:uid="{00000000-0005-0000-0000-00006C220000}"/>
    <cellStyle name="Normal 2 2 10 3 2" xfId="8859" xr:uid="{00000000-0005-0000-0000-00006D220000}"/>
    <cellStyle name="Normal 2 2 10 3 2 10" xfId="8860" xr:uid="{00000000-0005-0000-0000-00006E220000}"/>
    <cellStyle name="Normal 2 2 10 3 2 2" xfId="8861" xr:uid="{00000000-0005-0000-0000-00006F220000}"/>
    <cellStyle name="Normal 2 2 10 3 2 3" xfId="8862" xr:uid="{00000000-0005-0000-0000-000070220000}"/>
    <cellStyle name="Normal 2 2 10 3 2 4" xfId="8863" xr:uid="{00000000-0005-0000-0000-000071220000}"/>
    <cellStyle name="Normal 2 2 10 3 2 5" xfId="8864" xr:uid="{00000000-0005-0000-0000-000072220000}"/>
    <cellStyle name="Normal 2 2 10 3 2 6" xfId="8865" xr:uid="{00000000-0005-0000-0000-000073220000}"/>
    <cellStyle name="Normal 2 2 10 3 2 7" xfId="8866" xr:uid="{00000000-0005-0000-0000-000074220000}"/>
    <cellStyle name="Normal 2 2 10 3 2 8" xfId="8867" xr:uid="{00000000-0005-0000-0000-000075220000}"/>
    <cellStyle name="Normal 2 2 10 3 2 9" xfId="8868" xr:uid="{00000000-0005-0000-0000-000076220000}"/>
    <cellStyle name="Normal 2 2 10 3 3" xfId="8869" xr:uid="{00000000-0005-0000-0000-000077220000}"/>
    <cellStyle name="Normal 2 2 10 3 3 10" xfId="8870" xr:uid="{00000000-0005-0000-0000-000078220000}"/>
    <cellStyle name="Normal 2 2 10 3 3 2" xfId="8871" xr:uid="{00000000-0005-0000-0000-000079220000}"/>
    <cellStyle name="Normal 2 2 10 3 3 3" xfId="8872" xr:uid="{00000000-0005-0000-0000-00007A220000}"/>
    <cellStyle name="Normal 2 2 10 3 3 4" xfId="8873" xr:uid="{00000000-0005-0000-0000-00007B220000}"/>
    <cellStyle name="Normal 2 2 10 3 3 5" xfId="8874" xr:uid="{00000000-0005-0000-0000-00007C220000}"/>
    <cellStyle name="Normal 2 2 10 3 3 6" xfId="8875" xr:uid="{00000000-0005-0000-0000-00007D220000}"/>
    <cellStyle name="Normal 2 2 10 3 3 7" xfId="8876" xr:uid="{00000000-0005-0000-0000-00007E220000}"/>
    <cellStyle name="Normal 2 2 10 3 3 8" xfId="8877" xr:uid="{00000000-0005-0000-0000-00007F220000}"/>
    <cellStyle name="Normal 2 2 10 3 3 9" xfId="8878" xr:uid="{00000000-0005-0000-0000-000080220000}"/>
    <cellStyle name="Normal 2 2 10 3 4" xfId="8879" xr:uid="{00000000-0005-0000-0000-000081220000}"/>
    <cellStyle name="Normal 2 2 10 3 4 10" xfId="8880" xr:uid="{00000000-0005-0000-0000-000082220000}"/>
    <cellStyle name="Normal 2 2 10 3 4 2" xfId="8881" xr:uid="{00000000-0005-0000-0000-000083220000}"/>
    <cellStyle name="Normal 2 2 10 3 4 3" xfId="8882" xr:uid="{00000000-0005-0000-0000-000084220000}"/>
    <cellStyle name="Normal 2 2 10 3 4 4" xfId="8883" xr:uid="{00000000-0005-0000-0000-000085220000}"/>
    <cellStyle name="Normal 2 2 10 3 4 5" xfId="8884" xr:uid="{00000000-0005-0000-0000-000086220000}"/>
    <cellStyle name="Normal 2 2 10 3 4 6" xfId="8885" xr:uid="{00000000-0005-0000-0000-000087220000}"/>
    <cellStyle name="Normal 2 2 10 3 4 7" xfId="8886" xr:uid="{00000000-0005-0000-0000-000088220000}"/>
    <cellStyle name="Normal 2 2 10 3 4 8" xfId="8887" xr:uid="{00000000-0005-0000-0000-000089220000}"/>
    <cellStyle name="Normal 2 2 10 3 4 9" xfId="8888" xr:uid="{00000000-0005-0000-0000-00008A220000}"/>
    <cellStyle name="Normal 2 2 10 3 5" xfId="8889" xr:uid="{00000000-0005-0000-0000-00008B220000}"/>
    <cellStyle name="Normal 2 2 10 3 5 10" xfId="8890" xr:uid="{00000000-0005-0000-0000-00008C220000}"/>
    <cellStyle name="Normal 2 2 10 3 5 2" xfId="8891" xr:uid="{00000000-0005-0000-0000-00008D220000}"/>
    <cellStyle name="Normal 2 2 10 3 5 3" xfId="8892" xr:uid="{00000000-0005-0000-0000-00008E220000}"/>
    <cellStyle name="Normal 2 2 10 3 5 4" xfId="8893" xr:uid="{00000000-0005-0000-0000-00008F220000}"/>
    <cellStyle name="Normal 2 2 10 3 5 5" xfId="8894" xr:uid="{00000000-0005-0000-0000-000090220000}"/>
    <cellStyle name="Normal 2 2 10 3 5 6" xfId="8895" xr:uid="{00000000-0005-0000-0000-000091220000}"/>
    <cellStyle name="Normal 2 2 10 3 5 7" xfId="8896" xr:uid="{00000000-0005-0000-0000-000092220000}"/>
    <cellStyle name="Normal 2 2 10 3 5 8" xfId="8897" xr:uid="{00000000-0005-0000-0000-000093220000}"/>
    <cellStyle name="Normal 2 2 10 3 5 9" xfId="8898" xr:uid="{00000000-0005-0000-0000-000094220000}"/>
    <cellStyle name="Normal 2 2 10 3 6" xfId="8899" xr:uid="{00000000-0005-0000-0000-000095220000}"/>
    <cellStyle name="Normal 2 2 10 3 7" xfId="8900" xr:uid="{00000000-0005-0000-0000-000096220000}"/>
    <cellStyle name="Normal 2 2 10 3 8" xfId="8901" xr:uid="{00000000-0005-0000-0000-000097220000}"/>
    <cellStyle name="Normal 2 2 10 3 9" xfId="8902" xr:uid="{00000000-0005-0000-0000-000098220000}"/>
    <cellStyle name="Normal 2 2 10 30" xfId="8903" xr:uid="{00000000-0005-0000-0000-000099220000}"/>
    <cellStyle name="Normal 2 2 10 30 10" xfId="8904" xr:uid="{00000000-0005-0000-0000-00009A220000}"/>
    <cellStyle name="Normal 2 2 10 30 11" xfId="8905" xr:uid="{00000000-0005-0000-0000-00009B220000}"/>
    <cellStyle name="Normal 2 2 10 30 12" xfId="8906" xr:uid="{00000000-0005-0000-0000-00009C220000}"/>
    <cellStyle name="Normal 2 2 10 30 13" xfId="8907" xr:uid="{00000000-0005-0000-0000-00009D220000}"/>
    <cellStyle name="Normal 2 2 10 30 14" xfId="8908" xr:uid="{00000000-0005-0000-0000-00009E220000}"/>
    <cellStyle name="Normal 2 2 10 30 2" xfId="8909" xr:uid="{00000000-0005-0000-0000-00009F220000}"/>
    <cellStyle name="Normal 2 2 10 30 2 10" xfId="8910" xr:uid="{00000000-0005-0000-0000-0000A0220000}"/>
    <cellStyle name="Normal 2 2 10 30 2 2" xfId="8911" xr:uid="{00000000-0005-0000-0000-0000A1220000}"/>
    <cellStyle name="Normal 2 2 10 30 2 3" xfId="8912" xr:uid="{00000000-0005-0000-0000-0000A2220000}"/>
    <cellStyle name="Normal 2 2 10 30 2 4" xfId="8913" xr:uid="{00000000-0005-0000-0000-0000A3220000}"/>
    <cellStyle name="Normal 2 2 10 30 2 5" xfId="8914" xr:uid="{00000000-0005-0000-0000-0000A4220000}"/>
    <cellStyle name="Normal 2 2 10 30 2 6" xfId="8915" xr:uid="{00000000-0005-0000-0000-0000A5220000}"/>
    <cellStyle name="Normal 2 2 10 30 2 7" xfId="8916" xr:uid="{00000000-0005-0000-0000-0000A6220000}"/>
    <cellStyle name="Normal 2 2 10 30 2 8" xfId="8917" xr:uid="{00000000-0005-0000-0000-0000A7220000}"/>
    <cellStyle name="Normal 2 2 10 30 2 9" xfId="8918" xr:uid="{00000000-0005-0000-0000-0000A8220000}"/>
    <cellStyle name="Normal 2 2 10 30 3" xfId="8919" xr:uid="{00000000-0005-0000-0000-0000A9220000}"/>
    <cellStyle name="Normal 2 2 10 30 3 10" xfId="8920" xr:uid="{00000000-0005-0000-0000-0000AA220000}"/>
    <cellStyle name="Normal 2 2 10 30 3 2" xfId="8921" xr:uid="{00000000-0005-0000-0000-0000AB220000}"/>
    <cellStyle name="Normal 2 2 10 30 3 3" xfId="8922" xr:uid="{00000000-0005-0000-0000-0000AC220000}"/>
    <cellStyle name="Normal 2 2 10 30 3 4" xfId="8923" xr:uid="{00000000-0005-0000-0000-0000AD220000}"/>
    <cellStyle name="Normal 2 2 10 30 3 5" xfId="8924" xr:uid="{00000000-0005-0000-0000-0000AE220000}"/>
    <cellStyle name="Normal 2 2 10 30 3 6" xfId="8925" xr:uid="{00000000-0005-0000-0000-0000AF220000}"/>
    <cellStyle name="Normal 2 2 10 30 3 7" xfId="8926" xr:uid="{00000000-0005-0000-0000-0000B0220000}"/>
    <cellStyle name="Normal 2 2 10 30 3 8" xfId="8927" xr:uid="{00000000-0005-0000-0000-0000B1220000}"/>
    <cellStyle name="Normal 2 2 10 30 3 9" xfId="8928" xr:uid="{00000000-0005-0000-0000-0000B2220000}"/>
    <cellStyle name="Normal 2 2 10 30 4" xfId="8929" xr:uid="{00000000-0005-0000-0000-0000B3220000}"/>
    <cellStyle name="Normal 2 2 10 30 4 10" xfId="8930" xr:uid="{00000000-0005-0000-0000-0000B4220000}"/>
    <cellStyle name="Normal 2 2 10 30 4 2" xfId="8931" xr:uid="{00000000-0005-0000-0000-0000B5220000}"/>
    <cellStyle name="Normal 2 2 10 30 4 3" xfId="8932" xr:uid="{00000000-0005-0000-0000-0000B6220000}"/>
    <cellStyle name="Normal 2 2 10 30 4 4" xfId="8933" xr:uid="{00000000-0005-0000-0000-0000B7220000}"/>
    <cellStyle name="Normal 2 2 10 30 4 5" xfId="8934" xr:uid="{00000000-0005-0000-0000-0000B8220000}"/>
    <cellStyle name="Normal 2 2 10 30 4 6" xfId="8935" xr:uid="{00000000-0005-0000-0000-0000B9220000}"/>
    <cellStyle name="Normal 2 2 10 30 4 7" xfId="8936" xr:uid="{00000000-0005-0000-0000-0000BA220000}"/>
    <cellStyle name="Normal 2 2 10 30 4 8" xfId="8937" xr:uid="{00000000-0005-0000-0000-0000BB220000}"/>
    <cellStyle name="Normal 2 2 10 30 4 9" xfId="8938" xr:uid="{00000000-0005-0000-0000-0000BC220000}"/>
    <cellStyle name="Normal 2 2 10 30 5" xfId="8939" xr:uid="{00000000-0005-0000-0000-0000BD220000}"/>
    <cellStyle name="Normal 2 2 10 30 5 10" xfId="8940" xr:uid="{00000000-0005-0000-0000-0000BE220000}"/>
    <cellStyle name="Normal 2 2 10 30 5 2" xfId="8941" xr:uid="{00000000-0005-0000-0000-0000BF220000}"/>
    <cellStyle name="Normal 2 2 10 30 5 3" xfId="8942" xr:uid="{00000000-0005-0000-0000-0000C0220000}"/>
    <cellStyle name="Normal 2 2 10 30 5 4" xfId="8943" xr:uid="{00000000-0005-0000-0000-0000C1220000}"/>
    <cellStyle name="Normal 2 2 10 30 5 5" xfId="8944" xr:uid="{00000000-0005-0000-0000-0000C2220000}"/>
    <cellStyle name="Normal 2 2 10 30 5 6" xfId="8945" xr:uid="{00000000-0005-0000-0000-0000C3220000}"/>
    <cellStyle name="Normal 2 2 10 30 5 7" xfId="8946" xr:uid="{00000000-0005-0000-0000-0000C4220000}"/>
    <cellStyle name="Normal 2 2 10 30 5 8" xfId="8947" xr:uid="{00000000-0005-0000-0000-0000C5220000}"/>
    <cellStyle name="Normal 2 2 10 30 5 9" xfId="8948" xr:uid="{00000000-0005-0000-0000-0000C6220000}"/>
    <cellStyle name="Normal 2 2 10 30 6" xfId="8949" xr:uid="{00000000-0005-0000-0000-0000C7220000}"/>
    <cellStyle name="Normal 2 2 10 30 7" xfId="8950" xr:uid="{00000000-0005-0000-0000-0000C8220000}"/>
    <cellStyle name="Normal 2 2 10 30 8" xfId="8951" xr:uid="{00000000-0005-0000-0000-0000C9220000}"/>
    <cellStyle name="Normal 2 2 10 30 9" xfId="8952" xr:uid="{00000000-0005-0000-0000-0000CA220000}"/>
    <cellStyle name="Normal 2 2 10 31" xfId="8953" xr:uid="{00000000-0005-0000-0000-0000CB220000}"/>
    <cellStyle name="Normal 2 2 10 31 10" xfId="8954" xr:uid="{00000000-0005-0000-0000-0000CC220000}"/>
    <cellStyle name="Normal 2 2 10 31 11" xfId="8955" xr:uid="{00000000-0005-0000-0000-0000CD220000}"/>
    <cellStyle name="Normal 2 2 10 31 12" xfId="8956" xr:uid="{00000000-0005-0000-0000-0000CE220000}"/>
    <cellStyle name="Normal 2 2 10 31 13" xfId="8957" xr:uid="{00000000-0005-0000-0000-0000CF220000}"/>
    <cellStyle name="Normal 2 2 10 31 14" xfId="8958" xr:uid="{00000000-0005-0000-0000-0000D0220000}"/>
    <cellStyle name="Normal 2 2 10 31 2" xfId="8959" xr:uid="{00000000-0005-0000-0000-0000D1220000}"/>
    <cellStyle name="Normal 2 2 10 31 2 10" xfId="8960" xr:uid="{00000000-0005-0000-0000-0000D2220000}"/>
    <cellStyle name="Normal 2 2 10 31 2 2" xfId="8961" xr:uid="{00000000-0005-0000-0000-0000D3220000}"/>
    <cellStyle name="Normal 2 2 10 31 2 3" xfId="8962" xr:uid="{00000000-0005-0000-0000-0000D4220000}"/>
    <cellStyle name="Normal 2 2 10 31 2 4" xfId="8963" xr:uid="{00000000-0005-0000-0000-0000D5220000}"/>
    <cellStyle name="Normal 2 2 10 31 2 5" xfId="8964" xr:uid="{00000000-0005-0000-0000-0000D6220000}"/>
    <cellStyle name="Normal 2 2 10 31 2 6" xfId="8965" xr:uid="{00000000-0005-0000-0000-0000D7220000}"/>
    <cellStyle name="Normal 2 2 10 31 2 7" xfId="8966" xr:uid="{00000000-0005-0000-0000-0000D8220000}"/>
    <cellStyle name="Normal 2 2 10 31 2 8" xfId="8967" xr:uid="{00000000-0005-0000-0000-0000D9220000}"/>
    <cellStyle name="Normal 2 2 10 31 2 9" xfId="8968" xr:uid="{00000000-0005-0000-0000-0000DA220000}"/>
    <cellStyle name="Normal 2 2 10 31 3" xfId="8969" xr:uid="{00000000-0005-0000-0000-0000DB220000}"/>
    <cellStyle name="Normal 2 2 10 31 3 10" xfId="8970" xr:uid="{00000000-0005-0000-0000-0000DC220000}"/>
    <cellStyle name="Normal 2 2 10 31 3 2" xfId="8971" xr:uid="{00000000-0005-0000-0000-0000DD220000}"/>
    <cellStyle name="Normal 2 2 10 31 3 3" xfId="8972" xr:uid="{00000000-0005-0000-0000-0000DE220000}"/>
    <cellStyle name="Normal 2 2 10 31 3 4" xfId="8973" xr:uid="{00000000-0005-0000-0000-0000DF220000}"/>
    <cellStyle name="Normal 2 2 10 31 3 5" xfId="8974" xr:uid="{00000000-0005-0000-0000-0000E0220000}"/>
    <cellStyle name="Normal 2 2 10 31 3 6" xfId="8975" xr:uid="{00000000-0005-0000-0000-0000E1220000}"/>
    <cellStyle name="Normal 2 2 10 31 3 7" xfId="8976" xr:uid="{00000000-0005-0000-0000-0000E2220000}"/>
    <cellStyle name="Normal 2 2 10 31 3 8" xfId="8977" xr:uid="{00000000-0005-0000-0000-0000E3220000}"/>
    <cellStyle name="Normal 2 2 10 31 3 9" xfId="8978" xr:uid="{00000000-0005-0000-0000-0000E4220000}"/>
    <cellStyle name="Normal 2 2 10 31 4" xfId="8979" xr:uid="{00000000-0005-0000-0000-0000E5220000}"/>
    <cellStyle name="Normal 2 2 10 31 4 10" xfId="8980" xr:uid="{00000000-0005-0000-0000-0000E6220000}"/>
    <cellStyle name="Normal 2 2 10 31 4 2" xfId="8981" xr:uid="{00000000-0005-0000-0000-0000E7220000}"/>
    <cellStyle name="Normal 2 2 10 31 4 3" xfId="8982" xr:uid="{00000000-0005-0000-0000-0000E8220000}"/>
    <cellStyle name="Normal 2 2 10 31 4 4" xfId="8983" xr:uid="{00000000-0005-0000-0000-0000E9220000}"/>
    <cellStyle name="Normal 2 2 10 31 4 5" xfId="8984" xr:uid="{00000000-0005-0000-0000-0000EA220000}"/>
    <cellStyle name="Normal 2 2 10 31 4 6" xfId="8985" xr:uid="{00000000-0005-0000-0000-0000EB220000}"/>
    <cellStyle name="Normal 2 2 10 31 4 7" xfId="8986" xr:uid="{00000000-0005-0000-0000-0000EC220000}"/>
    <cellStyle name="Normal 2 2 10 31 4 8" xfId="8987" xr:uid="{00000000-0005-0000-0000-0000ED220000}"/>
    <cellStyle name="Normal 2 2 10 31 4 9" xfId="8988" xr:uid="{00000000-0005-0000-0000-0000EE220000}"/>
    <cellStyle name="Normal 2 2 10 31 5" xfId="8989" xr:uid="{00000000-0005-0000-0000-0000EF220000}"/>
    <cellStyle name="Normal 2 2 10 31 5 10" xfId="8990" xr:uid="{00000000-0005-0000-0000-0000F0220000}"/>
    <cellStyle name="Normal 2 2 10 31 5 2" xfId="8991" xr:uid="{00000000-0005-0000-0000-0000F1220000}"/>
    <cellStyle name="Normal 2 2 10 31 5 3" xfId="8992" xr:uid="{00000000-0005-0000-0000-0000F2220000}"/>
    <cellStyle name="Normal 2 2 10 31 5 4" xfId="8993" xr:uid="{00000000-0005-0000-0000-0000F3220000}"/>
    <cellStyle name="Normal 2 2 10 31 5 5" xfId="8994" xr:uid="{00000000-0005-0000-0000-0000F4220000}"/>
    <cellStyle name="Normal 2 2 10 31 5 6" xfId="8995" xr:uid="{00000000-0005-0000-0000-0000F5220000}"/>
    <cellStyle name="Normal 2 2 10 31 5 7" xfId="8996" xr:uid="{00000000-0005-0000-0000-0000F6220000}"/>
    <cellStyle name="Normal 2 2 10 31 5 8" xfId="8997" xr:uid="{00000000-0005-0000-0000-0000F7220000}"/>
    <cellStyle name="Normal 2 2 10 31 5 9" xfId="8998" xr:uid="{00000000-0005-0000-0000-0000F8220000}"/>
    <cellStyle name="Normal 2 2 10 31 6" xfId="8999" xr:uid="{00000000-0005-0000-0000-0000F9220000}"/>
    <cellStyle name="Normal 2 2 10 31 7" xfId="9000" xr:uid="{00000000-0005-0000-0000-0000FA220000}"/>
    <cellStyle name="Normal 2 2 10 31 8" xfId="9001" xr:uid="{00000000-0005-0000-0000-0000FB220000}"/>
    <cellStyle name="Normal 2 2 10 31 9" xfId="9002" xr:uid="{00000000-0005-0000-0000-0000FC220000}"/>
    <cellStyle name="Normal 2 2 10 32" xfId="9003" xr:uid="{00000000-0005-0000-0000-0000FD220000}"/>
    <cellStyle name="Normal 2 2 10 32 10" xfId="9004" xr:uid="{00000000-0005-0000-0000-0000FE220000}"/>
    <cellStyle name="Normal 2 2 10 32 11" xfId="9005" xr:uid="{00000000-0005-0000-0000-0000FF220000}"/>
    <cellStyle name="Normal 2 2 10 32 12" xfId="9006" xr:uid="{00000000-0005-0000-0000-000000230000}"/>
    <cellStyle name="Normal 2 2 10 32 13" xfId="9007" xr:uid="{00000000-0005-0000-0000-000001230000}"/>
    <cellStyle name="Normal 2 2 10 32 14" xfId="9008" xr:uid="{00000000-0005-0000-0000-000002230000}"/>
    <cellStyle name="Normal 2 2 10 32 2" xfId="9009" xr:uid="{00000000-0005-0000-0000-000003230000}"/>
    <cellStyle name="Normal 2 2 10 32 2 10" xfId="9010" xr:uid="{00000000-0005-0000-0000-000004230000}"/>
    <cellStyle name="Normal 2 2 10 32 2 2" xfId="9011" xr:uid="{00000000-0005-0000-0000-000005230000}"/>
    <cellStyle name="Normal 2 2 10 32 2 3" xfId="9012" xr:uid="{00000000-0005-0000-0000-000006230000}"/>
    <cellStyle name="Normal 2 2 10 32 2 4" xfId="9013" xr:uid="{00000000-0005-0000-0000-000007230000}"/>
    <cellStyle name="Normal 2 2 10 32 2 5" xfId="9014" xr:uid="{00000000-0005-0000-0000-000008230000}"/>
    <cellStyle name="Normal 2 2 10 32 2 6" xfId="9015" xr:uid="{00000000-0005-0000-0000-000009230000}"/>
    <cellStyle name="Normal 2 2 10 32 2 7" xfId="9016" xr:uid="{00000000-0005-0000-0000-00000A230000}"/>
    <cellStyle name="Normal 2 2 10 32 2 8" xfId="9017" xr:uid="{00000000-0005-0000-0000-00000B230000}"/>
    <cellStyle name="Normal 2 2 10 32 2 9" xfId="9018" xr:uid="{00000000-0005-0000-0000-00000C230000}"/>
    <cellStyle name="Normal 2 2 10 32 3" xfId="9019" xr:uid="{00000000-0005-0000-0000-00000D230000}"/>
    <cellStyle name="Normal 2 2 10 32 3 10" xfId="9020" xr:uid="{00000000-0005-0000-0000-00000E230000}"/>
    <cellStyle name="Normal 2 2 10 32 3 2" xfId="9021" xr:uid="{00000000-0005-0000-0000-00000F230000}"/>
    <cellStyle name="Normal 2 2 10 32 3 3" xfId="9022" xr:uid="{00000000-0005-0000-0000-000010230000}"/>
    <cellStyle name="Normal 2 2 10 32 3 4" xfId="9023" xr:uid="{00000000-0005-0000-0000-000011230000}"/>
    <cellStyle name="Normal 2 2 10 32 3 5" xfId="9024" xr:uid="{00000000-0005-0000-0000-000012230000}"/>
    <cellStyle name="Normal 2 2 10 32 3 6" xfId="9025" xr:uid="{00000000-0005-0000-0000-000013230000}"/>
    <cellStyle name="Normal 2 2 10 32 3 7" xfId="9026" xr:uid="{00000000-0005-0000-0000-000014230000}"/>
    <cellStyle name="Normal 2 2 10 32 3 8" xfId="9027" xr:uid="{00000000-0005-0000-0000-000015230000}"/>
    <cellStyle name="Normal 2 2 10 32 3 9" xfId="9028" xr:uid="{00000000-0005-0000-0000-000016230000}"/>
    <cellStyle name="Normal 2 2 10 32 4" xfId="9029" xr:uid="{00000000-0005-0000-0000-000017230000}"/>
    <cellStyle name="Normal 2 2 10 32 4 10" xfId="9030" xr:uid="{00000000-0005-0000-0000-000018230000}"/>
    <cellStyle name="Normal 2 2 10 32 4 2" xfId="9031" xr:uid="{00000000-0005-0000-0000-000019230000}"/>
    <cellStyle name="Normal 2 2 10 32 4 3" xfId="9032" xr:uid="{00000000-0005-0000-0000-00001A230000}"/>
    <cellStyle name="Normal 2 2 10 32 4 4" xfId="9033" xr:uid="{00000000-0005-0000-0000-00001B230000}"/>
    <cellStyle name="Normal 2 2 10 32 4 5" xfId="9034" xr:uid="{00000000-0005-0000-0000-00001C230000}"/>
    <cellStyle name="Normal 2 2 10 32 4 6" xfId="9035" xr:uid="{00000000-0005-0000-0000-00001D230000}"/>
    <cellStyle name="Normal 2 2 10 32 4 7" xfId="9036" xr:uid="{00000000-0005-0000-0000-00001E230000}"/>
    <cellStyle name="Normal 2 2 10 32 4 8" xfId="9037" xr:uid="{00000000-0005-0000-0000-00001F230000}"/>
    <cellStyle name="Normal 2 2 10 32 4 9" xfId="9038" xr:uid="{00000000-0005-0000-0000-000020230000}"/>
    <cellStyle name="Normal 2 2 10 32 5" xfId="9039" xr:uid="{00000000-0005-0000-0000-000021230000}"/>
    <cellStyle name="Normal 2 2 10 32 5 10" xfId="9040" xr:uid="{00000000-0005-0000-0000-000022230000}"/>
    <cellStyle name="Normal 2 2 10 32 5 2" xfId="9041" xr:uid="{00000000-0005-0000-0000-000023230000}"/>
    <cellStyle name="Normal 2 2 10 32 5 3" xfId="9042" xr:uid="{00000000-0005-0000-0000-000024230000}"/>
    <cellStyle name="Normal 2 2 10 32 5 4" xfId="9043" xr:uid="{00000000-0005-0000-0000-000025230000}"/>
    <cellStyle name="Normal 2 2 10 32 5 5" xfId="9044" xr:uid="{00000000-0005-0000-0000-000026230000}"/>
    <cellStyle name="Normal 2 2 10 32 5 6" xfId="9045" xr:uid="{00000000-0005-0000-0000-000027230000}"/>
    <cellStyle name="Normal 2 2 10 32 5 7" xfId="9046" xr:uid="{00000000-0005-0000-0000-000028230000}"/>
    <cellStyle name="Normal 2 2 10 32 5 8" xfId="9047" xr:uid="{00000000-0005-0000-0000-000029230000}"/>
    <cellStyle name="Normal 2 2 10 32 5 9" xfId="9048" xr:uid="{00000000-0005-0000-0000-00002A230000}"/>
    <cellStyle name="Normal 2 2 10 32 6" xfId="9049" xr:uid="{00000000-0005-0000-0000-00002B230000}"/>
    <cellStyle name="Normal 2 2 10 32 7" xfId="9050" xr:uid="{00000000-0005-0000-0000-00002C230000}"/>
    <cellStyle name="Normal 2 2 10 32 8" xfId="9051" xr:uid="{00000000-0005-0000-0000-00002D230000}"/>
    <cellStyle name="Normal 2 2 10 32 9" xfId="9052" xr:uid="{00000000-0005-0000-0000-00002E230000}"/>
    <cellStyle name="Normal 2 2 10 33" xfId="9053" xr:uid="{00000000-0005-0000-0000-00002F230000}"/>
    <cellStyle name="Normal 2 2 10 33 10" xfId="9054" xr:uid="{00000000-0005-0000-0000-000030230000}"/>
    <cellStyle name="Normal 2 2 10 33 11" xfId="9055" xr:uid="{00000000-0005-0000-0000-000031230000}"/>
    <cellStyle name="Normal 2 2 10 33 12" xfId="9056" xr:uid="{00000000-0005-0000-0000-000032230000}"/>
    <cellStyle name="Normal 2 2 10 33 13" xfId="9057" xr:uid="{00000000-0005-0000-0000-000033230000}"/>
    <cellStyle name="Normal 2 2 10 33 14" xfId="9058" xr:uid="{00000000-0005-0000-0000-000034230000}"/>
    <cellStyle name="Normal 2 2 10 33 2" xfId="9059" xr:uid="{00000000-0005-0000-0000-000035230000}"/>
    <cellStyle name="Normal 2 2 10 33 2 10" xfId="9060" xr:uid="{00000000-0005-0000-0000-000036230000}"/>
    <cellStyle name="Normal 2 2 10 33 2 2" xfId="9061" xr:uid="{00000000-0005-0000-0000-000037230000}"/>
    <cellStyle name="Normal 2 2 10 33 2 3" xfId="9062" xr:uid="{00000000-0005-0000-0000-000038230000}"/>
    <cellStyle name="Normal 2 2 10 33 2 4" xfId="9063" xr:uid="{00000000-0005-0000-0000-000039230000}"/>
    <cellStyle name="Normal 2 2 10 33 2 5" xfId="9064" xr:uid="{00000000-0005-0000-0000-00003A230000}"/>
    <cellStyle name="Normal 2 2 10 33 2 6" xfId="9065" xr:uid="{00000000-0005-0000-0000-00003B230000}"/>
    <cellStyle name="Normal 2 2 10 33 2 7" xfId="9066" xr:uid="{00000000-0005-0000-0000-00003C230000}"/>
    <cellStyle name="Normal 2 2 10 33 2 8" xfId="9067" xr:uid="{00000000-0005-0000-0000-00003D230000}"/>
    <cellStyle name="Normal 2 2 10 33 2 9" xfId="9068" xr:uid="{00000000-0005-0000-0000-00003E230000}"/>
    <cellStyle name="Normal 2 2 10 33 3" xfId="9069" xr:uid="{00000000-0005-0000-0000-00003F230000}"/>
    <cellStyle name="Normal 2 2 10 33 3 10" xfId="9070" xr:uid="{00000000-0005-0000-0000-000040230000}"/>
    <cellStyle name="Normal 2 2 10 33 3 2" xfId="9071" xr:uid="{00000000-0005-0000-0000-000041230000}"/>
    <cellStyle name="Normal 2 2 10 33 3 3" xfId="9072" xr:uid="{00000000-0005-0000-0000-000042230000}"/>
    <cellStyle name="Normal 2 2 10 33 3 4" xfId="9073" xr:uid="{00000000-0005-0000-0000-000043230000}"/>
    <cellStyle name="Normal 2 2 10 33 3 5" xfId="9074" xr:uid="{00000000-0005-0000-0000-000044230000}"/>
    <cellStyle name="Normal 2 2 10 33 3 6" xfId="9075" xr:uid="{00000000-0005-0000-0000-000045230000}"/>
    <cellStyle name="Normal 2 2 10 33 3 7" xfId="9076" xr:uid="{00000000-0005-0000-0000-000046230000}"/>
    <cellStyle name="Normal 2 2 10 33 3 8" xfId="9077" xr:uid="{00000000-0005-0000-0000-000047230000}"/>
    <cellStyle name="Normal 2 2 10 33 3 9" xfId="9078" xr:uid="{00000000-0005-0000-0000-000048230000}"/>
    <cellStyle name="Normal 2 2 10 33 4" xfId="9079" xr:uid="{00000000-0005-0000-0000-000049230000}"/>
    <cellStyle name="Normal 2 2 10 33 4 10" xfId="9080" xr:uid="{00000000-0005-0000-0000-00004A230000}"/>
    <cellStyle name="Normal 2 2 10 33 4 2" xfId="9081" xr:uid="{00000000-0005-0000-0000-00004B230000}"/>
    <cellStyle name="Normal 2 2 10 33 4 3" xfId="9082" xr:uid="{00000000-0005-0000-0000-00004C230000}"/>
    <cellStyle name="Normal 2 2 10 33 4 4" xfId="9083" xr:uid="{00000000-0005-0000-0000-00004D230000}"/>
    <cellStyle name="Normal 2 2 10 33 4 5" xfId="9084" xr:uid="{00000000-0005-0000-0000-00004E230000}"/>
    <cellStyle name="Normal 2 2 10 33 4 6" xfId="9085" xr:uid="{00000000-0005-0000-0000-00004F230000}"/>
    <cellStyle name="Normal 2 2 10 33 4 7" xfId="9086" xr:uid="{00000000-0005-0000-0000-000050230000}"/>
    <cellStyle name="Normal 2 2 10 33 4 8" xfId="9087" xr:uid="{00000000-0005-0000-0000-000051230000}"/>
    <cellStyle name="Normal 2 2 10 33 4 9" xfId="9088" xr:uid="{00000000-0005-0000-0000-000052230000}"/>
    <cellStyle name="Normal 2 2 10 33 5" xfId="9089" xr:uid="{00000000-0005-0000-0000-000053230000}"/>
    <cellStyle name="Normal 2 2 10 33 5 10" xfId="9090" xr:uid="{00000000-0005-0000-0000-000054230000}"/>
    <cellStyle name="Normal 2 2 10 33 5 2" xfId="9091" xr:uid="{00000000-0005-0000-0000-000055230000}"/>
    <cellStyle name="Normal 2 2 10 33 5 3" xfId="9092" xr:uid="{00000000-0005-0000-0000-000056230000}"/>
    <cellStyle name="Normal 2 2 10 33 5 4" xfId="9093" xr:uid="{00000000-0005-0000-0000-000057230000}"/>
    <cellStyle name="Normal 2 2 10 33 5 5" xfId="9094" xr:uid="{00000000-0005-0000-0000-000058230000}"/>
    <cellStyle name="Normal 2 2 10 33 5 6" xfId="9095" xr:uid="{00000000-0005-0000-0000-000059230000}"/>
    <cellStyle name="Normal 2 2 10 33 5 7" xfId="9096" xr:uid="{00000000-0005-0000-0000-00005A230000}"/>
    <cellStyle name="Normal 2 2 10 33 5 8" xfId="9097" xr:uid="{00000000-0005-0000-0000-00005B230000}"/>
    <cellStyle name="Normal 2 2 10 33 5 9" xfId="9098" xr:uid="{00000000-0005-0000-0000-00005C230000}"/>
    <cellStyle name="Normal 2 2 10 33 6" xfId="9099" xr:uid="{00000000-0005-0000-0000-00005D230000}"/>
    <cellStyle name="Normal 2 2 10 33 7" xfId="9100" xr:uid="{00000000-0005-0000-0000-00005E230000}"/>
    <cellStyle name="Normal 2 2 10 33 8" xfId="9101" xr:uid="{00000000-0005-0000-0000-00005F230000}"/>
    <cellStyle name="Normal 2 2 10 33 9" xfId="9102" xr:uid="{00000000-0005-0000-0000-000060230000}"/>
    <cellStyle name="Normal 2 2 10 34" xfId="9103" xr:uid="{00000000-0005-0000-0000-000061230000}"/>
    <cellStyle name="Normal 2 2 10 34 10" xfId="9104" xr:uid="{00000000-0005-0000-0000-000062230000}"/>
    <cellStyle name="Normal 2 2 10 34 11" xfId="9105" xr:uid="{00000000-0005-0000-0000-000063230000}"/>
    <cellStyle name="Normal 2 2 10 34 12" xfId="9106" xr:uid="{00000000-0005-0000-0000-000064230000}"/>
    <cellStyle name="Normal 2 2 10 34 13" xfId="9107" xr:uid="{00000000-0005-0000-0000-000065230000}"/>
    <cellStyle name="Normal 2 2 10 34 14" xfId="9108" xr:uid="{00000000-0005-0000-0000-000066230000}"/>
    <cellStyle name="Normal 2 2 10 34 2" xfId="9109" xr:uid="{00000000-0005-0000-0000-000067230000}"/>
    <cellStyle name="Normal 2 2 10 34 2 10" xfId="9110" xr:uid="{00000000-0005-0000-0000-000068230000}"/>
    <cellStyle name="Normal 2 2 10 34 2 2" xfId="9111" xr:uid="{00000000-0005-0000-0000-000069230000}"/>
    <cellStyle name="Normal 2 2 10 34 2 3" xfId="9112" xr:uid="{00000000-0005-0000-0000-00006A230000}"/>
    <cellStyle name="Normal 2 2 10 34 2 4" xfId="9113" xr:uid="{00000000-0005-0000-0000-00006B230000}"/>
    <cellStyle name="Normal 2 2 10 34 2 5" xfId="9114" xr:uid="{00000000-0005-0000-0000-00006C230000}"/>
    <cellStyle name="Normal 2 2 10 34 2 6" xfId="9115" xr:uid="{00000000-0005-0000-0000-00006D230000}"/>
    <cellStyle name="Normal 2 2 10 34 2 7" xfId="9116" xr:uid="{00000000-0005-0000-0000-00006E230000}"/>
    <cellStyle name="Normal 2 2 10 34 2 8" xfId="9117" xr:uid="{00000000-0005-0000-0000-00006F230000}"/>
    <cellStyle name="Normal 2 2 10 34 2 9" xfId="9118" xr:uid="{00000000-0005-0000-0000-000070230000}"/>
    <cellStyle name="Normal 2 2 10 34 3" xfId="9119" xr:uid="{00000000-0005-0000-0000-000071230000}"/>
    <cellStyle name="Normal 2 2 10 34 3 10" xfId="9120" xr:uid="{00000000-0005-0000-0000-000072230000}"/>
    <cellStyle name="Normal 2 2 10 34 3 2" xfId="9121" xr:uid="{00000000-0005-0000-0000-000073230000}"/>
    <cellStyle name="Normal 2 2 10 34 3 3" xfId="9122" xr:uid="{00000000-0005-0000-0000-000074230000}"/>
    <cellStyle name="Normal 2 2 10 34 3 4" xfId="9123" xr:uid="{00000000-0005-0000-0000-000075230000}"/>
    <cellStyle name="Normal 2 2 10 34 3 5" xfId="9124" xr:uid="{00000000-0005-0000-0000-000076230000}"/>
    <cellStyle name="Normal 2 2 10 34 3 6" xfId="9125" xr:uid="{00000000-0005-0000-0000-000077230000}"/>
    <cellStyle name="Normal 2 2 10 34 3 7" xfId="9126" xr:uid="{00000000-0005-0000-0000-000078230000}"/>
    <cellStyle name="Normal 2 2 10 34 3 8" xfId="9127" xr:uid="{00000000-0005-0000-0000-000079230000}"/>
    <cellStyle name="Normal 2 2 10 34 3 9" xfId="9128" xr:uid="{00000000-0005-0000-0000-00007A230000}"/>
    <cellStyle name="Normal 2 2 10 34 4" xfId="9129" xr:uid="{00000000-0005-0000-0000-00007B230000}"/>
    <cellStyle name="Normal 2 2 10 34 4 10" xfId="9130" xr:uid="{00000000-0005-0000-0000-00007C230000}"/>
    <cellStyle name="Normal 2 2 10 34 4 2" xfId="9131" xr:uid="{00000000-0005-0000-0000-00007D230000}"/>
    <cellStyle name="Normal 2 2 10 34 4 3" xfId="9132" xr:uid="{00000000-0005-0000-0000-00007E230000}"/>
    <cellStyle name="Normal 2 2 10 34 4 4" xfId="9133" xr:uid="{00000000-0005-0000-0000-00007F230000}"/>
    <cellStyle name="Normal 2 2 10 34 4 5" xfId="9134" xr:uid="{00000000-0005-0000-0000-000080230000}"/>
    <cellStyle name="Normal 2 2 10 34 4 6" xfId="9135" xr:uid="{00000000-0005-0000-0000-000081230000}"/>
    <cellStyle name="Normal 2 2 10 34 4 7" xfId="9136" xr:uid="{00000000-0005-0000-0000-000082230000}"/>
    <cellStyle name="Normal 2 2 10 34 4 8" xfId="9137" xr:uid="{00000000-0005-0000-0000-000083230000}"/>
    <cellStyle name="Normal 2 2 10 34 4 9" xfId="9138" xr:uid="{00000000-0005-0000-0000-000084230000}"/>
    <cellStyle name="Normal 2 2 10 34 5" xfId="9139" xr:uid="{00000000-0005-0000-0000-000085230000}"/>
    <cellStyle name="Normal 2 2 10 34 5 10" xfId="9140" xr:uid="{00000000-0005-0000-0000-000086230000}"/>
    <cellStyle name="Normal 2 2 10 34 5 2" xfId="9141" xr:uid="{00000000-0005-0000-0000-000087230000}"/>
    <cellStyle name="Normal 2 2 10 34 5 3" xfId="9142" xr:uid="{00000000-0005-0000-0000-000088230000}"/>
    <cellStyle name="Normal 2 2 10 34 5 4" xfId="9143" xr:uid="{00000000-0005-0000-0000-000089230000}"/>
    <cellStyle name="Normal 2 2 10 34 5 5" xfId="9144" xr:uid="{00000000-0005-0000-0000-00008A230000}"/>
    <cellStyle name="Normal 2 2 10 34 5 6" xfId="9145" xr:uid="{00000000-0005-0000-0000-00008B230000}"/>
    <cellStyle name="Normal 2 2 10 34 5 7" xfId="9146" xr:uid="{00000000-0005-0000-0000-00008C230000}"/>
    <cellStyle name="Normal 2 2 10 34 5 8" xfId="9147" xr:uid="{00000000-0005-0000-0000-00008D230000}"/>
    <cellStyle name="Normal 2 2 10 34 5 9" xfId="9148" xr:uid="{00000000-0005-0000-0000-00008E230000}"/>
    <cellStyle name="Normal 2 2 10 34 6" xfId="9149" xr:uid="{00000000-0005-0000-0000-00008F230000}"/>
    <cellStyle name="Normal 2 2 10 34 7" xfId="9150" xr:uid="{00000000-0005-0000-0000-000090230000}"/>
    <cellStyle name="Normal 2 2 10 34 8" xfId="9151" xr:uid="{00000000-0005-0000-0000-000091230000}"/>
    <cellStyle name="Normal 2 2 10 34 9" xfId="9152" xr:uid="{00000000-0005-0000-0000-000092230000}"/>
    <cellStyle name="Normal 2 2 10 35" xfId="9153" xr:uid="{00000000-0005-0000-0000-000093230000}"/>
    <cellStyle name="Normal 2 2 10 35 10" xfId="9154" xr:uid="{00000000-0005-0000-0000-000094230000}"/>
    <cellStyle name="Normal 2 2 10 35 2" xfId="9155" xr:uid="{00000000-0005-0000-0000-000095230000}"/>
    <cellStyle name="Normal 2 2 10 35 3" xfId="9156" xr:uid="{00000000-0005-0000-0000-000096230000}"/>
    <cellStyle name="Normal 2 2 10 35 4" xfId="9157" xr:uid="{00000000-0005-0000-0000-000097230000}"/>
    <cellStyle name="Normal 2 2 10 35 5" xfId="9158" xr:uid="{00000000-0005-0000-0000-000098230000}"/>
    <cellStyle name="Normal 2 2 10 35 6" xfId="9159" xr:uid="{00000000-0005-0000-0000-000099230000}"/>
    <cellStyle name="Normal 2 2 10 35 7" xfId="9160" xr:uid="{00000000-0005-0000-0000-00009A230000}"/>
    <cellStyle name="Normal 2 2 10 35 8" xfId="9161" xr:uid="{00000000-0005-0000-0000-00009B230000}"/>
    <cellStyle name="Normal 2 2 10 35 9" xfId="9162" xr:uid="{00000000-0005-0000-0000-00009C230000}"/>
    <cellStyle name="Normal 2 2 10 36" xfId="9163" xr:uid="{00000000-0005-0000-0000-00009D230000}"/>
    <cellStyle name="Normal 2 2 10 36 10" xfId="9164" xr:uid="{00000000-0005-0000-0000-00009E230000}"/>
    <cellStyle name="Normal 2 2 10 36 2" xfId="9165" xr:uid="{00000000-0005-0000-0000-00009F230000}"/>
    <cellStyle name="Normal 2 2 10 36 3" xfId="9166" xr:uid="{00000000-0005-0000-0000-0000A0230000}"/>
    <cellStyle name="Normal 2 2 10 36 4" xfId="9167" xr:uid="{00000000-0005-0000-0000-0000A1230000}"/>
    <cellStyle name="Normal 2 2 10 36 5" xfId="9168" xr:uid="{00000000-0005-0000-0000-0000A2230000}"/>
    <cellStyle name="Normal 2 2 10 36 6" xfId="9169" xr:uid="{00000000-0005-0000-0000-0000A3230000}"/>
    <cellStyle name="Normal 2 2 10 36 7" xfId="9170" xr:uid="{00000000-0005-0000-0000-0000A4230000}"/>
    <cellStyle name="Normal 2 2 10 36 8" xfId="9171" xr:uid="{00000000-0005-0000-0000-0000A5230000}"/>
    <cellStyle name="Normal 2 2 10 36 9" xfId="9172" xr:uid="{00000000-0005-0000-0000-0000A6230000}"/>
    <cellStyle name="Normal 2 2 10 37" xfId="9173" xr:uid="{00000000-0005-0000-0000-0000A7230000}"/>
    <cellStyle name="Normal 2 2 10 37 10" xfId="9174" xr:uid="{00000000-0005-0000-0000-0000A8230000}"/>
    <cellStyle name="Normal 2 2 10 37 2" xfId="9175" xr:uid="{00000000-0005-0000-0000-0000A9230000}"/>
    <cellStyle name="Normal 2 2 10 37 3" xfId="9176" xr:uid="{00000000-0005-0000-0000-0000AA230000}"/>
    <cellStyle name="Normal 2 2 10 37 4" xfId="9177" xr:uid="{00000000-0005-0000-0000-0000AB230000}"/>
    <cellStyle name="Normal 2 2 10 37 5" xfId="9178" xr:uid="{00000000-0005-0000-0000-0000AC230000}"/>
    <cellStyle name="Normal 2 2 10 37 6" xfId="9179" xr:uid="{00000000-0005-0000-0000-0000AD230000}"/>
    <cellStyle name="Normal 2 2 10 37 7" xfId="9180" xr:uid="{00000000-0005-0000-0000-0000AE230000}"/>
    <cellStyle name="Normal 2 2 10 37 8" xfId="9181" xr:uid="{00000000-0005-0000-0000-0000AF230000}"/>
    <cellStyle name="Normal 2 2 10 37 9" xfId="9182" xr:uid="{00000000-0005-0000-0000-0000B0230000}"/>
    <cellStyle name="Normal 2 2 10 38" xfId="9183" xr:uid="{00000000-0005-0000-0000-0000B1230000}"/>
    <cellStyle name="Normal 2 2 10 38 10" xfId="9184" xr:uid="{00000000-0005-0000-0000-0000B2230000}"/>
    <cellStyle name="Normal 2 2 10 38 2" xfId="9185" xr:uid="{00000000-0005-0000-0000-0000B3230000}"/>
    <cellStyle name="Normal 2 2 10 38 3" xfId="9186" xr:uid="{00000000-0005-0000-0000-0000B4230000}"/>
    <cellStyle name="Normal 2 2 10 38 4" xfId="9187" xr:uid="{00000000-0005-0000-0000-0000B5230000}"/>
    <cellStyle name="Normal 2 2 10 38 5" xfId="9188" xr:uid="{00000000-0005-0000-0000-0000B6230000}"/>
    <cellStyle name="Normal 2 2 10 38 6" xfId="9189" xr:uid="{00000000-0005-0000-0000-0000B7230000}"/>
    <cellStyle name="Normal 2 2 10 38 7" xfId="9190" xr:uid="{00000000-0005-0000-0000-0000B8230000}"/>
    <cellStyle name="Normal 2 2 10 38 8" xfId="9191" xr:uid="{00000000-0005-0000-0000-0000B9230000}"/>
    <cellStyle name="Normal 2 2 10 38 9" xfId="9192" xr:uid="{00000000-0005-0000-0000-0000BA230000}"/>
    <cellStyle name="Normal 2 2 10 39" xfId="9193" xr:uid="{00000000-0005-0000-0000-0000BB230000}"/>
    <cellStyle name="Normal 2 2 10 4" xfId="9194" xr:uid="{00000000-0005-0000-0000-0000BC230000}"/>
    <cellStyle name="Normal 2 2 10 4 10" xfId="9195" xr:uid="{00000000-0005-0000-0000-0000BD230000}"/>
    <cellStyle name="Normal 2 2 10 4 11" xfId="9196" xr:uid="{00000000-0005-0000-0000-0000BE230000}"/>
    <cellStyle name="Normal 2 2 10 4 12" xfId="9197" xr:uid="{00000000-0005-0000-0000-0000BF230000}"/>
    <cellStyle name="Normal 2 2 10 4 13" xfId="9198" xr:uid="{00000000-0005-0000-0000-0000C0230000}"/>
    <cellStyle name="Normal 2 2 10 4 14" xfId="9199" xr:uid="{00000000-0005-0000-0000-0000C1230000}"/>
    <cellStyle name="Normal 2 2 10 4 2" xfId="9200" xr:uid="{00000000-0005-0000-0000-0000C2230000}"/>
    <cellStyle name="Normal 2 2 10 4 2 10" xfId="9201" xr:uid="{00000000-0005-0000-0000-0000C3230000}"/>
    <cellStyle name="Normal 2 2 10 4 2 2" xfId="9202" xr:uid="{00000000-0005-0000-0000-0000C4230000}"/>
    <cellStyle name="Normal 2 2 10 4 2 3" xfId="9203" xr:uid="{00000000-0005-0000-0000-0000C5230000}"/>
    <cellStyle name="Normal 2 2 10 4 2 4" xfId="9204" xr:uid="{00000000-0005-0000-0000-0000C6230000}"/>
    <cellStyle name="Normal 2 2 10 4 2 5" xfId="9205" xr:uid="{00000000-0005-0000-0000-0000C7230000}"/>
    <cellStyle name="Normal 2 2 10 4 2 6" xfId="9206" xr:uid="{00000000-0005-0000-0000-0000C8230000}"/>
    <cellStyle name="Normal 2 2 10 4 2 7" xfId="9207" xr:uid="{00000000-0005-0000-0000-0000C9230000}"/>
    <cellStyle name="Normal 2 2 10 4 2 8" xfId="9208" xr:uid="{00000000-0005-0000-0000-0000CA230000}"/>
    <cellStyle name="Normal 2 2 10 4 2 9" xfId="9209" xr:uid="{00000000-0005-0000-0000-0000CB230000}"/>
    <cellStyle name="Normal 2 2 10 4 3" xfId="9210" xr:uid="{00000000-0005-0000-0000-0000CC230000}"/>
    <cellStyle name="Normal 2 2 10 4 3 10" xfId="9211" xr:uid="{00000000-0005-0000-0000-0000CD230000}"/>
    <cellStyle name="Normal 2 2 10 4 3 2" xfId="9212" xr:uid="{00000000-0005-0000-0000-0000CE230000}"/>
    <cellStyle name="Normal 2 2 10 4 3 3" xfId="9213" xr:uid="{00000000-0005-0000-0000-0000CF230000}"/>
    <cellStyle name="Normal 2 2 10 4 3 4" xfId="9214" xr:uid="{00000000-0005-0000-0000-0000D0230000}"/>
    <cellStyle name="Normal 2 2 10 4 3 5" xfId="9215" xr:uid="{00000000-0005-0000-0000-0000D1230000}"/>
    <cellStyle name="Normal 2 2 10 4 3 6" xfId="9216" xr:uid="{00000000-0005-0000-0000-0000D2230000}"/>
    <cellStyle name="Normal 2 2 10 4 3 7" xfId="9217" xr:uid="{00000000-0005-0000-0000-0000D3230000}"/>
    <cellStyle name="Normal 2 2 10 4 3 8" xfId="9218" xr:uid="{00000000-0005-0000-0000-0000D4230000}"/>
    <cellStyle name="Normal 2 2 10 4 3 9" xfId="9219" xr:uid="{00000000-0005-0000-0000-0000D5230000}"/>
    <cellStyle name="Normal 2 2 10 4 4" xfId="9220" xr:uid="{00000000-0005-0000-0000-0000D6230000}"/>
    <cellStyle name="Normal 2 2 10 4 4 10" xfId="9221" xr:uid="{00000000-0005-0000-0000-0000D7230000}"/>
    <cellStyle name="Normal 2 2 10 4 4 2" xfId="9222" xr:uid="{00000000-0005-0000-0000-0000D8230000}"/>
    <cellStyle name="Normal 2 2 10 4 4 3" xfId="9223" xr:uid="{00000000-0005-0000-0000-0000D9230000}"/>
    <cellStyle name="Normal 2 2 10 4 4 4" xfId="9224" xr:uid="{00000000-0005-0000-0000-0000DA230000}"/>
    <cellStyle name="Normal 2 2 10 4 4 5" xfId="9225" xr:uid="{00000000-0005-0000-0000-0000DB230000}"/>
    <cellStyle name="Normal 2 2 10 4 4 6" xfId="9226" xr:uid="{00000000-0005-0000-0000-0000DC230000}"/>
    <cellStyle name="Normal 2 2 10 4 4 7" xfId="9227" xr:uid="{00000000-0005-0000-0000-0000DD230000}"/>
    <cellStyle name="Normal 2 2 10 4 4 8" xfId="9228" xr:uid="{00000000-0005-0000-0000-0000DE230000}"/>
    <cellStyle name="Normal 2 2 10 4 4 9" xfId="9229" xr:uid="{00000000-0005-0000-0000-0000DF230000}"/>
    <cellStyle name="Normal 2 2 10 4 5" xfId="9230" xr:uid="{00000000-0005-0000-0000-0000E0230000}"/>
    <cellStyle name="Normal 2 2 10 4 5 10" xfId="9231" xr:uid="{00000000-0005-0000-0000-0000E1230000}"/>
    <cellStyle name="Normal 2 2 10 4 5 2" xfId="9232" xr:uid="{00000000-0005-0000-0000-0000E2230000}"/>
    <cellStyle name="Normal 2 2 10 4 5 3" xfId="9233" xr:uid="{00000000-0005-0000-0000-0000E3230000}"/>
    <cellStyle name="Normal 2 2 10 4 5 4" xfId="9234" xr:uid="{00000000-0005-0000-0000-0000E4230000}"/>
    <cellStyle name="Normal 2 2 10 4 5 5" xfId="9235" xr:uid="{00000000-0005-0000-0000-0000E5230000}"/>
    <cellStyle name="Normal 2 2 10 4 5 6" xfId="9236" xr:uid="{00000000-0005-0000-0000-0000E6230000}"/>
    <cellStyle name="Normal 2 2 10 4 5 7" xfId="9237" xr:uid="{00000000-0005-0000-0000-0000E7230000}"/>
    <cellStyle name="Normal 2 2 10 4 5 8" xfId="9238" xr:uid="{00000000-0005-0000-0000-0000E8230000}"/>
    <cellStyle name="Normal 2 2 10 4 5 9" xfId="9239" xr:uid="{00000000-0005-0000-0000-0000E9230000}"/>
    <cellStyle name="Normal 2 2 10 4 6" xfId="9240" xr:uid="{00000000-0005-0000-0000-0000EA230000}"/>
    <cellStyle name="Normal 2 2 10 4 7" xfId="9241" xr:uid="{00000000-0005-0000-0000-0000EB230000}"/>
    <cellStyle name="Normal 2 2 10 4 8" xfId="9242" xr:uid="{00000000-0005-0000-0000-0000EC230000}"/>
    <cellStyle name="Normal 2 2 10 4 9" xfId="9243" xr:uid="{00000000-0005-0000-0000-0000ED230000}"/>
    <cellStyle name="Normal 2 2 10 40" xfId="9244" xr:uid="{00000000-0005-0000-0000-0000EE230000}"/>
    <cellStyle name="Normal 2 2 10 41" xfId="9245" xr:uid="{00000000-0005-0000-0000-0000EF230000}"/>
    <cellStyle name="Normal 2 2 10 42" xfId="9246" xr:uid="{00000000-0005-0000-0000-0000F0230000}"/>
    <cellStyle name="Normal 2 2 10 43" xfId="9247" xr:uid="{00000000-0005-0000-0000-0000F1230000}"/>
    <cellStyle name="Normal 2 2 10 44" xfId="9248" xr:uid="{00000000-0005-0000-0000-0000F2230000}"/>
    <cellStyle name="Normal 2 2 10 45" xfId="9249" xr:uid="{00000000-0005-0000-0000-0000F3230000}"/>
    <cellStyle name="Normal 2 2 10 46" xfId="9250" xr:uid="{00000000-0005-0000-0000-0000F4230000}"/>
    <cellStyle name="Normal 2 2 10 47" xfId="9251" xr:uid="{00000000-0005-0000-0000-0000F5230000}"/>
    <cellStyle name="Normal 2 2 10 5" xfId="9252" xr:uid="{00000000-0005-0000-0000-0000F6230000}"/>
    <cellStyle name="Normal 2 2 10 5 10" xfId="9253" xr:uid="{00000000-0005-0000-0000-0000F7230000}"/>
    <cellStyle name="Normal 2 2 10 5 11" xfId="9254" xr:uid="{00000000-0005-0000-0000-0000F8230000}"/>
    <cellStyle name="Normal 2 2 10 5 12" xfId="9255" xr:uid="{00000000-0005-0000-0000-0000F9230000}"/>
    <cellStyle name="Normal 2 2 10 5 13" xfId="9256" xr:uid="{00000000-0005-0000-0000-0000FA230000}"/>
    <cellStyle name="Normal 2 2 10 5 14" xfId="9257" xr:uid="{00000000-0005-0000-0000-0000FB230000}"/>
    <cellStyle name="Normal 2 2 10 5 2" xfId="9258" xr:uid="{00000000-0005-0000-0000-0000FC230000}"/>
    <cellStyle name="Normal 2 2 10 5 2 10" xfId="9259" xr:uid="{00000000-0005-0000-0000-0000FD230000}"/>
    <cellStyle name="Normal 2 2 10 5 2 2" xfId="9260" xr:uid="{00000000-0005-0000-0000-0000FE230000}"/>
    <cellStyle name="Normal 2 2 10 5 2 3" xfId="9261" xr:uid="{00000000-0005-0000-0000-0000FF230000}"/>
    <cellStyle name="Normal 2 2 10 5 2 4" xfId="9262" xr:uid="{00000000-0005-0000-0000-000000240000}"/>
    <cellStyle name="Normal 2 2 10 5 2 5" xfId="9263" xr:uid="{00000000-0005-0000-0000-000001240000}"/>
    <cellStyle name="Normal 2 2 10 5 2 6" xfId="9264" xr:uid="{00000000-0005-0000-0000-000002240000}"/>
    <cellStyle name="Normal 2 2 10 5 2 7" xfId="9265" xr:uid="{00000000-0005-0000-0000-000003240000}"/>
    <cellStyle name="Normal 2 2 10 5 2 8" xfId="9266" xr:uid="{00000000-0005-0000-0000-000004240000}"/>
    <cellStyle name="Normal 2 2 10 5 2 9" xfId="9267" xr:uid="{00000000-0005-0000-0000-000005240000}"/>
    <cellStyle name="Normal 2 2 10 5 3" xfId="9268" xr:uid="{00000000-0005-0000-0000-000006240000}"/>
    <cellStyle name="Normal 2 2 10 5 3 10" xfId="9269" xr:uid="{00000000-0005-0000-0000-000007240000}"/>
    <cellStyle name="Normal 2 2 10 5 3 2" xfId="9270" xr:uid="{00000000-0005-0000-0000-000008240000}"/>
    <cellStyle name="Normal 2 2 10 5 3 3" xfId="9271" xr:uid="{00000000-0005-0000-0000-000009240000}"/>
    <cellStyle name="Normal 2 2 10 5 3 4" xfId="9272" xr:uid="{00000000-0005-0000-0000-00000A240000}"/>
    <cellStyle name="Normal 2 2 10 5 3 5" xfId="9273" xr:uid="{00000000-0005-0000-0000-00000B240000}"/>
    <cellStyle name="Normal 2 2 10 5 3 6" xfId="9274" xr:uid="{00000000-0005-0000-0000-00000C240000}"/>
    <cellStyle name="Normal 2 2 10 5 3 7" xfId="9275" xr:uid="{00000000-0005-0000-0000-00000D240000}"/>
    <cellStyle name="Normal 2 2 10 5 3 8" xfId="9276" xr:uid="{00000000-0005-0000-0000-00000E240000}"/>
    <cellStyle name="Normal 2 2 10 5 3 9" xfId="9277" xr:uid="{00000000-0005-0000-0000-00000F240000}"/>
    <cellStyle name="Normal 2 2 10 5 4" xfId="9278" xr:uid="{00000000-0005-0000-0000-000010240000}"/>
    <cellStyle name="Normal 2 2 10 5 4 10" xfId="9279" xr:uid="{00000000-0005-0000-0000-000011240000}"/>
    <cellStyle name="Normal 2 2 10 5 4 2" xfId="9280" xr:uid="{00000000-0005-0000-0000-000012240000}"/>
    <cellStyle name="Normal 2 2 10 5 4 3" xfId="9281" xr:uid="{00000000-0005-0000-0000-000013240000}"/>
    <cellStyle name="Normal 2 2 10 5 4 4" xfId="9282" xr:uid="{00000000-0005-0000-0000-000014240000}"/>
    <cellStyle name="Normal 2 2 10 5 4 5" xfId="9283" xr:uid="{00000000-0005-0000-0000-000015240000}"/>
    <cellStyle name="Normal 2 2 10 5 4 6" xfId="9284" xr:uid="{00000000-0005-0000-0000-000016240000}"/>
    <cellStyle name="Normal 2 2 10 5 4 7" xfId="9285" xr:uid="{00000000-0005-0000-0000-000017240000}"/>
    <cellStyle name="Normal 2 2 10 5 4 8" xfId="9286" xr:uid="{00000000-0005-0000-0000-000018240000}"/>
    <cellStyle name="Normal 2 2 10 5 4 9" xfId="9287" xr:uid="{00000000-0005-0000-0000-000019240000}"/>
    <cellStyle name="Normal 2 2 10 5 5" xfId="9288" xr:uid="{00000000-0005-0000-0000-00001A240000}"/>
    <cellStyle name="Normal 2 2 10 5 5 10" xfId="9289" xr:uid="{00000000-0005-0000-0000-00001B240000}"/>
    <cellStyle name="Normal 2 2 10 5 5 2" xfId="9290" xr:uid="{00000000-0005-0000-0000-00001C240000}"/>
    <cellStyle name="Normal 2 2 10 5 5 3" xfId="9291" xr:uid="{00000000-0005-0000-0000-00001D240000}"/>
    <cellStyle name="Normal 2 2 10 5 5 4" xfId="9292" xr:uid="{00000000-0005-0000-0000-00001E240000}"/>
    <cellStyle name="Normal 2 2 10 5 5 5" xfId="9293" xr:uid="{00000000-0005-0000-0000-00001F240000}"/>
    <cellStyle name="Normal 2 2 10 5 5 6" xfId="9294" xr:uid="{00000000-0005-0000-0000-000020240000}"/>
    <cellStyle name="Normal 2 2 10 5 5 7" xfId="9295" xr:uid="{00000000-0005-0000-0000-000021240000}"/>
    <cellStyle name="Normal 2 2 10 5 5 8" xfId="9296" xr:uid="{00000000-0005-0000-0000-000022240000}"/>
    <cellStyle name="Normal 2 2 10 5 5 9" xfId="9297" xr:uid="{00000000-0005-0000-0000-000023240000}"/>
    <cellStyle name="Normal 2 2 10 5 6" xfId="9298" xr:uid="{00000000-0005-0000-0000-000024240000}"/>
    <cellStyle name="Normal 2 2 10 5 7" xfId="9299" xr:uid="{00000000-0005-0000-0000-000025240000}"/>
    <cellStyle name="Normal 2 2 10 5 8" xfId="9300" xr:uid="{00000000-0005-0000-0000-000026240000}"/>
    <cellStyle name="Normal 2 2 10 5 9" xfId="9301" xr:uid="{00000000-0005-0000-0000-000027240000}"/>
    <cellStyle name="Normal 2 2 10 6" xfId="9302" xr:uid="{00000000-0005-0000-0000-000028240000}"/>
    <cellStyle name="Normal 2 2 10 6 10" xfId="9303" xr:uid="{00000000-0005-0000-0000-000029240000}"/>
    <cellStyle name="Normal 2 2 10 6 11" xfId="9304" xr:uid="{00000000-0005-0000-0000-00002A240000}"/>
    <cellStyle name="Normal 2 2 10 6 12" xfId="9305" xr:uid="{00000000-0005-0000-0000-00002B240000}"/>
    <cellStyle name="Normal 2 2 10 6 13" xfId="9306" xr:uid="{00000000-0005-0000-0000-00002C240000}"/>
    <cellStyle name="Normal 2 2 10 6 14" xfId="9307" xr:uid="{00000000-0005-0000-0000-00002D240000}"/>
    <cellStyle name="Normal 2 2 10 6 2" xfId="9308" xr:uid="{00000000-0005-0000-0000-00002E240000}"/>
    <cellStyle name="Normal 2 2 10 6 2 10" xfId="9309" xr:uid="{00000000-0005-0000-0000-00002F240000}"/>
    <cellStyle name="Normal 2 2 10 6 2 2" xfId="9310" xr:uid="{00000000-0005-0000-0000-000030240000}"/>
    <cellStyle name="Normal 2 2 10 6 2 3" xfId="9311" xr:uid="{00000000-0005-0000-0000-000031240000}"/>
    <cellStyle name="Normal 2 2 10 6 2 4" xfId="9312" xr:uid="{00000000-0005-0000-0000-000032240000}"/>
    <cellStyle name="Normal 2 2 10 6 2 5" xfId="9313" xr:uid="{00000000-0005-0000-0000-000033240000}"/>
    <cellStyle name="Normal 2 2 10 6 2 6" xfId="9314" xr:uid="{00000000-0005-0000-0000-000034240000}"/>
    <cellStyle name="Normal 2 2 10 6 2 7" xfId="9315" xr:uid="{00000000-0005-0000-0000-000035240000}"/>
    <cellStyle name="Normal 2 2 10 6 2 8" xfId="9316" xr:uid="{00000000-0005-0000-0000-000036240000}"/>
    <cellStyle name="Normal 2 2 10 6 2 9" xfId="9317" xr:uid="{00000000-0005-0000-0000-000037240000}"/>
    <cellStyle name="Normal 2 2 10 6 3" xfId="9318" xr:uid="{00000000-0005-0000-0000-000038240000}"/>
    <cellStyle name="Normal 2 2 10 6 3 10" xfId="9319" xr:uid="{00000000-0005-0000-0000-000039240000}"/>
    <cellStyle name="Normal 2 2 10 6 3 2" xfId="9320" xr:uid="{00000000-0005-0000-0000-00003A240000}"/>
    <cellStyle name="Normal 2 2 10 6 3 3" xfId="9321" xr:uid="{00000000-0005-0000-0000-00003B240000}"/>
    <cellStyle name="Normal 2 2 10 6 3 4" xfId="9322" xr:uid="{00000000-0005-0000-0000-00003C240000}"/>
    <cellStyle name="Normal 2 2 10 6 3 5" xfId="9323" xr:uid="{00000000-0005-0000-0000-00003D240000}"/>
    <cellStyle name="Normal 2 2 10 6 3 6" xfId="9324" xr:uid="{00000000-0005-0000-0000-00003E240000}"/>
    <cellStyle name="Normal 2 2 10 6 3 7" xfId="9325" xr:uid="{00000000-0005-0000-0000-00003F240000}"/>
    <cellStyle name="Normal 2 2 10 6 3 8" xfId="9326" xr:uid="{00000000-0005-0000-0000-000040240000}"/>
    <cellStyle name="Normal 2 2 10 6 3 9" xfId="9327" xr:uid="{00000000-0005-0000-0000-000041240000}"/>
    <cellStyle name="Normal 2 2 10 6 4" xfId="9328" xr:uid="{00000000-0005-0000-0000-000042240000}"/>
    <cellStyle name="Normal 2 2 10 6 4 10" xfId="9329" xr:uid="{00000000-0005-0000-0000-000043240000}"/>
    <cellStyle name="Normal 2 2 10 6 4 2" xfId="9330" xr:uid="{00000000-0005-0000-0000-000044240000}"/>
    <cellStyle name="Normal 2 2 10 6 4 3" xfId="9331" xr:uid="{00000000-0005-0000-0000-000045240000}"/>
    <cellStyle name="Normal 2 2 10 6 4 4" xfId="9332" xr:uid="{00000000-0005-0000-0000-000046240000}"/>
    <cellStyle name="Normal 2 2 10 6 4 5" xfId="9333" xr:uid="{00000000-0005-0000-0000-000047240000}"/>
    <cellStyle name="Normal 2 2 10 6 4 6" xfId="9334" xr:uid="{00000000-0005-0000-0000-000048240000}"/>
    <cellStyle name="Normal 2 2 10 6 4 7" xfId="9335" xr:uid="{00000000-0005-0000-0000-000049240000}"/>
    <cellStyle name="Normal 2 2 10 6 4 8" xfId="9336" xr:uid="{00000000-0005-0000-0000-00004A240000}"/>
    <cellStyle name="Normal 2 2 10 6 4 9" xfId="9337" xr:uid="{00000000-0005-0000-0000-00004B240000}"/>
    <cellStyle name="Normal 2 2 10 6 5" xfId="9338" xr:uid="{00000000-0005-0000-0000-00004C240000}"/>
    <cellStyle name="Normal 2 2 10 6 5 10" xfId="9339" xr:uid="{00000000-0005-0000-0000-00004D240000}"/>
    <cellStyle name="Normal 2 2 10 6 5 2" xfId="9340" xr:uid="{00000000-0005-0000-0000-00004E240000}"/>
    <cellStyle name="Normal 2 2 10 6 5 3" xfId="9341" xr:uid="{00000000-0005-0000-0000-00004F240000}"/>
    <cellStyle name="Normal 2 2 10 6 5 4" xfId="9342" xr:uid="{00000000-0005-0000-0000-000050240000}"/>
    <cellStyle name="Normal 2 2 10 6 5 5" xfId="9343" xr:uid="{00000000-0005-0000-0000-000051240000}"/>
    <cellStyle name="Normal 2 2 10 6 5 6" xfId="9344" xr:uid="{00000000-0005-0000-0000-000052240000}"/>
    <cellStyle name="Normal 2 2 10 6 5 7" xfId="9345" xr:uid="{00000000-0005-0000-0000-000053240000}"/>
    <cellStyle name="Normal 2 2 10 6 5 8" xfId="9346" xr:uid="{00000000-0005-0000-0000-000054240000}"/>
    <cellStyle name="Normal 2 2 10 6 5 9" xfId="9347" xr:uid="{00000000-0005-0000-0000-000055240000}"/>
    <cellStyle name="Normal 2 2 10 6 6" xfId="9348" xr:uid="{00000000-0005-0000-0000-000056240000}"/>
    <cellStyle name="Normal 2 2 10 6 7" xfId="9349" xr:uid="{00000000-0005-0000-0000-000057240000}"/>
    <cellStyle name="Normal 2 2 10 6 8" xfId="9350" xr:uid="{00000000-0005-0000-0000-000058240000}"/>
    <cellStyle name="Normal 2 2 10 6 9" xfId="9351" xr:uid="{00000000-0005-0000-0000-000059240000}"/>
    <cellStyle name="Normal 2 2 10 7" xfId="9352" xr:uid="{00000000-0005-0000-0000-00005A240000}"/>
    <cellStyle name="Normal 2 2 10 7 10" xfId="9353" xr:uid="{00000000-0005-0000-0000-00005B240000}"/>
    <cellStyle name="Normal 2 2 10 7 11" xfId="9354" xr:uid="{00000000-0005-0000-0000-00005C240000}"/>
    <cellStyle name="Normal 2 2 10 7 12" xfId="9355" xr:uid="{00000000-0005-0000-0000-00005D240000}"/>
    <cellStyle name="Normal 2 2 10 7 13" xfId="9356" xr:uid="{00000000-0005-0000-0000-00005E240000}"/>
    <cellStyle name="Normal 2 2 10 7 14" xfId="9357" xr:uid="{00000000-0005-0000-0000-00005F240000}"/>
    <cellStyle name="Normal 2 2 10 7 2" xfId="9358" xr:uid="{00000000-0005-0000-0000-000060240000}"/>
    <cellStyle name="Normal 2 2 10 7 2 10" xfId="9359" xr:uid="{00000000-0005-0000-0000-000061240000}"/>
    <cellStyle name="Normal 2 2 10 7 2 2" xfId="9360" xr:uid="{00000000-0005-0000-0000-000062240000}"/>
    <cellStyle name="Normal 2 2 10 7 2 3" xfId="9361" xr:uid="{00000000-0005-0000-0000-000063240000}"/>
    <cellStyle name="Normal 2 2 10 7 2 4" xfId="9362" xr:uid="{00000000-0005-0000-0000-000064240000}"/>
    <cellStyle name="Normal 2 2 10 7 2 5" xfId="9363" xr:uid="{00000000-0005-0000-0000-000065240000}"/>
    <cellStyle name="Normal 2 2 10 7 2 6" xfId="9364" xr:uid="{00000000-0005-0000-0000-000066240000}"/>
    <cellStyle name="Normal 2 2 10 7 2 7" xfId="9365" xr:uid="{00000000-0005-0000-0000-000067240000}"/>
    <cellStyle name="Normal 2 2 10 7 2 8" xfId="9366" xr:uid="{00000000-0005-0000-0000-000068240000}"/>
    <cellStyle name="Normal 2 2 10 7 2 9" xfId="9367" xr:uid="{00000000-0005-0000-0000-000069240000}"/>
    <cellStyle name="Normal 2 2 10 7 3" xfId="9368" xr:uid="{00000000-0005-0000-0000-00006A240000}"/>
    <cellStyle name="Normal 2 2 10 7 3 10" xfId="9369" xr:uid="{00000000-0005-0000-0000-00006B240000}"/>
    <cellStyle name="Normal 2 2 10 7 3 2" xfId="9370" xr:uid="{00000000-0005-0000-0000-00006C240000}"/>
    <cellStyle name="Normal 2 2 10 7 3 3" xfId="9371" xr:uid="{00000000-0005-0000-0000-00006D240000}"/>
    <cellStyle name="Normal 2 2 10 7 3 4" xfId="9372" xr:uid="{00000000-0005-0000-0000-00006E240000}"/>
    <cellStyle name="Normal 2 2 10 7 3 5" xfId="9373" xr:uid="{00000000-0005-0000-0000-00006F240000}"/>
    <cellStyle name="Normal 2 2 10 7 3 6" xfId="9374" xr:uid="{00000000-0005-0000-0000-000070240000}"/>
    <cellStyle name="Normal 2 2 10 7 3 7" xfId="9375" xr:uid="{00000000-0005-0000-0000-000071240000}"/>
    <cellStyle name="Normal 2 2 10 7 3 8" xfId="9376" xr:uid="{00000000-0005-0000-0000-000072240000}"/>
    <cellStyle name="Normal 2 2 10 7 3 9" xfId="9377" xr:uid="{00000000-0005-0000-0000-000073240000}"/>
    <cellStyle name="Normal 2 2 10 7 4" xfId="9378" xr:uid="{00000000-0005-0000-0000-000074240000}"/>
    <cellStyle name="Normal 2 2 10 7 4 10" xfId="9379" xr:uid="{00000000-0005-0000-0000-000075240000}"/>
    <cellStyle name="Normal 2 2 10 7 4 2" xfId="9380" xr:uid="{00000000-0005-0000-0000-000076240000}"/>
    <cellStyle name="Normal 2 2 10 7 4 3" xfId="9381" xr:uid="{00000000-0005-0000-0000-000077240000}"/>
    <cellStyle name="Normal 2 2 10 7 4 4" xfId="9382" xr:uid="{00000000-0005-0000-0000-000078240000}"/>
    <cellStyle name="Normal 2 2 10 7 4 5" xfId="9383" xr:uid="{00000000-0005-0000-0000-000079240000}"/>
    <cellStyle name="Normal 2 2 10 7 4 6" xfId="9384" xr:uid="{00000000-0005-0000-0000-00007A240000}"/>
    <cellStyle name="Normal 2 2 10 7 4 7" xfId="9385" xr:uid="{00000000-0005-0000-0000-00007B240000}"/>
    <cellStyle name="Normal 2 2 10 7 4 8" xfId="9386" xr:uid="{00000000-0005-0000-0000-00007C240000}"/>
    <cellStyle name="Normal 2 2 10 7 4 9" xfId="9387" xr:uid="{00000000-0005-0000-0000-00007D240000}"/>
    <cellStyle name="Normal 2 2 10 7 5" xfId="9388" xr:uid="{00000000-0005-0000-0000-00007E240000}"/>
    <cellStyle name="Normal 2 2 10 7 5 10" xfId="9389" xr:uid="{00000000-0005-0000-0000-00007F240000}"/>
    <cellStyle name="Normal 2 2 10 7 5 2" xfId="9390" xr:uid="{00000000-0005-0000-0000-000080240000}"/>
    <cellStyle name="Normal 2 2 10 7 5 3" xfId="9391" xr:uid="{00000000-0005-0000-0000-000081240000}"/>
    <cellStyle name="Normal 2 2 10 7 5 4" xfId="9392" xr:uid="{00000000-0005-0000-0000-000082240000}"/>
    <cellStyle name="Normal 2 2 10 7 5 5" xfId="9393" xr:uid="{00000000-0005-0000-0000-000083240000}"/>
    <cellStyle name="Normal 2 2 10 7 5 6" xfId="9394" xr:uid="{00000000-0005-0000-0000-000084240000}"/>
    <cellStyle name="Normal 2 2 10 7 5 7" xfId="9395" xr:uid="{00000000-0005-0000-0000-000085240000}"/>
    <cellStyle name="Normal 2 2 10 7 5 8" xfId="9396" xr:uid="{00000000-0005-0000-0000-000086240000}"/>
    <cellStyle name="Normal 2 2 10 7 5 9" xfId="9397" xr:uid="{00000000-0005-0000-0000-000087240000}"/>
    <cellStyle name="Normal 2 2 10 7 6" xfId="9398" xr:uid="{00000000-0005-0000-0000-000088240000}"/>
    <cellStyle name="Normal 2 2 10 7 7" xfId="9399" xr:uid="{00000000-0005-0000-0000-000089240000}"/>
    <cellStyle name="Normal 2 2 10 7 8" xfId="9400" xr:uid="{00000000-0005-0000-0000-00008A240000}"/>
    <cellStyle name="Normal 2 2 10 7 9" xfId="9401" xr:uid="{00000000-0005-0000-0000-00008B240000}"/>
    <cellStyle name="Normal 2 2 10 8" xfId="9402" xr:uid="{00000000-0005-0000-0000-00008C240000}"/>
    <cellStyle name="Normal 2 2 10 8 10" xfId="9403" xr:uid="{00000000-0005-0000-0000-00008D240000}"/>
    <cellStyle name="Normal 2 2 10 8 11" xfId="9404" xr:uid="{00000000-0005-0000-0000-00008E240000}"/>
    <cellStyle name="Normal 2 2 10 8 12" xfId="9405" xr:uid="{00000000-0005-0000-0000-00008F240000}"/>
    <cellStyle name="Normal 2 2 10 8 13" xfId="9406" xr:uid="{00000000-0005-0000-0000-000090240000}"/>
    <cellStyle name="Normal 2 2 10 8 14" xfId="9407" xr:uid="{00000000-0005-0000-0000-000091240000}"/>
    <cellStyle name="Normal 2 2 10 8 2" xfId="9408" xr:uid="{00000000-0005-0000-0000-000092240000}"/>
    <cellStyle name="Normal 2 2 10 8 2 10" xfId="9409" xr:uid="{00000000-0005-0000-0000-000093240000}"/>
    <cellStyle name="Normal 2 2 10 8 2 2" xfId="9410" xr:uid="{00000000-0005-0000-0000-000094240000}"/>
    <cellStyle name="Normal 2 2 10 8 2 3" xfId="9411" xr:uid="{00000000-0005-0000-0000-000095240000}"/>
    <cellStyle name="Normal 2 2 10 8 2 4" xfId="9412" xr:uid="{00000000-0005-0000-0000-000096240000}"/>
    <cellStyle name="Normal 2 2 10 8 2 5" xfId="9413" xr:uid="{00000000-0005-0000-0000-000097240000}"/>
    <cellStyle name="Normal 2 2 10 8 2 6" xfId="9414" xr:uid="{00000000-0005-0000-0000-000098240000}"/>
    <cellStyle name="Normal 2 2 10 8 2 7" xfId="9415" xr:uid="{00000000-0005-0000-0000-000099240000}"/>
    <cellStyle name="Normal 2 2 10 8 2 8" xfId="9416" xr:uid="{00000000-0005-0000-0000-00009A240000}"/>
    <cellStyle name="Normal 2 2 10 8 2 9" xfId="9417" xr:uid="{00000000-0005-0000-0000-00009B240000}"/>
    <cellStyle name="Normal 2 2 10 8 3" xfId="9418" xr:uid="{00000000-0005-0000-0000-00009C240000}"/>
    <cellStyle name="Normal 2 2 10 8 3 10" xfId="9419" xr:uid="{00000000-0005-0000-0000-00009D240000}"/>
    <cellStyle name="Normal 2 2 10 8 3 2" xfId="9420" xr:uid="{00000000-0005-0000-0000-00009E240000}"/>
    <cellStyle name="Normal 2 2 10 8 3 3" xfId="9421" xr:uid="{00000000-0005-0000-0000-00009F240000}"/>
    <cellStyle name="Normal 2 2 10 8 3 4" xfId="9422" xr:uid="{00000000-0005-0000-0000-0000A0240000}"/>
    <cellStyle name="Normal 2 2 10 8 3 5" xfId="9423" xr:uid="{00000000-0005-0000-0000-0000A1240000}"/>
    <cellStyle name="Normal 2 2 10 8 3 6" xfId="9424" xr:uid="{00000000-0005-0000-0000-0000A2240000}"/>
    <cellStyle name="Normal 2 2 10 8 3 7" xfId="9425" xr:uid="{00000000-0005-0000-0000-0000A3240000}"/>
    <cellStyle name="Normal 2 2 10 8 3 8" xfId="9426" xr:uid="{00000000-0005-0000-0000-0000A4240000}"/>
    <cellStyle name="Normal 2 2 10 8 3 9" xfId="9427" xr:uid="{00000000-0005-0000-0000-0000A5240000}"/>
    <cellStyle name="Normal 2 2 10 8 4" xfId="9428" xr:uid="{00000000-0005-0000-0000-0000A6240000}"/>
    <cellStyle name="Normal 2 2 10 8 4 10" xfId="9429" xr:uid="{00000000-0005-0000-0000-0000A7240000}"/>
    <cellStyle name="Normal 2 2 10 8 4 2" xfId="9430" xr:uid="{00000000-0005-0000-0000-0000A8240000}"/>
    <cellStyle name="Normal 2 2 10 8 4 3" xfId="9431" xr:uid="{00000000-0005-0000-0000-0000A9240000}"/>
    <cellStyle name="Normal 2 2 10 8 4 4" xfId="9432" xr:uid="{00000000-0005-0000-0000-0000AA240000}"/>
    <cellStyle name="Normal 2 2 10 8 4 5" xfId="9433" xr:uid="{00000000-0005-0000-0000-0000AB240000}"/>
    <cellStyle name="Normal 2 2 10 8 4 6" xfId="9434" xr:uid="{00000000-0005-0000-0000-0000AC240000}"/>
    <cellStyle name="Normal 2 2 10 8 4 7" xfId="9435" xr:uid="{00000000-0005-0000-0000-0000AD240000}"/>
    <cellStyle name="Normal 2 2 10 8 4 8" xfId="9436" xr:uid="{00000000-0005-0000-0000-0000AE240000}"/>
    <cellStyle name="Normal 2 2 10 8 4 9" xfId="9437" xr:uid="{00000000-0005-0000-0000-0000AF240000}"/>
    <cellStyle name="Normal 2 2 10 8 5" xfId="9438" xr:uid="{00000000-0005-0000-0000-0000B0240000}"/>
    <cellStyle name="Normal 2 2 10 8 5 10" xfId="9439" xr:uid="{00000000-0005-0000-0000-0000B1240000}"/>
    <cellStyle name="Normal 2 2 10 8 5 2" xfId="9440" xr:uid="{00000000-0005-0000-0000-0000B2240000}"/>
    <cellStyle name="Normal 2 2 10 8 5 3" xfId="9441" xr:uid="{00000000-0005-0000-0000-0000B3240000}"/>
    <cellStyle name="Normal 2 2 10 8 5 4" xfId="9442" xr:uid="{00000000-0005-0000-0000-0000B4240000}"/>
    <cellStyle name="Normal 2 2 10 8 5 5" xfId="9443" xr:uid="{00000000-0005-0000-0000-0000B5240000}"/>
    <cellStyle name="Normal 2 2 10 8 5 6" xfId="9444" xr:uid="{00000000-0005-0000-0000-0000B6240000}"/>
    <cellStyle name="Normal 2 2 10 8 5 7" xfId="9445" xr:uid="{00000000-0005-0000-0000-0000B7240000}"/>
    <cellStyle name="Normal 2 2 10 8 5 8" xfId="9446" xr:uid="{00000000-0005-0000-0000-0000B8240000}"/>
    <cellStyle name="Normal 2 2 10 8 5 9" xfId="9447" xr:uid="{00000000-0005-0000-0000-0000B9240000}"/>
    <cellStyle name="Normal 2 2 10 8 6" xfId="9448" xr:uid="{00000000-0005-0000-0000-0000BA240000}"/>
    <cellStyle name="Normal 2 2 10 8 7" xfId="9449" xr:uid="{00000000-0005-0000-0000-0000BB240000}"/>
    <cellStyle name="Normal 2 2 10 8 8" xfId="9450" xr:uid="{00000000-0005-0000-0000-0000BC240000}"/>
    <cellStyle name="Normal 2 2 10 8 9" xfId="9451" xr:uid="{00000000-0005-0000-0000-0000BD240000}"/>
    <cellStyle name="Normal 2 2 10 9" xfId="9452" xr:uid="{00000000-0005-0000-0000-0000BE240000}"/>
    <cellStyle name="Normal 2 2 10 9 10" xfId="9453" xr:uid="{00000000-0005-0000-0000-0000BF240000}"/>
    <cellStyle name="Normal 2 2 10 9 11" xfId="9454" xr:uid="{00000000-0005-0000-0000-0000C0240000}"/>
    <cellStyle name="Normal 2 2 10 9 12" xfId="9455" xr:uid="{00000000-0005-0000-0000-0000C1240000}"/>
    <cellStyle name="Normal 2 2 10 9 13" xfId="9456" xr:uid="{00000000-0005-0000-0000-0000C2240000}"/>
    <cellStyle name="Normal 2 2 10 9 14" xfId="9457" xr:uid="{00000000-0005-0000-0000-0000C3240000}"/>
    <cellStyle name="Normal 2 2 10 9 2" xfId="9458" xr:uid="{00000000-0005-0000-0000-0000C4240000}"/>
    <cellStyle name="Normal 2 2 10 9 2 10" xfId="9459" xr:uid="{00000000-0005-0000-0000-0000C5240000}"/>
    <cellStyle name="Normal 2 2 10 9 2 2" xfId="9460" xr:uid="{00000000-0005-0000-0000-0000C6240000}"/>
    <cellStyle name="Normal 2 2 10 9 2 3" xfId="9461" xr:uid="{00000000-0005-0000-0000-0000C7240000}"/>
    <cellStyle name="Normal 2 2 10 9 2 4" xfId="9462" xr:uid="{00000000-0005-0000-0000-0000C8240000}"/>
    <cellStyle name="Normal 2 2 10 9 2 5" xfId="9463" xr:uid="{00000000-0005-0000-0000-0000C9240000}"/>
    <cellStyle name="Normal 2 2 10 9 2 6" xfId="9464" xr:uid="{00000000-0005-0000-0000-0000CA240000}"/>
    <cellStyle name="Normal 2 2 10 9 2 7" xfId="9465" xr:uid="{00000000-0005-0000-0000-0000CB240000}"/>
    <cellStyle name="Normal 2 2 10 9 2 8" xfId="9466" xr:uid="{00000000-0005-0000-0000-0000CC240000}"/>
    <cellStyle name="Normal 2 2 10 9 2 9" xfId="9467" xr:uid="{00000000-0005-0000-0000-0000CD240000}"/>
    <cellStyle name="Normal 2 2 10 9 3" xfId="9468" xr:uid="{00000000-0005-0000-0000-0000CE240000}"/>
    <cellStyle name="Normal 2 2 10 9 3 10" xfId="9469" xr:uid="{00000000-0005-0000-0000-0000CF240000}"/>
    <cellStyle name="Normal 2 2 10 9 3 2" xfId="9470" xr:uid="{00000000-0005-0000-0000-0000D0240000}"/>
    <cellStyle name="Normal 2 2 10 9 3 3" xfId="9471" xr:uid="{00000000-0005-0000-0000-0000D1240000}"/>
    <cellStyle name="Normal 2 2 10 9 3 4" xfId="9472" xr:uid="{00000000-0005-0000-0000-0000D2240000}"/>
    <cellStyle name="Normal 2 2 10 9 3 5" xfId="9473" xr:uid="{00000000-0005-0000-0000-0000D3240000}"/>
    <cellStyle name="Normal 2 2 10 9 3 6" xfId="9474" xr:uid="{00000000-0005-0000-0000-0000D4240000}"/>
    <cellStyle name="Normal 2 2 10 9 3 7" xfId="9475" xr:uid="{00000000-0005-0000-0000-0000D5240000}"/>
    <cellStyle name="Normal 2 2 10 9 3 8" xfId="9476" xr:uid="{00000000-0005-0000-0000-0000D6240000}"/>
    <cellStyle name="Normal 2 2 10 9 3 9" xfId="9477" xr:uid="{00000000-0005-0000-0000-0000D7240000}"/>
    <cellStyle name="Normal 2 2 10 9 4" xfId="9478" xr:uid="{00000000-0005-0000-0000-0000D8240000}"/>
    <cellStyle name="Normal 2 2 10 9 4 10" xfId="9479" xr:uid="{00000000-0005-0000-0000-0000D9240000}"/>
    <cellStyle name="Normal 2 2 10 9 4 2" xfId="9480" xr:uid="{00000000-0005-0000-0000-0000DA240000}"/>
    <cellStyle name="Normal 2 2 10 9 4 3" xfId="9481" xr:uid="{00000000-0005-0000-0000-0000DB240000}"/>
    <cellStyle name="Normal 2 2 10 9 4 4" xfId="9482" xr:uid="{00000000-0005-0000-0000-0000DC240000}"/>
    <cellStyle name="Normal 2 2 10 9 4 5" xfId="9483" xr:uid="{00000000-0005-0000-0000-0000DD240000}"/>
    <cellStyle name="Normal 2 2 10 9 4 6" xfId="9484" xr:uid="{00000000-0005-0000-0000-0000DE240000}"/>
    <cellStyle name="Normal 2 2 10 9 4 7" xfId="9485" xr:uid="{00000000-0005-0000-0000-0000DF240000}"/>
    <cellStyle name="Normal 2 2 10 9 4 8" xfId="9486" xr:uid="{00000000-0005-0000-0000-0000E0240000}"/>
    <cellStyle name="Normal 2 2 10 9 4 9" xfId="9487" xr:uid="{00000000-0005-0000-0000-0000E1240000}"/>
    <cellStyle name="Normal 2 2 10 9 5" xfId="9488" xr:uid="{00000000-0005-0000-0000-0000E2240000}"/>
    <cellStyle name="Normal 2 2 10 9 5 10" xfId="9489" xr:uid="{00000000-0005-0000-0000-0000E3240000}"/>
    <cellStyle name="Normal 2 2 10 9 5 2" xfId="9490" xr:uid="{00000000-0005-0000-0000-0000E4240000}"/>
    <cellStyle name="Normal 2 2 10 9 5 3" xfId="9491" xr:uid="{00000000-0005-0000-0000-0000E5240000}"/>
    <cellStyle name="Normal 2 2 10 9 5 4" xfId="9492" xr:uid="{00000000-0005-0000-0000-0000E6240000}"/>
    <cellStyle name="Normal 2 2 10 9 5 5" xfId="9493" xr:uid="{00000000-0005-0000-0000-0000E7240000}"/>
    <cellStyle name="Normal 2 2 10 9 5 6" xfId="9494" xr:uid="{00000000-0005-0000-0000-0000E8240000}"/>
    <cellStyle name="Normal 2 2 10 9 5 7" xfId="9495" xr:uid="{00000000-0005-0000-0000-0000E9240000}"/>
    <cellStyle name="Normal 2 2 10 9 5 8" xfId="9496" xr:uid="{00000000-0005-0000-0000-0000EA240000}"/>
    <cellStyle name="Normal 2 2 10 9 5 9" xfId="9497" xr:uid="{00000000-0005-0000-0000-0000EB240000}"/>
    <cellStyle name="Normal 2 2 10 9 6" xfId="9498" xr:uid="{00000000-0005-0000-0000-0000EC240000}"/>
    <cellStyle name="Normal 2 2 10 9 7" xfId="9499" xr:uid="{00000000-0005-0000-0000-0000ED240000}"/>
    <cellStyle name="Normal 2 2 10 9 8" xfId="9500" xr:uid="{00000000-0005-0000-0000-0000EE240000}"/>
    <cellStyle name="Normal 2 2 10 9 9" xfId="9501" xr:uid="{00000000-0005-0000-0000-0000EF240000}"/>
    <cellStyle name="Normal 2 2 11" xfId="9502" xr:uid="{00000000-0005-0000-0000-0000F0240000}"/>
    <cellStyle name="Normal 2 2 12" xfId="9503" xr:uid="{00000000-0005-0000-0000-0000F1240000}"/>
    <cellStyle name="Normal 2 2 13" xfId="9504" xr:uid="{00000000-0005-0000-0000-0000F2240000}"/>
    <cellStyle name="Normal 2 2 14" xfId="9505" xr:uid="{00000000-0005-0000-0000-0000F3240000}"/>
    <cellStyle name="Normal 2 2 15" xfId="9506" xr:uid="{00000000-0005-0000-0000-0000F4240000}"/>
    <cellStyle name="Normal 2 2 16" xfId="9507" xr:uid="{00000000-0005-0000-0000-0000F5240000}"/>
    <cellStyle name="Normal 2 2 17" xfId="9508" xr:uid="{00000000-0005-0000-0000-0000F6240000}"/>
    <cellStyle name="Normal 2 2 18" xfId="9509" xr:uid="{00000000-0005-0000-0000-0000F7240000}"/>
    <cellStyle name="Normal 2 2 19" xfId="9510" xr:uid="{00000000-0005-0000-0000-0000F8240000}"/>
    <cellStyle name="Normal 2 2 2" xfId="10" xr:uid="{00000000-0005-0000-0000-0000F9240000}"/>
    <cellStyle name="Normal 2 2 2 10" xfId="9511" xr:uid="{00000000-0005-0000-0000-0000FA240000}"/>
    <cellStyle name="Normal 2 2 2 10 10" xfId="9512" xr:uid="{00000000-0005-0000-0000-0000FB240000}"/>
    <cellStyle name="Normal 2 2 2 10 11" xfId="9513" xr:uid="{00000000-0005-0000-0000-0000FC240000}"/>
    <cellStyle name="Normal 2 2 2 10 12" xfId="9514" xr:uid="{00000000-0005-0000-0000-0000FD240000}"/>
    <cellStyle name="Normal 2 2 2 10 13" xfId="9515" xr:uid="{00000000-0005-0000-0000-0000FE240000}"/>
    <cellStyle name="Normal 2 2 2 10 14" xfId="9516" xr:uid="{00000000-0005-0000-0000-0000FF240000}"/>
    <cellStyle name="Normal 2 2 2 10 2" xfId="9517" xr:uid="{00000000-0005-0000-0000-000000250000}"/>
    <cellStyle name="Normal 2 2 2 10 2 10" xfId="9518" xr:uid="{00000000-0005-0000-0000-000001250000}"/>
    <cellStyle name="Normal 2 2 2 10 2 2" xfId="9519" xr:uid="{00000000-0005-0000-0000-000002250000}"/>
    <cellStyle name="Normal 2 2 2 10 2 3" xfId="9520" xr:uid="{00000000-0005-0000-0000-000003250000}"/>
    <cellStyle name="Normal 2 2 2 10 2 4" xfId="9521" xr:uid="{00000000-0005-0000-0000-000004250000}"/>
    <cellStyle name="Normal 2 2 2 10 2 5" xfId="9522" xr:uid="{00000000-0005-0000-0000-000005250000}"/>
    <cellStyle name="Normal 2 2 2 10 2 6" xfId="9523" xr:uid="{00000000-0005-0000-0000-000006250000}"/>
    <cellStyle name="Normal 2 2 2 10 2 7" xfId="9524" xr:uid="{00000000-0005-0000-0000-000007250000}"/>
    <cellStyle name="Normal 2 2 2 10 2 8" xfId="9525" xr:uid="{00000000-0005-0000-0000-000008250000}"/>
    <cellStyle name="Normal 2 2 2 10 2 9" xfId="9526" xr:uid="{00000000-0005-0000-0000-000009250000}"/>
    <cellStyle name="Normal 2 2 2 10 3" xfId="9527" xr:uid="{00000000-0005-0000-0000-00000A250000}"/>
    <cellStyle name="Normal 2 2 2 10 3 10" xfId="9528" xr:uid="{00000000-0005-0000-0000-00000B250000}"/>
    <cellStyle name="Normal 2 2 2 10 3 2" xfId="9529" xr:uid="{00000000-0005-0000-0000-00000C250000}"/>
    <cellStyle name="Normal 2 2 2 10 3 3" xfId="9530" xr:uid="{00000000-0005-0000-0000-00000D250000}"/>
    <cellStyle name="Normal 2 2 2 10 3 4" xfId="9531" xr:uid="{00000000-0005-0000-0000-00000E250000}"/>
    <cellStyle name="Normal 2 2 2 10 3 5" xfId="9532" xr:uid="{00000000-0005-0000-0000-00000F250000}"/>
    <cellStyle name="Normal 2 2 2 10 3 6" xfId="9533" xr:uid="{00000000-0005-0000-0000-000010250000}"/>
    <cellStyle name="Normal 2 2 2 10 3 7" xfId="9534" xr:uid="{00000000-0005-0000-0000-000011250000}"/>
    <cellStyle name="Normal 2 2 2 10 3 8" xfId="9535" xr:uid="{00000000-0005-0000-0000-000012250000}"/>
    <cellStyle name="Normal 2 2 2 10 3 9" xfId="9536" xr:uid="{00000000-0005-0000-0000-000013250000}"/>
    <cellStyle name="Normal 2 2 2 10 4" xfId="9537" xr:uid="{00000000-0005-0000-0000-000014250000}"/>
    <cellStyle name="Normal 2 2 2 10 4 10" xfId="9538" xr:uid="{00000000-0005-0000-0000-000015250000}"/>
    <cellStyle name="Normal 2 2 2 10 4 2" xfId="9539" xr:uid="{00000000-0005-0000-0000-000016250000}"/>
    <cellStyle name="Normal 2 2 2 10 4 3" xfId="9540" xr:uid="{00000000-0005-0000-0000-000017250000}"/>
    <cellStyle name="Normal 2 2 2 10 4 4" xfId="9541" xr:uid="{00000000-0005-0000-0000-000018250000}"/>
    <cellStyle name="Normal 2 2 2 10 4 5" xfId="9542" xr:uid="{00000000-0005-0000-0000-000019250000}"/>
    <cellStyle name="Normal 2 2 2 10 4 6" xfId="9543" xr:uid="{00000000-0005-0000-0000-00001A250000}"/>
    <cellStyle name="Normal 2 2 2 10 4 7" xfId="9544" xr:uid="{00000000-0005-0000-0000-00001B250000}"/>
    <cellStyle name="Normal 2 2 2 10 4 8" xfId="9545" xr:uid="{00000000-0005-0000-0000-00001C250000}"/>
    <cellStyle name="Normal 2 2 2 10 4 9" xfId="9546" xr:uid="{00000000-0005-0000-0000-00001D250000}"/>
    <cellStyle name="Normal 2 2 2 10 5" xfId="9547" xr:uid="{00000000-0005-0000-0000-00001E250000}"/>
    <cellStyle name="Normal 2 2 2 10 5 10" xfId="9548" xr:uid="{00000000-0005-0000-0000-00001F250000}"/>
    <cellStyle name="Normal 2 2 2 10 5 2" xfId="9549" xr:uid="{00000000-0005-0000-0000-000020250000}"/>
    <cellStyle name="Normal 2 2 2 10 5 3" xfId="9550" xr:uid="{00000000-0005-0000-0000-000021250000}"/>
    <cellStyle name="Normal 2 2 2 10 5 4" xfId="9551" xr:uid="{00000000-0005-0000-0000-000022250000}"/>
    <cellStyle name="Normal 2 2 2 10 5 5" xfId="9552" xr:uid="{00000000-0005-0000-0000-000023250000}"/>
    <cellStyle name="Normal 2 2 2 10 5 6" xfId="9553" xr:uid="{00000000-0005-0000-0000-000024250000}"/>
    <cellStyle name="Normal 2 2 2 10 5 7" xfId="9554" xr:uid="{00000000-0005-0000-0000-000025250000}"/>
    <cellStyle name="Normal 2 2 2 10 5 8" xfId="9555" xr:uid="{00000000-0005-0000-0000-000026250000}"/>
    <cellStyle name="Normal 2 2 2 10 5 9" xfId="9556" xr:uid="{00000000-0005-0000-0000-000027250000}"/>
    <cellStyle name="Normal 2 2 2 10 6" xfId="9557" xr:uid="{00000000-0005-0000-0000-000028250000}"/>
    <cellStyle name="Normal 2 2 2 10 7" xfId="9558" xr:uid="{00000000-0005-0000-0000-000029250000}"/>
    <cellStyle name="Normal 2 2 2 10 8" xfId="9559" xr:uid="{00000000-0005-0000-0000-00002A250000}"/>
    <cellStyle name="Normal 2 2 2 10 9" xfId="9560" xr:uid="{00000000-0005-0000-0000-00002B250000}"/>
    <cellStyle name="Normal 2 2 2 11" xfId="9561" xr:uid="{00000000-0005-0000-0000-00002C250000}"/>
    <cellStyle name="Normal 2 2 2 11 10" xfId="9562" xr:uid="{00000000-0005-0000-0000-00002D250000}"/>
    <cellStyle name="Normal 2 2 2 11 11" xfId="9563" xr:uid="{00000000-0005-0000-0000-00002E250000}"/>
    <cellStyle name="Normal 2 2 2 11 12" xfId="9564" xr:uid="{00000000-0005-0000-0000-00002F250000}"/>
    <cellStyle name="Normal 2 2 2 11 13" xfId="9565" xr:uid="{00000000-0005-0000-0000-000030250000}"/>
    <cellStyle name="Normal 2 2 2 11 14" xfId="9566" xr:uid="{00000000-0005-0000-0000-000031250000}"/>
    <cellStyle name="Normal 2 2 2 11 2" xfId="9567" xr:uid="{00000000-0005-0000-0000-000032250000}"/>
    <cellStyle name="Normal 2 2 2 11 2 10" xfId="9568" xr:uid="{00000000-0005-0000-0000-000033250000}"/>
    <cellStyle name="Normal 2 2 2 11 2 2" xfId="9569" xr:uid="{00000000-0005-0000-0000-000034250000}"/>
    <cellStyle name="Normal 2 2 2 11 2 3" xfId="9570" xr:uid="{00000000-0005-0000-0000-000035250000}"/>
    <cellStyle name="Normal 2 2 2 11 2 4" xfId="9571" xr:uid="{00000000-0005-0000-0000-000036250000}"/>
    <cellStyle name="Normal 2 2 2 11 2 5" xfId="9572" xr:uid="{00000000-0005-0000-0000-000037250000}"/>
    <cellStyle name="Normal 2 2 2 11 2 6" xfId="9573" xr:uid="{00000000-0005-0000-0000-000038250000}"/>
    <cellStyle name="Normal 2 2 2 11 2 7" xfId="9574" xr:uid="{00000000-0005-0000-0000-000039250000}"/>
    <cellStyle name="Normal 2 2 2 11 2 8" xfId="9575" xr:uid="{00000000-0005-0000-0000-00003A250000}"/>
    <cellStyle name="Normal 2 2 2 11 2 9" xfId="9576" xr:uid="{00000000-0005-0000-0000-00003B250000}"/>
    <cellStyle name="Normal 2 2 2 11 3" xfId="9577" xr:uid="{00000000-0005-0000-0000-00003C250000}"/>
    <cellStyle name="Normal 2 2 2 11 3 10" xfId="9578" xr:uid="{00000000-0005-0000-0000-00003D250000}"/>
    <cellStyle name="Normal 2 2 2 11 3 2" xfId="9579" xr:uid="{00000000-0005-0000-0000-00003E250000}"/>
    <cellStyle name="Normal 2 2 2 11 3 3" xfId="9580" xr:uid="{00000000-0005-0000-0000-00003F250000}"/>
    <cellStyle name="Normal 2 2 2 11 3 4" xfId="9581" xr:uid="{00000000-0005-0000-0000-000040250000}"/>
    <cellStyle name="Normal 2 2 2 11 3 5" xfId="9582" xr:uid="{00000000-0005-0000-0000-000041250000}"/>
    <cellStyle name="Normal 2 2 2 11 3 6" xfId="9583" xr:uid="{00000000-0005-0000-0000-000042250000}"/>
    <cellStyle name="Normal 2 2 2 11 3 7" xfId="9584" xr:uid="{00000000-0005-0000-0000-000043250000}"/>
    <cellStyle name="Normal 2 2 2 11 3 8" xfId="9585" xr:uid="{00000000-0005-0000-0000-000044250000}"/>
    <cellStyle name="Normal 2 2 2 11 3 9" xfId="9586" xr:uid="{00000000-0005-0000-0000-000045250000}"/>
    <cellStyle name="Normal 2 2 2 11 4" xfId="9587" xr:uid="{00000000-0005-0000-0000-000046250000}"/>
    <cellStyle name="Normal 2 2 2 11 4 10" xfId="9588" xr:uid="{00000000-0005-0000-0000-000047250000}"/>
    <cellStyle name="Normal 2 2 2 11 4 2" xfId="9589" xr:uid="{00000000-0005-0000-0000-000048250000}"/>
    <cellStyle name="Normal 2 2 2 11 4 3" xfId="9590" xr:uid="{00000000-0005-0000-0000-000049250000}"/>
    <cellStyle name="Normal 2 2 2 11 4 4" xfId="9591" xr:uid="{00000000-0005-0000-0000-00004A250000}"/>
    <cellStyle name="Normal 2 2 2 11 4 5" xfId="9592" xr:uid="{00000000-0005-0000-0000-00004B250000}"/>
    <cellStyle name="Normal 2 2 2 11 4 6" xfId="9593" xr:uid="{00000000-0005-0000-0000-00004C250000}"/>
    <cellStyle name="Normal 2 2 2 11 4 7" xfId="9594" xr:uid="{00000000-0005-0000-0000-00004D250000}"/>
    <cellStyle name="Normal 2 2 2 11 4 8" xfId="9595" xr:uid="{00000000-0005-0000-0000-00004E250000}"/>
    <cellStyle name="Normal 2 2 2 11 4 9" xfId="9596" xr:uid="{00000000-0005-0000-0000-00004F250000}"/>
    <cellStyle name="Normal 2 2 2 11 5" xfId="9597" xr:uid="{00000000-0005-0000-0000-000050250000}"/>
    <cellStyle name="Normal 2 2 2 11 5 10" xfId="9598" xr:uid="{00000000-0005-0000-0000-000051250000}"/>
    <cellStyle name="Normal 2 2 2 11 5 2" xfId="9599" xr:uid="{00000000-0005-0000-0000-000052250000}"/>
    <cellStyle name="Normal 2 2 2 11 5 3" xfId="9600" xr:uid="{00000000-0005-0000-0000-000053250000}"/>
    <cellStyle name="Normal 2 2 2 11 5 4" xfId="9601" xr:uid="{00000000-0005-0000-0000-000054250000}"/>
    <cellStyle name="Normal 2 2 2 11 5 5" xfId="9602" xr:uid="{00000000-0005-0000-0000-000055250000}"/>
    <cellStyle name="Normal 2 2 2 11 5 6" xfId="9603" xr:uid="{00000000-0005-0000-0000-000056250000}"/>
    <cellStyle name="Normal 2 2 2 11 5 7" xfId="9604" xr:uid="{00000000-0005-0000-0000-000057250000}"/>
    <cellStyle name="Normal 2 2 2 11 5 8" xfId="9605" xr:uid="{00000000-0005-0000-0000-000058250000}"/>
    <cellStyle name="Normal 2 2 2 11 5 9" xfId="9606" xr:uid="{00000000-0005-0000-0000-000059250000}"/>
    <cellStyle name="Normal 2 2 2 11 6" xfId="9607" xr:uid="{00000000-0005-0000-0000-00005A250000}"/>
    <cellStyle name="Normal 2 2 2 11 7" xfId="9608" xr:uid="{00000000-0005-0000-0000-00005B250000}"/>
    <cellStyle name="Normal 2 2 2 11 8" xfId="9609" xr:uid="{00000000-0005-0000-0000-00005C250000}"/>
    <cellStyle name="Normal 2 2 2 11 9" xfId="9610" xr:uid="{00000000-0005-0000-0000-00005D250000}"/>
    <cellStyle name="Normal 2 2 2 12" xfId="9611" xr:uid="{00000000-0005-0000-0000-00005E250000}"/>
    <cellStyle name="Normal 2 2 2 12 10" xfId="9612" xr:uid="{00000000-0005-0000-0000-00005F250000}"/>
    <cellStyle name="Normal 2 2 2 12 11" xfId="9613" xr:uid="{00000000-0005-0000-0000-000060250000}"/>
    <cellStyle name="Normal 2 2 2 12 12" xfId="9614" xr:uid="{00000000-0005-0000-0000-000061250000}"/>
    <cellStyle name="Normal 2 2 2 12 13" xfId="9615" xr:uid="{00000000-0005-0000-0000-000062250000}"/>
    <cellStyle name="Normal 2 2 2 12 14" xfId="9616" xr:uid="{00000000-0005-0000-0000-000063250000}"/>
    <cellStyle name="Normal 2 2 2 12 2" xfId="9617" xr:uid="{00000000-0005-0000-0000-000064250000}"/>
    <cellStyle name="Normal 2 2 2 12 2 10" xfId="9618" xr:uid="{00000000-0005-0000-0000-000065250000}"/>
    <cellStyle name="Normal 2 2 2 12 2 2" xfId="9619" xr:uid="{00000000-0005-0000-0000-000066250000}"/>
    <cellStyle name="Normal 2 2 2 12 2 3" xfId="9620" xr:uid="{00000000-0005-0000-0000-000067250000}"/>
    <cellStyle name="Normal 2 2 2 12 2 4" xfId="9621" xr:uid="{00000000-0005-0000-0000-000068250000}"/>
    <cellStyle name="Normal 2 2 2 12 2 5" xfId="9622" xr:uid="{00000000-0005-0000-0000-000069250000}"/>
    <cellStyle name="Normal 2 2 2 12 2 6" xfId="9623" xr:uid="{00000000-0005-0000-0000-00006A250000}"/>
    <cellStyle name="Normal 2 2 2 12 2 7" xfId="9624" xr:uid="{00000000-0005-0000-0000-00006B250000}"/>
    <cellStyle name="Normal 2 2 2 12 2 8" xfId="9625" xr:uid="{00000000-0005-0000-0000-00006C250000}"/>
    <cellStyle name="Normal 2 2 2 12 2 9" xfId="9626" xr:uid="{00000000-0005-0000-0000-00006D250000}"/>
    <cellStyle name="Normal 2 2 2 12 3" xfId="9627" xr:uid="{00000000-0005-0000-0000-00006E250000}"/>
    <cellStyle name="Normal 2 2 2 12 3 10" xfId="9628" xr:uid="{00000000-0005-0000-0000-00006F250000}"/>
    <cellStyle name="Normal 2 2 2 12 3 2" xfId="9629" xr:uid="{00000000-0005-0000-0000-000070250000}"/>
    <cellStyle name="Normal 2 2 2 12 3 3" xfId="9630" xr:uid="{00000000-0005-0000-0000-000071250000}"/>
    <cellStyle name="Normal 2 2 2 12 3 4" xfId="9631" xr:uid="{00000000-0005-0000-0000-000072250000}"/>
    <cellStyle name="Normal 2 2 2 12 3 5" xfId="9632" xr:uid="{00000000-0005-0000-0000-000073250000}"/>
    <cellStyle name="Normal 2 2 2 12 3 6" xfId="9633" xr:uid="{00000000-0005-0000-0000-000074250000}"/>
    <cellStyle name="Normal 2 2 2 12 3 7" xfId="9634" xr:uid="{00000000-0005-0000-0000-000075250000}"/>
    <cellStyle name="Normal 2 2 2 12 3 8" xfId="9635" xr:uid="{00000000-0005-0000-0000-000076250000}"/>
    <cellStyle name="Normal 2 2 2 12 3 9" xfId="9636" xr:uid="{00000000-0005-0000-0000-000077250000}"/>
    <cellStyle name="Normal 2 2 2 12 4" xfId="9637" xr:uid="{00000000-0005-0000-0000-000078250000}"/>
    <cellStyle name="Normal 2 2 2 12 4 10" xfId="9638" xr:uid="{00000000-0005-0000-0000-000079250000}"/>
    <cellStyle name="Normal 2 2 2 12 4 2" xfId="9639" xr:uid="{00000000-0005-0000-0000-00007A250000}"/>
    <cellStyle name="Normal 2 2 2 12 4 3" xfId="9640" xr:uid="{00000000-0005-0000-0000-00007B250000}"/>
    <cellStyle name="Normal 2 2 2 12 4 4" xfId="9641" xr:uid="{00000000-0005-0000-0000-00007C250000}"/>
    <cellStyle name="Normal 2 2 2 12 4 5" xfId="9642" xr:uid="{00000000-0005-0000-0000-00007D250000}"/>
    <cellStyle name="Normal 2 2 2 12 4 6" xfId="9643" xr:uid="{00000000-0005-0000-0000-00007E250000}"/>
    <cellStyle name="Normal 2 2 2 12 4 7" xfId="9644" xr:uid="{00000000-0005-0000-0000-00007F250000}"/>
    <cellStyle name="Normal 2 2 2 12 4 8" xfId="9645" xr:uid="{00000000-0005-0000-0000-000080250000}"/>
    <cellStyle name="Normal 2 2 2 12 4 9" xfId="9646" xr:uid="{00000000-0005-0000-0000-000081250000}"/>
    <cellStyle name="Normal 2 2 2 12 5" xfId="9647" xr:uid="{00000000-0005-0000-0000-000082250000}"/>
    <cellStyle name="Normal 2 2 2 12 5 10" xfId="9648" xr:uid="{00000000-0005-0000-0000-000083250000}"/>
    <cellStyle name="Normal 2 2 2 12 5 2" xfId="9649" xr:uid="{00000000-0005-0000-0000-000084250000}"/>
    <cellStyle name="Normal 2 2 2 12 5 3" xfId="9650" xr:uid="{00000000-0005-0000-0000-000085250000}"/>
    <cellStyle name="Normal 2 2 2 12 5 4" xfId="9651" xr:uid="{00000000-0005-0000-0000-000086250000}"/>
    <cellStyle name="Normal 2 2 2 12 5 5" xfId="9652" xr:uid="{00000000-0005-0000-0000-000087250000}"/>
    <cellStyle name="Normal 2 2 2 12 5 6" xfId="9653" xr:uid="{00000000-0005-0000-0000-000088250000}"/>
    <cellStyle name="Normal 2 2 2 12 5 7" xfId="9654" xr:uid="{00000000-0005-0000-0000-000089250000}"/>
    <cellStyle name="Normal 2 2 2 12 5 8" xfId="9655" xr:uid="{00000000-0005-0000-0000-00008A250000}"/>
    <cellStyle name="Normal 2 2 2 12 5 9" xfId="9656" xr:uid="{00000000-0005-0000-0000-00008B250000}"/>
    <cellStyle name="Normal 2 2 2 12 6" xfId="9657" xr:uid="{00000000-0005-0000-0000-00008C250000}"/>
    <cellStyle name="Normal 2 2 2 12 7" xfId="9658" xr:uid="{00000000-0005-0000-0000-00008D250000}"/>
    <cellStyle name="Normal 2 2 2 12 8" xfId="9659" xr:uid="{00000000-0005-0000-0000-00008E250000}"/>
    <cellStyle name="Normal 2 2 2 12 9" xfId="9660" xr:uid="{00000000-0005-0000-0000-00008F250000}"/>
    <cellStyle name="Normal 2 2 2 13" xfId="9661" xr:uid="{00000000-0005-0000-0000-000090250000}"/>
    <cellStyle name="Normal 2 2 2 13 10" xfId="9662" xr:uid="{00000000-0005-0000-0000-000091250000}"/>
    <cellStyle name="Normal 2 2 2 13 11" xfId="9663" xr:uid="{00000000-0005-0000-0000-000092250000}"/>
    <cellStyle name="Normal 2 2 2 13 12" xfId="9664" xr:uid="{00000000-0005-0000-0000-000093250000}"/>
    <cellStyle name="Normal 2 2 2 13 13" xfId="9665" xr:uid="{00000000-0005-0000-0000-000094250000}"/>
    <cellStyle name="Normal 2 2 2 13 14" xfId="9666" xr:uid="{00000000-0005-0000-0000-000095250000}"/>
    <cellStyle name="Normal 2 2 2 13 2" xfId="9667" xr:uid="{00000000-0005-0000-0000-000096250000}"/>
    <cellStyle name="Normal 2 2 2 13 2 10" xfId="9668" xr:uid="{00000000-0005-0000-0000-000097250000}"/>
    <cellStyle name="Normal 2 2 2 13 2 2" xfId="9669" xr:uid="{00000000-0005-0000-0000-000098250000}"/>
    <cellStyle name="Normal 2 2 2 13 2 3" xfId="9670" xr:uid="{00000000-0005-0000-0000-000099250000}"/>
    <cellStyle name="Normal 2 2 2 13 2 4" xfId="9671" xr:uid="{00000000-0005-0000-0000-00009A250000}"/>
    <cellStyle name="Normal 2 2 2 13 2 5" xfId="9672" xr:uid="{00000000-0005-0000-0000-00009B250000}"/>
    <cellStyle name="Normal 2 2 2 13 2 6" xfId="9673" xr:uid="{00000000-0005-0000-0000-00009C250000}"/>
    <cellStyle name="Normal 2 2 2 13 2 7" xfId="9674" xr:uid="{00000000-0005-0000-0000-00009D250000}"/>
    <cellStyle name="Normal 2 2 2 13 2 8" xfId="9675" xr:uid="{00000000-0005-0000-0000-00009E250000}"/>
    <cellStyle name="Normal 2 2 2 13 2 9" xfId="9676" xr:uid="{00000000-0005-0000-0000-00009F250000}"/>
    <cellStyle name="Normal 2 2 2 13 3" xfId="9677" xr:uid="{00000000-0005-0000-0000-0000A0250000}"/>
    <cellStyle name="Normal 2 2 2 13 3 10" xfId="9678" xr:uid="{00000000-0005-0000-0000-0000A1250000}"/>
    <cellStyle name="Normal 2 2 2 13 3 2" xfId="9679" xr:uid="{00000000-0005-0000-0000-0000A2250000}"/>
    <cellStyle name="Normal 2 2 2 13 3 3" xfId="9680" xr:uid="{00000000-0005-0000-0000-0000A3250000}"/>
    <cellStyle name="Normal 2 2 2 13 3 4" xfId="9681" xr:uid="{00000000-0005-0000-0000-0000A4250000}"/>
    <cellStyle name="Normal 2 2 2 13 3 5" xfId="9682" xr:uid="{00000000-0005-0000-0000-0000A5250000}"/>
    <cellStyle name="Normal 2 2 2 13 3 6" xfId="9683" xr:uid="{00000000-0005-0000-0000-0000A6250000}"/>
    <cellStyle name="Normal 2 2 2 13 3 7" xfId="9684" xr:uid="{00000000-0005-0000-0000-0000A7250000}"/>
    <cellStyle name="Normal 2 2 2 13 3 8" xfId="9685" xr:uid="{00000000-0005-0000-0000-0000A8250000}"/>
    <cellStyle name="Normal 2 2 2 13 3 9" xfId="9686" xr:uid="{00000000-0005-0000-0000-0000A9250000}"/>
    <cellStyle name="Normal 2 2 2 13 4" xfId="9687" xr:uid="{00000000-0005-0000-0000-0000AA250000}"/>
    <cellStyle name="Normal 2 2 2 13 4 10" xfId="9688" xr:uid="{00000000-0005-0000-0000-0000AB250000}"/>
    <cellStyle name="Normal 2 2 2 13 4 2" xfId="9689" xr:uid="{00000000-0005-0000-0000-0000AC250000}"/>
    <cellStyle name="Normal 2 2 2 13 4 3" xfId="9690" xr:uid="{00000000-0005-0000-0000-0000AD250000}"/>
    <cellStyle name="Normal 2 2 2 13 4 4" xfId="9691" xr:uid="{00000000-0005-0000-0000-0000AE250000}"/>
    <cellStyle name="Normal 2 2 2 13 4 5" xfId="9692" xr:uid="{00000000-0005-0000-0000-0000AF250000}"/>
    <cellStyle name="Normal 2 2 2 13 4 6" xfId="9693" xr:uid="{00000000-0005-0000-0000-0000B0250000}"/>
    <cellStyle name="Normal 2 2 2 13 4 7" xfId="9694" xr:uid="{00000000-0005-0000-0000-0000B1250000}"/>
    <cellStyle name="Normal 2 2 2 13 4 8" xfId="9695" xr:uid="{00000000-0005-0000-0000-0000B2250000}"/>
    <cellStyle name="Normal 2 2 2 13 4 9" xfId="9696" xr:uid="{00000000-0005-0000-0000-0000B3250000}"/>
    <cellStyle name="Normal 2 2 2 13 5" xfId="9697" xr:uid="{00000000-0005-0000-0000-0000B4250000}"/>
    <cellStyle name="Normal 2 2 2 13 5 10" xfId="9698" xr:uid="{00000000-0005-0000-0000-0000B5250000}"/>
    <cellStyle name="Normal 2 2 2 13 5 2" xfId="9699" xr:uid="{00000000-0005-0000-0000-0000B6250000}"/>
    <cellStyle name="Normal 2 2 2 13 5 3" xfId="9700" xr:uid="{00000000-0005-0000-0000-0000B7250000}"/>
    <cellStyle name="Normal 2 2 2 13 5 4" xfId="9701" xr:uid="{00000000-0005-0000-0000-0000B8250000}"/>
    <cellStyle name="Normal 2 2 2 13 5 5" xfId="9702" xr:uid="{00000000-0005-0000-0000-0000B9250000}"/>
    <cellStyle name="Normal 2 2 2 13 5 6" xfId="9703" xr:uid="{00000000-0005-0000-0000-0000BA250000}"/>
    <cellStyle name="Normal 2 2 2 13 5 7" xfId="9704" xr:uid="{00000000-0005-0000-0000-0000BB250000}"/>
    <cellStyle name="Normal 2 2 2 13 5 8" xfId="9705" xr:uid="{00000000-0005-0000-0000-0000BC250000}"/>
    <cellStyle name="Normal 2 2 2 13 5 9" xfId="9706" xr:uid="{00000000-0005-0000-0000-0000BD250000}"/>
    <cellStyle name="Normal 2 2 2 13 6" xfId="9707" xr:uid="{00000000-0005-0000-0000-0000BE250000}"/>
    <cellStyle name="Normal 2 2 2 13 7" xfId="9708" xr:uid="{00000000-0005-0000-0000-0000BF250000}"/>
    <cellStyle name="Normal 2 2 2 13 8" xfId="9709" xr:uid="{00000000-0005-0000-0000-0000C0250000}"/>
    <cellStyle name="Normal 2 2 2 13 9" xfId="9710" xr:uid="{00000000-0005-0000-0000-0000C1250000}"/>
    <cellStyle name="Normal 2 2 2 14" xfId="9711" xr:uid="{00000000-0005-0000-0000-0000C2250000}"/>
    <cellStyle name="Normal 2 2 2 14 10" xfId="9712" xr:uid="{00000000-0005-0000-0000-0000C3250000}"/>
    <cellStyle name="Normal 2 2 2 14 11" xfId="9713" xr:uid="{00000000-0005-0000-0000-0000C4250000}"/>
    <cellStyle name="Normal 2 2 2 14 12" xfId="9714" xr:uid="{00000000-0005-0000-0000-0000C5250000}"/>
    <cellStyle name="Normal 2 2 2 14 13" xfId="9715" xr:uid="{00000000-0005-0000-0000-0000C6250000}"/>
    <cellStyle name="Normal 2 2 2 14 14" xfId="9716" xr:uid="{00000000-0005-0000-0000-0000C7250000}"/>
    <cellStyle name="Normal 2 2 2 14 2" xfId="9717" xr:uid="{00000000-0005-0000-0000-0000C8250000}"/>
    <cellStyle name="Normal 2 2 2 14 2 10" xfId="9718" xr:uid="{00000000-0005-0000-0000-0000C9250000}"/>
    <cellStyle name="Normal 2 2 2 14 2 2" xfId="9719" xr:uid="{00000000-0005-0000-0000-0000CA250000}"/>
    <cellStyle name="Normal 2 2 2 14 2 3" xfId="9720" xr:uid="{00000000-0005-0000-0000-0000CB250000}"/>
    <cellStyle name="Normal 2 2 2 14 2 4" xfId="9721" xr:uid="{00000000-0005-0000-0000-0000CC250000}"/>
    <cellStyle name="Normal 2 2 2 14 2 5" xfId="9722" xr:uid="{00000000-0005-0000-0000-0000CD250000}"/>
    <cellStyle name="Normal 2 2 2 14 2 6" xfId="9723" xr:uid="{00000000-0005-0000-0000-0000CE250000}"/>
    <cellStyle name="Normal 2 2 2 14 2 7" xfId="9724" xr:uid="{00000000-0005-0000-0000-0000CF250000}"/>
    <cellStyle name="Normal 2 2 2 14 2 8" xfId="9725" xr:uid="{00000000-0005-0000-0000-0000D0250000}"/>
    <cellStyle name="Normal 2 2 2 14 2 9" xfId="9726" xr:uid="{00000000-0005-0000-0000-0000D1250000}"/>
    <cellStyle name="Normal 2 2 2 14 3" xfId="9727" xr:uid="{00000000-0005-0000-0000-0000D2250000}"/>
    <cellStyle name="Normal 2 2 2 14 3 10" xfId="9728" xr:uid="{00000000-0005-0000-0000-0000D3250000}"/>
    <cellStyle name="Normal 2 2 2 14 3 2" xfId="9729" xr:uid="{00000000-0005-0000-0000-0000D4250000}"/>
    <cellStyle name="Normal 2 2 2 14 3 3" xfId="9730" xr:uid="{00000000-0005-0000-0000-0000D5250000}"/>
    <cellStyle name="Normal 2 2 2 14 3 4" xfId="9731" xr:uid="{00000000-0005-0000-0000-0000D6250000}"/>
    <cellStyle name="Normal 2 2 2 14 3 5" xfId="9732" xr:uid="{00000000-0005-0000-0000-0000D7250000}"/>
    <cellStyle name="Normal 2 2 2 14 3 6" xfId="9733" xr:uid="{00000000-0005-0000-0000-0000D8250000}"/>
    <cellStyle name="Normal 2 2 2 14 3 7" xfId="9734" xr:uid="{00000000-0005-0000-0000-0000D9250000}"/>
    <cellStyle name="Normal 2 2 2 14 3 8" xfId="9735" xr:uid="{00000000-0005-0000-0000-0000DA250000}"/>
    <cellStyle name="Normal 2 2 2 14 3 9" xfId="9736" xr:uid="{00000000-0005-0000-0000-0000DB250000}"/>
    <cellStyle name="Normal 2 2 2 14 4" xfId="9737" xr:uid="{00000000-0005-0000-0000-0000DC250000}"/>
    <cellStyle name="Normal 2 2 2 14 4 10" xfId="9738" xr:uid="{00000000-0005-0000-0000-0000DD250000}"/>
    <cellStyle name="Normal 2 2 2 14 4 2" xfId="9739" xr:uid="{00000000-0005-0000-0000-0000DE250000}"/>
    <cellStyle name="Normal 2 2 2 14 4 3" xfId="9740" xr:uid="{00000000-0005-0000-0000-0000DF250000}"/>
    <cellStyle name="Normal 2 2 2 14 4 4" xfId="9741" xr:uid="{00000000-0005-0000-0000-0000E0250000}"/>
    <cellStyle name="Normal 2 2 2 14 4 5" xfId="9742" xr:uid="{00000000-0005-0000-0000-0000E1250000}"/>
    <cellStyle name="Normal 2 2 2 14 4 6" xfId="9743" xr:uid="{00000000-0005-0000-0000-0000E2250000}"/>
    <cellStyle name="Normal 2 2 2 14 4 7" xfId="9744" xr:uid="{00000000-0005-0000-0000-0000E3250000}"/>
    <cellStyle name="Normal 2 2 2 14 4 8" xfId="9745" xr:uid="{00000000-0005-0000-0000-0000E4250000}"/>
    <cellStyle name="Normal 2 2 2 14 4 9" xfId="9746" xr:uid="{00000000-0005-0000-0000-0000E5250000}"/>
    <cellStyle name="Normal 2 2 2 14 5" xfId="9747" xr:uid="{00000000-0005-0000-0000-0000E6250000}"/>
    <cellStyle name="Normal 2 2 2 14 5 10" xfId="9748" xr:uid="{00000000-0005-0000-0000-0000E7250000}"/>
    <cellStyle name="Normal 2 2 2 14 5 2" xfId="9749" xr:uid="{00000000-0005-0000-0000-0000E8250000}"/>
    <cellStyle name="Normal 2 2 2 14 5 3" xfId="9750" xr:uid="{00000000-0005-0000-0000-0000E9250000}"/>
    <cellStyle name="Normal 2 2 2 14 5 4" xfId="9751" xr:uid="{00000000-0005-0000-0000-0000EA250000}"/>
    <cellStyle name="Normal 2 2 2 14 5 5" xfId="9752" xr:uid="{00000000-0005-0000-0000-0000EB250000}"/>
    <cellStyle name="Normal 2 2 2 14 5 6" xfId="9753" xr:uid="{00000000-0005-0000-0000-0000EC250000}"/>
    <cellStyle name="Normal 2 2 2 14 5 7" xfId="9754" xr:uid="{00000000-0005-0000-0000-0000ED250000}"/>
    <cellStyle name="Normal 2 2 2 14 5 8" xfId="9755" xr:uid="{00000000-0005-0000-0000-0000EE250000}"/>
    <cellStyle name="Normal 2 2 2 14 5 9" xfId="9756" xr:uid="{00000000-0005-0000-0000-0000EF250000}"/>
    <cellStyle name="Normal 2 2 2 14 6" xfId="9757" xr:uid="{00000000-0005-0000-0000-0000F0250000}"/>
    <cellStyle name="Normal 2 2 2 14 7" xfId="9758" xr:uid="{00000000-0005-0000-0000-0000F1250000}"/>
    <cellStyle name="Normal 2 2 2 14 8" xfId="9759" xr:uid="{00000000-0005-0000-0000-0000F2250000}"/>
    <cellStyle name="Normal 2 2 2 14 9" xfId="9760" xr:uid="{00000000-0005-0000-0000-0000F3250000}"/>
    <cellStyle name="Normal 2 2 2 15" xfId="9761" xr:uid="{00000000-0005-0000-0000-0000F4250000}"/>
    <cellStyle name="Normal 2 2 2 15 10" xfId="9762" xr:uid="{00000000-0005-0000-0000-0000F5250000}"/>
    <cellStyle name="Normal 2 2 2 15 11" xfId="9763" xr:uid="{00000000-0005-0000-0000-0000F6250000}"/>
    <cellStyle name="Normal 2 2 2 15 12" xfId="9764" xr:uid="{00000000-0005-0000-0000-0000F7250000}"/>
    <cellStyle name="Normal 2 2 2 15 13" xfId="9765" xr:uid="{00000000-0005-0000-0000-0000F8250000}"/>
    <cellStyle name="Normal 2 2 2 15 14" xfId="9766" xr:uid="{00000000-0005-0000-0000-0000F9250000}"/>
    <cellStyle name="Normal 2 2 2 15 2" xfId="9767" xr:uid="{00000000-0005-0000-0000-0000FA250000}"/>
    <cellStyle name="Normal 2 2 2 15 2 10" xfId="9768" xr:uid="{00000000-0005-0000-0000-0000FB250000}"/>
    <cellStyle name="Normal 2 2 2 15 2 2" xfId="9769" xr:uid="{00000000-0005-0000-0000-0000FC250000}"/>
    <cellStyle name="Normal 2 2 2 15 2 3" xfId="9770" xr:uid="{00000000-0005-0000-0000-0000FD250000}"/>
    <cellStyle name="Normal 2 2 2 15 2 4" xfId="9771" xr:uid="{00000000-0005-0000-0000-0000FE250000}"/>
    <cellStyle name="Normal 2 2 2 15 2 5" xfId="9772" xr:uid="{00000000-0005-0000-0000-0000FF250000}"/>
    <cellStyle name="Normal 2 2 2 15 2 6" xfId="9773" xr:uid="{00000000-0005-0000-0000-000000260000}"/>
    <cellStyle name="Normal 2 2 2 15 2 7" xfId="9774" xr:uid="{00000000-0005-0000-0000-000001260000}"/>
    <cellStyle name="Normal 2 2 2 15 2 8" xfId="9775" xr:uid="{00000000-0005-0000-0000-000002260000}"/>
    <cellStyle name="Normal 2 2 2 15 2 9" xfId="9776" xr:uid="{00000000-0005-0000-0000-000003260000}"/>
    <cellStyle name="Normal 2 2 2 15 3" xfId="9777" xr:uid="{00000000-0005-0000-0000-000004260000}"/>
    <cellStyle name="Normal 2 2 2 15 3 10" xfId="9778" xr:uid="{00000000-0005-0000-0000-000005260000}"/>
    <cellStyle name="Normal 2 2 2 15 3 2" xfId="9779" xr:uid="{00000000-0005-0000-0000-000006260000}"/>
    <cellStyle name="Normal 2 2 2 15 3 3" xfId="9780" xr:uid="{00000000-0005-0000-0000-000007260000}"/>
    <cellStyle name="Normal 2 2 2 15 3 4" xfId="9781" xr:uid="{00000000-0005-0000-0000-000008260000}"/>
    <cellStyle name="Normal 2 2 2 15 3 5" xfId="9782" xr:uid="{00000000-0005-0000-0000-000009260000}"/>
    <cellStyle name="Normal 2 2 2 15 3 6" xfId="9783" xr:uid="{00000000-0005-0000-0000-00000A260000}"/>
    <cellStyle name="Normal 2 2 2 15 3 7" xfId="9784" xr:uid="{00000000-0005-0000-0000-00000B260000}"/>
    <cellStyle name="Normal 2 2 2 15 3 8" xfId="9785" xr:uid="{00000000-0005-0000-0000-00000C260000}"/>
    <cellStyle name="Normal 2 2 2 15 3 9" xfId="9786" xr:uid="{00000000-0005-0000-0000-00000D260000}"/>
    <cellStyle name="Normal 2 2 2 15 4" xfId="9787" xr:uid="{00000000-0005-0000-0000-00000E260000}"/>
    <cellStyle name="Normal 2 2 2 15 4 10" xfId="9788" xr:uid="{00000000-0005-0000-0000-00000F260000}"/>
    <cellStyle name="Normal 2 2 2 15 4 2" xfId="9789" xr:uid="{00000000-0005-0000-0000-000010260000}"/>
    <cellStyle name="Normal 2 2 2 15 4 3" xfId="9790" xr:uid="{00000000-0005-0000-0000-000011260000}"/>
    <cellStyle name="Normal 2 2 2 15 4 4" xfId="9791" xr:uid="{00000000-0005-0000-0000-000012260000}"/>
    <cellStyle name="Normal 2 2 2 15 4 5" xfId="9792" xr:uid="{00000000-0005-0000-0000-000013260000}"/>
    <cellStyle name="Normal 2 2 2 15 4 6" xfId="9793" xr:uid="{00000000-0005-0000-0000-000014260000}"/>
    <cellStyle name="Normal 2 2 2 15 4 7" xfId="9794" xr:uid="{00000000-0005-0000-0000-000015260000}"/>
    <cellStyle name="Normal 2 2 2 15 4 8" xfId="9795" xr:uid="{00000000-0005-0000-0000-000016260000}"/>
    <cellStyle name="Normal 2 2 2 15 4 9" xfId="9796" xr:uid="{00000000-0005-0000-0000-000017260000}"/>
    <cellStyle name="Normal 2 2 2 15 5" xfId="9797" xr:uid="{00000000-0005-0000-0000-000018260000}"/>
    <cellStyle name="Normal 2 2 2 15 5 10" xfId="9798" xr:uid="{00000000-0005-0000-0000-000019260000}"/>
    <cellStyle name="Normal 2 2 2 15 5 2" xfId="9799" xr:uid="{00000000-0005-0000-0000-00001A260000}"/>
    <cellStyle name="Normal 2 2 2 15 5 3" xfId="9800" xr:uid="{00000000-0005-0000-0000-00001B260000}"/>
    <cellStyle name="Normal 2 2 2 15 5 4" xfId="9801" xr:uid="{00000000-0005-0000-0000-00001C260000}"/>
    <cellStyle name="Normal 2 2 2 15 5 5" xfId="9802" xr:uid="{00000000-0005-0000-0000-00001D260000}"/>
    <cellStyle name="Normal 2 2 2 15 5 6" xfId="9803" xr:uid="{00000000-0005-0000-0000-00001E260000}"/>
    <cellStyle name="Normal 2 2 2 15 5 7" xfId="9804" xr:uid="{00000000-0005-0000-0000-00001F260000}"/>
    <cellStyle name="Normal 2 2 2 15 5 8" xfId="9805" xr:uid="{00000000-0005-0000-0000-000020260000}"/>
    <cellStyle name="Normal 2 2 2 15 5 9" xfId="9806" xr:uid="{00000000-0005-0000-0000-000021260000}"/>
    <cellStyle name="Normal 2 2 2 15 6" xfId="9807" xr:uid="{00000000-0005-0000-0000-000022260000}"/>
    <cellStyle name="Normal 2 2 2 15 7" xfId="9808" xr:uid="{00000000-0005-0000-0000-000023260000}"/>
    <cellStyle name="Normal 2 2 2 15 8" xfId="9809" xr:uid="{00000000-0005-0000-0000-000024260000}"/>
    <cellStyle name="Normal 2 2 2 15 9" xfId="9810" xr:uid="{00000000-0005-0000-0000-000025260000}"/>
    <cellStyle name="Normal 2 2 2 16" xfId="9811" xr:uid="{00000000-0005-0000-0000-000026260000}"/>
    <cellStyle name="Normal 2 2 2 16 10" xfId="9812" xr:uid="{00000000-0005-0000-0000-000027260000}"/>
    <cellStyle name="Normal 2 2 2 16 11" xfId="9813" xr:uid="{00000000-0005-0000-0000-000028260000}"/>
    <cellStyle name="Normal 2 2 2 16 12" xfId="9814" xr:uid="{00000000-0005-0000-0000-000029260000}"/>
    <cellStyle name="Normal 2 2 2 16 13" xfId="9815" xr:uid="{00000000-0005-0000-0000-00002A260000}"/>
    <cellStyle name="Normal 2 2 2 16 14" xfId="9816" xr:uid="{00000000-0005-0000-0000-00002B260000}"/>
    <cellStyle name="Normal 2 2 2 16 2" xfId="9817" xr:uid="{00000000-0005-0000-0000-00002C260000}"/>
    <cellStyle name="Normal 2 2 2 16 2 10" xfId="9818" xr:uid="{00000000-0005-0000-0000-00002D260000}"/>
    <cellStyle name="Normal 2 2 2 16 2 2" xfId="9819" xr:uid="{00000000-0005-0000-0000-00002E260000}"/>
    <cellStyle name="Normal 2 2 2 16 2 3" xfId="9820" xr:uid="{00000000-0005-0000-0000-00002F260000}"/>
    <cellStyle name="Normal 2 2 2 16 2 4" xfId="9821" xr:uid="{00000000-0005-0000-0000-000030260000}"/>
    <cellStyle name="Normal 2 2 2 16 2 5" xfId="9822" xr:uid="{00000000-0005-0000-0000-000031260000}"/>
    <cellStyle name="Normal 2 2 2 16 2 6" xfId="9823" xr:uid="{00000000-0005-0000-0000-000032260000}"/>
    <cellStyle name="Normal 2 2 2 16 2 7" xfId="9824" xr:uid="{00000000-0005-0000-0000-000033260000}"/>
    <cellStyle name="Normal 2 2 2 16 2 8" xfId="9825" xr:uid="{00000000-0005-0000-0000-000034260000}"/>
    <cellStyle name="Normal 2 2 2 16 2 9" xfId="9826" xr:uid="{00000000-0005-0000-0000-000035260000}"/>
    <cellStyle name="Normal 2 2 2 16 3" xfId="9827" xr:uid="{00000000-0005-0000-0000-000036260000}"/>
    <cellStyle name="Normal 2 2 2 16 3 10" xfId="9828" xr:uid="{00000000-0005-0000-0000-000037260000}"/>
    <cellStyle name="Normal 2 2 2 16 3 2" xfId="9829" xr:uid="{00000000-0005-0000-0000-000038260000}"/>
    <cellStyle name="Normal 2 2 2 16 3 3" xfId="9830" xr:uid="{00000000-0005-0000-0000-000039260000}"/>
    <cellStyle name="Normal 2 2 2 16 3 4" xfId="9831" xr:uid="{00000000-0005-0000-0000-00003A260000}"/>
    <cellStyle name="Normal 2 2 2 16 3 5" xfId="9832" xr:uid="{00000000-0005-0000-0000-00003B260000}"/>
    <cellStyle name="Normal 2 2 2 16 3 6" xfId="9833" xr:uid="{00000000-0005-0000-0000-00003C260000}"/>
    <cellStyle name="Normal 2 2 2 16 3 7" xfId="9834" xr:uid="{00000000-0005-0000-0000-00003D260000}"/>
    <cellStyle name="Normal 2 2 2 16 3 8" xfId="9835" xr:uid="{00000000-0005-0000-0000-00003E260000}"/>
    <cellStyle name="Normal 2 2 2 16 3 9" xfId="9836" xr:uid="{00000000-0005-0000-0000-00003F260000}"/>
    <cellStyle name="Normal 2 2 2 16 4" xfId="9837" xr:uid="{00000000-0005-0000-0000-000040260000}"/>
    <cellStyle name="Normal 2 2 2 16 4 10" xfId="9838" xr:uid="{00000000-0005-0000-0000-000041260000}"/>
    <cellStyle name="Normal 2 2 2 16 4 2" xfId="9839" xr:uid="{00000000-0005-0000-0000-000042260000}"/>
    <cellStyle name="Normal 2 2 2 16 4 3" xfId="9840" xr:uid="{00000000-0005-0000-0000-000043260000}"/>
    <cellStyle name="Normal 2 2 2 16 4 4" xfId="9841" xr:uid="{00000000-0005-0000-0000-000044260000}"/>
    <cellStyle name="Normal 2 2 2 16 4 5" xfId="9842" xr:uid="{00000000-0005-0000-0000-000045260000}"/>
    <cellStyle name="Normal 2 2 2 16 4 6" xfId="9843" xr:uid="{00000000-0005-0000-0000-000046260000}"/>
    <cellStyle name="Normal 2 2 2 16 4 7" xfId="9844" xr:uid="{00000000-0005-0000-0000-000047260000}"/>
    <cellStyle name="Normal 2 2 2 16 4 8" xfId="9845" xr:uid="{00000000-0005-0000-0000-000048260000}"/>
    <cellStyle name="Normal 2 2 2 16 4 9" xfId="9846" xr:uid="{00000000-0005-0000-0000-000049260000}"/>
    <cellStyle name="Normal 2 2 2 16 5" xfId="9847" xr:uid="{00000000-0005-0000-0000-00004A260000}"/>
    <cellStyle name="Normal 2 2 2 16 5 10" xfId="9848" xr:uid="{00000000-0005-0000-0000-00004B260000}"/>
    <cellStyle name="Normal 2 2 2 16 5 2" xfId="9849" xr:uid="{00000000-0005-0000-0000-00004C260000}"/>
    <cellStyle name="Normal 2 2 2 16 5 3" xfId="9850" xr:uid="{00000000-0005-0000-0000-00004D260000}"/>
    <cellStyle name="Normal 2 2 2 16 5 4" xfId="9851" xr:uid="{00000000-0005-0000-0000-00004E260000}"/>
    <cellStyle name="Normal 2 2 2 16 5 5" xfId="9852" xr:uid="{00000000-0005-0000-0000-00004F260000}"/>
    <cellStyle name="Normal 2 2 2 16 5 6" xfId="9853" xr:uid="{00000000-0005-0000-0000-000050260000}"/>
    <cellStyle name="Normal 2 2 2 16 5 7" xfId="9854" xr:uid="{00000000-0005-0000-0000-000051260000}"/>
    <cellStyle name="Normal 2 2 2 16 5 8" xfId="9855" xr:uid="{00000000-0005-0000-0000-000052260000}"/>
    <cellStyle name="Normal 2 2 2 16 5 9" xfId="9856" xr:uid="{00000000-0005-0000-0000-000053260000}"/>
    <cellStyle name="Normal 2 2 2 16 6" xfId="9857" xr:uid="{00000000-0005-0000-0000-000054260000}"/>
    <cellStyle name="Normal 2 2 2 16 7" xfId="9858" xr:uid="{00000000-0005-0000-0000-000055260000}"/>
    <cellStyle name="Normal 2 2 2 16 8" xfId="9859" xr:uid="{00000000-0005-0000-0000-000056260000}"/>
    <cellStyle name="Normal 2 2 2 16 9" xfId="9860" xr:uid="{00000000-0005-0000-0000-000057260000}"/>
    <cellStyle name="Normal 2 2 2 17" xfId="9861" xr:uid="{00000000-0005-0000-0000-000058260000}"/>
    <cellStyle name="Normal 2 2 2 17 10" xfId="9862" xr:uid="{00000000-0005-0000-0000-000059260000}"/>
    <cellStyle name="Normal 2 2 2 17 11" xfId="9863" xr:uid="{00000000-0005-0000-0000-00005A260000}"/>
    <cellStyle name="Normal 2 2 2 17 12" xfId="9864" xr:uid="{00000000-0005-0000-0000-00005B260000}"/>
    <cellStyle name="Normal 2 2 2 17 13" xfId="9865" xr:uid="{00000000-0005-0000-0000-00005C260000}"/>
    <cellStyle name="Normal 2 2 2 17 14" xfId="9866" xr:uid="{00000000-0005-0000-0000-00005D260000}"/>
    <cellStyle name="Normal 2 2 2 17 2" xfId="9867" xr:uid="{00000000-0005-0000-0000-00005E260000}"/>
    <cellStyle name="Normal 2 2 2 17 2 10" xfId="9868" xr:uid="{00000000-0005-0000-0000-00005F260000}"/>
    <cellStyle name="Normal 2 2 2 17 2 2" xfId="9869" xr:uid="{00000000-0005-0000-0000-000060260000}"/>
    <cellStyle name="Normal 2 2 2 17 2 3" xfId="9870" xr:uid="{00000000-0005-0000-0000-000061260000}"/>
    <cellStyle name="Normal 2 2 2 17 2 4" xfId="9871" xr:uid="{00000000-0005-0000-0000-000062260000}"/>
    <cellStyle name="Normal 2 2 2 17 2 5" xfId="9872" xr:uid="{00000000-0005-0000-0000-000063260000}"/>
    <cellStyle name="Normal 2 2 2 17 2 6" xfId="9873" xr:uid="{00000000-0005-0000-0000-000064260000}"/>
    <cellStyle name="Normal 2 2 2 17 2 7" xfId="9874" xr:uid="{00000000-0005-0000-0000-000065260000}"/>
    <cellStyle name="Normal 2 2 2 17 2 8" xfId="9875" xr:uid="{00000000-0005-0000-0000-000066260000}"/>
    <cellStyle name="Normal 2 2 2 17 2 9" xfId="9876" xr:uid="{00000000-0005-0000-0000-000067260000}"/>
    <cellStyle name="Normal 2 2 2 17 3" xfId="9877" xr:uid="{00000000-0005-0000-0000-000068260000}"/>
    <cellStyle name="Normal 2 2 2 17 3 10" xfId="9878" xr:uid="{00000000-0005-0000-0000-000069260000}"/>
    <cellStyle name="Normal 2 2 2 17 3 2" xfId="9879" xr:uid="{00000000-0005-0000-0000-00006A260000}"/>
    <cellStyle name="Normal 2 2 2 17 3 3" xfId="9880" xr:uid="{00000000-0005-0000-0000-00006B260000}"/>
    <cellStyle name="Normal 2 2 2 17 3 4" xfId="9881" xr:uid="{00000000-0005-0000-0000-00006C260000}"/>
    <cellStyle name="Normal 2 2 2 17 3 5" xfId="9882" xr:uid="{00000000-0005-0000-0000-00006D260000}"/>
    <cellStyle name="Normal 2 2 2 17 3 6" xfId="9883" xr:uid="{00000000-0005-0000-0000-00006E260000}"/>
    <cellStyle name="Normal 2 2 2 17 3 7" xfId="9884" xr:uid="{00000000-0005-0000-0000-00006F260000}"/>
    <cellStyle name="Normal 2 2 2 17 3 8" xfId="9885" xr:uid="{00000000-0005-0000-0000-000070260000}"/>
    <cellStyle name="Normal 2 2 2 17 3 9" xfId="9886" xr:uid="{00000000-0005-0000-0000-000071260000}"/>
    <cellStyle name="Normal 2 2 2 17 4" xfId="9887" xr:uid="{00000000-0005-0000-0000-000072260000}"/>
    <cellStyle name="Normal 2 2 2 17 4 10" xfId="9888" xr:uid="{00000000-0005-0000-0000-000073260000}"/>
    <cellStyle name="Normal 2 2 2 17 4 2" xfId="9889" xr:uid="{00000000-0005-0000-0000-000074260000}"/>
    <cellStyle name="Normal 2 2 2 17 4 3" xfId="9890" xr:uid="{00000000-0005-0000-0000-000075260000}"/>
    <cellStyle name="Normal 2 2 2 17 4 4" xfId="9891" xr:uid="{00000000-0005-0000-0000-000076260000}"/>
    <cellStyle name="Normal 2 2 2 17 4 5" xfId="9892" xr:uid="{00000000-0005-0000-0000-000077260000}"/>
    <cellStyle name="Normal 2 2 2 17 4 6" xfId="9893" xr:uid="{00000000-0005-0000-0000-000078260000}"/>
    <cellStyle name="Normal 2 2 2 17 4 7" xfId="9894" xr:uid="{00000000-0005-0000-0000-000079260000}"/>
    <cellStyle name="Normal 2 2 2 17 4 8" xfId="9895" xr:uid="{00000000-0005-0000-0000-00007A260000}"/>
    <cellStyle name="Normal 2 2 2 17 4 9" xfId="9896" xr:uid="{00000000-0005-0000-0000-00007B260000}"/>
    <cellStyle name="Normal 2 2 2 17 5" xfId="9897" xr:uid="{00000000-0005-0000-0000-00007C260000}"/>
    <cellStyle name="Normal 2 2 2 17 5 10" xfId="9898" xr:uid="{00000000-0005-0000-0000-00007D260000}"/>
    <cellStyle name="Normal 2 2 2 17 5 2" xfId="9899" xr:uid="{00000000-0005-0000-0000-00007E260000}"/>
    <cellStyle name="Normal 2 2 2 17 5 3" xfId="9900" xr:uid="{00000000-0005-0000-0000-00007F260000}"/>
    <cellStyle name="Normal 2 2 2 17 5 4" xfId="9901" xr:uid="{00000000-0005-0000-0000-000080260000}"/>
    <cellStyle name="Normal 2 2 2 17 5 5" xfId="9902" xr:uid="{00000000-0005-0000-0000-000081260000}"/>
    <cellStyle name="Normal 2 2 2 17 5 6" xfId="9903" xr:uid="{00000000-0005-0000-0000-000082260000}"/>
    <cellStyle name="Normal 2 2 2 17 5 7" xfId="9904" xr:uid="{00000000-0005-0000-0000-000083260000}"/>
    <cellStyle name="Normal 2 2 2 17 5 8" xfId="9905" xr:uid="{00000000-0005-0000-0000-000084260000}"/>
    <cellStyle name="Normal 2 2 2 17 5 9" xfId="9906" xr:uid="{00000000-0005-0000-0000-000085260000}"/>
    <cellStyle name="Normal 2 2 2 17 6" xfId="9907" xr:uid="{00000000-0005-0000-0000-000086260000}"/>
    <cellStyle name="Normal 2 2 2 17 7" xfId="9908" xr:uid="{00000000-0005-0000-0000-000087260000}"/>
    <cellStyle name="Normal 2 2 2 17 8" xfId="9909" xr:uid="{00000000-0005-0000-0000-000088260000}"/>
    <cellStyle name="Normal 2 2 2 17 9" xfId="9910" xr:uid="{00000000-0005-0000-0000-000089260000}"/>
    <cellStyle name="Normal 2 2 2 18" xfId="9911" xr:uid="{00000000-0005-0000-0000-00008A260000}"/>
    <cellStyle name="Normal 2 2 2 18 10" xfId="9912" xr:uid="{00000000-0005-0000-0000-00008B260000}"/>
    <cellStyle name="Normal 2 2 2 18 11" xfId="9913" xr:uid="{00000000-0005-0000-0000-00008C260000}"/>
    <cellStyle name="Normal 2 2 2 18 12" xfId="9914" xr:uid="{00000000-0005-0000-0000-00008D260000}"/>
    <cellStyle name="Normal 2 2 2 18 13" xfId="9915" xr:uid="{00000000-0005-0000-0000-00008E260000}"/>
    <cellStyle name="Normal 2 2 2 18 14" xfId="9916" xr:uid="{00000000-0005-0000-0000-00008F260000}"/>
    <cellStyle name="Normal 2 2 2 18 2" xfId="9917" xr:uid="{00000000-0005-0000-0000-000090260000}"/>
    <cellStyle name="Normal 2 2 2 18 2 10" xfId="9918" xr:uid="{00000000-0005-0000-0000-000091260000}"/>
    <cellStyle name="Normal 2 2 2 18 2 2" xfId="9919" xr:uid="{00000000-0005-0000-0000-000092260000}"/>
    <cellStyle name="Normal 2 2 2 18 2 3" xfId="9920" xr:uid="{00000000-0005-0000-0000-000093260000}"/>
    <cellStyle name="Normal 2 2 2 18 2 4" xfId="9921" xr:uid="{00000000-0005-0000-0000-000094260000}"/>
    <cellStyle name="Normal 2 2 2 18 2 5" xfId="9922" xr:uid="{00000000-0005-0000-0000-000095260000}"/>
    <cellStyle name="Normal 2 2 2 18 2 6" xfId="9923" xr:uid="{00000000-0005-0000-0000-000096260000}"/>
    <cellStyle name="Normal 2 2 2 18 2 7" xfId="9924" xr:uid="{00000000-0005-0000-0000-000097260000}"/>
    <cellStyle name="Normal 2 2 2 18 2 8" xfId="9925" xr:uid="{00000000-0005-0000-0000-000098260000}"/>
    <cellStyle name="Normal 2 2 2 18 2 9" xfId="9926" xr:uid="{00000000-0005-0000-0000-000099260000}"/>
    <cellStyle name="Normal 2 2 2 18 3" xfId="9927" xr:uid="{00000000-0005-0000-0000-00009A260000}"/>
    <cellStyle name="Normal 2 2 2 18 3 10" xfId="9928" xr:uid="{00000000-0005-0000-0000-00009B260000}"/>
    <cellStyle name="Normal 2 2 2 18 3 2" xfId="9929" xr:uid="{00000000-0005-0000-0000-00009C260000}"/>
    <cellStyle name="Normal 2 2 2 18 3 3" xfId="9930" xr:uid="{00000000-0005-0000-0000-00009D260000}"/>
    <cellStyle name="Normal 2 2 2 18 3 4" xfId="9931" xr:uid="{00000000-0005-0000-0000-00009E260000}"/>
    <cellStyle name="Normal 2 2 2 18 3 5" xfId="9932" xr:uid="{00000000-0005-0000-0000-00009F260000}"/>
    <cellStyle name="Normal 2 2 2 18 3 6" xfId="9933" xr:uid="{00000000-0005-0000-0000-0000A0260000}"/>
    <cellStyle name="Normal 2 2 2 18 3 7" xfId="9934" xr:uid="{00000000-0005-0000-0000-0000A1260000}"/>
    <cellStyle name="Normal 2 2 2 18 3 8" xfId="9935" xr:uid="{00000000-0005-0000-0000-0000A2260000}"/>
    <cellStyle name="Normal 2 2 2 18 3 9" xfId="9936" xr:uid="{00000000-0005-0000-0000-0000A3260000}"/>
    <cellStyle name="Normal 2 2 2 18 4" xfId="9937" xr:uid="{00000000-0005-0000-0000-0000A4260000}"/>
    <cellStyle name="Normal 2 2 2 18 4 10" xfId="9938" xr:uid="{00000000-0005-0000-0000-0000A5260000}"/>
    <cellStyle name="Normal 2 2 2 18 4 2" xfId="9939" xr:uid="{00000000-0005-0000-0000-0000A6260000}"/>
    <cellStyle name="Normal 2 2 2 18 4 3" xfId="9940" xr:uid="{00000000-0005-0000-0000-0000A7260000}"/>
    <cellStyle name="Normal 2 2 2 18 4 4" xfId="9941" xr:uid="{00000000-0005-0000-0000-0000A8260000}"/>
    <cellStyle name="Normal 2 2 2 18 4 5" xfId="9942" xr:uid="{00000000-0005-0000-0000-0000A9260000}"/>
    <cellStyle name="Normal 2 2 2 18 4 6" xfId="9943" xr:uid="{00000000-0005-0000-0000-0000AA260000}"/>
    <cellStyle name="Normal 2 2 2 18 4 7" xfId="9944" xr:uid="{00000000-0005-0000-0000-0000AB260000}"/>
    <cellStyle name="Normal 2 2 2 18 4 8" xfId="9945" xr:uid="{00000000-0005-0000-0000-0000AC260000}"/>
    <cellStyle name="Normal 2 2 2 18 4 9" xfId="9946" xr:uid="{00000000-0005-0000-0000-0000AD260000}"/>
    <cellStyle name="Normal 2 2 2 18 5" xfId="9947" xr:uid="{00000000-0005-0000-0000-0000AE260000}"/>
    <cellStyle name="Normal 2 2 2 18 5 10" xfId="9948" xr:uid="{00000000-0005-0000-0000-0000AF260000}"/>
    <cellStyle name="Normal 2 2 2 18 5 2" xfId="9949" xr:uid="{00000000-0005-0000-0000-0000B0260000}"/>
    <cellStyle name="Normal 2 2 2 18 5 3" xfId="9950" xr:uid="{00000000-0005-0000-0000-0000B1260000}"/>
    <cellStyle name="Normal 2 2 2 18 5 4" xfId="9951" xr:uid="{00000000-0005-0000-0000-0000B2260000}"/>
    <cellStyle name="Normal 2 2 2 18 5 5" xfId="9952" xr:uid="{00000000-0005-0000-0000-0000B3260000}"/>
    <cellStyle name="Normal 2 2 2 18 5 6" xfId="9953" xr:uid="{00000000-0005-0000-0000-0000B4260000}"/>
    <cellStyle name="Normal 2 2 2 18 5 7" xfId="9954" xr:uid="{00000000-0005-0000-0000-0000B5260000}"/>
    <cellStyle name="Normal 2 2 2 18 5 8" xfId="9955" xr:uid="{00000000-0005-0000-0000-0000B6260000}"/>
    <cellStyle name="Normal 2 2 2 18 5 9" xfId="9956" xr:uid="{00000000-0005-0000-0000-0000B7260000}"/>
    <cellStyle name="Normal 2 2 2 18 6" xfId="9957" xr:uid="{00000000-0005-0000-0000-0000B8260000}"/>
    <cellStyle name="Normal 2 2 2 18 7" xfId="9958" xr:uid="{00000000-0005-0000-0000-0000B9260000}"/>
    <cellStyle name="Normal 2 2 2 18 8" xfId="9959" xr:uid="{00000000-0005-0000-0000-0000BA260000}"/>
    <cellStyle name="Normal 2 2 2 18 9" xfId="9960" xr:uid="{00000000-0005-0000-0000-0000BB260000}"/>
    <cellStyle name="Normal 2 2 2 19" xfId="9961" xr:uid="{00000000-0005-0000-0000-0000BC260000}"/>
    <cellStyle name="Normal 2 2 2 19 10" xfId="9962" xr:uid="{00000000-0005-0000-0000-0000BD260000}"/>
    <cellStyle name="Normal 2 2 2 19 11" xfId="9963" xr:uid="{00000000-0005-0000-0000-0000BE260000}"/>
    <cellStyle name="Normal 2 2 2 19 12" xfId="9964" xr:uid="{00000000-0005-0000-0000-0000BF260000}"/>
    <cellStyle name="Normal 2 2 2 19 13" xfId="9965" xr:uid="{00000000-0005-0000-0000-0000C0260000}"/>
    <cellStyle name="Normal 2 2 2 19 14" xfId="9966" xr:uid="{00000000-0005-0000-0000-0000C1260000}"/>
    <cellStyle name="Normal 2 2 2 19 2" xfId="9967" xr:uid="{00000000-0005-0000-0000-0000C2260000}"/>
    <cellStyle name="Normal 2 2 2 19 2 10" xfId="9968" xr:uid="{00000000-0005-0000-0000-0000C3260000}"/>
    <cellStyle name="Normal 2 2 2 19 2 2" xfId="9969" xr:uid="{00000000-0005-0000-0000-0000C4260000}"/>
    <cellStyle name="Normal 2 2 2 19 2 3" xfId="9970" xr:uid="{00000000-0005-0000-0000-0000C5260000}"/>
    <cellStyle name="Normal 2 2 2 19 2 4" xfId="9971" xr:uid="{00000000-0005-0000-0000-0000C6260000}"/>
    <cellStyle name="Normal 2 2 2 19 2 5" xfId="9972" xr:uid="{00000000-0005-0000-0000-0000C7260000}"/>
    <cellStyle name="Normal 2 2 2 19 2 6" xfId="9973" xr:uid="{00000000-0005-0000-0000-0000C8260000}"/>
    <cellStyle name="Normal 2 2 2 19 2 7" xfId="9974" xr:uid="{00000000-0005-0000-0000-0000C9260000}"/>
    <cellStyle name="Normal 2 2 2 19 2 8" xfId="9975" xr:uid="{00000000-0005-0000-0000-0000CA260000}"/>
    <cellStyle name="Normal 2 2 2 19 2 9" xfId="9976" xr:uid="{00000000-0005-0000-0000-0000CB260000}"/>
    <cellStyle name="Normal 2 2 2 19 3" xfId="9977" xr:uid="{00000000-0005-0000-0000-0000CC260000}"/>
    <cellStyle name="Normal 2 2 2 19 3 10" xfId="9978" xr:uid="{00000000-0005-0000-0000-0000CD260000}"/>
    <cellStyle name="Normal 2 2 2 19 3 2" xfId="9979" xr:uid="{00000000-0005-0000-0000-0000CE260000}"/>
    <cellStyle name="Normal 2 2 2 19 3 3" xfId="9980" xr:uid="{00000000-0005-0000-0000-0000CF260000}"/>
    <cellStyle name="Normal 2 2 2 19 3 4" xfId="9981" xr:uid="{00000000-0005-0000-0000-0000D0260000}"/>
    <cellStyle name="Normal 2 2 2 19 3 5" xfId="9982" xr:uid="{00000000-0005-0000-0000-0000D1260000}"/>
    <cellStyle name="Normal 2 2 2 19 3 6" xfId="9983" xr:uid="{00000000-0005-0000-0000-0000D2260000}"/>
    <cellStyle name="Normal 2 2 2 19 3 7" xfId="9984" xr:uid="{00000000-0005-0000-0000-0000D3260000}"/>
    <cellStyle name="Normal 2 2 2 19 3 8" xfId="9985" xr:uid="{00000000-0005-0000-0000-0000D4260000}"/>
    <cellStyle name="Normal 2 2 2 19 3 9" xfId="9986" xr:uid="{00000000-0005-0000-0000-0000D5260000}"/>
    <cellStyle name="Normal 2 2 2 19 4" xfId="9987" xr:uid="{00000000-0005-0000-0000-0000D6260000}"/>
    <cellStyle name="Normal 2 2 2 19 4 10" xfId="9988" xr:uid="{00000000-0005-0000-0000-0000D7260000}"/>
    <cellStyle name="Normal 2 2 2 19 4 2" xfId="9989" xr:uid="{00000000-0005-0000-0000-0000D8260000}"/>
    <cellStyle name="Normal 2 2 2 19 4 3" xfId="9990" xr:uid="{00000000-0005-0000-0000-0000D9260000}"/>
    <cellStyle name="Normal 2 2 2 19 4 4" xfId="9991" xr:uid="{00000000-0005-0000-0000-0000DA260000}"/>
    <cellStyle name="Normal 2 2 2 19 4 5" xfId="9992" xr:uid="{00000000-0005-0000-0000-0000DB260000}"/>
    <cellStyle name="Normal 2 2 2 19 4 6" xfId="9993" xr:uid="{00000000-0005-0000-0000-0000DC260000}"/>
    <cellStyle name="Normal 2 2 2 19 4 7" xfId="9994" xr:uid="{00000000-0005-0000-0000-0000DD260000}"/>
    <cellStyle name="Normal 2 2 2 19 4 8" xfId="9995" xr:uid="{00000000-0005-0000-0000-0000DE260000}"/>
    <cellStyle name="Normal 2 2 2 19 4 9" xfId="9996" xr:uid="{00000000-0005-0000-0000-0000DF260000}"/>
    <cellStyle name="Normal 2 2 2 19 5" xfId="9997" xr:uid="{00000000-0005-0000-0000-0000E0260000}"/>
    <cellStyle name="Normal 2 2 2 19 5 10" xfId="9998" xr:uid="{00000000-0005-0000-0000-0000E1260000}"/>
    <cellStyle name="Normal 2 2 2 19 5 2" xfId="9999" xr:uid="{00000000-0005-0000-0000-0000E2260000}"/>
    <cellStyle name="Normal 2 2 2 19 5 3" xfId="10000" xr:uid="{00000000-0005-0000-0000-0000E3260000}"/>
    <cellStyle name="Normal 2 2 2 19 5 4" xfId="10001" xr:uid="{00000000-0005-0000-0000-0000E4260000}"/>
    <cellStyle name="Normal 2 2 2 19 5 5" xfId="10002" xr:uid="{00000000-0005-0000-0000-0000E5260000}"/>
    <cellStyle name="Normal 2 2 2 19 5 6" xfId="10003" xr:uid="{00000000-0005-0000-0000-0000E6260000}"/>
    <cellStyle name="Normal 2 2 2 19 5 7" xfId="10004" xr:uid="{00000000-0005-0000-0000-0000E7260000}"/>
    <cellStyle name="Normal 2 2 2 19 5 8" xfId="10005" xr:uid="{00000000-0005-0000-0000-0000E8260000}"/>
    <cellStyle name="Normal 2 2 2 19 5 9" xfId="10006" xr:uid="{00000000-0005-0000-0000-0000E9260000}"/>
    <cellStyle name="Normal 2 2 2 19 6" xfId="10007" xr:uid="{00000000-0005-0000-0000-0000EA260000}"/>
    <cellStyle name="Normal 2 2 2 19 7" xfId="10008" xr:uid="{00000000-0005-0000-0000-0000EB260000}"/>
    <cellStyle name="Normal 2 2 2 19 8" xfId="10009" xr:uid="{00000000-0005-0000-0000-0000EC260000}"/>
    <cellStyle name="Normal 2 2 2 19 9" xfId="10010" xr:uid="{00000000-0005-0000-0000-0000ED260000}"/>
    <cellStyle name="Normal 2 2 2 2" xfId="25" xr:uid="{00000000-0005-0000-0000-0000EE260000}"/>
    <cellStyle name="Normal 2 2 2 2 10" xfId="10011" xr:uid="{00000000-0005-0000-0000-0000EF260000}"/>
    <cellStyle name="Normal 2 2 2 2 11" xfId="10012" xr:uid="{00000000-0005-0000-0000-0000F0260000}"/>
    <cellStyle name="Normal 2 2 2 2 12" xfId="10013" xr:uid="{00000000-0005-0000-0000-0000F1260000}"/>
    <cellStyle name="Normal 2 2 2 2 13" xfId="10014" xr:uid="{00000000-0005-0000-0000-0000F2260000}"/>
    <cellStyle name="Normal 2 2 2 2 14" xfId="10015" xr:uid="{00000000-0005-0000-0000-0000F3260000}"/>
    <cellStyle name="Normal 2 2 2 2 15" xfId="10016" xr:uid="{00000000-0005-0000-0000-0000F4260000}"/>
    <cellStyle name="Normal 2 2 2 2 16" xfId="10017" xr:uid="{00000000-0005-0000-0000-0000F5260000}"/>
    <cellStyle name="Normal 2 2 2 2 17" xfId="10018" xr:uid="{00000000-0005-0000-0000-0000F6260000}"/>
    <cellStyle name="Normal 2 2 2 2 18" xfId="10019" xr:uid="{00000000-0005-0000-0000-0000F7260000}"/>
    <cellStyle name="Normal 2 2 2 2 19" xfId="10020" xr:uid="{00000000-0005-0000-0000-0000F8260000}"/>
    <cellStyle name="Normal 2 2 2 2 2" xfId="23" xr:uid="{00000000-0005-0000-0000-0000F9260000}"/>
    <cellStyle name="Normal 2 2 2 2 2 10" xfId="10021" xr:uid="{00000000-0005-0000-0000-0000FA260000}"/>
    <cellStyle name="Normal 2 2 2 2 2 10 10" xfId="10022" xr:uid="{00000000-0005-0000-0000-0000FB260000}"/>
    <cellStyle name="Normal 2 2 2 2 2 10 11" xfId="10023" xr:uid="{00000000-0005-0000-0000-0000FC260000}"/>
    <cellStyle name="Normal 2 2 2 2 2 10 12" xfId="10024" xr:uid="{00000000-0005-0000-0000-0000FD260000}"/>
    <cellStyle name="Normal 2 2 2 2 2 10 13" xfId="10025" xr:uid="{00000000-0005-0000-0000-0000FE260000}"/>
    <cellStyle name="Normal 2 2 2 2 2 10 14" xfId="10026" xr:uid="{00000000-0005-0000-0000-0000FF260000}"/>
    <cellStyle name="Normal 2 2 2 2 2 10 2" xfId="10027" xr:uid="{00000000-0005-0000-0000-000000270000}"/>
    <cellStyle name="Normal 2 2 2 2 2 10 2 10" xfId="10028" xr:uid="{00000000-0005-0000-0000-000001270000}"/>
    <cellStyle name="Normal 2 2 2 2 2 10 2 2" xfId="10029" xr:uid="{00000000-0005-0000-0000-000002270000}"/>
    <cellStyle name="Normal 2 2 2 2 2 10 2 3" xfId="10030" xr:uid="{00000000-0005-0000-0000-000003270000}"/>
    <cellStyle name="Normal 2 2 2 2 2 10 2 4" xfId="10031" xr:uid="{00000000-0005-0000-0000-000004270000}"/>
    <cellStyle name="Normal 2 2 2 2 2 10 2 5" xfId="10032" xr:uid="{00000000-0005-0000-0000-000005270000}"/>
    <cellStyle name="Normal 2 2 2 2 2 10 2 6" xfId="10033" xr:uid="{00000000-0005-0000-0000-000006270000}"/>
    <cellStyle name="Normal 2 2 2 2 2 10 2 7" xfId="10034" xr:uid="{00000000-0005-0000-0000-000007270000}"/>
    <cellStyle name="Normal 2 2 2 2 2 10 2 8" xfId="10035" xr:uid="{00000000-0005-0000-0000-000008270000}"/>
    <cellStyle name="Normal 2 2 2 2 2 10 2 9" xfId="10036" xr:uid="{00000000-0005-0000-0000-000009270000}"/>
    <cellStyle name="Normal 2 2 2 2 2 10 3" xfId="10037" xr:uid="{00000000-0005-0000-0000-00000A270000}"/>
    <cellStyle name="Normal 2 2 2 2 2 10 3 10" xfId="10038" xr:uid="{00000000-0005-0000-0000-00000B270000}"/>
    <cellStyle name="Normal 2 2 2 2 2 10 3 2" xfId="10039" xr:uid="{00000000-0005-0000-0000-00000C270000}"/>
    <cellStyle name="Normal 2 2 2 2 2 10 3 3" xfId="10040" xr:uid="{00000000-0005-0000-0000-00000D270000}"/>
    <cellStyle name="Normal 2 2 2 2 2 10 3 4" xfId="10041" xr:uid="{00000000-0005-0000-0000-00000E270000}"/>
    <cellStyle name="Normal 2 2 2 2 2 10 3 5" xfId="10042" xr:uid="{00000000-0005-0000-0000-00000F270000}"/>
    <cellStyle name="Normal 2 2 2 2 2 10 3 6" xfId="10043" xr:uid="{00000000-0005-0000-0000-000010270000}"/>
    <cellStyle name="Normal 2 2 2 2 2 10 3 7" xfId="10044" xr:uid="{00000000-0005-0000-0000-000011270000}"/>
    <cellStyle name="Normal 2 2 2 2 2 10 3 8" xfId="10045" xr:uid="{00000000-0005-0000-0000-000012270000}"/>
    <cellStyle name="Normal 2 2 2 2 2 10 3 9" xfId="10046" xr:uid="{00000000-0005-0000-0000-000013270000}"/>
    <cellStyle name="Normal 2 2 2 2 2 10 4" xfId="10047" xr:uid="{00000000-0005-0000-0000-000014270000}"/>
    <cellStyle name="Normal 2 2 2 2 2 10 4 10" xfId="10048" xr:uid="{00000000-0005-0000-0000-000015270000}"/>
    <cellStyle name="Normal 2 2 2 2 2 10 4 2" xfId="10049" xr:uid="{00000000-0005-0000-0000-000016270000}"/>
    <cellStyle name="Normal 2 2 2 2 2 10 4 3" xfId="10050" xr:uid="{00000000-0005-0000-0000-000017270000}"/>
    <cellStyle name="Normal 2 2 2 2 2 10 4 4" xfId="10051" xr:uid="{00000000-0005-0000-0000-000018270000}"/>
    <cellStyle name="Normal 2 2 2 2 2 10 4 5" xfId="10052" xr:uid="{00000000-0005-0000-0000-000019270000}"/>
    <cellStyle name="Normal 2 2 2 2 2 10 4 6" xfId="10053" xr:uid="{00000000-0005-0000-0000-00001A270000}"/>
    <cellStyle name="Normal 2 2 2 2 2 10 4 7" xfId="10054" xr:uid="{00000000-0005-0000-0000-00001B270000}"/>
    <cellStyle name="Normal 2 2 2 2 2 10 4 8" xfId="10055" xr:uid="{00000000-0005-0000-0000-00001C270000}"/>
    <cellStyle name="Normal 2 2 2 2 2 10 4 9" xfId="10056" xr:uid="{00000000-0005-0000-0000-00001D270000}"/>
    <cellStyle name="Normal 2 2 2 2 2 10 5" xfId="10057" xr:uid="{00000000-0005-0000-0000-00001E270000}"/>
    <cellStyle name="Normal 2 2 2 2 2 10 5 10" xfId="10058" xr:uid="{00000000-0005-0000-0000-00001F270000}"/>
    <cellStyle name="Normal 2 2 2 2 2 10 5 2" xfId="10059" xr:uid="{00000000-0005-0000-0000-000020270000}"/>
    <cellStyle name="Normal 2 2 2 2 2 10 5 3" xfId="10060" xr:uid="{00000000-0005-0000-0000-000021270000}"/>
    <cellStyle name="Normal 2 2 2 2 2 10 5 4" xfId="10061" xr:uid="{00000000-0005-0000-0000-000022270000}"/>
    <cellStyle name="Normal 2 2 2 2 2 10 5 5" xfId="10062" xr:uid="{00000000-0005-0000-0000-000023270000}"/>
    <cellStyle name="Normal 2 2 2 2 2 10 5 6" xfId="10063" xr:uid="{00000000-0005-0000-0000-000024270000}"/>
    <cellStyle name="Normal 2 2 2 2 2 10 5 7" xfId="10064" xr:uid="{00000000-0005-0000-0000-000025270000}"/>
    <cellStyle name="Normal 2 2 2 2 2 10 5 8" xfId="10065" xr:uid="{00000000-0005-0000-0000-000026270000}"/>
    <cellStyle name="Normal 2 2 2 2 2 10 5 9" xfId="10066" xr:uid="{00000000-0005-0000-0000-000027270000}"/>
    <cellStyle name="Normal 2 2 2 2 2 10 6" xfId="10067" xr:uid="{00000000-0005-0000-0000-000028270000}"/>
    <cellStyle name="Normal 2 2 2 2 2 10 7" xfId="10068" xr:uid="{00000000-0005-0000-0000-000029270000}"/>
    <cellStyle name="Normal 2 2 2 2 2 10 8" xfId="10069" xr:uid="{00000000-0005-0000-0000-00002A270000}"/>
    <cellStyle name="Normal 2 2 2 2 2 10 9" xfId="10070" xr:uid="{00000000-0005-0000-0000-00002B270000}"/>
    <cellStyle name="Normal 2 2 2 2 2 11" xfId="10071" xr:uid="{00000000-0005-0000-0000-00002C270000}"/>
    <cellStyle name="Normal 2 2 2 2 2 11 10" xfId="10072" xr:uid="{00000000-0005-0000-0000-00002D270000}"/>
    <cellStyle name="Normal 2 2 2 2 2 11 11" xfId="10073" xr:uid="{00000000-0005-0000-0000-00002E270000}"/>
    <cellStyle name="Normal 2 2 2 2 2 11 12" xfId="10074" xr:uid="{00000000-0005-0000-0000-00002F270000}"/>
    <cellStyle name="Normal 2 2 2 2 2 11 13" xfId="10075" xr:uid="{00000000-0005-0000-0000-000030270000}"/>
    <cellStyle name="Normal 2 2 2 2 2 11 14" xfId="10076" xr:uid="{00000000-0005-0000-0000-000031270000}"/>
    <cellStyle name="Normal 2 2 2 2 2 11 2" xfId="10077" xr:uid="{00000000-0005-0000-0000-000032270000}"/>
    <cellStyle name="Normal 2 2 2 2 2 11 2 10" xfId="10078" xr:uid="{00000000-0005-0000-0000-000033270000}"/>
    <cellStyle name="Normal 2 2 2 2 2 11 2 2" xfId="10079" xr:uid="{00000000-0005-0000-0000-000034270000}"/>
    <cellStyle name="Normal 2 2 2 2 2 11 2 3" xfId="10080" xr:uid="{00000000-0005-0000-0000-000035270000}"/>
    <cellStyle name="Normal 2 2 2 2 2 11 2 4" xfId="10081" xr:uid="{00000000-0005-0000-0000-000036270000}"/>
    <cellStyle name="Normal 2 2 2 2 2 11 2 5" xfId="10082" xr:uid="{00000000-0005-0000-0000-000037270000}"/>
    <cellStyle name="Normal 2 2 2 2 2 11 2 6" xfId="10083" xr:uid="{00000000-0005-0000-0000-000038270000}"/>
    <cellStyle name="Normal 2 2 2 2 2 11 2 7" xfId="10084" xr:uid="{00000000-0005-0000-0000-000039270000}"/>
    <cellStyle name="Normal 2 2 2 2 2 11 2 8" xfId="10085" xr:uid="{00000000-0005-0000-0000-00003A270000}"/>
    <cellStyle name="Normal 2 2 2 2 2 11 2 9" xfId="10086" xr:uid="{00000000-0005-0000-0000-00003B270000}"/>
    <cellStyle name="Normal 2 2 2 2 2 11 3" xfId="10087" xr:uid="{00000000-0005-0000-0000-00003C270000}"/>
    <cellStyle name="Normal 2 2 2 2 2 11 3 10" xfId="10088" xr:uid="{00000000-0005-0000-0000-00003D270000}"/>
    <cellStyle name="Normal 2 2 2 2 2 11 3 2" xfId="10089" xr:uid="{00000000-0005-0000-0000-00003E270000}"/>
    <cellStyle name="Normal 2 2 2 2 2 11 3 3" xfId="10090" xr:uid="{00000000-0005-0000-0000-00003F270000}"/>
    <cellStyle name="Normal 2 2 2 2 2 11 3 4" xfId="10091" xr:uid="{00000000-0005-0000-0000-000040270000}"/>
    <cellStyle name="Normal 2 2 2 2 2 11 3 5" xfId="10092" xr:uid="{00000000-0005-0000-0000-000041270000}"/>
    <cellStyle name="Normal 2 2 2 2 2 11 3 6" xfId="10093" xr:uid="{00000000-0005-0000-0000-000042270000}"/>
    <cellStyle name="Normal 2 2 2 2 2 11 3 7" xfId="10094" xr:uid="{00000000-0005-0000-0000-000043270000}"/>
    <cellStyle name="Normal 2 2 2 2 2 11 3 8" xfId="10095" xr:uid="{00000000-0005-0000-0000-000044270000}"/>
    <cellStyle name="Normal 2 2 2 2 2 11 3 9" xfId="10096" xr:uid="{00000000-0005-0000-0000-000045270000}"/>
    <cellStyle name="Normal 2 2 2 2 2 11 4" xfId="10097" xr:uid="{00000000-0005-0000-0000-000046270000}"/>
    <cellStyle name="Normal 2 2 2 2 2 11 4 10" xfId="10098" xr:uid="{00000000-0005-0000-0000-000047270000}"/>
    <cellStyle name="Normal 2 2 2 2 2 11 4 2" xfId="10099" xr:uid="{00000000-0005-0000-0000-000048270000}"/>
    <cellStyle name="Normal 2 2 2 2 2 11 4 3" xfId="10100" xr:uid="{00000000-0005-0000-0000-000049270000}"/>
    <cellStyle name="Normal 2 2 2 2 2 11 4 4" xfId="10101" xr:uid="{00000000-0005-0000-0000-00004A270000}"/>
    <cellStyle name="Normal 2 2 2 2 2 11 4 5" xfId="10102" xr:uid="{00000000-0005-0000-0000-00004B270000}"/>
    <cellStyle name="Normal 2 2 2 2 2 11 4 6" xfId="10103" xr:uid="{00000000-0005-0000-0000-00004C270000}"/>
    <cellStyle name="Normal 2 2 2 2 2 11 4 7" xfId="10104" xr:uid="{00000000-0005-0000-0000-00004D270000}"/>
    <cellStyle name="Normal 2 2 2 2 2 11 4 8" xfId="10105" xr:uid="{00000000-0005-0000-0000-00004E270000}"/>
    <cellStyle name="Normal 2 2 2 2 2 11 4 9" xfId="10106" xr:uid="{00000000-0005-0000-0000-00004F270000}"/>
    <cellStyle name="Normal 2 2 2 2 2 11 5" xfId="10107" xr:uid="{00000000-0005-0000-0000-000050270000}"/>
    <cellStyle name="Normal 2 2 2 2 2 11 5 10" xfId="10108" xr:uid="{00000000-0005-0000-0000-000051270000}"/>
    <cellStyle name="Normal 2 2 2 2 2 11 5 2" xfId="10109" xr:uid="{00000000-0005-0000-0000-000052270000}"/>
    <cellStyle name="Normal 2 2 2 2 2 11 5 3" xfId="10110" xr:uid="{00000000-0005-0000-0000-000053270000}"/>
    <cellStyle name="Normal 2 2 2 2 2 11 5 4" xfId="10111" xr:uid="{00000000-0005-0000-0000-000054270000}"/>
    <cellStyle name="Normal 2 2 2 2 2 11 5 5" xfId="10112" xr:uid="{00000000-0005-0000-0000-000055270000}"/>
    <cellStyle name="Normal 2 2 2 2 2 11 5 6" xfId="10113" xr:uid="{00000000-0005-0000-0000-000056270000}"/>
    <cellStyle name="Normal 2 2 2 2 2 11 5 7" xfId="10114" xr:uid="{00000000-0005-0000-0000-000057270000}"/>
    <cellStyle name="Normal 2 2 2 2 2 11 5 8" xfId="10115" xr:uid="{00000000-0005-0000-0000-000058270000}"/>
    <cellStyle name="Normal 2 2 2 2 2 11 5 9" xfId="10116" xr:uid="{00000000-0005-0000-0000-000059270000}"/>
    <cellStyle name="Normal 2 2 2 2 2 11 6" xfId="10117" xr:uid="{00000000-0005-0000-0000-00005A270000}"/>
    <cellStyle name="Normal 2 2 2 2 2 11 7" xfId="10118" xr:uid="{00000000-0005-0000-0000-00005B270000}"/>
    <cellStyle name="Normal 2 2 2 2 2 11 8" xfId="10119" xr:uid="{00000000-0005-0000-0000-00005C270000}"/>
    <cellStyle name="Normal 2 2 2 2 2 11 9" xfId="10120" xr:uid="{00000000-0005-0000-0000-00005D270000}"/>
    <cellStyle name="Normal 2 2 2 2 2 12" xfId="10121" xr:uid="{00000000-0005-0000-0000-00005E270000}"/>
    <cellStyle name="Normal 2 2 2 2 2 12 10" xfId="10122" xr:uid="{00000000-0005-0000-0000-00005F270000}"/>
    <cellStyle name="Normal 2 2 2 2 2 12 11" xfId="10123" xr:uid="{00000000-0005-0000-0000-000060270000}"/>
    <cellStyle name="Normal 2 2 2 2 2 12 12" xfId="10124" xr:uid="{00000000-0005-0000-0000-000061270000}"/>
    <cellStyle name="Normal 2 2 2 2 2 12 13" xfId="10125" xr:uid="{00000000-0005-0000-0000-000062270000}"/>
    <cellStyle name="Normal 2 2 2 2 2 12 14" xfId="10126" xr:uid="{00000000-0005-0000-0000-000063270000}"/>
    <cellStyle name="Normal 2 2 2 2 2 12 2" xfId="10127" xr:uid="{00000000-0005-0000-0000-000064270000}"/>
    <cellStyle name="Normal 2 2 2 2 2 12 2 10" xfId="10128" xr:uid="{00000000-0005-0000-0000-000065270000}"/>
    <cellStyle name="Normal 2 2 2 2 2 12 2 2" xfId="10129" xr:uid="{00000000-0005-0000-0000-000066270000}"/>
    <cellStyle name="Normal 2 2 2 2 2 12 2 3" xfId="10130" xr:uid="{00000000-0005-0000-0000-000067270000}"/>
    <cellStyle name="Normal 2 2 2 2 2 12 2 4" xfId="10131" xr:uid="{00000000-0005-0000-0000-000068270000}"/>
    <cellStyle name="Normal 2 2 2 2 2 12 2 5" xfId="10132" xr:uid="{00000000-0005-0000-0000-000069270000}"/>
    <cellStyle name="Normal 2 2 2 2 2 12 2 6" xfId="10133" xr:uid="{00000000-0005-0000-0000-00006A270000}"/>
    <cellStyle name="Normal 2 2 2 2 2 12 2 7" xfId="10134" xr:uid="{00000000-0005-0000-0000-00006B270000}"/>
    <cellStyle name="Normal 2 2 2 2 2 12 2 8" xfId="10135" xr:uid="{00000000-0005-0000-0000-00006C270000}"/>
    <cellStyle name="Normal 2 2 2 2 2 12 2 9" xfId="10136" xr:uid="{00000000-0005-0000-0000-00006D270000}"/>
    <cellStyle name="Normal 2 2 2 2 2 12 3" xfId="10137" xr:uid="{00000000-0005-0000-0000-00006E270000}"/>
    <cellStyle name="Normal 2 2 2 2 2 12 3 10" xfId="10138" xr:uid="{00000000-0005-0000-0000-00006F270000}"/>
    <cellStyle name="Normal 2 2 2 2 2 12 3 2" xfId="10139" xr:uid="{00000000-0005-0000-0000-000070270000}"/>
    <cellStyle name="Normal 2 2 2 2 2 12 3 3" xfId="10140" xr:uid="{00000000-0005-0000-0000-000071270000}"/>
    <cellStyle name="Normal 2 2 2 2 2 12 3 4" xfId="10141" xr:uid="{00000000-0005-0000-0000-000072270000}"/>
    <cellStyle name="Normal 2 2 2 2 2 12 3 5" xfId="10142" xr:uid="{00000000-0005-0000-0000-000073270000}"/>
    <cellStyle name="Normal 2 2 2 2 2 12 3 6" xfId="10143" xr:uid="{00000000-0005-0000-0000-000074270000}"/>
    <cellStyle name="Normal 2 2 2 2 2 12 3 7" xfId="10144" xr:uid="{00000000-0005-0000-0000-000075270000}"/>
    <cellStyle name="Normal 2 2 2 2 2 12 3 8" xfId="10145" xr:uid="{00000000-0005-0000-0000-000076270000}"/>
    <cellStyle name="Normal 2 2 2 2 2 12 3 9" xfId="10146" xr:uid="{00000000-0005-0000-0000-000077270000}"/>
    <cellStyle name="Normal 2 2 2 2 2 12 4" xfId="10147" xr:uid="{00000000-0005-0000-0000-000078270000}"/>
    <cellStyle name="Normal 2 2 2 2 2 12 4 10" xfId="10148" xr:uid="{00000000-0005-0000-0000-000079270000}"/>
    <cellStyle name="Normal 2 2 2 2 2 12 4 2" xfId="10149" xr:uid="{00000000-0005-0000-0000-00007A270000}"/>
    <cellStyle name="Normal 2 2 2 2 2 12 4 3" xfId="10150" xr:uid="{00000000-0005-0000-0000-00007B270000}"/>
    <cellStyle name="Normal 2 2 2 2 2 12 4 4" xfId="10151" xr:uid="{00000000-0005-0000-0000-00007C270000}"/>
    <cellStyle name="Normal 2 2 2 2 2 12 4 5" xfId="10152" xr:uid="{00000000-0005-0000-0000-00007D270000}"/>
    <cellStyle name="Normal 2 2 2 2 2 12 4 6" xfId="10153" xr:uid="{00000000-0005-0000-0000-00007E270000}"/>
    <cellStyle name="Normal 2 2 2 2 2 12 4 7" xfId="10154" xr:uid="{00000000-0005-0000-0000-00007F270000}"/>
    <cellStyle name="Normal 2 2 2 2 2 12 4 8" xfId="10155" xr:uid="{00000000-0005-0000-0000-000080270000}"/>
    <cellStyle name="Normal 2 2 2 2 2 12 4 9" xfId="10156" xr:uid="{00000000-0005-0000-0000-000081270000}"/>
    <cellStyle name="Normal 2 2 2 2 2 12 5" xfId="10157" xr:uid="{00000000-0005-0000-0000-000082270000}"/>
    <cellStyle name="Normal 2 2 2 2 2 12 5 10" xfId="10158" xr:uid="{00000000-0005-0000-0000-000083270000}"/>
    <cellStyle name="Normal 2 2 2 2 2 12 5 2" xfId="10159" xr:uid="{00000000-0005-0000-0000-000084270000}"/>
    <cellStyle name="Normal 2 2 2 2 2 12 5 3" xfId="10160" xr:uid="{00000000-0005-0000-0000-000085270000}"/>
    <cellStyle name="Normal 2 2 2 2 2 12 5 4" xfId="10161" xr:uid="{00000000-0005-0000-0000-000086270000}"/>
    <cellStyle name="Normal 2 2 2 2 2 12 5 5" xfId="10162" xr:uid="{00000000-0005-0000-0000-000087270000}"/>
    <cellStyle name="Normal 2 2 2 2 2 12 5 6" xfId="10163" xr:uid="{00000000-0005-0000-0000-000088270000}"/>
    <cellStyle name="Normal 2 2 2 2 2 12 5 7" xfId="10164" xr:uid="{00000000-0005-0000-0000-000089270000}"/>
    <cellStyle name="Normal 2 2 2 2 2 12 5 8" xfId="10165" xr:uid="{00000000-0005-0000-0000-00008A270000}"/>
    <cellStyle name="Normal 2 2 2 2 2 12 5 9" xfId="10166" xr:uid="{00000000-0005-0000-0000-00008B270000}"/>
    <cellStyle name="Normal 2 2 2 2 2 12 6" xfId="10167" xr:uid="{00000000-0005-0000-0000-00008C270000}"/>
    <cellStyle name="Normal 2 2 2 2 2 12 7" xfId="10168" xr:uid="{00000000-0005-0000-0000-00008D270000}"/>
    <cellStyle name="Normal 2 2 2 2 2 12 8" xfId="10169" xr:uid="{00000000-0005-0000-0000-00008E270000}"/>
    <cellStyle name="Normal 2 2 2 2 2 12 9" xfId="10170" xr:uid="{00000000-0005-0000-0000-00008F270000}"/>
    <cellStyle name="Normal 2 2 2 2 2 13" xfId="10171" xr:uid="{00000000-0005-0000-0000-000090270000}"/>
    <cellStyle name="Normal 2 2 2 2 2 13 10" xfId="10172" xr:uid="{00000000-0005-0000-0000-000091270000}"/>
    <cellStyle name="Normal 2 2 2 2 2 13 11" xfId="10173" xr:uid="{00000000-0005-0000-0000-000092270000}"/>
    <cellStyle name="Normal 2 2 2 2 2 13 12" xfId="10174" xr:uid="{00000000-0005-0000-0000-000093270000}"/>
    <cellStyle name="Normal 2 2 2 2 2 13 13" xfId="10175" xr:uid="{00000000-0005-0000-0000-000094270000}"/>
    <cellStyle name="Normal 2 2 2 2 2 13 14" xfId="10176" xr:uid="{00000000-0005-0000-0000-000095270000}"/>
    <cellStyle name="Normal 2 2 2 2 2 13 2" xfId="10177" xr:uid="{00000000-0005-0000-0000-000096270000}"/>
    <cellStyle name="Normal 2 2 2 2 2 13 2 10" xfId="10178" xr:uid="{00000000-0005-0000-0000-000097270000}"/>
    <cellStyle name="Normal 2 2 2 2 2 13 2 2" xfId="10179" xr:uid="{00000000-0005-0000-0000-000098270000}"/>
    <cellStyle name="Normal 2 2 2 2 2 13 2 3" xfId="10180" xr:uid="{00000000-0005-0000-0000-000099270000}"/>
    <cellStyle name="Normal 2 2 2 2 2 13 2 4" xfId="10181" xr:uid="{00000000-0005-0000-0000-00009A270000}"/>
    <cellStyle name="Normal 2 2 2 2 2 13 2 5" xfId="10182" xr:uid="{00000000-0005-0000-0000-00009B270000}"/>
    <cellStyle name="Normal 2 2 2 2 2 13 2 6" xfId="10183" xr:uid="{00000000-0005-0000-0000-00009C270000}"/>
    <cellStyle name="Normal 2 2 2 2 2 13 2 7" xfId="10184" xr:uid="{00000000-0005-0000-0000-00009D270000}"/>
    <cellStyle name="Normal 2 2 2 2 2 13 2 8" xfId="10185" xr:uid="{00000000-0005-0000-0000-00009E270000}"/>
    <cellStyle name="Normal 2 2 2 2 2 13 2 9" xfId="10186" xr:uid="{00000000-0005-0000-0000-00009F270000}"/>
    <cellStyle name="Normal 2 2 2 2 2 13 3" xfId="10187" xr:uid="{00000000-0005-0000-0000-0000A0270000}"/>
    <cellStyle name="Normal 2 2 2 2 2 13 3 10" xfId="10188" xr:uid="{00000000-0005-0000-0000-0000A1270000}"/>
    <cellStyle name="Normal 2 2 2 2 2 13 3 2" xfId="10189" xr:uid="{00000000-0005-0000-0000-0000A2270000}"/>
    <cellStyle name="Normal 2 2 2 2 2 13 3 3" xfId="10190" xr:uid="{00000000-0005-0000-0000-0000A3270000}"/>
    <cellStyle name="Normal 2 2 2 2 2 13 3 4" xfId="10191" xr:uid="{00000000-0005-0000-0000-0000A4270000}"/>
    <cellStyle name="Normal 2 2 2 2 2 13 3 5" xfId="10192" xr:uid="{00000000-0005-0000-0000-0000A5270000}"/>
    <cellStyle name="Normal 2 2 2 2 2 13 3 6" xfId="10193" xr:uid="{00000000-0005-0000-0000-0000A6270000}"/>
    <cellStyle name="Normal 2 2 2 2 2 13 3 7" xfId="10194" xr:uid="{00000000-0005-0000-0000-0000A7270000}"/>
    <cellStyle name="Normal 2 2 2 2 2 13 3 8" xfId="10195" xr:uid="{00000000-0005-0000-0000-0000A8270000}"/>
    <cellStyle name="Normal 2 2 2 2 2 13 3 9" xfId="10196" xr:uid="{00000000-0005-0000-0000-0000A9270000}"/>
    <cellStyle name="Normal 2 2 2 2 2 13 4" xfId="10197" xr:uid="{00000000-0005-0000-0000-0000AA270000}"/>
    <cellStyle name="Normal 2 2 2 2 2 13 4 10" xfId="10198" xr:uid="{00000000-0005-0000-0000-0000AB270000}"/>
    <cellStyle name="Normal 2 2 2 2 2 13 4 2" xfId="10199" xr:uid="{00000000-0005-0000-0000-0000AC270000}"/>
    <cellStyle name="Normal 2 2 2 2 2 13 4 3" xfId="10200" xr:uid="{00000000-0005-0000-0000-0000AD270000}"/>
    <cellStyle name="Normal 2 2 2 2 2 13 4 4" xfId="10201" xr:uid="{00000000-0005-0000-0000-0000AE270000}"/>
    <cellStyle name="Normal 2 2 2 2 2 13 4 5" xfId="10202" xr:uid="{00000000-0005-0000-0000-0000AF270000}"/>
    <cellStyle name="Normal 2 2 2 2 2 13 4 6" xfId="10203" xr:uid="{00000000-0005-0000-0000-0000B0270000}"/>
    <cellStyle name="Normal 2 2 2 2 2 13 4 7" xfId="10204" xr:uid="{00000000-0005-0000-0000-0000B1270000}"/>
    <cellStyle name="Normal 2 2 2 2 2 13 4 8" xfId="10205" xr:uid="{00000000-0005-0000-0000-0000B2270000}"/>
    <cellStyle name="Normal 2 2 2 2 2 13 4 9" xfId="10206" xr:uid="{00000000-0005-0000-0000-0000B3270000}"/>
    <cellStyle name="Normal 2 2 2 2 2 13 5" xfId="10207" xr:uid="{00000000-0005-0000-0000-0000B4270000}"/>
    <cellStyle name="Normal 2 2 2 2 2 13 5 10" xfId="10208" xr:uid="{00000000-0005-0000-0000-0000B5270000}"/>
    <cellStyle name="Normal 2 2 2 2 2 13 5 2" xfId="10209" xr:uid="{00000000-0005-0000-0000-0000B6270000}"/>
    <cellStyle name="Normal 2 2 2 2 2 13 5 3" xfId="10210" xr:uid="{00000000-0005-0000-0000-0000B7270000}"/>
    <cellStyle name="Normal 2 2 2 2 2 13 5 4" xfId="10211" xr:uid="{00000000-0005-0000-0000-0000B8270000}"/>
    <cellStyle name="Normal 2 2 2 2 2 13 5 5" xfId="10212" xr:uid="{00000000-0005-0000-0000-0000B9270000}"/>
    <cellStyle name="Normal 2 2 2 2 2 13 5 6" xfId="10213" xr:uid="{00000000-0005-0000-0000-0000BA270000}"/>
    <cellStyle name="Normal 2 2 2 2 2 13 5 7" xfId="10214" xr:uid="{00000000-0005-0000-0000-0000BB270000}"/>
    <cellStyle name="Normal 2 2 2 2 2 13 5 8" xfId="10215" xr:uid="{00000000-0005-0000-0000-0000BC270000}"/>
    <cellStyle name="Normal 2 2 2 2 2 13 5 9" xfId="10216" xr:uid="{00000000-0005-0000-0000-0000BD270000}"/>
    <cellStyle name="Normal 2 2 2 2 2 13 6" xfId="10217" xr:uid="{00000000-0005-0000-0000-0000BE270000}"/>
    <cellStyle name="Normal 2 2 2 2 2 13 7" xfId="10218" xr:uid="{00000000-0005-0000-0000-0000BF270000}"/>
    <cellStyle name="Normal 2 2 2 2 2 13 8" xfId="10219" xr:uid="{00000000-0005-0000-0000-0000C0270000}"/>
    <cellStyle name="Normal 2 2 2 2 2 13 9" xfId="10220" xr:uid="{00000000-0005-0000-0000-0000C1270000}"/>
    <cellStyle name="Normal 2 2 2 2 2 14" xfId="10221" xr:uid="{00000000-0005-0000-0000-0000C2270000}"/>
    <cellStyle name="Normal 2 2 2 2 2 14 10" xfId="10222" xr:uid="{00000000-0005-0000-0000-0000C3270000}"/>
    <cellStyle name="Normal 2 2 2 2 2 14 11" xfId="10223" xr:uid="{00000000-0005-0000-0000-0000C4270000}"/>
    <cellStyle name="Normal 2 2 2 2 2 14 12" xfId="10224" xr:uid="{00000000-0005-0000-0000-0000C5270000}"/>
    <cellStyle name="Normal 2 2 2 2 2 14 13" xfId="10225" xr:uid="{00000000-0005-0000-0000-0000C6270000}"/>
    <cellStyle name="Normal 2 2 2 2 2 14 14" xfId="10226" xr:uid="{00000000-0005-0000-0000-0000C7270000}"/>
    <cellStyle name="Normal 2 2 2 2 2 14 2" xfId="10227" xr:uid="{00000000-0005-0000-0000-0000C8270000}"/>
    <cellStyle name="Normal 2 2 2 2 2 14 2 10" xfId="10228" xr:uid="{00000000-0005-0000-0000-0000C9270000}"/>
    <cellStyle name="Normal 2 2 2 2 2 14 2 2" xfId="10229" xr:uid="{00000000-0005-0000-0000-0000CA270000}"/>
    <cellStyle name="Normal 2 2 2 2 2 14 2 3" xfId="10230" xr:uid="{00000000-0005-0000-0000-0000CB270000}"/>
    <cellStyle name="Normal 2 2 2 2 2 14 2 4" xfId="10231" xr:uid="{00000000-0005-0000-0000-0000CC270000}"/>
    <cellStyle name="Normal 2 2 2 2 2 14 2 5" xfId="10232" xr:uid="{00000000-0005-0000-0000-0000CD270000}"/>
    <cellStyle name="Normal 2 2 2 2 2 14 2 6" xfId="10233" xr:uid="{00000000-0005-0000-0000-0000CE270000}"/>
    <cellStyle name="Normal 2 2 2 2 2 14 2 7" xfId="10234" xr:uid="{00000000-0005-0000-0000-0000CF270000}"/>
    <cellStyle name="Normal 2 2 2 2 2 14 2 8" xfId="10235" xr:uid="{00000000-0005-0000-0000-0000D0270000}"/>
    <cellStyle name="Normal 2 2 2 2 2 14 2 9" xfId="10236" xr:uid="{00000000-0005-0000-0000-0000D1270000}"/>
    <cellStyle name="Normal 2 2 2 2 2 14 3" xfId="10237" xr:uid="{00000000-0005-0000-0000-0000D2270000}"/>
    <cellStyle name="Normal 2 2 2 2 2 14 3 10" xfId="10238" xr:uid="{00000000-0005-0000-0000-0000D3270000}"/>
    <cellStyle name="Normal 2 2 2 2 2 14 3 2" xfId="10239" xr:uid="{00000000-0005-0000-0000-0000D4270000}"/>
    <cellStyle name="Normal 2 2 2 2 2 14 3 3" xfId="10240" xr:uid="{00000000-0005-0000-0000-0000D5270000}"/>
    <cellStyle name="Normal 2 2 2 2 2 14 3 4" xfId="10241" xr:uid="{00000000-0005-0000-0000-0000D6270000}"/>
    <cellStyle name="Normal 2 2 2 2 2 14 3 5" xfId="10242" xr:uid="{00000000-0005-0000-0000-0000D7270000}"/>
    <cellStyle name="Normal 2 2 2 2 2 14 3 6" xfId="10243" xr:uid="{00000000-0005-0000-0000-0000D8270000}"/>
    <cellStyle name="Normal 2 2 2 2 2 14 3 7" xfId="10244" xr:uid="{00000000-0005-0000-0000-0000D9270000}"/>
    <cellStyle name="Normal 2 2 2 2 2 14 3 8" xfId="10245" xr:uid="{00000000-0005-0000-0000-0000DA270000}"/>
    <cellStyle name="Normal 2 2 2 2 2 14 3 9" xfId="10246" xr:uid="{00000000-0005-0000-0000-0000DB270000}"/>
    <cellStyle name="Normal 2 2 2 2 2 14 4" xfId="10247" xr:uid="{00000000-0005-0000-0000-0000DC270000}"/>
    <cellStyle name="Normal 2 2 2 2 2 14 4 10" xfId="10248" xr:uid="{00000000-0005-0000-0000-0000DD270000}"/>
    <cellStyle name="Normal 2 2 2 2 2 14 4 2" xfId="10249" xr:uid="{00000000-0005-0000-0000-0000DE270000}"/>
    <cellStyle name="Normal 2 2 2 2 2 14 4 3" xfId="10250" xr:uid="{00000000-0005-0000-0000-0000DF270000}"/>
    <cellStyle name="Normal 2 2 2 2 2 14 4 4" xfId="10251" xr:uid="{00000000-0005-0000-0000-0000E0270000}"/>
    <cellStyle name="Normal 2 2 2 2 2 14 4 5" xfId="10252" xr:uid="{00000000-0005-0000-0000-0000E1270000}"/>
    <cellStyle name="Normal 2 2 2 2 2 14 4 6" xfId="10253" xr:uid="{00000000-0005-0000-0000-0000E2270000}"/>
    <cellStyle name="Normal 2 2 2 2 2 14 4 7" xfId="10254" xr:uid="{00000000-0005-0000-0000-0000E3270000}"/>
    <cellStyle name="Normal 2 2 2 2 2 14 4 8" xfId="10255" xr:uid="{00000000-0005-0000-0000-0000E4270000}"/>
    <cellStyle name="Normal 2 2 2 2 2 14 4 9" xfId="10256" xr:uid="{00000000-0005-0000-0000-0000E5270000}"/>
    <cellStyle name="Normal 2 2 2 2 2 14 5" xfId="10257" xr:uid="{00000000-0005-0000-0000-0000E6270000}"/>
    <cellStyle name="Normal 2 2 2 2 2 14 5 10" xfId="10258" xr:uid="{00000000-0005-0000-0000-0000E7270000}"/>
    <cellStyle name="Normal 2 2 2 2 2 14 5 2" xfId="10259" xr:uid="{00000000-0005-0000-0000-0000E8270000}"/>
    <cellStyle name="Normal 2 2 2 2 2 14 5 3" xfId="10260" xr:uid="{00000000-0005-0000-0000-0000E9270000}"/>
    <cellStyle name="Normal 2 2 2 2 2 14 5 4" xfId="10261" xr:uid="{00000000-0005-0000-0000-0000EA270000}"/>
    <cellStyle name="Normal 2 2 2 2 2 14 5 5" xfId="10262" xr:uid="{00000000-0005-0000-0000-0000EB270000}"/>
    <cellStyle name="Normal 2 2 2 2 2 14 5 6" xfId="10263" xr:uid="{00000000-0005-0000-0000-0000EC270000}"/>
    <cellStyle name="Normal 2 2 2 2 2 14 5 7" xfId="10264" xr:uid="{00000000-0005-0000-0000-0000ED270000}"/>
    <cellStyle name="Normal 2 2 2 2 2 14 5 8" xfId="10265" xr:uid="{00000000-0005-0000-0000-0000EE270000}"/>
    <cellStyle name="Normal 2 2 2 2 2 14 5 9" xfId="10266" xr:uid="{00000000-0005-0000-0000-0000EF270000}"/>
    <cellStyle name="Normal 2 2 2 2 2 14 6" xfId="10267" xr:uid="{00000000-0005-0000-0000-0000F0270000}"/>
    <cellStyle name="Normal 2 2 2 2 2 14 7" xfId="10268" xr:uid="{00000000-0005-0000-0000-0000F1270000}"/>
    <cellStyle name="Normal 2 2 2 2 2 14 8" xfId="10269" xr:uid="{00000000-0005-0000-0000-0000F2270000}"/>
    <cellStyle name="Normal 2 2 2 2 2 14 9" xfId="10270" xr:uid="{00000000-0005-0000-0000-0000F3270000}"/>
    <cellStyle name="Normal 2 2 2 2 2 15" xfId="10271" xr:uid="{00000000-0005-0000-0000-0000F4270000}"/>
    <cellStyle name="Normal 2 2 2 2 2 15 10" xfId="10272" xr:uid="{00000000-0005-0000-0000-0000F5270000}"/>
    <cellStyle name="Normal 2 2 2 2 2 15 11" xfId="10273" xr:uid="{00000000-0005-0000-0000-0000F6270000}"/>
    <cellStyle name="Normal 2 2 2 2 2 15 12" xfId="10274" xr:uid="{00000000-0005-0000-0000-0000F7270000}"/>
    <cellStyle name="Normal 2 2 2 2 2 15 13" xfId="10275" xr:uid="{00000000-0005-0000-0000-0000F8270000}"/>
    <cellStyle name="Normal 2 2 2 2 2 15 14" xfId="10276" xr:uid="{00000000-0005-0000-0000-0000F9270000}"/>
    <cellStyle name="Normal 2 2 2 2 2 15 2" xfId="10277" xr:uid="{00000000-0005-0000-0000-0000FA270000}"/>
    <cellStyle name="Normal 2 2 2 2 2 15 2 10" xfId="10278" xr:uid="{00000000-0005-0000-0000-0000FB270000}"/>
    <cellStyle name="Normal 2 2 2 2 2 15 2 2" xfId="10279" xr:uid="{00000000-0005-0000-0000-0000FC270000}"/>
    <cellStyle name="Normal 2 2 2 2 2 15 2 3" xfId="10280" xr:uid="{00000000-0005-0000-0000-0000FD270000}"/>
    <cellStyle name="Normal 2 2 2 2 2 15 2 4" xfId="10281" xr:uid="{00000000-0005-0000-0000-0000FE270000}"/>
    <cellStyle name="Normal 2 2 2 2 2 15 2 5" xfId="10282" xr:uid="{00000000-0005-0000-0000-0000FF270000}"/>
    <cellStyle name="Normal 2 2 2 2 2 15 2 6" xfId="10283" xr:uid="{00000000-0005-0000-0000-000000280000}"/>
    <cellStyle name="Normal 2 2 2 2 2 15 2 7" xfId="10284" xr:uid="{00000000-0005-0000-0000-000001280000}"/>
    <cellStyle name="Normal 2 2 2 2 2 15 2 8" xfId="10285" xr:uid="{00000000-0005-0000-0000-000002280000}"/>
    <cellStyle name="Normal 2 2 2 2 2 15 2 9" xfId="10286" xr:uid="{00000000-0005-0000-0000-000003280000}"/>
    <cellStyle name="Normal 2 2 2 2 2 15 3" xfId="10287" xr:uid="{00000000-0005-0000-0000-000004280000}"/>
    <cellStyle name="Normal 2 2 2 2 2 15 3 10" xfId="10288" xr:uid="{00000000-0005-0000-0000-000005280000}"/>
    <cellStyle name="Normal 2 2 2 2 2 15 3 2" xfId="10289" xr:uid="{00000000-0005-0000-0000-000006280000}"/>
    <cellStyle name="Normal 2 2 2 2 2 15 3 3" xfId="10290" xr:uid="{00000000-0005-0000-0000-000007280000}"/>
    <cellStyle name="Normal 2 2 2 2 2 15 3 4" xfId="10291" xr:uid="{00000000-0005-0000-0000-000008280000}"/>
    <cellStyle name="Normal 2 2 2 2 2 15 3 5" xfId="10292" xr:uid="{00000000-0005-0000-0000-000009280000}"/>
    <cellStyle name="Normal 2 2 2 2 2 15 3 6" xfId="10293" xr:uid="{00000000-0005-0000-0000-00000A280000}"/>
    <cellStyle name="Normal 2 2 2 2 2 15 3 7" xfId="10294" xr:uid="{00000000-0005-0000-0000-00000B280000}"/>
    <cellStyle name="Normal 2 2 2 2 2 15 3 8" xfId="10295" xr:uid="{00000000-0005-0000-0000-00000C280000}"/>
    <cellStyle name="Normal 2 2 2 2 2 15 3 9" xfId="10296" xr:uid="{00000000-0005-0000-0000-00000D280000}"/>
    <cellStyle name="Normal 2 2 2 2 2 15 4" xfId="10297" xr:uid="{00000000-0005-0000-0000-00000E280000}"/>
    <cellStyle name="Normal 2 2 2 2 2 15 4 10" xfId="10298" xr:uid="{00000000-0005-0000-0000-00000F280000}"/>
    <cellStyle name="Normal 2 2 2 2 2 15 4 2" xfId="10299" xr:uid="{00000000-0005-0000-0000-000010280000}"/>
    <cellStyle name="Normal 2 2 2 2 2 15 4 3" xfId="10300" xr:uid="{00000000-0005-0000-0000-000011280000}"/>
    <cellStyle name="Normal 2 2 2 2 2 15 4 4" xfId="10301" xr:uid="{00000000-0005-0000-0000-000012280000}"/>
    <cellStyle name="Normal 2 2 2 2 2 15 4 5" xfId="10302" xr:uid="{00000000-0005-0000-0000-000013280000}"/>
    <cellStyle name="Normal 2 2 2 2 2 15 4 6" xfId="10303" xr:uid="{00000000-0005-0000-0000-000014280000}"/>
    <cellStyle name="Normal 2 2 2 2 2 15 4 7" xfId="10304" xr:uid="{00000000-0005-0000-0000-000015280000}"/>
    <cellStyle name="Normal 2 2 2 2 2 15 4 8" xfId="10305" xr:uid="{00000000-0005-0000-0000-000016280000}"/>
    <cellStyle name="Normal 2 2 2 2 2 15 4 9" xfId="10306" xr:uid="{00000000-0005-0000-0000-000017280000}"/>
    <cellStyle name="Normal 2 2 2 2 2 15 5" xfId="10307" xr:uid="{00000000-0005-0000-0000-000018280000}"/>
    <cellStyle name="Normal 2 2 2 2 2 15 5 10" xfId="10308" xr:uid="{00000000-0005-0000-0000-000019280000}"/>
    <cellStyle name="Normal 2 2 2 2 2 15 5 2" xfId="10309" xr:uid="{00000000-0005-0000-0000-00001A280000}"/>
    <cellStyle name="Normal 2 2 2 2 2 15 5 3" xfId="10310" xr:uid="{00000000-0005-0000-0000-00001B280000}"/>
    <cellStyle name="Normal 2 2 2 2 2 15 5 4" xfId="10311" xr:uid="{00000000-0005-0000-0000-00001C280000}"/>
    <cellStyle name="Normal 2 2 2 2 2 15 5 5" xfId="10312" xr:uid="{00000000-0005-0000-0000-00001D280000}"/>
    <cellStyle name="Normal 2 2 2 2 2 15 5 6" xfId="10313" xr:uid="{00000000-0005-0000-0000-00001E280000}"/>
    <cellStyle name="Normal 2 2 2 2 2 15 5 7" xfId="10314" xr:uid="{00000000-0005-0000-0000-00001F280000}"/>
    <cellStyle name="Normal 2 2 2 2 2 15 5 8" xfId="10315" xr:uid="{00000000-0005-0000-0000-000020280000}"/>
    <cellStyle name="Normal 2 2 2 2 2 15 5 9" xfId="10316" xr:uid="{00000000-0005-0000-0000-000021280000}"/>
    <cellStyle name="Normal 2 2 2 2 2 15 6" xfId="10317" xr:uid="{00000000-0005-0000-0000-000022280000}"/>
    <cellStyle name="Normal 2 2 2 2 2 15 7" xfId="10318" xr:uid="{00000000-0005-0000-0000-000023280000}"/>
    <cellStyle name="Normal 2 2 2 2 2 15 8" xfId="10319" xr:uid="{00000000-0005-0000-0000-000024280000}"/>
    <cellStyle name="Normal 2 2 2 2 2 15 9" xfId="10320" xr:uid="{00000000-0005-0000-0000-000025280000}"/>
    <cellStyle name="Normal 2 2 2 2 2 16" xfId="10321" xr:uid="{00000000-0005-0000-0000-000026280000}"/>
    <cellStyle name="Normal 2 2 2 2 2 16 10" xfId="10322" xr:uid="{00000000-0005-0000-0000-000027280000}"/>
    <cellStyle name="Normal 2 2 2 2 2 16 11" xfId="10323" xr:uid="{00000000-0005-0000-0000-000028280000}"/>
    <cellStyle name="Normal 2 2 2 2 2 16 12" xfId="10324" xr:uid="{00000000-0005-0000-0000-000029280000}"/>
    <cellStyle name="Normal 2 2 2 2 2 16 13" xfId="10325" xr:uid="{00000000-0005-0000-0000-00002A280000}"/>
    <cellStyle name="Normal 2 2 2 2 2 16 14" xfId="10326" xr:uid="{00000000-0005-0000-0000-00002B280000}"/>
    <cellStyle name="Normal 2 2 2 2 2 16 2" xfId="10327" xr:uid="{00000000-0005-0000-0000-00002C280000}"/>
    <cellStyle name="Normal 2 2 2 2 2 16 2 10" xfId="10328" xr:uid="{00000000-0005-0000-0000-00002D280000}"/>
    <cellStyle name="Normal 2 2 2 2 2 16 2 2" xfId="10329" xr:uid="{00000000-0005-0000-0000-00002E280000}"/>
    <cellStyle name="Normal 2 2 2 2 2 16 2 3" xfId="10330" xr:uid="{00000000-0005-0000-0000-00002F280000}"/>
    <cellStyle name="Normal 2 2 2 2 2 16 2 4" xfId="10331" xr:uid="{00000000-0005-0000-0000-000030280000}"/>
    <cellStyle name="Normal 2 2 2 2 2 16 2 5" xfId="10332" xr:uid="{00000000-0005-0000-0000-000031280000}"/>
    <cellStyle name="Normal 2 2 2 2 2 16 2 6" xfId="10333" xr:uid="{00000000-0005-0000-0000-000032280000}"/>
    <cellStyle name="Normal 2 2 2 2 2 16 2 7" xfId="10334" xr:uid="{00000000-0005-0000-0000-000033280000}"/>
    <cellStyle name="Normal 2 2 2 2 2 16 2 8" xfId="10335" xr:uid="{00000000-0005-0000-0000-000034280000}"/>
    <cellStyle name="Normal 2 2 2 2 2 16 2 9" xfId="10336" xr:uid="{00000000-0005-0000-0000-000035280000}"/>
    <cellStyle name="Normal 2 2 2 2 2 16 3" xfId="10337" xr:uid="{00000000-0005-0000-0000-000036280000}"/>
    <cellStyle name="Normal 2 2 2 2 2 16 3 10" xfId="10338" xr:uid="{00000000-0005-0000-0000-000037280000}"/>
    <cellStyle name="Normal 2 2 2 2 2 16 3 2" xfId="10339" xr:uid="{00000000-0005-0000-0000-000038280000}"/>
    <cellStyle name="Normal 2 2 2 2 2 16 3 3" xfId="10340" xr:uid="{00000000-0005-0000-0000-000039280000}"/>
    <cellStyle name="Normal 2 2 2 2 2 16 3 4" xfId="10341" xr:uid="{00000000-0005-0000-0000-00003A280000}"/>
    <cellStyle name="Normal 2 2 2 2 2 16 3 5" xfId="10342" xr:uid="{00000000-0005-0000-0000-00003B280000}"/>
    <cellStyle name="Normal 2 2 2 2 2 16 3 6" xfId="10343" xr:uid="{00000000-0005-0000-0000-00003C280000}"/>
    <cellStyle name="Normal 2 2 2 2 2 16 3 7" xfId="10344" xr:uid="{00000000-0005-0000-0000-00003D280000}"/>
    <cellStyle name="Normal 2 2 2 2 2 16 3 8" xfId="10345" xr:uid="{00000000-0005-0000-0000-00003E280000}"/>
    <cellStyle name="Normal 2 2 2 2 2 16 3 9" xfId="10346" xr:uid="{00000000-0005-0000-0000-00003F280000}"/>
    <cellStyle name="Normal 2 2 2 2 2 16 4" xfId="10347" xr:uid="{00000000-0005-0000-0000-000040280000}"/>
    <cellStyle name="Normal 2 2 2 2 2 16 4 10" xfId="10348" xr:uid="{00000000-0005-0000-0000-000041280000}"/>
    <cellStyle name="Normal 2 2 2 2 2 16 4 2" xfId="10349" xr:uid="{00000000-0005-0000-0000-000042280000}"/>
    <cellStyle name="Normal 2 2 2 2 2 16 4 3" xfId="10350" xr:uid="{00000000-0005-0000-0000-000043280000}"/>
    <cellStyle name="Normal 2 2 2 2 2 16 4 4" xfId="10351" xr:uid="{00000000-0005-0000-0000-000044280000}"/>
    <cellStyle name="Normal 2 2 2 2 2 16 4 5" xfId="10352" xr:uid="{00000000-0005-0000-0000-000045280000}"/>
    <cellStyle name="Normal 2 2 2 2 2 16 4 6" xfId="10353" xr:uid="{00000000-0005-0000-0000-000046280000}"/>
    <cellStyle name="Normal 2 2 2 2 2 16 4 7" xfId="10354" xr:uid="{00000000-0005-0000-0000-000047280000}"/>
    <cellStyle name="Normal 2 2 2 2 2 16 4 8" xfId="10355" xr:uid="{00000000-0005-0000-0000-000048280000}"/>
    <cellStyle name="Normal 2 2 2 2 2 16 4 9" xfId="10356" xr:uid="{00000000-0005-0000-0000-000049280000}"/>
    <cellStyle name="Normal 2 2 2 2 2 16 5" xfId="10357" xr:uid="{00000000-0005-0000-0000-00004A280000}"/>
    <cellStyle name="Normal 2 2 2 2 2 16 5 10" xfId="10358" xr:uid="{00000000-0005-0000-0000-00004B280000}"/>
    <cellStyle name="Normal 2 2 2 2 2 16 5 2" xfId="10359" xr:uid="{00000000-0005-0000-0000-00004C280000}"/>
    <cellStyle name="Normal 2 2 2 2 2 16 5 3" xfId="10360" xr:uid="{00000000-0005-0000-0000-00004D280000}"/>
    <cellStyle name="Normal 2 2 2 2 2 16 5 4" xfId="10361" xr:uid="{00000000-0005-0000-0000-00004E280000}"/>
    <cellStyle name="Normal 2 2 2 2 2 16 5 5" xfId="10362" xr:uid="{00000000-0005-0000-0000-00004F280000}"/>
    <cellStyle name="Normal 2 2 2 2 2 16 5 6" xfId="10363" xr:uid="{00000000-0005-0000-0000-000050280000}"/>
    <cellStyle name="Normal 2 2 2 2 2 16 5 7" xfId="10364" xr:uid="{00000000-0005-0000-0000-000051280000}"/>
    <cellStyle name="Normal 2 2 2 2 2 16 5 8" xfId="10365" xr:uid="{00000000-0005-0000-0000-000052280000}"/>
    <cellStyle name="Normal 2 2 2 2 2 16 5 9" xfId="10366" xr:uid="{00000000-0005-0000-0000-000053280000}"/>
    <cellStyle name="Normal 2 2 2 2 2 16 6" xfId="10367" xr:uid="{00000000-0005-0000-0000-000054280000}"/>
    <cellStyle name="Normal 2 2 2 2 2 16 7" xfId="10368" xr:uid="{00000000-0005-0000-0000-000055280000}"/>
    <cellStyle name="Normal 2 2 2 2 2 16 8" xfId="10369" xr:uid="{00000000-0005-0000-0000-000056280000}"/>
    <cellStyle name="Normal 2 2 2 2 2 16 9" xfId="10370" xr:uid="{00000000-0005-0000-0000-000057280000}"/>
    <cellStyle name="Normal 2 2 2 2 2 17" xfId="10371" xr:uid="{00000000-0005-0000-0000-000058280000}"/>
    <cellStyle name="Normal 2 2 2 2 2 17 10" xfId="10372" xr:uid="{00000000-0005-0000-0000-000059280000}"/>
    <cellStyle name="Normal 2 2 2 2 2 17 11" xfId="10373" xr:uid="{00000000-0005-0000-0000-00005A280000}"/>
    <cellStyle name="Normal 2 2 2 2 2 17 12" xfId="10374" xr:uid="{00000000-0005-0000-0000-00005B280000}"/>
    <cellStyle name="Normal 2 2 2 2 2 17 13" xfId="10375" xr:uid="{00000000-0005-0000-0000-00005C280000}"/>
    <cellStyle name="Normal 2 2 2 2 2 17 14" xfId="10376" xr:uid="{00000000-0005-0000-0000-00005D280000}"/>
    <cellStyle name="Normal 2 2 2 2 2 17 2" xfId="10377" xr:uid="{00000000-0005-0000-0000-00005E280000}"/>
    <cellStyle name="Normal 2 2 2 2 2 17 2 10" xfId="10378" xr:uid="{00000000-0005-0000-0000-00005F280000}"/>
    <cellStyle name="Normal 2 2 2 2 2 17 2 2" xfId="10379" xr:uid="{00000000-0005-0000-0000-000060280000}"/>
    <cellStyle name="Normal 2 2 2 2 2 17 2 3" xfId="10380" xr:uid="{00000000-0005-0000-0000-000061280000}"/>
    <cellStyle name="Normal 2 2 2 2 2 17 2 4" xfId="10381" xr:uid="{00000000-0005-0000-0000-000062280000}"/>
    <cellStyle name="Normal 2 2 2 2 2 17 2 5" xfId="10382" xr:uid="{00000000-0005-0000-0000-000063280000}"/>
    <cellStyle name="Normal 2 2 2 2 2 17 2 6" xfId="10383" xr:uid="{00000000-0005-0000-0000-000064280000}"/>
    <cellStyle name="Normal 2 2 2 2 2 17 2 7" xfId="10384" xr:uid="{00000000-0005-0000-0000-000065280000}"/>
    <cellStyle name="Normal 2 2 2 2 2 17 2 8" xfId="10385" xr:uid="{00000000-0005-0000-0000-000066280000}"/>
    <cellStyle name="Normal 2 2 2 2 2 17 2 9" xfId="10386" xr:uid="{00000000-0005-0000-0000-000067280000}"/>
    <cellStyle name="Normal 2 2 2 2 2 17 3" xfId="10387" xr:uid="{00000000-0005-0000-0000-000068280000}"/>
    <cellStyle name="Normal 2 2 2 2 2 17 3 10" xfId="10388" xr:uid="{00000000-0005-0000-0000-000069280000}"/>
    <cellStyle name="Normal 2 2 2 2 2 17 3 2" xfId="10389" xr:uid="{00000000-0005-0000-0000-00006A280000}"/>
    <cellStyle name="Normal 2 2 2 2 2 17 3 3" xfId="10390" xr:uid="{00000000-0005-0000-0000-00006B280000}"/>
    <cellStyle name="Normal 2 2 2 2 2 17 3 4" xfId="10391" xr:uid="{00000000-0005-0000-0000-00006C280000}"/>
    <cellStyle name="Normal 2 2 2 2 2 17 3 5" xfId="10392" xr:uid="{00000000-0005-0000-0000-00006D280000}"/>
    <cellStyle name="Normal 2 2 2 2 2 17 3 6" xfId="10393" xr:uid="{00000000-0005-0000-0000-00006E280000}"/>
    <cellStyle name="Normal 2 2 2 2 2 17 3 7" xfId="10394" xr:uid="{00000000-0005-0000-0000-00006F280000}"/>
    <cellStyle name="Normal 2 2 2 2 2 17 3 8" xfId="10395" xr:uid="{00000000-0005-0000-0000-000070280000}"/>
    <cellStyle name="Normal 2 2 2 2 2 17 3 9" xfId="10396" xr:uid="{00000000-0005-0000-0000-000071280000}"/>
    <cellStyle name="Normal 2 2 2 2 2 17 4" xfId="10397" xr:uid="{00000000-0005-0000-0000-000072280000}"/>
    <cellStyle name="Normal 2 2 2 2 2 17 4 10" xfId="10398" xr:uid="{00000000-0005-0000-0000-000073280000}"/>
    <cellStyle name="Normal 2 2 2 2 2 17 4 2" xfId="10399" xr:uid="{00000000-0005-0000-0000-000074280000}"/>
    <cellStyle name="Normal 2 2 2 2 2 17 4 3" xfId="10400" xr:uid="{00000000-0005-0000-0000-000075280000}"/>
    <cellStyle name="Normal 2 2 2 2 2 17 4 4" xfId="10401" xr:uid="{00000000-0005-0000-0000-000076280000}"/>
    <cellStyle name="Normal 2 2 2 2 2 17 4 5" xfId="10402" xr:uid="{00000000-0005-0000-0000-000077280000}"/>
    <cellStyle name="Normal 2 2 2 2 2 17 4 6" xfId="10403" xr:uid="{00000000-0005-0000-0000-000078280000}"/>
    <cellStyle name="Normal 2 2 2 2 2 17 4 7" xfId="10404" xr:uid="{00000000-0005-0000-0000-000079280000}"/>
    <cellStyle name="Normal 2 2 2 2 2 17 4 8" xfId="10405" xr:uid="{00000000-0005-0000-0000-00007A280000}"/>
    <cellStyle name="Normal 2 2 2 2 2 17 4 9" xfId="10406" xr:uid="{00000000-0005-0000-0000-00007B280000}"/>
    <cellStyle name="Normal 2 2 2 2 2 17 5" xfId="10407" xr:uid="{00000000-0005-0000-0000-00007C280000}"/>
    <cellStyle name="Normal 2 2 2 2 2 17 5 10" xfId="10408" xr:uid="{00000000-0005-0000-0000-00007D280000}"/>
    <cellStyle name="Normal 2 2 2 2 2 17 5 2" xfId="10409" xr:uid="{00000000-0005-0000-0000-00007E280000}"/>
    <cellStyle name="Normal 2 2 2 2 2 17 5 3" xfId="10410" xr:uid="{00000000-0005-0000-0000-00007F280000}"/>
    <cellStyle name="Normal 2 2 2 2 2 17 5 4" xfId="10411" xr:uid="{00000000-0005-0000-0000-000080280000}"/>
    <cellStyle name="Normal 2 2 2 2 2 17 5 5" xfId="10412" xr:uid="{00000000-0005-0000-0000-000081280000}"/>
    <cellStyle name="Normal 2 2 2 2 2 17 5 6" xfId="10413" xr:uid="{00000000-0005-0000-0000-000082280000}"/>
    <cellStyle name="Normal 2 2 2 2 2 17 5 7" xfId="10414" xr:uid="{00000000-0005-0000-0000-000083280000}"/>
    <cellStyle name="Normal 2 2 2 2 2 17 5 8" xfId="10415" xr:uid="{00000000-0005-0000-0000-000084280000}"/>
    <cellStyle name="Normal 2 2 2 2 2 17 5 9" xfId="10416" xr:uid="{00000000-0005-0000-0000-000085280000}"/>
    <cellStyle name="Normal 2 2 2 2 2 17 6" xfId="10417" xr:uid="{00000000-0005-0000-0000-000086280000}"/>
    <cellStyle name="Normal 2 2 2 2 2 17 7" xfId="10418" xr:uid="{00000000-0005-0000-0000-000087280000}"/>
    <cellStyle name="Normal 2 2 2 2 2 17 8" xfId="10419" xr:uid="{00000000-0005-0000-0000-000088280000}"/>
    <cellStyle name="Normal 2 2 2 2 2 17 9" xfId="10420" xr:uid="{00000000-0005-0000-0000-000089280000}"/>
    <cellStyle name="Normal 2 2 2 2 2 18" xfId="10421" xr:uid="{00000000-0005-0000-0000-00008A280000}"/>
    <cellStyle name="Normal 2 2 2 2 2 18 10" xfId="10422" xr:uid="{00000000-0005-0000-0000-00008B280000}"/>
    <cellStyle name="Normal 2 2 2 2 2 18 11" xfId="10423" xr:uid="{00000000-0005-0000-0000-00008C280000}"/>
    <cellStyle name="Normal 2 2 2 2 2 18 12" xfId="10424" xr:uid="{00000000-0005-0000-0000-00008D280000}"/>
    <cellStyle name="Normal 2 2 2 2 2 18 13" xfId="10425" xr:uid="{00000000-0005-0000-0000-00008E280000}"/>
    <cellStyle name="Normal 2 2 2 2 2 18 14" xfId="10426" xr:uid="{00000000-0005-0000-0000-00008F280000}"/>
    <cellStyle name="Normal 2 2 2 2 2 18 2" xfId="10427" xr:uid="{00000000-0005-0000-0000-000090280000}"/>
    <cellStyle name="Normal 2 2 2 2 2 18 2 10" xfId="10428" xr:uid="{00000000-0005-0000-0000-000091280000}"/>
    <cellStyle name="Normal 2 2 2 2 2 18 2 2" xfId="10429" xr:uid="{00000000-0005-0000-0000-000092280000}"/>
    <cellStyle name="Normal 2 2 2 2 2 18 2 3" xfId="10430" xr:uid="{00000000-0005-0000-0000-000093280000}"/>
    <cellStyle name="Normal 2 2 2 2 2 18 2 4" xfId="10431" xr:uid="{00000000-0005-0000-0000-000094280000}"/>
    <cellStyle name="Normal 2 2 2 2 2 18 2 5" xfId="10432" xr:uid="{00000000-0005-0000-0000-000095280000}"/>
    <cellStyle name="Normal 2 2 2 2 2 18 2 6" xfId="10433" xr:uid="{00000000-0005-0000-0000-000096280000}"/>
    <cellStyle name="Normal 2 2 2 2 2 18 2 7" xfId="10434" xr:uid="{00000000-0005-0000-0000-000097280000}"/>
    <cellStyle name="Normal 2 2 2 2 2 18 2 8" xfId="10435" xr:uid="{00000000-0005-0000-0000-000098280000}"/>
    <cellStyle name="Normal 2 2 2 2 2 18 2 9" xfId="10436" xr:uid="{00000000-0005-0000-0000-000099280000}"/>
    <cellStyle name="Normal 2 2 2 2 2 18 3" xfId="10437" xr:uid="{00000000-0005-0000-0000-00009A280000}"/>
    <cellStyle name="Normal 2 2 2 2 2 18 3 10" xfId="10438" xr:uid="{00000000-0005-0000-0000-00009B280000}"/>
    <cellStyle name="Normal 2 2 2 2 2 18 3 2" xfId="10439" xr:uid="{00000000-0005-0000-0000-00009C280000}"/>
    <cellStyle name="Normal 2 2 2 2 2 18 3 3" xfId="10440" xr:uid="{00000000-0005-0000-0000-00009D280000}"/>
    <cellStyle name="Normal 2 2 2 2 2 18 3 4" xfId="10441" xr:uid="{00000000-0005-0000-0000-00009E280000}"/>
    <cellStyle name="Normal 2 2 2 2 2 18 3 5" xfId="10442" xr:uid="{00000000-0005-0000-0000-00009F280000}"/>
    <cellStyle name="Normal 2 2 2 2 2 18 3 6" xfId="10443" xr:uid="{00000000-0005-0000-0000-0000A0280000}"/>
    <cellStyle name="Normal 2 2 2 2 2 18 3 7" xfId="10444" xr:uid="{00000000-0005-0000-0000-0000A1280000}"/>
    <cellStyle name="Normal 2 2 2 2 2 18 3 8" xfId="10445" xr:uid="{00000000-0005-0000-0000-0000A2280000}"/>
    <cellStyle name="Normal 2 2 2 2 2 18 3 9" xfId="10446" xr:uid="{00000000-0005-0000-0000-0000A3280000}"/>
    <cellStyle name="Normal 2 2 2 2 2 18 4" xfId="10447" xr:uid="{00000000-0005-0000-0000-0000A4280000}"/>
    <cellStyle name="Normal 2 2 2 2 2 18 4 10" xfId="10448" xr:uid="{00000000-0005-0000-0000-0000A5280000}"/>
    <cellStyle name="Normal 2 2 2 2 2 18 4 2" xfId="10449" xr:uid="{00000000-0005-0000-0000-0000A6280000}"/>
    <cellStyle name="Normal 2 2 2 2 2 18 4 3" xfId="10450" xr:uid="{00000000-0005-0000-0000-0000A7280000}"/>
    <cellStyle name="Normal 2 2 2 2 2 18 4 4" xfId="10451" xr:uid="{00000000-0005-0000-0000-0000A8280000}"/>
    <cellStyle name="Normal 2 2 2 2 2 18 4 5" xfId="10452" xr:uid="{00000000-0005-0000-0000-0000A9280000}"/>
    <cellStyle name="Normal 2 2 2 2 2 18 4 6" xfId="10453" xr:uid="{00000000-0005-0000-0000-0000AA280000}"/>
    <cellStyle name="Normal 2 2 2 2 2 18 4 7" xfId="10454" xr:uid="{00000000-0005-0000-0000-0000AB280000}"/>
    <cellStyle name="Normal 2 2 2 2 2 18 4 8" xfId="10455" xr:uid="{00000000-0005-0000-0000-0000AC280000}"/>
    <cellStyle name="Normal 2 2 2 2 2 18 4 9" xfId="10456" xr:uid="{00000000-0005-0000-0000-0000AD280000}"/>
    <cellStyle name="Normal 2 2 2 2 2 18 5" xfId="10457" xr:uid="{00000000-0005-0000-0000-0000AE280000}"/>
    <cellStyle name="Normal 2 2 2 2 2 18 5 10" xfId="10458" xr:uid="{00000000-0005-0000-0000-0000AF280000}"/>
    <cellStyle name="Normal 2 2 2 2 2 18 5 2" xfId="10459" xr:uid="{00000000-0005-0000-0000-0000B0280000}"/>
    <cellStyle name="Normal 2 2 2 2 2 18 5 3" xfId="10460" xr:uid="{00000000-0005-0000-0000-0000B1280000}"/>
    <cellStyle name="Normal 2 2 2 2 2 18 5 4" xfId="10461" xr:uid="{00000000-0005-0000-0000-0000B2280000}"/>
    <cellStyle name="Normal 2 2 2 2 2 18 5 5" xfId="10462" xr:uid="{00000000-0005-0000-0000-0000B3280000}"/>
    <cellStyle name="Normal 2 2 2 2 2 18 5 6" xfId="10463" xr:uid="{00000000-0005-0000-0000-0000B4280000}"/>
    <cellStyle name="Normal 2 2 2 2 2 18 5 7" xfId="10464" xr:uid="{00000000-0005-0000-0000-0000B5280000}"/>
    <cellStyle name="Normal 2 2 2 2 2 18 5 8" xfId="10465" xr:uid="{00000000-0005-0000-0000-0000B6280000}"/>
    <cellStyle name="Normal 2 2 2 2 2 18 5 9" xfId="10466" xr:uid="{00000000-0005-0000-0000-0000B7280000}"/>
    <cellStyle name="Normal 2 2 2 2 2 18 6" xfId="10467" xr:uid="{00000000-0005-0000-0000-0000B8280000}"/>
    <cellStyle name="Normal 2 2 2 2 2 18 7" xfId="10468" xr:uid="{00000000-0005-0000-0000-0000B9280000}"/>
    <cellStyle name="Normal 2 2 2 2 2 18 8" xfId="10469" xr:uid="{00000000-0005-0000-0000-0000BA280000}"/>
    <cellStyle name="Normal 2 2 2 2 2 18 9" xfId="10470" xr:uid="{00000000-0005-0000-0000-0000BB280000}"/>
    <cellStyle name="Normal 2 2 2 2 2 19" xfId="10471" xr:uid="{00000000-0005-0000-0000-0000BC280000}"/>
    <cellStyle name="Normal 2 2 2 2 2 19 10" xfId="10472" xr:uid="{00000000-0005-0000-0000-0000BD280000}"/>
    <cellStyle name="Normal 2 2 2 2 2 19 11" xfId="10473" xr:uid="{00000000-0005-0000-0000-0000BE280000}"/>
    <cellStyle name="Normal 2 2 2 2 2 19 12" xfId="10474" xr:uid="{00000000-0005-0000-0000-0000BF280000}"/>
    <cellStyle name="Normal 2 2 2 2 2 19 13" xfId="10475" xr:uid="{00000000-0005-0000-0000-0000C0280000}"/>
    <cellStyle name="Normal 2 2 2 2 2 19 14" xfId="10476" xr:uid="{00000000-0005-0000-0000-0000C1280000}"/>
    <cellStyle name="Normal 2 2 2 2 2 19 2" xfId="10477" xr:uid="{00000000-0005-0000-0000-0000C2280000}"/>
    <cellStyle name="Normal 2 2 2 2 2 19 2 10" xfId="10478" xr:uid="{00000000-0005-0000-0000-0000C3280000}"/>
    <cellStyle name="Normal 2 2 2 2 2 19 2 2" xfId="10479" xr:uid="{00000000-0005-0000-0000-0000C4280000}"/>
    <cellStyle name="Normal 2 2 2 2 2 19 2 3" xfId="10480" xr:uid="{00000000-0005-0000-0000-0000C5280000}"/>
    <cellStyle name="Normal 2 2 2 2 2 19 2 4" xfId="10481" xr:uid="{00000000-0005-0000-0000-0000C6280000}"/>
    <cellStyle name="Normal 2 2 2 2 2 19 2 5" xfId="10482" xr:uid="{00000000-0005-0000-0000-0000C7280000}"/>
    <cellStyle name="Normal 2 2 2 2 2 19 2 6" xfId="10483" xr:uid="{00000000-0005-0000-0000-0000C8280000}"/>
    <cellStyle name="Normal 2 2 2 2 2 19 2 7" xfId="10484" xr:uid="{00000000-0005-0000-0000-0000C9280000}"/>
    <cellStyle name="Normal 2 2 2 2 2 19 2 8" xfId="10485" xr:uid="{00000000-0005-0000-0000-0000CA280000}"/>
    <cellStyle name="Normal 2 2 2 2 2 19 2 9" xfId="10486" xr:uid="{00000000-0005-0000-0000-0000CB280000}"/>
    <cellStyle name="Normal 2 2 2 2 2 19 3" xfId="10487" xr:uid="{00000000-0005-0000-0000-0000CC280000}"/>
    <cellStyle name="Normal 2 2 2 2 2 19 3 10" xfId="10488" xr:uid="{00000000-0005-0000-0000-0000CD280000}"/>
    <cellStyle name="Normal 2 2 2 2 2 19 3 2" xfId="10489" xr:uid="{00000000-0005-0000-0000-0000CE280000}"/>
    <cellStyle name="Normal 2 2 2 2 2 19 3 3" xfId="10490" xr:uid="{00000000-0005-0000-0000-0000CF280000}"/>
    <cellStyle name="Normal 2 2 2 2 2 19 3 4" xfId="10491" xr:uid="{00000000-0005-0000-0000-0000D0280000}"/>
    <cellStyle name="Normal 2 2 2 2 2 19 3 5" xfId="10492" xr:uid="{00000000-0005-0000-0000-0000D1280000}"/>
    <cellStyle name="Normal 2 2 2 2 2 19 3 6" xfId="10493" xr:uid="{00000000-0005-0000-0000-0000D2280000}"/>
    <cellStyle name="Normal 2 2 2 2 2 19 3 7" xfId="10494" xr:uid="{00000000-0005-0000-0000-0000D3280000}"/>
    <cellStyle name="Normal 2 2 2 2 2 19 3 8" xfId="10495" xr:uid="{00000000-0005-0000-0000-0000D4280000}"/>
    <cellStyle name="Normal 2 2 2 2 2 19 3 9" xfId="10496" xr:uid="{00000000-0005-0000-0000-0000D5280000}"/>
    <cellStyle name="Normal 2 2 2 2 2 19 4" xfId="10497" xr:uid="{00000000-0005-0000-0000-0000D6280000}"/>
    <cellStyle name="Normal 2 2 2 2 2 19 4 10" xfId="10498" xr:uid="{00000000-0005-0000-0000-0000D7280000}"/>
    <cellStyle name="Normal 2 2 2 2 2 19 4 2" xfId="10499" xr:uid="{00000000-0005-0000-0000-0000D8280000}"/>
    <cellStyle name="Normal 2 2 2 2 2 19 4 3" xfId="10500" xr:uid="{00000000-0005-0000-0000-0000D9280000}"/>
    <cellStyle name="Normal 2 2 2 2 2 19 4 4" xfId="10501" xr:uid="{00000000-0005-0000-0000-0000DA280000}"/>
    <cellStyle name="Normal 2 2 2 2 2 19 4 5" xfId="10502" xr:uid="{00000000-0005-0000-0000-0000DB280000}"/>
    <cellStyle name="Normal 2 2 2 2 2 19 4 6" xfId="10503" xr:uid="{00000000-0005-0000-0000-0000DC280000}"/>
    <cellStyle name="Normal 2 2 2 2 2 19 4 7" xfId="10504" xr:uid="{00000000-0005-0000-0000-0000DD280000}"/>
    <cellStyle name="Normal 2 2 2 2 2 19 4 8" xfId="10505" xr:uid="{00000000-0005-0000-0000-0000DE280000}"/>
    <cellStyle name="Normal 2 2 2 2 2 19 4 9" xfId="10506" xr:uid="{00000000-0005-0000-0000-0000DF280000}"/>
    <cellStyle name="Normal 2 2 2 2 2 19 5" xfId="10507" xr:uid="{00000000-0005-0000-0000-0000E0280000}"/>
    <cellStyle name="Normal 2 2 2 2 2 19 5 10" xfId="10508" xr:uid="{00000000-0005-0000-0000-0000E1280000}"/>
    <cellStyle name="Normal 2 2 2 2 2 19 5 2" xfId="10509" xr:uid="{00000000-0005-0000-0000-0000E2280000}"/>
    <cellStyle name="Normal 2 2 2 2 2 19 5 3" xfId="10510" xr:uid="{00000000-0005-0000-0000-0000E3280000}"/>
    <cellStyle name="Normal 2 2 2 2 2 19 5 4" xfId="10511" xr:uid="{00000000-0005-0000-0000-0000E4280000}"/>
    <cellStyle name="Normal 2 2 2 2 2 19 5 5" xfId="10512" xr:uid="{00000000-0005-0000-0000-0000E5280000}"/>
    <cellStyle name="Normal 2 2 2 2 2 19 5 6" xfId="10513" xr:uid="{00000000-0005-0000-0000-0000E6280000}"/>
    <cellStyle name="Normal 2 2 2 2 2 19 5 7" xfId="10514" xr:uid="{00000000-0005-0000-0000-0000E7280000}"/>
    <cellStyle name="Normal 2 2 2 2 2 19 5 8" xfId="10515" xr:uid="{00000000-0005-0000-0000-0000E8280000}"/>
    <cellStyle name="Normal 2 2 2 2 2 19 5 9" xfId="10516" xr:uid="{00000000-0005-0000-0000-0000E9280000}"/>
    <cellStyle name="Normal 2 2 2 2 2 19 6" xfId="10517" xr:uid="{00000000-0005-0000-0000-0000EA280000}"/>
    <cellStyle name="Normal 2 2 2 2 2 19 7" xfId="10518" xr:uid="{00000000-0005-0000-0000-0000EB280000}"/>
    <cellStyle name="Normal 2 2 2 2 2 19 8" xfId="10519" xr:uid="{00000000-0005-0000-0000-0000EC280000}"/>
    <cellStyle name="Normal 2 2 2 2 2 19 9" xfId="10520" xr:uid="{00000000-0005-0000-0000-0000ED280000}"/>
    <cellStyle name="Normal 2 2 2 2 2 2" xfId="10521" xr:uid="{00000000-0005-0000-0000-0000EE280000}"/>
    <cellStyle name="Normal 2 2 2 2 2 2 10" xfId="10522" xr:uid="{00000000-0005-0000-0000-0000EF280000}"/>
    <cellStyle name="Normal 2 2 2 2 2 2 10 10" xfId="10523" xr:uid="{00000000-0005-0000-0000-0000F0280000}"/>
    <cellStyle name="Normal 2 2 2 2 2 2 10 11" xfId="10524" xr:uid="{00000000-0005-0000-0000-0000F1280000}"/>
    <cellStyle name="Normal 2 2 2 2 2 2 10 12" xfId="10525" xr:uid="{00000000-0005-0000-0000-0000F2280000}"/>
    <cellStyle name="Normal 2 2 2 2 2 2 10 13" xfId="10526" xr:uid="{00000000-0005-0000-0000-0000F3280000}"/>
    <cellStyle name="Normal 2 2 2 2 2 2 10 14" xfId="10527" xr:uid="{00000000-0005-0000-0000-0000F4280000}"/>
    <cellStyle name="Normal 2 2 2 2 2 2 10 2" xfId="10528" xr:uid="{00000000-0005-0000-0000-0000F5280000}"/>
    <cellStyle name="Normal 2 2 2 2 2 2 10 2 10" xfId="10529" xr:uid="{00000000-0005-0000-0000-0000F6280000}"/>
    <cellStyle name="Normal 2 2 2 2 2 2 10 2 2" xfId="10530" xr:uid="{00000000-0005-0000-0000-0000F7280000}"/>
    <cellStyle name="Normal 2 2 2 2 2 2 10 2 3" xfId="10531" xr:uid="{00000000-0005-0000-0000-0000F8280000}"/>
    <cellStyle name="Normal 2 2 2 2 2 2 10 2 4" xfId="10532" xr:uid="{00000000-0005-0000-0000-0000F9280000}"/>
    <cellStyle name="Normal 2 2 2 2 2 2 10 2 5" xfId="10533" xr:uid="{00000000-0005-0000-0000-0000FA280000}"/>
    <cellStyle name="Normal 2 2 2 2 2 2 10 2 6" xfId="10534" xr:uid="{00000000-0005-0000-0000-0000FB280000}"/>
    <cellStyle name="Normal 2 2 2 2 2 2 10 2 7" xfId="10535" xr:uid="{00000000-0005-0000-0000-0000FC280000}"/>
    <cellStyle name="Normal 2 2 2 2 2 2 10 2 8" xfId="10536" xr:uid="{00000000-0005-0000-0000-0000FD280000}"/>
    <cellStyle name="Normal 2 2 2 2 2 2 10 2 9" xfId="10537" xr:uid="{00000000-0005-0000-0000-0000FE280000}"/>
    <cellStyle name="Normal 2 2 2 2 2 2 10 3" xfId="10538" xr:uid="{00000000-0005-0000-0000-0000FF280000}"/>
    <cellStyle name="Normal 2 2 2 2 2 2 10 3 10" xfId="10539" xr:uid="{00000000-0005-0000-0000-000000290000}"/>
    <cellStyle name="Normal 2 2 2 2 2 2 10 3 2" xfId="10540" xr:uid="{00000000-0005-0000-0000-000001290000}"/>
    <cellStyle name="Normal 2 2 2 2 2 2 10 3 3" xfId="10541" xr:uid="{00000000-0005-0000-0000-000002290000}"/>
    <cellStyle name="Normal 2 2 2 2 2 2 10 3 4" xfId="10542" xr:uid="{00000000-0005-0000-0000-000003290000}"/>
    <cellStyle name="Normal 2 2 2 2 2 2 10 3 5" xfId="10543" xr:uid="{00000000-0005-0000-0000-000004290000}"/>
    <cellStyle name="Normal 2 2 2 2 2 2 10 3 6" xfId="10544" xr:uid="{00000000-0005-0000-0000-000005290000}"/>
    <cellStyle name="Normal 2 2 2 2 2 2 10 3 7" xfId="10545" xr:uid="{00000000-0005-0000-0000-000006290000}"/>
    <cellStyle name="Normal 2 2 2 2 2 2 10 3 8" xfId="10546" xr:uid="{00000000-0005-0000-0000-000007290000}"/>
    <cellStyle name="Normal 2 2 2 2 2 2 10 3 9" xfId="10547" xr:uid="{00000000-0005-0000-0000-000008290000}"/>
    <cellStyle name="Normal 2 2 2 2 2 2 10 4" xfId="10548" xr:uid="{00000000-0005-0000-0000-000009290000}"/>
    <cellStyle name="Normal 2 2 2 2 2 2 10 4 10" xfId="10549" xr:uid="{00000000-0005-0000-0000-00000A290000}"/>
    <cellStyle name="Normal 2 2 2 2 2 2 10 4 2" xfId="10550" xr:uid="{00000000-0005-0000-0000-00000B290000}"/>
    <cellStyle name="Normal 2 2 2 2 2 2 10 4 3" xfId="10551" xr:uid="{00000000-0005-0000-0000-00000C290000}"/>
    <cellStyle name="Normal 2 2 2 2 2 2 10 4 4" xfId="10552" xr:uid="{00000000-0005-0000-0000-00000D290000}"/>
    <cellStyle name="Normal 2 2 2 2 2 2 10 4 5" xfId="10553" xr:uid="{00000000-0005-0000-0000-00000E290000}"/>
    <cellStyle name="Normal 2 2 2 2 2 2 10 4 6" xfId="10554" xr:uid="{00000000-0005-0000-0000-00000F290000}"/>
    <cellStyle name="Normal 2 2 2 2 2 2 10 4 7" xfId="10555" xr:uid="{00000000-0005-0000-0000-000010290000}"/>
    <cellStyle name="Normal 2 2 2 2 2 2 10 4 8" xfId="10556" xr:uid="{00000000-0005-0000-0000-000011290000}"/>
    <cellStyle name="Normal 2 2 2 2 2 2 10 4 9" xfId="10557" xr:uid="{00000000-0005-0000-0000-000012290000}"/>
    <cellStyle name="Normal 2 2 2 2 2 2 10 5" xfId="10558" xr:uid="{00000000-0005-0000-0000-000013290000}"/>
    <cellStyle name="Normal 2 2 2 2 2 2 10 5 10" xfId="10559" xr:uid="{00000000-0005-0000-0000-000014290000}"/>
    <cellStyle name="Normal 2 2 2 2 2 2 10 5 2" xfId="10560" xr:uid="{00000000-0005-0000-0000-000015290000}"/>
    <cellStyle name="Normal 2 2 2 2 2 2 10 5 3" xfId="10561" xr:uid="{00000000-0005-0000-0000-000016290000}"/>
    <cellStyle name="Normal 2 2 2 2 2 2 10 5 4" xfId="10562" xr:uid="{00000000-0005-0000-0000-000017290000}"/>
    <cellStyle name="Normal 2 2 2 2 2 2 10 5 5" xfId="10563" xr:uid="{00000000-0005-0000-0000-000018290000}"/>
    <cellStyle name="Normal 2 2 2 2 2 2 10 5 6" xfId="10564" xr:uid="{00000000-0005-0000-0000-000019290000}"/>
    <cellStyle name="Normal 2 2 2 2 2 2 10 5 7" xfId="10565" xr:uid="{00000000-0005-0000-0000-00001A290000}"/>
    <cellStyle name="Normal 2 2 2 2 2 2 10 5 8" xfId="10566" xr:uid="{00000000-0005-0000-0000-00001B290000}"/>
    <cellStyle name="Normal 2 2 2 2 2 2 10 5 9" xfId="10567" xr:uid="{00000000-0005-0000-0000-00001C290000}"/>
    <cellStyle name="Normal 2 2 2 2 2 2 10 6" xfId="10568" xr:uid="{00000000-0005-0000-0000-00001D290000}"/>
    <cellStyle name="Normal 2 2 2 2 2 2 10 7" xfId="10569" xr:uid="{00000000-0005-0000-0000-00001E290000}"/>
    <cellStyle name="Normal 2 2 2 2 2 2 10 8" xfId="10570" xr:uid="{00000000-0005-0000-0000-00001F290000}"/>
    <cellStyle name="Normal 2 2 2 2 2 2 10 9" xfId="10571" xr:uid="{00000000-0005-0000-0000-000020290000}"/>
    <cellStyle name="Normal 2 2 2 2 2 2 11" xfId="10572" xr:uid="{00000000-0005-0000-0000-000021290000}"/>
    <cellStyle name="Normal 2 2 2 2 2 2 11 10" xfId="10573" xr:uid="{00000000-0005-0000-0000-000022290000}"/>
    <cellStyle name="Normal 2 2 2 2 2 2 11 11" xfId="10574" xr:uid="{00000000-0005-0000-0000-000023290000}"/>
    <cellStyle name="Normal 2 2 2 2 2 2 11 12" xfId="10575" xr:uid="{00000000-0005-0000-0000-000024290000}"/>
    <cellStyle name="Normal 2 2 2 2 2 2 11 13" xfId="10576" xr:uid="{00000000-0005-0000-0000-000025290000}"/>
    <cellStyle name="Normal 2 2 2 2 2 2 11 14" xfId="10577" xr:uid="{00000000-0005-0000-0000-000026290000}"/>
    <cellStyle name="Normal 2 2 2 2 2 2 11 2" xfId="10578" xr:uid="{00000000-0005-0000-0000-000027290000}"/>
    <cellStyle name="Normal 2 2 2 2 2 2 11 2 10" xfId="10579" xr:uid="{00000000-0005-0000-0000-000028290000}"/>
    <cellStyle name="Normal 2 2 2 2 2 2 11 2 2" xfId="10580" xr:uid="{00000000-0005-0000-0000-000029290000}"/>
    <cellStyle name="Normal 2 2 2 2 2 2 11 2 3" xfId="10581" xr:uid="{00000000-0005-0000-0000-00002A290000}"/>
    <cellStyle name="Normal 2 2 2 2 2 2 11 2 4" xfId="10582" xr:uid="{00000000-0005-0000-0000-00002B290000}"/>
    <cellStyle name="Normal 2 2 2 2 2 2 11 2 5" xfId="10583" xr:uid="{00000000-0005-0000-0000-00002C290000}"/>
    <cellStyle name="Normal 2 2 2 2 2 2 11 2 6" xfId="10584" xr:uid="{00000000-0005-0000-0000-00002D290000}"/>
    <cellStyle name="Normal 2 2 2 2 2 2 11 2 7" xfId="10585" xr:uid="{00000000-0005-0000-0000-00002E290000}"/>
    <cellStyle name="Normal 2 2 2 2 2 2 11 2 8" xfId="10586" xr:uid="{00000000-0005-0000-0000-00002F290000}"/>
    <cellStyle name="Normal 2 2 2 2 2 2 11 2 9" xfId="10587" xr:uid="{00000000-0005-0000-0000-000030290000}"/>
    <cellStyle name="Normal 2 2 2 2 2 2 11 3" xfId="10588" xr:uid="{00000000-0005-0000-0000-000031290000}"/>
    <cellStyle name="Normal 2 2 2 2 2 2 11 3 10" xfId="10589" xr:uid="{00000000-0005-0000-0000-000032290000}"/>
    <cellStyle name="Normal 2 2 2 2 2 2 11 3 2" xfId="10590" xr:uid="{00000000-0005-0000-0000-000033290000}"/>
    <cellStyle name="Normal 2 2 2 2 2 2 11 3 3" xfId="10591" xr:uid="{00000000-0005-0000-0000-000034290000}"/>
    <cellStyle name="Normal 2 2 2 2 2 2 11 3 4" xfId="10592" xr:uid="{00000000-0005-0000-0000-000035290000}"/>
    <cellStyle name="Normal 2 2 2 2 2 2 11 3 5" xfId="10593" xr:uid="{00000000-0005-0000-0000-000036290000}"/>
    <cellStyle name="Normal 2 2 2 2 2 2 11 3 6" xfId="10594" xr:uid="{00000000-0005-0000-0000-000037290000}"/>
    <cellStyle name="Normal 2 2 2 2 2 2 11 3 7" xfId="10595" xr:uid="{00000000-0005-0000-0000-000038290000}"/>
    <cellStyle name="Normal 2 2 2 2 2 2 11 3 8" xfId="10596" xr:uid="{00000000-0005-0000-0000-000039290000}"/>
    <cellStyle name="Normal 2 2 2 2 2 2 11 3 9" xfId="10597" xr:uid="{00000000-0005-0000-0000-00003A290000}"/>
    <cellStyle name="Normal 2 2 2 2 2 2 11 4" xfId="10598" xr:uid="{00000000-0005-0000-0000-00003B290000}"/>
    <cellStyle name="Normal 2 2 2 2 2 2 11 4 10" xfId="10599" xr:uid="{00000000-0005-0000-0000-00003C290000}"/>
    <cellStyle name="Normal 2 2 2 2 2 2 11 4 2" xfId="10600" xr:uid="{00000000-0005-0000-0000-00003D290000}"/>
    <cellStyle name="Normal 2 2 2 2 2 2 11 4 3" xfId="10601" xr:uid="{00000000-0005-0000-0000-00003E290000}"/>
    <cellStyle name="Normal 2 2 2 2 2 2 11 4 4" xfId="10602" xr:uid="{00000000-0005-0000-0000-00003F290000}"/>
    <cellStyle name="Normal 2 2 2 2 2 2 11 4 5" xfId="10603" xr:uid="{00000000-0005-0000-0000-000040290000}"/>
    <cellStyle name="Normal 2 2 2 2 2 2 11 4 6" xfId="10604" xr:uid="{00000000-0005-0000-0000-000041290000}"/>
    <cellStyle name="Normal 2 2 2 2 2 2 11 4 7" xfId="10605" xr:uid="{00000000-0005-0000-0000-000042290000}"/>
    <cellStyle name="Normal 2 2 2 2 2 2 11 4 8" xfId="10606" xr:uid="{00000000-0005-0000-0000-000043290000}"/>
    <cellStyle name="Normal 2 2 2 2 2 2 11 4 9" xfId="10607" xr:uid="{00000000-0005-0000-0000-000044290000}"/>
    <cellStyle name="Normal 2 2 2 2 2 2 11 5" xfId="10608" xr:uid="{00000000-0005-0000-0000-000045290000}"/>
    <cellStyle name="Normal 2 2 2 2 2 2 11 5 10" xfId="10609" xr:uid="{00000000-0005-0000-0000-000046290000}"/>
    <cellStyle name="Normal 2 2 2 2 2 2 11 5 2" xfId="10610" xr:uid="{00000000-0005-0000-0000-000047290000}"/>
    <cellStyle name="Normal 2 2 2 2 2 2 11 5 3" xfId="10611" xr:uid="{00000000-0005-0000-0000-000048290000}"/>
    <cellStyle name="Normal 2 2 2 2 2 2 11 5 4" xfId="10612" xr:uid="{00000000-0005-0000-0000-000049290000}"/>
    <cellStyle name="Normal 2 2 2 2 2 2 11 5 5" xfId="10613" xr:uid="{00000000-0005-0000-0000-00004A290000}"/>
    <cellStyle name="Normal 2 2 2 2 2 2 11 5 6" xfId="10614" xr:uid="{00000000-0005-0000-0000-00004B290000}"/>
    <cellStyle name="Normal 2 2 2 2 2 2 11 5 7" xfId="10615" xr:uid="{00000000-0005-0000-0000-00004C290000}"/>
    <cellStyle name="Normal 2 2 2 2 2 2 11 5 8" xfId="10616" xr:uid="{00000000-0005-0000-0000-00004D290000}"/>
    <cellStyle name="Normal 2 2 2 2 2 2 11 5 9" xfId="10617" xr:uid="{00000000-0005-0000-0000-00004E290000}"/>
    <cellStyle name="Normal 2 2 2 2 2 2 11 6" xfId="10618" xr:uid="{00000000-0005-0000-0000-00004F290000}"/>
    <cellStyle name="Normal 2 2 2 2 2 2 11 7" xfId="10619" xr:uid="{00000000-0005-0000-0000-000050290000}"/>
    <cellStyle name="Normal 2 2 2 2 2 2 11 8" xfId="10620" xr:uid="{00000000-0005-0000-0000-000051290000}"/>
    <cellStyle name="Normal 2 2 2 2 2 2 11 9" xfId="10621" xr:uid="{00000000-0005-0000-0000-000052290000}"/>
    <cellStyle name="Normal 2 2 2 2 2 2 12" xfId="10622" xr:uid="{00000000-0005-0000-0000-000053290000}"/>
    <cellStyle name="Normal 2 2 2 2 2 2 12 10" xfId="10623" xr:uid="{00000000-0005-0000-0000-000054290000}"/>
    <cellStyle name="Normal 2 2 2 2 2 2 12 11" xfId="10624" xr:uid="{00000000-0005-0000-0000-000055290000}"/>
    <cellStyle name="Normal 2 2 2 2 2 2 12 12" xfId="10625" xr:uid="{00000000-0005-0000-0000-000056290000}"/>
    <cellStyle name="Normal 2 2 2 2 2 2 12 13" xfId="10626" xr:uid="{00000000-0005-0000-0000-000057290000}"/>
    <cellStyle name="Normal 2 2 2 2 2 2 12 14" xfId="10627" xr:uid="{00000000-0005-0000-0000-000058290000}"/>
    <cellStyle name="Normal 2 2 2 2 2 2 12 2" xfId="10628" xr:uid="{00000000-0005-0000-0000-000059290000}"/>
    <cellStyle name="Normal 2 2 2 2 2 2 12 2 10" xfId="10629" xr:uid="{00000000-0005-0000-0000-00005A290000}"/>
    <cellStyle name="Normal 2 2 2 2 2 2 12 2 2" xfId="10630" xr:uid="{00000000-0005-0000-0000-00005B290000}"/>
    <cellStyle name="Normal 2 2 2 2 2 2 12 2 3" xfId="10631" xr:uid="{00000000-0005-0000-0000-00005C290000}"/>
    <cellStyle name="Normal 2 2 2 2 2 2 12 2 4" xfId="10632" xr:uid="{00000000-0005-0000-0000-00005D290000}"/>
    <cellStyle name="Normal 2 2 2 2 2 2 12 2 5" xfId="10633" xr:uid="{00000000-0005-0000-0000-00005E290000}"/>
    <cellStyle name="Normal 2 2 2 2 2 2 12 2 6" xfId="10634" xr:uid="{00000000-0005-0000-0000-00005F290000}"/>
    <cellStyle name="Normal 2 2 2 2 2 2 12 2 7" xfId="10635" xr:uid="{00000000-0005-0000-0000-000060290000}"/>
    <cellStyle name="Normal 2 2 2 2 2 2 12 2 8" xfId="10636" xr:uid="{00000000-0005-0000-0000-000061290000}"/>
    <cellStyle name="Normal 2 2 2 2 2 2 12 2 9" xfId="10637" xr:uid="{00000000-0005-0000-0000-000062290000}"/>
    <cellStyle name="Normal 2 2 2 2 2 2 12 3" xfId="10638" xr:uid="{00000000-0005-0000-0000-000063290000}"/>
    <cellStyle name="Normal 2 2 2 2 2 2 12 3 10" xfId="10639" xr:uid="{00000000-0005-0000-0000-000064290000}"/>
    <cellStyle name="Normal 2 2 2 2 2 2 12 3 2" xfId="10640" xr:uid="{00000000-0005-0000-0000-000065290000}"/>
    <cellStyle name="Normal 2 2 2 2 2 2 12 3 3" xfId="10641" xr:uid="{00000000-0005-0000-0000-000066290000}"/>
    <cellStyle name="Normal 2 2 2 2 2 2 12 3 4" xfId="10642" xr:uid="{00000000-0005-0000-0000-000067290000}"/>
    <cellStyle name="Normal 2 2 2 2 2 2 12 3 5" xfId="10643" xr:uid="{00000000-0005-0000-0000-000068290000}"/>
    <cellStyle name="Normal 2 2 2 2 2 2 12 3 6" xfId="10644" xr:uid="{00000000-0005-0000-0000-000069290000}"/>
    <cellStyle name="Normal 2 2 2 2 2 2 12 3 7" xfId="10645" xr:uid="{00000000-0005-0000-0000-00006A290000}"/>
    <cellStyle name="Normal 2 2 2 2 2 2 12 3 8" xfId="10646" xr:uid="{00000000-0005-0000-0000-00006B290000}"/>
    <cellStyle name="Normal 2 2 2 2 2 2 12 3 9" xfId="10647" xr:uid="{00000000-0005-0000-0000-00006C290000}"/>
    <cellStyle name="Normal 2 2 2 2 2 2 12 4" xfId="10648" xr:uid="{00000000-0005-0000-0000-00006D290000}"/>
    <cellStyle name="Normal 2 2 2 2 2 2 12 4 10" xfId="10649" xr:uid="{00000000-0005-0000-0000-00006E290000}"/>
    <cellStyle name="Normal 2 2 2 2 2 2 12 4 2" xfId="10650" xr:uid="{00000000-0005-0000-0000-00006F290000}"/>
    <cellStyle name="Normal 2 2 2 2 2 2 12 4 3" xfId="10651" xr:uid="{00000000-0005-0000-0000-000070290000}"/>
    <cellStyle name="Normal 2 2 2 2 2 2 12 4 4" xfId="10652" xr:uid="{00000000-0005-0000-0000-000071290000}"/>
    <cellStyle name="Normal 2 2 2 2 2 2 12 4 5" xfId="10653" xr:uid="{00000000-0005-0000-0000-000072290000}"/>
    <cellStyle name="Normal 2 2 2 2 2 2 12 4 6" xfId="10654" xr:uid="{00000000-0005-0000-0000-000073290000}"/>
    <cellStyle name="Normal 2 2 2 2 2 2 12 4 7" xfId="10655" xr:uid="{00000000-0005-0000-0000-000074290000}"/>
    <cellStyle name="Normal 2 2 2 2 2 2 12 4 8" xfId="10656" xr:uid="{00000000-0005-0000-0000-000075290000}"/>
    <cellStyle name="Normal 2 2 2 2 2 2 12 4 9" xfId="10657" xr:uid="{00000000-0005-0000-0000-000076290000}"/>
    <cellStyle name="Normal 2 2 2 2 2 2 12 5" xfId="10658" xr:uid="{00000000-0005-0000-0000-000077290000}"/>
    <cellStyle name="Normal 2 2 2 2 2 2 12 5 10" xfId="10659" xr:uid="{00000000-0005-0000-0000-000078290000}"/>
    <cellStyle name="Normal 2 2 2 2 2 2 12 5 2" xfId="10660" xr:uid="{00000000-0005-0000-0000-000079290000}"/>
    <cellStyle name="Normal 2 2 2 2 2 2 12 5 3" xfId="10661" xr:uid="{00000000-0005-0000-0000-00007A290000}"/>
    <cellStyle name="Normal 2 2 2 2 2 2 12 5 4" xfId="10662" xr:uid="{00000000-0005-0000-0000-00007B290000}"/>
    <cellStyle name="Normal 2 2 2 2 2 2 12 5 5" xfId="10663" xr:uid="{00000000-0005-0000-0000-00007C290000}"/>
    <cellStyle name="Normal 2 2 2 2 2 2 12 5 6" xfId="10664" xr:uid="{00000000-0005-0000-0000-00007D290000}"/>
    <cellStyle name="Normal 2 2 2 2 2 2 12 5 7" xfId="10665" xr:uid="{00000000-0005-0000-0000-00007E290000}"/>
    <cellStyle name="Normal 2 2 2 2 2 2 12 5 8" xfId="10666" xr:uid="{00000000-0005-0000-0000-00007F290000}"/>
    <cellStyle name="Normal 2 2 2 2 2 2 12 5 9" xfId="10667" xr:uid="{00000000-0005-0000-0000-000080290000}"/>
    <cellStyle name="Normal 2 2 2 2 2 2 12 6" xfId="10668" xr:uid="{00000000-0005-0000-0000-000081290000}"/>
    <cellStyle name="Normal 2 2 2 2 2 2 12 7" xfId="10669" xr:uid="{00000000-0005-0000-0000-000082290000}"/>
    <cellStyle name="Normal 2 2 2 2 2 2 12 8" xfId="10670" xr:uid="{00000000-0005-0000-0000-000083290000}"/>
    <cellStyle name="Normal 2 2 2 2 2 2 12 9" xfId="10671" xr:uid="{00000000-0005-0000-0000-000084290000}"/>
    <cellStyle name="Normal 2 2 2 2 2 2 13" xfId="10672" xr:uid="{00000000-0005-0000-0000-000085290000}"/>
    <cellStyle name="Normal 2 2 2 2 2 2 13 10" xfId="10673" xr:uid="{00000000-0005-0000-0000-000086290000}"/>
    <cellStyle name="Normal 2 2 2 2 2 2 13 11" xfId="10674" xr:uid="{00000000-0005-0000-0000-000087290000}"/>
    <cellStyle name="Normal 2 2 2 2 2 2 13 12" xfId="10675" xr:uid="{00000000-0005-0000-0000-000088290000}"/>
    <cellStyle name="Normal 2 2 2 2 2 2 13 13" xfId="10676" xr:uid="{00000000-0005-0000-0000-000089290000}"/>
    <cellStyle name="Normal 2 2 2 2 2 2 13 14" xfId="10677" xr:uid="{00000000-0005-0000-0000-00008A290000}"/>
    <cellStyle name="Normal 2 2 2 2 2 2 13 2" xfId="10678" xr:uid="{00000000-0005-0000-0000-00008B290000}"/>
    <cellStyle name="Normal 2 2 2 2 2 2 13 2 10" xfId="10679" xr:uid="{00000000-0005-0000-0000-00008C290000}"/>
    <cellStyle name="Normal 2 2 2 2 2 2 13 2 2" xfId="10680" xr:uid="{00000000-0005-0000-0000-00008D290000}"/>
    <cellStyle name="Normal 2 2 2 2 2 2 13 2 3" xfId="10681" xr:uid="{00000000-0005-0000-0000-00008E290000}"/>
    <cellStyle name="Normal 2 2 2 2 2 2 13 2 4" xfId="10682" xr:uid="{00000000-0005-0000-0000-00008F290000}"/>
    <cellStyle name="Normal 2 2 2 2 2 2 13 2 5" xfId="10683" xr:uid="{00000000-0005-0000-0000-000090290000}"/>
    <cellStyle name="Normal 2 2 2 2 2 2 13 2 6" xfId="10684" xr:uid="{00000000-0005-0000-0000-000091290000}"/>
    <cellStyle name="Normal 2 2 2 2 2 2 13 2 7" xfId="10685" xr:uid="{00000000-0005-0000-0000-000092290000}"/>
    <cellStyle name="Normal 2 2 2 2 2 2 13 2 8" xfId="10686" xr:uid="{00000000-0005-0000-0000-000093290000}"/>
    <cellStyle name="Normal 2 2 2 2 2 2 13 2 9" xfId="10687" xr:uid="{00000000-0005-0000-0000-000094290000}"/>
    <cellStyle name="Normal 2 2 2 2 2 2 13 3" xfId="10688" xr:uid="{00000000-0005-0000-0000-000095290000}"/>
    <cellStyle name="Normal 2 2 2 2 2 2 13 3 10" xfId="10689" xr:uid="{00000000-0005-0000-0000-000096290000}"/>
    <cellStyle name="Normal 2 2 2 2 2 2 13 3 2" xfId="10690" xr:uid="{00000000-0005-0000-0000-000097290000}"/>
    <cellStyle name="Normal 2 2 2 2 2 2 13 3 3" xfId="10691" xr:uid="{00000000-0005-0000-0000-000098290000}"/>
    <cellStyle name="Normal 2 2 2 2 2 2 13 3 4" xfId="10692" xr:uid="{00000000-0005-0000-0000-000099290000}"/>
    <cellStyle name="Normal 2 2 2 2 2 2 13 3 5" xfId="10693" xr:uid="{00000000-0005-0000-0000-00009A290000}"/>
    <cellStyle name="Normal 2 2 2 2 2 2 13 3 6" xfId="10694" xr:uid="{00000000-0005-0000-0000-00009B290000}"/>
    <cellStyle name="Normal 2 2 2 2 2 2 13 3 7" xfId="10695" xr:uid="{00000000-0005-0000-0000-00009C290000}"/>
    <cellStyle name="Normal 2 2 2 2 2 2 13 3 8" xfId="10696" xr:uid="{00000000-0005-0000-0000-00009D290000}"/>
    <cellStyle name="Normal 2 2 2 2 2 2 13 3 9" xfId="10697" xr:uid="{00000000-0005-0000-0000-00009E290000}"/>
    <cellStyle name="Normal 2 2 2 2 2 2 13 4" xfId="10698" xr:uid="{00000000-0005-0000-0000-00009F290000}"/>
    <cellStyle name="Normal 2 2 2 2 2 2 13 4 10" xfId="10699" xr:uid="{00000000-0005-0000-0000-0000A0290000}"/>
    <cellStyle name="Normal 2 2 2 2 2 2 13 4 2" xfId="10700" xr:uid="{00000000-0005-0000-0000-0000A1290000}"/>
    <cellStyle name="Normal 2 2 2 2 2 2 13 4 3" xfId="10701" xr:uid="{00000000-0005-0000-0000-0000A2290000}"/>
    <cellStyle name="Normal 2 2 2 2 2 2 13 4 4" xfId="10702" xr:uid="{00000000-0005-0000-0000-0000A3290000}"/>
    <cellStyle name="Normal 2 2 2 2 2 2 13 4 5" xfId="10703" xr:uid="{00000000-0005-0000-0000-0000A4290000}"/>
    <cellStyle name="Normal 2 2 2 2 2 2 13 4 6" xfId="10704" xr:uid="{00000000-0005-0000-0000-0000A5290000}"/>
    <cellStyle name="Normal 2 2 2 2 2 2 13 4 7" xfId="10705" xr:uid="{00000000-0005-0000-0000-0000A6290000}"/>
    <cellStyle name="Normal 2 2 2 2 2 2 13 4 8" xfId="10706" xr:uid="{00000000-0005-0000-0000-0000A7290000}"/>
    <cellStyle name="Normal 2 2 2 2 2 2 13 4 9" xfId="10707" xr:uid="{00000000-0005-0000-0000-0000A8290000}"/>
    <cellStyle name="Normal 2 2 2 2 2 2 13 5" xfId="10708" xr:uid="{00000000-0005-0000-0000-0000A9290000}"/>
    <cellStyle name="Normal 2 2 2 2 2 2 13 5 10" xfId="10709" xr:uid="{00000000-0005-0000-0000-0000AA290000}"/>
    <cellStyle name="Normal 2 2 2 2 2 2 13 5 2" xfId="10710" xr:uid="{00000000-0005-0000-0000-0000AB290000}"/>
    <cellStyle name="Normal 2 2 2 2 2 2 13 5 3" xfId="10711" xr:uid="{00000000-0005-0000-0000-0000AC290000}"/>
    <cellStyle name="Normal 2 2 2 2 2 2 13 5 4" xfId="10712" xr:uid="{00000000-0005-0000-0000-0000AD290000}"/>
    <cellStyle name="Normal 2 2 2 2 2 2 13 5 5" xfId="10713" xr:uid="{00000000-0005-0000-0000-0000AE290000}"/>
    <cellStyle name="Normal 2 2 2 2 2 2 13 5 6" xfId="10714" xr:uid="{00000000-0005-0000-0000-0000AF290000}"/>
    <cellStyle name="Normal 2 2 2 2 2 2 13 5 7" xfId="10715" xr:uid="{00000000-0005-0000-0000-0000B0290000}"/>
    <cellStyle name="Normal 2 2 2 2 2 2 13 5 8" xfId="10716" xr:uid="{00000000-0005-0000-0000-0000B1290000}"/>
    <cellStyle name="Normal 2 2 2 2 2 2 13 5 9" xfId="10717" xr:uid="{00000000-0005-0000-0000-0000B2290000}"/>
    <cellStyle name="Normal 2 2 2 2 2 2 13 6" xfId="10718" xr:uid="{00000000-0005-0000-0000-0000B3290000}"/>
    <cellStyle name="Normal 2 2 2 2 2 2 13 7" xfId="10719" xr:uid="{00000000-0005-0000-0000-0000B4290000}"/>
    <cellStyle name="Normal 2 2 2 2 2 2 13 8" xfId="10720" xr:uid="{00000000-0005-0000-0000-0000B5290000}"/>
    <cellStyle name="Normal 2 2 2 2 2 2 13 9" xfId="10721" xr:uid="{00000000-0005-0000-0000-0000B6290000}"/>
    <cellStyle name="Normal 2 2 2 2 2 2 14" xfId="10722" xr:uid="{00000000-0005-0000-0000-0000B7290000}"/>
    <cellStyle name="Normal 2 2 2 2 2 2 14 10" xfId="10723" xr:uid="{00000000-0005-0000-0000-0000B8290000}"/>
    <cellStyle name="Normal 2 2 2 2 2 2 14 11" xfId="10724" xr:uid="{00000000-0005-0000-0000-0000B9290000}"/>
    <cellStyle name="Normal 2 2 2 2 2 2 14 12" xfId="10725" xr:uid="{00000000-0005-0000-0000-0000BA290000}"/>
    <cellStyle name="Normal 2 2 2 2 2 2 14 13" xfId="10726" xr:uid="{00000000-0005-0000-0000-0000BB290000}"/>
    <cellStyle name="Normal 2 2 2 2 2 2 14 14" xfId="10727" xr:uid="{00000000-0005-0000-0000-0000BC290000}"/>
    <cellStyle name="Normal 2 2 2 2 2 2 14 2" xfId="10728" xr:uid="{00000000-0005-0000-0000-0000BD290000}"/>
    <cellStyle name="Normal 2 2 2 2 2 2 14 2 10" xfId="10729" xr:uid="{00000000-0005-0000-0000-0000BE290000}"/>
    <cellStyle name="Normal 2 2 2 2 2 2 14 2 2" xfId="10730" xr:uid="{00000000-0005-0000-0000-0000BF290000}"/>
    <cellStyle name="Normal 2 2 2 2 2 2 14 2 3" xfId="10731" xr:uid="{00000000-0005-0000-0000-0000C0290000}"/>
    <cellStyle name="Normal 2 2 2 2 2 2 14 2 4" xfId="10732" xr:uid="{00000000-0005-0000-0000-0000C1290000}"/>
    <cellStyle name="Normal 2 2 2 2 2 2 14 2 5" xfId="10733" xr:uid="{00000000-0005-0000-0000-0000C2290000}"/>
    <cellStyle name="Normal 2 2 2 2 2 2 14 2 6" xfId="10734" xr:uid="{00000000-0005-0000-0000-0000C3290000}"/>
    <cellStyle name="Normal 2 2 2 2 2 2 14 2 7" xfId="10735" xr:uid="{00000000-0005-0000-0000-0000C4290000}"/>
    <cellStyle name="Normal 2 2 2 2 2 2 14 2 8" xfId="10736" xr:uid="{00000000-0005-0000-0000-0000C5290000}"/>
    <cellStyle name="Normal 2 2 2 2 2 2 14 2 9" xfId="10737" xr:uid="{00000000-0005-0000-0000-0000C6290000}"/>
    <cellStyle name="Normal 2 2 2 2 2 2 14 3" xfId="10738" xr:uid="{00000000-0005-0000-0000-0000C7290000}"/>
    <cellStyle name="Normal 2 2 2 2 2 2 14 3 10" xfId="10739" xr:uid="{00000000-0005-0000-0000-0000C8290000}"/>
    <cellStyle name="Normal 2 2 2 2 2 2 14 3 2" xfId="10740" xr:uid="{00000000-0005-0000-0000-0000C9290000}"/>
    <cellStyle name="Normal 2 2 2 2 2 2 14 3 3" xfId="10741" xr:uid="{00000000-0005-0000-0000-0000CA290000}"/>
    <cellStyle name="Normal 2 2 2 2 2 2 14 3 4" xfId="10742" xr:uid="{00000000-0005-0000-0000-0000CB290000}"/>
    <cellStyle name="Normal 2 2 2 2 2 2 14 3 5" xfId="10743" xr:uid="{00000000-0005-0000-0000-0000CC290000}"/>
    <cellStyle name="Normal 2 2 2 2 2 2 14 3 6" xfId="10744" xr:uid="{00000000-0005-0000-0000-0000CD290000}"/>
    <cellStyle name="Normal 2 2 2 2 2 2 14 3 7" xfId="10745" xr:uid="{00000000-0005-0000-0000-0000CE290000}"/>
    <cellStyle name="Normal 2 2 2 2 2 2 14 3 8" xfId="10746" xr:uid="{00000000-0005-0000-0000-0000CF290000}"/>
    <cellStyle name="Normal 2 2 2 2 2 2 14 3 9" xfId="10747" xr:uid="{00000000-0005-0000-0000-0000D0290000}"/>
    <cellStyle name="Normal 2 2 2 2 2 2 14 4" xfId="10748" xr:uid="{00000000-0005-0000-0000-0000D1290000}"/>
    <cellStyle name="Normal 2 2 2 2 2 2 14 4 10" xfId="10749" xr:uid="{00000000-0005-0000-0000-0000D2290000}"/>
    <cellStyle name="Normal 2 2 2 2 2 2 14 4 2" xfId="10750" xr:uid="{00000000-0005-0000-0000-0000D3290000}"/>
    <cellStyle name="Normal 2 2 2 2 2 2 14 4 3" xfId="10751" xr:uid="{00000000-0005-0000-0000-0000D4290000}"/>
    <cellStyle name="Normal 2 2 2 2 2 2 14 4 4" xfId="10752" xr:uid="{00000000-0005-0000-0000-0000D5290000}"/>
    <cellStyle name="Normal 2 2 2 2 2 2 14 4 5" xfId="10753" xr:uid="{00000000-0005-0000-0000-0000D6290000}"/>
    <cellStyle name="Normal 2 2 2 2 2 2 14 4 6" xfId="10754" xr:uid="{00000000-0005-0000-0000-0000D7290000}"/>
    <cellStyle name="Normal 2 2 2 2 2 2 14 4 7" xfId="10755" xr:uid="{00000000-0005-0000-0000-0000D8290000}"/>
    <cellStyle name="Normal 2 2 2 2 2 2 14 4 8" xfId="10756" xr:uid="{00000000-0005-0000-0000-0000D9290000}"/>
    <cellStyle name="Normal 2 2 2 2 2 2 14 4 9" xfId="10757" xr:uid="{00000000-0005-0000-0000-0000DA290000}"/>
    <cellStyle name="Normal 2 2 2 2 2 2 14 5" xfId="10758" xr:uid="{00000000-0005-0000-0000-0000DB290000}"/>
    <cellStyle name="Normal 2 2 2 2 2 2 14 5 10" xfId="10759" xr:uid="{00000000-0005-0000-0000-0000DC290000}"/>
    <cellStyle name="Normal 2 2 2 2 2 2 14 5 2" xfId="10760" xr:uid="{00000000-0005-0000-0000-0000DD290000}"/>
    <cellStyle name="Normal 2 2 2 2 2 2 14 5 3" xfId="10761" xr:uid="{00000000-0005-0000-0000-0000DE290000}"/>
    <cellStyle name="Normal 2 2 2 2 2 2 14 5 4" xfId="10762" xr:uid="{00000000-0005-0000-0000-0000DF290000}"/>
    <cellStyle name="Normal 2 2 2 2 2 2 14 5 5" xfId="10763" xr:uid="{00000000-0005-0000-0000-0000E0290000}"/>
    <cellStyle name="Normal 2 2 2 2 2 2 14 5 6" xfId="10764" xr:uid="{00000000-0005-0000-0000-0000E1290000}"/>
    <cellStyle name="Normal 2 2 2 2 2 2 14 5 7" xfId="10765" xr:uid="{00000000-0005-0000-0000-0000E2290000}"/>
    <cellStyle name="Normal 2 2 2 2 2 2 14 5 8" xfId="10766" xr:uid="{00000000-0005-0000-0000-0000E3290000}"/>
    <cellStyle name="Normal 2 2 2 2 2 2 14 5 9" xfId="10767" xr:uid="{00000000-0005-0000-0000-0000E4290000}"/>
    <cellStyle name="Normal 2 2 2 2 2 2 14 6" xfId="10768" xr:uid="{00000000-0005-0000-0000-0000E5290000}"/>
    <cellStyle name="Normal 2 2 2 2 2 2 14 7" xfId="10769" xr:uid="{00000000-0005-0000-0000-0000E6290000}"/>
    <cellStyle name="Normal 2 2 2 2 2 2 14 8" xfId="10770" xr:uid="{00000000-0005-0000-0000-0000E7290000}"/>
    <cellStyle name="Normal 2 2 2 2 2 2 14 9" xfId="10771" xr:uid="{00000000-0005-0000-0000-0000E8290000}"/>
    <cellStyle name="Normal 2 2 2 2 2 2 15" xfId="10772" xr:uid="{00000000-0005-0000-0000-0000E9290000}"/>
    <cellStyle name="Normal 2 2 2 2 2 2 15 10" xfId="10773" xr:uid="{00000000-0005-0000-0000-0000EA290000}"/>
    <cellStyle name="Normal 2 2 2 2 2 2 15 11" xfId="10774" xr:uid="{00000000-0005-0000-0000-0000EB290000}"/>
    <cellStyle name="Normal 2 2 2 2 2 2 15 12" xfId="10775" xr:uid="{00000000-0005-0000-0000-0000EC290000}"/>
    <cellStyle name="Normal 2 2 2 2 2 2 15 13" xfId="10776" xr:uid="{00000000-0005-0000-0000-0000ED290000}"/>
    <cellStyle name="Normal 2 2 2 2 2 2 15 14" xfId="10777" xr:uid="{00000000-0005-0000-0000-0000EE290000}"/>
    <cellStyle name="Normal 2 2 2 2 2 2 15 2" xfId="10778" xr:uid="{00000000-0005-0000-0000-0000EF290000}"/>
    <cellStyle name="Normal 2 2 2 2 2 2 15 2 10" xfId="10779" xr:uid="{00000000-0005-0000-0000-0000F0290000}"/>
    <cellStyle name="Normal 2 2 2 2 2 2 15 2 2" xfId="10780" xr:uid="{00000000-0005-0000-0000-0000F1290000}"/>
    <cellStyle name="Normal 2 2 2 2 2 2 15 2 3" xfId="10781" xr:uid="{00000000-0005-0000-0000-0000F2290000}"/>
    <cellStyle name="Normal 2 2 2 2 2 2 15 2 4" xfId="10782" xr:uid="{00000000-0005-0000-0000-0000F3290000}"/>
    <cellStyle name="Normal 2 2 2 2 2 2 15 2 5" xfId="10783" xr:uid="{00000000-0005-0000-0000-0000F4290000}"/>
    <cellStyle name="Normal 2 2 2 2 2 2 15 2 6" xfId="10784" xr:uid="{00000000-0005-0000-0000-0000F5290000}"/>
    <cellStyle name="Normal 2 2 2 2 2 2 15 2 7" xfId="10785" xr:uid="{00000000-0005-0000-0000-0000F6290000}"/>
    <cellStyle name="Normal 2 2 2 2 2 2 15 2 8" xfId="10786" xr:uid="{00000000-0005-0000-0000-0000F7290000}"/>
    <cellStyle name="Normal 2 2 2 2 2 2 15 2 9" xfId="10787" xr:uid="{00000000-0005-0000-0000-0000F8290000}"/>
    <cellStyle name="Normal 2 2 2 2 2 2 15 3" xfId="10788" xr:uid="{00000000-0005-0000-0000-0000F9290000}"/>
    <cellStyle name="Normal 2 2 2 2 2 2 15 3 10" xfId="10789" xr:uid="{00000000-0005-0000-0000-0000FA290000}"/>
    <cellStyle name="Normal 2 2 2 2 2 2 15 3 2" xfId="10790" xr:uid="{00000000-0005-0000-0000-0000FB290000}"/>
    <cellStyle name="Normal 2 2 2 2 2 2 15 3 3" xfId="10791" xr:uid="{00000000-0005-0000-0000-0000FC290000}"/>
    <cellStyle name="Normal 2 2 2 2 2 2 15 3 4" xfId="10792" xr:uid="{00000000-0005-0000-0000-0000FD290000}"/>
    <cellStyle name="Normal 2 2 2 2 2 2 15 3 5" xfId="10793" xr:uid="{00000000-0005-0000-0000-0000FE290000}"/>
    <cellStyle name="Normal 2 2 2 2 2 2 15 3 6" xfId="10794" xr:uid="{00000000-0005-0000-0000-0000FF290000}"/>
    <cellStyle name="Normal 2 2 2 2 2 2 15 3 7" xfId="10795" xr:uid="{00000000-0005-0000-0000-0000002A0000}"/>
    <cellStyle name="Normal 2 2 2 2 2 2 15 3 8" xfId="10796" xr:uid="{00000000-0005-0000-0000-0000012A0000}"/>
    <cellStyle name="Normal 2 2 2 2 2 2 15 3 9" xfId="10797" xr:uid="{00000000-0005-0000-0000-0000022A0000}"/>
    <cellStyle name="Normal 2 2 2 2 2 2 15 4" xfId="10798" xr:uid="{00000000-0005-0000-0000-0000032A0000}"/>
    <cellStyle name="Normal 2 2 2 2 2 2 15 4 10" xfId="10799" xr:uid="{00000000-0005-0000-0000-0000042A0000}"/>
    <cellStyle name="Normal 2 2 2 2 2 2 15 4 2" xfId="10800" xr:uid="{00000000-0005-0000-0000-0000052A0000}"/>
    <cellStyle name="Normal 2 2 2 2 2 2 15 4 3" xfId="10801" xr:uid="{00000000-0005-0000-0000-0000062A0000}"/>
    <cellStyle name="Normal 2 2 2 2 2 2 15 4 4" xfId="10802" xr:uid="{00000000-0005-0000-0000-0000072A0000}"/>
    <cellStyle name="Normal 2 2 2 2 2 2 15 4 5" xfId="10803" xr:uid="{00000000-0005-0000-0000-0000082A0000}"/>
    <cellStyle name="Normal 2 2 2 2 2 2 15 4 6" xfId="10804" xr:uid="{00000000-0005-0000-0000-0000092A0000}"/>
    <cellStyle name="Normal 2 2 2 2 2 2 15 4 7" xfId="10805" xr:uid="{00000000-0005-0000-0000-00000A2A0000}"/>
    <cellStyle name="Normal 2 2 2 2 2 2 15 4 8" xfId="10806" xr:uid="{00000000-0005-0000-0000-00000B2A0000}"/>
    <cellStyle name="Normal 2 2 2 2 2 2 15 4 9" xfId="10807" xr:uid="{00000000-0005-0000-0000-00000C2A0000}"/>
    <cellStyle name="Normal 2 2 2 2 2 2 15 5" xfId="10808" xr:uid="{00000000-0005-0000-0000-00000D2A0000}"/>
    <cellStyle name="Normal 2 2 2 2 2 2 15 5 10" xfId="10809" xr:uid="{00000000-0005-0000-0000-00000E2A0000}"/>
    <cellStyle name="Normal 2 2 2 2 2 2 15 5 2" xfId="10810" xr:uid="{00000000-0005-0000-0000-00000F2A0000}"/>
    <cellStyle name="Normal 2 2 2 2 2 2 15 5 3" xfId="10811" xr:uid="{00000000-0005-0000-0000-0000102A0000}"/>
    <cellStyle name="Normal 2 2 2 2 2 2 15 5 4" xfId="10812" xr:uid="{00000000-0005-0000-0000-0000112A0000}"/>
    <cellStyle name="Normal 2 2 2 2 2 2 15 5 5" xfId="10813" xr:uid="{00000000-0005-0000-0000-0000122A0000}"/>
    <cellStyle name="Normal 2 2 2 2 2 2 15 5 6" xfId="10814" xr:uid="{00000000-0005-0000-0000-0000132A0000}"/>
    <cellStyle name="Normal 2 2 2 2 2 2 15 5 7" xfId="10815" xr:uid="{00000000-0005-0000-0000-0000142A0000}"/>
    <cellStyle name="Normal 2 2 2 2 2 2 15 5 8" xfId="10816" xr:uid="{00000000-0005-0000-0000-0000152A0000}"/>
    <cellStyle name="Normal 2 2 2 2 2 2 15 5 9" xfId="10817" xr:uid="{00000000-0005-0000-0000-0000162A0000}"/>
    <cellStyle name="Normal 2 2 2 2 2 2 15 6" xfId="10818" xr:uid="{00000000-0005-0000-0000-0000172A0000}"/>
    <cellStyle name="Normal 2 2 2 2 2 2 15 7" xfId="10819" xr:uid="{00000000-0005-0000-0000-0000182A0000}"/>
    <cellStyle name="Normal 2 2 2 2 2 2 15 8" xfId="10820" xr:uid="{00000000-0005-0000-0000-0000192A0000}"/>
    <cellStyle name="Normal 2 2 2 2 2 2 15 9" xfId="10821" xr:uid="{00000000-0005-0000-0000-00001A2A0000}"/>
    <cellStyle name="Normal 2 2 2 2 2 2 16" xfId="10822" xr:uid="{00000000-0005-0000-0000-00001B2A0000}"/>
    <cellStyle name="Normal 2 2 2 2 2 2 16 10" xfId="10823" xr:uid="{00000000-0005-0000-0000-00001C2A0000}"/>
    <cellStyle name="Normal 2 2 2 2 2 2 16 11" xfId="10824" xr:uid="{00000000-0005-0000-0000-00001D2A0000}"/>
    <cellStyle name="Normal 2 2 2 2 2 2 16 12" xfId="10825" xr:uid="{00000000-0005-0000-0000-00001E2A0000}"/>
    <cellStyle name="Normal 2 2 2 2 2 2 16 13" xfId="10826" xr:uid="{00000000-0005-0000-0000-00001F2A0000}"/>
    <cellStyle name="Normal 2 2 2 2 2 2 16 14" xfId="10827" xr:uid="{00000000-0005-0000-0000-0000202A0000}"/>
    <cellStyle name="Normal 2 2 2 2 2 2 16 2" xfId="10828" xr:uid="{00000000-0005-0000-0000-0000212A0000}"/>
    <cellStyle name="Normal 2 2 2 2 2 2 16 2 10" xfId="10829" xr:uid="{00000000-0005-0000-0000-0000222A0000}"/>
    <cellStyle name="Normal 2 2 2 2 2 2 16 2 2" xfId="10830" xr:uid="{00000000-0005-0000-0000-0000232A0000}"/>
    <cellStyle name="Normal 2 2 2 2 2 2 16 2 3" xfId="10831" xr:uid="{00000000-0005-0000-0000-0000242A0000}"/>
    <cellStyle name="Normal 2 2 2 2 2 2 16 2 4" xfId="10832" xr:uid="{00000000-0005-0000-0000-0000252A0000}"/>
    <cellStyle name="Normal 2 2 2 2 2 2 16 2 5" xfId="10833" xr:uid="{00000000-0005-0000-0000-0000262A0000}"/>
    <cellStyle name="Normal 2 2 2 2 2 2 16 2 6" xfId="10834" xr:uid="{00000000-0005-0000-0000-0000272A0000}"/>
    <cellStyle name="Normal 2 2 2 2 2 2 16 2 7" xfId="10835" xr:uid="{00000000-0005-0000-0000-0000282A0000}"/>
    <cellStyle name="Normal 2 2 2 2 2 2 16 2 8" xfId="10836" xr:uid="{00000000-0005-0000-0000-0000292A0000}"/>
    <cellStyle name="Normal 2 2 2 2 2 2 16 2 9" xfId="10837" xr:uid="{00000000-0005-0000-0000-00002A2A0000}"/>
    <cellStyle name="Normal 2 2 2 2 2 2 16 3" xfId="10838" xr:uid="{00000000-0005-0000-0000-00002B2A0000}"/>
    <cellStyle name="Normal 2 2 2 2 2 2 16 3 10" xfId="10839" xr:uid="{00000000-0005-0000-0000-00002C2A0000}"/>
    <cellStyle name="Normal 2 2 2 2 2 2 16 3 2" xfId="10840" xr:uid="{00000000-0005-0000-0000-00002D2A0000}"/>
    <cellStyle name="Normal 2 2 2 2 2 2 16 3 3" xfId="10841" xr:uid="{00000000-0005-0000-0000-00002E2A0000}"/>
    <cellStyle name="Normal 2 2 2 2 2 2 16 3 4" xfId="10842" xr:uid="{00000000-0005-0000-0000-00002F2A0000}"/>
    <cellStyle name="Normal 2 2 2 2 2 2 16 3 5" xfId="10843" xr:uid="{00000000-0005-0000-0000-0000302A0000}"/>
    <cellStyle name="Normal 2 2 2 2 2 2 16 3 6" xfId="10844" xr:uid="{00000000-0005-0000-0000-0000312A0000}"/>
    <cellStyle name="Normal 2 2 2 2 2 2 16 3 7" xfId="10845" xr:uid="{00000000-0005-0000-0000-0000322A0000}"/>
    <cellStyle name="Normal 2 2 2 2 2 2 16 3 8" xfId="10846" xr:uid="{00000000-0005-0000-0000-0000332A0000}"/>
    <cellStyle name="Normal 2 2 2 2 2 2 16 3 9" xfId="10847" xr:uid="{00000000-0005-0000-0000-0000342A0000}"/>
    <cellStyle name="Normal 2 2 2 2 2 2 16 4" xfId="10848" xr:uid="{00000000-0005-0000-0000-0000352A0000}"/>
    <cellStyle name="Normal 2 2 2 2 2 2 16 4 10" xfId="10849" xr:uid="{00000000-0005-0000-0000-0000362A0000}"/>
    <cellStyle name="Normal 2 2 2 2 2 2 16 4 2" xfId="10850" xr:uid="{00000000-0005-0000-0000-0000372A0000}"/>
    <cellStyle name="Normal 2 2 2 2 2 2 16 4 3" xfId="10851" xr:uid="{00000000-0005-0000-0000-0000382A0000}"/>
    <cellStyle name="Normal 2 2 2 2 2 2 16 4 4" xfId="10852" xr:uid="{00000000-0005-0000-0000-0000392A0000}"/>
    <cellStyle name="Normal 2 2 2 2 2 2 16 4 5" xfId="10853" xr:uid="{00000000-0005-0000-0000-00003A2A0000}"/>
    <cellStyle name="Normal 2 2 2 2 2 2 16 4 6" xfId="10854" xr:uid="{00000000-0005-0000-0000-00003B2A0000}"/>
    <cellStyle name="Normal 2 2 2 2 2 2 16 4 7" xfId="10855" xr:uid="{00000000-0005-0000-0000-00003C2A0000}"/>
    <cellStyle name="Normal 2 2 2 2 2 2 16 4 8" xfId="10856" xr:uid="{00000000-0005-0000-0000-00003D2A0000}"/>
    <cellStyle name="Normal 2 2 2 2 2 2 16 4 9" xfId="10857" xr:uid="{00000000-0005-0000-0000-00003E2A0000}"/>
    <cellStyle name="Normal 2 2 2 2 2 2 16 5" xfId="10858" xr:uid="{00000000-0005-0000-0000-00003F2A0000}"/>
    <cellStyle name="Normal 2 2 2 2 2 2 16 5 10" xfId="10859" xr:uid="{00000000-0005-0000-0000-0000402A0000}"/>
    <cellStyle name="Normal 2 2 2 2 2 2 16 5 2" xfId="10860" xr:uid="{00000000-0005-0000-0000-0000412A0000}"/>
    <cellStyle name="Normal 2 2 2 2 2 2 16 5 3" xfId="10861" xr:uid="{00000000-0005-0000-0000-0000422A0000}"/>
    <cellStyle name="Normal 2 2 2 2 2 2 16 5 4" xfId="10862" xr:uid="{00000000-0005-0000-0000-0000432A0000}"/>
    <cellStyle name="Normal 2 2 2 2 2 2 16 5 5" xfId="10863" xr:uid="{00000000-0005-0000-0000-0000442A0000}"/>
    <cellStyle name="Normal 2 2 2 2 2 2 16 5 6" xfId="10864" xr:uid="{00000000-0005-0000-0000-0000452A0000}"/>
    <cellStyle name="Normal 2 2 2 2 2 2 16 5 7" xfId="10865" xr:uid="{00000000-0005-0000-0000-0000462A0000}"/>
    <cellStyle name="Normal 2 2 2 2 2 2 16 5 8" xfId="10866" xr:uid="{00000000-0005-0000-0000-0000472A0000}"/>
    <cellStyle name="Normal 2 2 2 2 2 2 16 5 9" xfId="10867" xr:uid="{00000000-0005-0000-0000-0000482A0000}"/>
    <cellStyle name="Normal 2 2 2 2 2 2 16 6" xfId="10868" xr:uid="{00000000-0005-0000-0000-0000492A0000}"/>
    <cellStyle name="Normal 2 2 2 2 2 2 16 7" xfId="10869" xr:uid="{00000000-0005-0000-0000-00004A2A0000}"/>
    <cellStyle name="Normal 2 2 2 2 2 2 16 8" xfId="10870" xr:uid="{00000000-0005-0000-0000-00004B2A0000}"/>
    <cellStyle name="Normal 2 2 2 2 2 2 16 9" xfId="10871" xr:uid="{00000000-0005-0000-0000-00004C2A0000}"/>
    <cellStyle name="Normal 2 2 2 2 2 2 17" xfId="10872" xr:uid="{00000000-0005-0000-0000-00004D2A0000}"/>
    <cellStyle name="Normal 2 2 2 2 2 2 17 10" xfId="10873" xr:uid="{00000000-0005-0000-0000-00004E2A0000}"/>
    <cellStyle name="Normal 2 2 2 2 2 2 17 11" xfId="10874" xr:uid="{00000000-0005-0000-0000-00004F2A0000}"/>
    <cellStyle name="Normal 2 2 2 2 2 2 17 12" xfId="10875" xr:uid="{00000000-0005-0000-0000-0000502A0000}"/>
    <cellStyle name="Normal 2 2 2 2 2 2 17 13" xfId="10876" xr:uid="{00000000-0005-0000-0000-0000512A0000}"/>
    <cellStyle name="Normal 2 2 2 2 2 2 17 14" xfId="10877" xr:uid="{00000000-0005-0000-0000-0000522A0000}"/>
    <cellStyle name="Normal 2 2 2 2 2 2 17 2" xfId="10878" xr:uid="{00000000-0005-0000-0000-0000532A0000}"/>
    <cellStyle name="Normal 2 2 2 2 2 2 17 2 10" xfId="10879" xr:uid="{00000000-0005-0000-0000-0000542A0000}"/>
    <cellStyle name="Normal 2 2 2 2 2 2 17 2 2" xfId="10880" xr:uid="{00000000-0005-0000-0000-0000552A0000}"/>
    <cellStyle name="Normal 2 2 2 2 2 2 17 2 3" xfId="10881" xr:uid="{00000000-0005-0000-0000-0000562A0000}"/>
    <cellStyle name="Normal 2 2 2 2 2 2 17 2 4" xfId="10882" xr:uid="{00000000-0005-0000-0000-0000572A0000}"/>
    <cellStyle name="Normal 2 2 2 2 2 2 17 2 5" xfId="10883" xr:uid="{00000000-0005-0000-0000-0000582A0000}"/>
    <cellStyle name="Normal 2 2 2 2 2 2 17 2 6" xfId="10884" xr:uid="{00000000-0005-0000-0000-0000592A0000}"/>
    <cellStyle name="Normal 2 2 2 2 2 2 17 2 7" xfId="10885" xr:uid="{00000000-0005-0000-0000-00005A2A0000}"/>
    <cellStyle name="Normal 2 2 2 2 2 2 17 2 8" xfId="10886" xr:uid="{00000000-0005-0000-0000-00005B2A0000}"/>
    <cellStyle name="Normal 2 2 2 2 2 2 17 2 9" xfId="10887" xr:uid="{00000000-0005-0000-0000-00005C2A0000}"/>
    <cellStyle name="Normal 2 2 2 2 2 2 17 3" xfId="10888" xr:uid="{00000000-0005-0000-0000-00005D2A0000}"/>
    <cellStyle name="Normal 2 2 2 2 2 2 17 3 10" xfId="10889" xr:uid="{00000000-0005-0000-0000-00005E2A0000}"/>
    <cellStyle name="Normal 2 2 2 2 2 2 17 3 2" xfId="10890" xr:uid="{00000000-0005-0000-0000-00005F2A0000}"/>
    <cellStyle name="Normal 2 2 2 2 2 2 17 3 3" xfId="10891" xr:uid="{00000000-0005-0000-0000-0000602A0000}"/>
    <cellStyle name="Normal 2 2 2 2 2 2 17 3 4" xfId="10892" xr:uid="{00000000-0005-0000-0000-0000612A0000}"/>
    <cellStyle name="Normal 2 2 2 2 2 2 17 3 5" xfId="10893" xr:uid="{00000000-0005-0000-0000-0000622A0000}"/>
    <cellStyle name="Normal 2 2 2 2 2 2 17 3 6" xfId="10894" xr:uid="{00000000-0005-0000-0000-0000632A0000}"/>
    <cellStyle name="Normal 2 2 2 2 2 2 17 3 7" xfId="10895" xr:uid="{00000000-0005-0000-0000-0000642A0000}"/>
    <cellStyle name="Normal 2 2 2 2 2 2 17 3 8" xfId="10896" xr:uid="{00000000-0005-0000-0000-0000652A0000}"/>
    <cellStyle name="Normal 2 2 2 2 2 2 17 3 9" xfId="10897" xr:uid="{00000000-0005-0000-0000-0000662A0000}"/>
    <cellStyle name="Normal 2 2 2 2 2 2 17 4" xfId="10898" xr:uid="{00000000-0005-0000-0000-0000672A0000}"/>
    <cellStyle name="Normal 2 2 2 2 2 2 17 4 10" xfId="10899" xr:uid="{00000000-0005-0000-0000-0000682A0000}"/>
    <cellStyle name="Normal 2 2 2 2 2 2 17 4 2" xfId="10900" xr:uid="{00000000-0005-0000-0000-0000692A0000}"/>
    <cellStyle name="Normal 2 2 2 2 2 2 17 4 3" xfId="10901" xr:uid="{00000000-0005-0000-0000-00006A2A0000}"/>
    <cellStyle name="Normal 2 2 2 2 2 2 17 4 4" xfId="10902" xr:uid="{00000000-0005-0000-0000-00006B2A0000}"/>
    <cellStyle name="Normal 2 2 2 2 2 2 17 4 5" xfId="10903" xr:uid="{00000000-0005-0000-0000-00006C2A0000}"/>
    <cellStyle name="Normal 2 2 2 2 2 2 17 4 6" xfId="10904" xr:uid="{00000000-0005-0000-0000-00006D2A0000}"/>
    <cellStyle name="Normal 2 2 2 2 2 2 17 4 7" xfId="10905" xr:uid="{00000000-0005-0000-0000-00006E2A0000}"/>
    <cellStyle name="Normal 2 2 2 2 2 2 17 4 8" xfId="10906" xr:uid="{00000000-0005-0000-0000-00006F2A0000}"/>
    <cellStyle name="Normal 2 2 2 2 2 2 17 4 9" xfId="10907" xr:uid="{00000000-0005-0000-0000-0000702A0000}"/>
    <cellStyle name="Normal 2 2 2 2 2 2 17 5" xfId="10908" xr:uid="{00000000-0005-0000-0000-0000712A0000}"/>
    <cellStyle name="Normal 2 2 2 2 2 2 17 5 10" xfId="10909" xr:uid="{00000000-0005-0000-0000-0000722A0000}"/>
    <cellStyle name="Normal 2 2 2 2 2 2 17 5 2" xfId="10910" xr:uid="{00000000-0005-0000-0000-0000732A0000}"/>
    <cellStyle name="Normal 2 2 2 2 2 2 17 5 3" xfId="10911" xr:uid="{00000000-0005-0000-0000-0000742A0000}"/>
    <cellStyle name="Normal 2 2 2 2 2 2 17 5 4" xfId="10912" xr:uid="{00000000-0005-0000-0000-0000752A0000}"/>
    <cellStyle name="Normal 2 2 2 2 2 2 17 5 5" xfId="10913" xr:uid="{00000000-0005-0000-0000-0000762A0000}"/>
    <cellStyle name="Normal 2 2 2 2 2 2 17 5 6" xfId="10914" xr:uid="{00000000-0005-0000-0000-0000772A0000}"/>
    <cellStyle name="Normal 2 2 2 2 2 2 17 5 7" xfId="10915" xr:uid="{00000000-0005-0000-0000-0000782A0000}"/>
    <cellStyle name="Normal 2 2 2 2 2 2 17 5 8" xfId="10916" xr:uid="{00000000-0005-0000-0000-0000792A0000}"/>
    <cellStyle name="Normal 2 2 2 2 2 2 17 5 9" xfId="10917" xr:uid="{00000000-0005-0000-0000-00007A2A0000}"/>
    <cellStyle name="Normal 2 2 2 2 2 2 17 6" xfId="10918" xr:uid="{00000000-0005-0000-0000-00007B2A0000}"/>
    <cellStyle name="Normal 2 2 2 2 2 2 17 7" xfId="10919" xr:uid="{00000000-0005-0000-0000-00007C2A0000}"/>
    <cellStyle name="Normal 2 2 2 2 2 2 17 8" xfId="10920" xr:uid="{00000000-0005-0000-0000-00007D2A0000}"/>
    <cellStyle name="Normal 2 2 2 2 2 2 17 9" xfId="10921" xr:uid="{00000000-0005-0000-0000-00007E2A0000}"/>
    <cellStyle name="Normal 2 2 2 2 2 2 18" xfId="10922" xr:uid="{00000000-0005-0000-0000-00007F2A0000}"/>
    <cellStyle name="Normal 2 2 2 2 2 2 18 10" xfId="10923" xr:uid="{00000000-0005-0000-0000-0000802A0000}"/>
    <cellStyle name="Normal 2 2 2 2 2 2 18 11" xfId="10924" xr:uid="{00000000-0005-0000-0000-0000812A0000}"/>
    <cellStyle name="Normal 2 2 2 2 2 2 18 12" xfId="10925" xr:uid="{00000000-0005-0000-0000-0000822A0000}"/>
    <cellStyle name="Normal 2 2 2 2 2 2 18 13" xfId="10926" xr:uid="{00000000-0005-0000-0000-0000832A0000}"/>
    <cellStyle name="Normal 2 2 2 2 2 2 18 14" xfId="10927" xr:uid="{00000000-0005-0000-0000-0000842A0000}"/>
    <cellStyle name="Normal 2 2 2 2 2 2 18 2" xfId="10928" xr:uid="{00000000-0005-0000-0000-0000852A0000}"/>
    <cellStyle name="Normal 2 2 2 2 2 2 18 2 10" xfId="10929" xr:uid="{00000000-0005-0000-0000-0000862A0000}"/>
    <cellStyle name="Normal 2 2 2 2 2 2 18 2 2" xfId="10930" xr:uid="{00000000-0005-0000-0000-0000872A0000}"/>
    <cellStyle name="Normal 2 2 2 2 2 2 18 2 3" xfId="10931" xr:uid="{00000000-0005-0000-0000-0000882A0000}"/>
    <cellStyle name="Normal 2 2 2 2 2 2 18 2 4" xfId="10932" xr:uid="{00000000-0005-0000-0000-0000892A0000}"/>
    <cellStyle name="Normal 2 2 2 2 2 2 18 2 5" xfId="10933" xr:uid="{00000000-0005-0000-0000-00008A2A0000}"/>
    <cellStyle name="Normal 2 2 2 2 2 2 18 2 6" xfId="10934" xr:uid="{00000000-0005-0000-0000-00008B2A0000}"/>
    <cellStyle name="Normal 2 2 2 2 2 2 18 2 7" xfId="10935" xr:uid="{00000000-0005-0000-0000-00008C2A0000}"/>
    <cellStyle name="Normal 2 2 2 2 2 2 18 2 8" xfId="10936" xr:uid="{00000000-0005-0000-0000-00008D2A0000}"/>
    <cellStyle name="Normal 2 2 2 2 2 2 18 2 9" xfId="10937" xr:uid="{00000000-0005-0000-0000-00008E2A0000}"/>
    <cellStyle name="Normal 2 2 2 2 2 2 18 3" xfId="10938" xr:uid="{00000000-0005-0000-0000-00008F2A0000}"/>
    <cellStyle name="Normal 2 2 2 2 2 2 18 3 10" xfId="10939" xr:uid="{00000000-0005-0000-0000-0000902A0000}"/>
    <cellStyle name="Normal 2 2 2 2 2 2 18 3 2" xfId="10940" xr:uid="{00000000-0005-0000-0000-0000912A0000}"/>
    <cellStyle name="Normal 2 2 2 2 2 2 18 3 3" xfId="10941" xr:uid="{00000000-0005-0000-0000-0000922A0000}"/>
    <cellStyle name="Normal 2 2 2 2 2 2 18 3 4" xfId="10942" xr:uid="{00000000-0005-0000-0000-0000932A0000}"/>
    <cellStyle name="Normal 2 2 2 2 2 2 18 3 5" xfId="10943" xr:uid="{00000000-0005-0000-0000-0000942A0000}"/>
    <cellStyle name="Normal 2 2 2 2 2 2 18 3 6" xfId="10944" xr:uid="{00000000-0005-0000-0000-0000952A0000}"/>
    <cellStyle name="Normal 2 2 2 2 2 2 18 3 7" xfId="10945" xr:uid="{00000000-0005-0000-0000-0000962A0000}"/>
    <cellStyle name="Normal 2 2 2 2 2 2 18 3 8" xfId="10946" xr:uid="{00000000-0005-0000-0000-0000972A0000}"/>
    <cellStyle name="Normal 2 2 2 2 2 2 18 3 9" xfId="10947" xr:uid="{00000000-0005-0000-0000-0000982A0000}"/>
    <cellStyle name="Normal 2 2 2 2 2 2 18 4" xfId="10948" xr:uid="{00000000-0005-0000-0000-0000992A0000}"/>
    <cellStyle name="Normal 2 2 2 2 2 2 18 4 10" xfId="10949" xr:uid="{00000000-0005-0000-0000-00009A2A0000}"/>
    <cellStyle name="Normal 2 2 2 2 2 2 18 4 2" xfId="10950" xr:uid="{00000000-0005-0000-0000-00009B2A0000}"/>
    <cellStyle name="Normal 2 2 2 2 2 2 18 4 3" xfId="10951" xr:uid="{00000000-0005-0000-0000-00009C2A0000}"/>
    <cellStyle name="Normal 2 2 2 2 2 2 18 4 4" xfId="10952" xr:uid="{00000000-0005-0000-0000-00009D2A0000}"/>
    <cellStyle name="Normal 2 2 2 2 2 2 18 4 5" xfId="10953" xr:uid="{00000000-0005-0000-0000-00009E2A0000}"/>
    <cellStyle name="Normal 2 2 2 2 2 2 18 4 6" xfId="10954" xr:uid="{00000000-0005-0000-0000-00009F2A0000}"/>
    <cellStyle name="Normal 2 2 2 2 2 2 18 4 7" xfId="10955" xr:uid="{00000000-0005-0000-0000-0000A02A0000}"/>
    <cellStyle name="Normal 2 2 2 2 2 2 18 4 8" xfId="10956" xr:uid="{00000000-0005-0000-0000-0000A12A0000}"/>
    <cellStyle name="Normal 2 2 2 2 2 2 18 4 9" xfId="10957" xr:uid="{00000000-0005-0000-0000-0000A22A0000}"/>
    <cellStyle name="Normal 2 2 2 2 2 2 18 5" xfId="10958" xr:uid="{00000000-0005-0000-0000-0000A32A0000}"/>
    <cellStyle name="Normal 2 2 2 2 2 2 18 5 10" xfId="10959" xr:uid="{00000000-0005-0000-0000-0000A42A0000}"/>
    <cellStyle name="Normal 2 2 2 2 2 2 18 5 2" xfId="10960" xr:uid="{00000000-0005-0000-0000-0000A52A0000}"/>
    <cellStyle name="Normal 2 2 2 2 2 2 18 5 3" xfId="10961" xr:uid="{00000000-0005-0000-0000-0000A62A0000}"/>
    <cellStyle name="Normal 2 2 2 2 2 2 18 5 4" xfId="10962" xr:uid="{00000000-0005-0000-0000-0000A72A0000}"/>
    <cellStyle name="Normal 2 2 2 2 2 2 18 5 5" xfId="10963" xr:uid="{00000000-0005-0000-0000-0000A82A0000}"/>
    <cellStyle name="Normal 2 2 2 2 2 2 18 5 6" xfId="10964" xr:uid="{00000000-0005-0000-0000-0000A92A0000}"/>
    <cellStyle name="Normal 2 2 2 2 2 2 18 5 7" xfId="10965" xr:uid="{00000000-0005-0000-0000-0000AA2A0000}"/>
    <cellStyle name="Normal 2 2 2 2 2 2 18 5 8" xfId="10966" xr:uid="{00000000-0005-0000-0000-0000AB2A0000}"/>
    <cellStyle name="Normal 2 2 2 2 2 2 18 5 9" xfId="10967" xr:uid="{00000000-0005-0000-0000-0000AC2A0000}"/>
    <cellStyle name="Normal 2 2 2 2 2 2 18 6" xfId="10968" xr:uid="{00000000-0005-0000-0000-0000AD2A0000}"/>
    <cellStyle name="Normal 2 2 2 2 2 2 18 7" xfId="10969" xr:uid="{00000000-0005-0000-0000-0000AE2A0000}"/>
    <cellStyle name="Normal 2 2 2 2 2 2 18 8" xfId="10970" xr:uid="{00000000-0005-0000-0000-0000AF2A0000}"/>
    <cellStyle name="Normal 2 2 2 2 2 2 18 9" xfId="10971" xr:uid="{00000000-0005-0000-0000-0000B02A0000}"/>
    <cellStyle name="Normal 2 2 2 2 2 2 19" xfId="10972" xr:uid="{00000000-0005-0000-0000-0000B12A0000}"/>
    <cellStyle name="Normal 2 2 2 2 2 2 19 10" xfId="10973" xr:uid="{00000000-0005-0000-0000-0000B22A0000}"/>
    <cellStyle name="Normal 2 2 2 2 2 2 19 11" xfId="10974" xr:uid="{00000000-0005-0000-0000-0000B32A0000}"/>
    <cellStyle name="Normal 2 2 2 2 2 2 19 12" xfId="10975" xr:uid="{00000000-0005-0000-0000-0000B42A0000}"/>
    <cellStyle name="Normal 2 2 2 2 2 2 19 13" xfId="10976" xr:uid="{00000000-0005-0000-0000-0000B52A0000}"/>
    <cellStyle name="Normal 2 2 2 2 2 2 19 14" xfId="10977" xr:uid="{00000000-0005-0000-0000-0000B62A0000}"/>
    <cellStyle name="Normal 2 2 2 2 2 2 19 2" xfId="10978" xr:uid="{00000000-0005-0000-0000-0000B72A0000}"/>
    <cellStyle name="Normal 2 2 2 2 2 2 19 2 10" xfId="10979" xr:uid="{00000000-0005-0000-0000-0000B82A0000}"/>
    <cellStyle name="Normal 2 2 2 2 2 2 19 2 2" xfId="10980" xr:uid="{00000000-0005-0000-0000-0000B92A0000}"/>
    <cellStyle name="Normal 2 2 2 2 2 2 19 2 3" xfId="10981" xr:uid="{00000000-0005-0000-0000-0000BA2A0000}"/>
    <cellStyle name="Normal 2 2 2 2 2 2 19 2 4" xfId="10982" xr:uid="{00000000-0005-0000-0000-0000BB2A0000}"/>
    <cellStyle name="Normal 2 2 2 2 2 2 19 2 5" xfId="10983" xr:uid="{00000000-0005-0000-0000-0000BC2A0000}"/>
    <cellStyle name="Normal 2 2 2 2 2 2 19 2 6" xfId="10984" xr:uid="{00000000-0005-0000-0000-0000BD2A0000}"/>
    <cellStyle name="Normal 2 2 2 2 2 2 19 2 7" xfId="10985" xr:uid="{00000000-0005-0000-0000-0000BE2A0000}"/>
    <cellStyle name="Normal 2 2 2 2 2 2 19 2 8" xfId="10986" xr:uid="{00000000-0005-0000-0000-0000BF2A0000}"/>
    <cellStyle name="Normal 2 2 2 2 2 2 19 2 9" xfId="10987" xr:uid="{00000000-0005-0000-0000-0000C02A0000}"/>
    <cellStyle name="Normal 2 2 2 2 2 2 19 3" xfId="10988" xr:uid="{00000000-0005-0000-0000-0000C12A0000}"/>
    <cellStyle name="Normal 2 2 2 2 2 2 19 3 10" xfId="10989" xr:uid="{00000000-0005-0000-0000-0000C22A0000}"/>
    <cellStyle name="Normal 2 2 2 2 2 2 19 3 2" xfId="10990" xr:uid="{00000000-0005-0000-0000-0000C32A0000}"/>
    <cellStyle name="Normal 2 2 2 2 2 2 19 3 3" xfId="10991" xr:uid="{00000000-0005-0000-0000-0000C42A0000}"/>
    <cellStyle name="Normal 2 2 2 2 2 2 19 3 4" xfId="10992" xr:uid="{00000000-0005-0000-0000-0000C52A0000}"/>
    <cellStyle name="Normal 2 2 2 2 2 2 19 3 5" xfId="10993" xr:uid="{00000000-0005-0000-0000-0000C62A0000}"/>
    <cellStyle name="Normal 2 2 2 2 2 2 19 3 6" xfId="10994" xr:uid="{00000000-0005-0000-0000-0000C72A0000}"/>
    <cellStyle name="Normal 2 2 2 2 2 2 19 3 7" xfId="10995" xr:uid="{00000000-0005-0000-0000-0000C82A0000}"/>
    <cellStyle name="Normal 2 2 2 2 2 2 19 3 8" xfId="10996" xr:uid="{00000000-0005-0000-0000-0000C92A0000}"/>
    <cellStyle name="Normal 2 2 2 2 2 2 19 3 9" xfId="10997" xr:uid="{00000000-0005-0000-0000-0000CA2A0000}"/>
    <cellStyle name="Normal 2 2 2 2 2 2 19 4" xfId="10998" xr:uid="{00000000-0005-0000-0000-0000CB2A0000}"/>
    <cellStyle name="Normal 2 2 2 2 2 2 19 4 10" xfId="10999" xr:uid="{00000000-0005-0000-0000-0000CC2A0000}"/>
    <cellStyle name="Normal 2 2 2 2 2 2 19 4 2" xfId="11000" xr:uid="{00000000-0005-0000-0000-0000CD2A0000}"/>
    <cellStyle name="Normal 2 2 2 2 2 2 19 4 3" xfId="11001" xr:uid="{00000000-0005-0000-0000-0000CE2A0000}"/>
    <cellStyle name="Normal 2 2 2 2 2 2 19 4 4" xfId="11002" xr:uid="{00000000-0005-0000-0000-0000CF2A0000}"/>
    <cellStyle name="Normal 2 2 2 2 2 2 19 4 5" xfId="11003" xr:uid="{00000000-0005-0000-0000-0000D02A0000}"/>
    <cellStyle name="Normal 2 2 2 2 2 2 19 4 6" xfId="11004" xr:uid="{00000000-0005-0000-0000-0000D12A0000}"/>
    <cellStyle name="Normal 2 2 2 2 2 2 19 4 7" xfId="11005" xr:uid="{00000000-0005-0000-0000-0000D22A0000}"/>
    <cellStyle name="Normal 2 2 2 2 2 2 19 4 8" xfId="11006" xr:uid="{00000000-0005-0000-0000-0000D32A0000}"/>
    <cellStyle name="Normal 2 2 2 2 2 2 19 4 9" xfId="11007" xr:uid="{00000000-0005-0000-0000-0000D42A0000}"/>
    <cellStyle name="Normal 2 2 2 2 2 2 19 5" xfId="11008" xr:uid="{00000000-0005-0000-0000-0000D52A0000}"/>
    <cellStyle name="Normal 2 2 2 2 2 2 19 5 10" xfId="11009" xr:uid="{00000000-0005-0000-0000-0000D62A0000}"/>
    <cellStyle name="Normal 2 2 2 2 2 2 19 5 2" xfId="11010" xr:uid="{00000000-0005-0000-0000-0000D72A0000}"/>
    <cellStyle name="Normal 2 2 2 2 2 2 19 5 3" xfId="11011" xr:uid="{00000000-0005-0000-0000-0000D82A0000}"/>
    <cellStyle name="Normal 2 2 2 2 2 2 19 5 4" xfId="11012" xr:uid="{00000000-0005-0000-0000-0000D92A0000}"/>
    <cellStyle name="Normal 2 2 2 2 2 2 19 5 5" xfId="11013" xr:uid="{00000000-0005-0000-0000-0000DA2A0000}"/>
    <cellStyle name="Normal 2 2 2 2 2 2 19 5 6" xfId="11014" xr:uid="{00000000-0005-0000-0000-0000DB2A0000}"/>
    <cellStyle name="Normal 2 2 2 2 2 2 19 5 7" xfId="11015" xr:uid="{00000000-0005-0000-0000-0000DC2A0000}"/>
    <cellStyle name="Normal 2 2 2 2 2 2 19 5 8" xfId="11016" xr:uid="{00000000-0005-0000-0000-0000DD2A0000}"/>
    <cellStyle name="Normal 2 2 2 2 2 2 19 5 9" xfId="11017" xr:uid="{00000000-0005-0000-0000-0000DE2A0000}"/>
    <cellStyle name="Normal 2 2 2 2 2 2 19 6" xfId="11018" xr:uid="{00000000-0005-0000-0000-0000DF2A0000}"/>
    <cellStyle name="Normal 2 2 2 2 2 2 19 7" xfId="11019" xr:uid="{00000000-0005-0000-0000-0000E02A0000}"/>
    <cellStyle name="Normal 2 2 2 2 2 2 19 8" xfId="11020" xr:uid="{00000000-0005-0000-0000-0000E12A0000}"/>
    <cellStyle name="Normal 2 2 2 2 2 2 19 9" xfId="11021" xr:uid="{00000000-0005-0000-0000-0000E22A0000}"/>
    <cellStyle name="Normal 2 2 2 2 2 2 2" xfId="11022" xr:uid="{00000000-0005-0000-0000-0000E32A0000}"/>
    <cellStyle name="Normal 2 2 2 2 2 2 2 10" xfId="11023" xr:uid="{00000000-0005-0000-0000-0000E42A0000}"/>
    <cellStyle name="Normal 2 2 2 2 2 2 2 11" xfId="11024" xr:uid="{00000000-0005-0000-0000-0000E52A0000}"/>
    <cellStyle name="Normal 2 2 2 2 2 2 2 12" xfId="11025" xr:uid="{00000000-0005-0000-0000-0000E62A0000}"/>
    <cellStyle name="Normal 2 2 2 2 2 2 2 13" xfId="11026" xr:uid="{00000000-0005-0000-0000-0000E72A0000}"/>
    <cellStyle name="Normal 2 2 2 2 2 2 2 14" xfId="11027" xr:uid="{00000000-0005-0000-0000-0000E82A0000}"/>
    <cellStyle name="Normal 2 2 2 2 2 2 2 15" xfId="11028" xr:uid="{00000000-0005-0000-0000-0000E92A0000}"/>
    <cellStyle name="Normal 2 2 2 2 2 2 2 16" xfId="11029" xr:uid="{00000000-0005-0000-0000-0000EA2A0000}"/>
    <cellStyle name="Normal 2 2 2 2 2 2 2 2" xfId="11030" xr:uid="{00000000-0005-0000-0000-0000EB2A0000}"/>
    <cellStyle name="Normal 2 2 2 2 2 2 2 2 10" xfId="11031" xr:uid="{00000000-0005-0000-0000-0000EC2A0000}"/>
    <cellStyle name="Normal 2 2 2 2 2 2 2 2 11" xfId="11032" xr:uid="{00000000-0005-0000-0000-0000ED2A0000}"/>
    <cellStyle name="Normal 2 2 2 2 2 2 2 2 12" xfId="11033" xr:uid="{00000000-0005-0000-0000-0000EE2A0000}"/>
    <cellStyle name="Normal 2 2 2 2 2 2 2 2 2" xfId="11034" xr:uid="{00000000-0005-0000-0000-0000EF2A0000}"/>
    <cellStyle name="Normal 2 2 2 2 2 2 2 2 3" xfId="11035" xr:uid="{00000000-0005-0000-0000-0000F02A0000}"/>
    <cellStyle name="Normal 2 2 2 2 2 2 2 2 4" xfId="11036" xr:uid="{00000000-0005-0000-0000-0000F12A0000}"/>
    <cellStyle name="Normal 2 2 2 2 2 2 2 2 5" xfId="11037" xr:uid="{00000000-0005-0000-0000-0000F22A0000}"/>
    <cellStyle name="Normal 2 2 2 2 2 2 2 2 6" xfId="11038" xr:uid="{00000000-0005-0000-0000-0000F32A0000}"/>
    <cellStyle name="Normal 2 2 2 2 2 2 2 2 7" xfId="11039" xr:uid="{00000000-0005-0000-0000-0000F42A0000}"/>
    <cellStyle name="Normal 2 2 2 2 2 2 2 2 8" xfId="11040" xr:uid="{00000000-0005-0000-0000-0000F52A0000}"/>
    <cellStyle name="Normal 2 2 2 2 2 2 2 2 9" xfId="11041" xr:uid="{00000000-0005-0000-0000-0000F62A0000}"/>
    <cellStyle name="Normal 2 2 2 2 2 2 2 3" xfId="11042" xr:uid="{00000000-0005-0000-0000-0000F72A0000}"/>
    <cellStyle name="Normal 2 2 2 2 2 2 2 3 10" xfId="11043" xr:uid="{00000000-0005-0000-0000-0000F82A0000}"/>
    <cellStyle name="Normal 2 2 2 2 2 2 2 3 2" xfId="11044" xr:uid="{00000000-0005-0000-0000-0000F92A0000}"/>
    <cellStyle name="Normal 2 2 2 2 2 2 2 3 3" xfId="11045" xr:uid="{00000000-0005-0000-0000-0000FA2A0000}"/>
    <cellStyle name="Normal 2 2 2 2 2 2 2 3 4" xfId="11046" xr:uid="{00000000-0005-0000-0000-0000FB2A0000}"/>
    <cellStyle name="Normal 2 2 2 2 2 2 2 3 5" xfId="11047" xr:uid="{00000000-0005-0000-0000-0000FC2A0000}"/>
    <cellStyle name="Normal 2 2 2 2 2 2 2 3 6" xfId="11048" xr:uid="{00000000-0005-0000-0000-0000FD2A0000}"/>
    <cellStyle name="Normal 2 2 2 2 2 2 2 3 7" xfId="11049" xr:uid="{00000000-0005-0000-0000-0000FE2A0000}"/>
    <cellStyle name="Normal 2 2 2 2 2 2 2 3 8" xfId="11050" xr:uid="{00000000-0005-0000-0000-0000FF2A0000}"/>
    <cellStyle name="Normal 2 2 2 2 2 2 2 3 9" xfId="11051" xr:uid="{00000000-0005-0000-0000-0000002B0000}"/>
    <cellStyle name="Normal 2 2 2 2 2 2 2 4" xfId="11052" xr:uid="{00000000-0005-0000-0000-0000012B0000}"/>
    <cellStyle name="Normal 2 2 2 2 2 2 2 4 10" xfId="11053" xr:uid="{00000000-0005-0000-0000-0000022B0000}"/>
    <cellStyle name="Normal 2 2 2 2 2 2 2 4 2" xfId="11054" xr:uid="{00000000-0005-0000-0000-0000032B0000}"/>
    <cellStyle name="Normal 2 2 2 2 2 2 2 4 3" xfId="11055" xr:uid="{00000000-0005-0000-0000-0000042B0000}"/>
    <cellStyle name="Normal 2 2 2 2 2 2 2 4 4" xfId="11056" xr:uid="{00000000-0005-0000-0000-0000052B0000}"/>
    <cellStyle name="Normal 2 2 2 2 2 2 2 4 5" xfId="11057" xr:uid="{00000000-0005-0000-0000-0000062B0000}"/>
    <cellStyle name="Normal 2 2 2 2 2 2 2 4 6" xfId="11058" xr:uid="{00000000-0005-0000-0000-0000072B0000}"/>
    <cellStyle name="Normal 2 2 2 2 2 2 2 4 7" xfId="11059" xr:uid="{00000000-0005-0000-0000-0000082B0000}"/>
    <cellStyle name="Normal 2 2 2 2 2 2 2 4 8" xfId="11060" xr:uid="{00000000-0005-0000-0000-0000092B0000}"/>
    <cellStyle name="Normal 2 2 2 2 2 2 2 4 9" xfId="11061" xr:uid="{00000000-0005-0000-0000-00000A2B0000}"/>
    <cellStyle name="Normal 2 2 2 2 2 2 2 5" xfId="11062" xr:uid="{00000000-0005-0000-0000-00000B2B0000}"/>
    <cellStyle name="Normal 2 2 2 2 2 2 2 5 10" xfId="11063" xr:uid="{00000000-0005-0000-0000-00000C2B0000}"/>
    <cellStyle name="Normal 2 2 2 2 2 2 2 5 2" xfId="11064" xr:uid="{00000000-0005-0000-0000-00000D2B0000}"/>
    <cellStyle name="Normal 2 2 2 2 2 2 2 5 3" xfId="11065" xr:uid="{00000000-0005-0000-0000-00000E2B0000}"/>
    <cellStyle name="Normal 2 2 2 2 2 2 2 5 4" xfId="11066" xr:uid="{00000000-0005-0000-0000-00000F2B0000}"/>
    <cellStyle name="Normal 2 2 2 2 2 2 2 5 5" xfId="11067" xr:uid="{00000000-0005-0000-0000-0000102B0000}"/>
    <cellStyle name="Normal 2 2 2 2 2 2 2 5 6" xfId="11068" xr:uid="{00000000-0005-0000-0000-0000112B0000}"/>
    <cellStyle name="Normal 2 2 2 2 2 2 2 5 7" xfId="11069" xr:uid="{00000000-0005-0000-0000-0000122B0000}"/>
    <cellStyle name="Normal 2 2 2 2 2 2 2 5 8" xfId="11070" xr:uid="{00000000-0005-0000-0000-0000132B0000}"/>
    <cellStyle name="Normal 2 2 2 2 2 2 2 5 9" xfId="11071" xr:uid="{00000000-0005-0000-0000-0000142B0000}"/>
    <cellStyle name="Normal 2 2 2 2 2 2 2 6" xfId="11072" xr:uid="{00000000-0005-0000-0000-0000152B0000}"/>
    <cellStyle name="Normal 2 2 2 2 2 2 2 7" xfId="11073" xr:uid="{00000000-0005-0000-0000-0000162B0000}"/>
    <cellStyle name="Normal 2 2 2 2 2 2 2 8" xfId="11074" xr:uid="{00000000-0005-0000-0000-0000172B0000}"/>
    <cellStyle name="Normal 2 2 2 2 2 2 2 9" xfId="11075" xr:uid="{00000000-0005-0000-0000-0000182B0000}"/>
    <cellStyle name="Normal 2 2 2 2 2 2 20" xfId="11076" xr:uid="{00000000-0005-0000-0000-0000192B0000}"/>
    <cellStyle name="Normal 2 2 2 2 2 2 20 10" xfId="11077" xr:uid="{00000000-0005-0000-0000-00001A2B0000}"/>
    <cellStyle name="Normal 2 2 2 2 2 2 20 11" xfId="11078" xr:uid="{00000000-0005-0000-0000-00001B2B0000}"/>
    <cellStyle name="Normal 2 2 2 2 2 2 20 12" xfId="11079" xr:uid="{00000000-0005-0000-0000-00001C2B0000}"/>
    <cellStyle name="Normal 2 2 2 2 2 2 20 13" xfId="11080" xr:uid="{00000000-0005-0000-0000-00001D2B0000}"/>
    <cellStyle name="Normal 2 2 2 2 2 2 20 14" xfId="11081" xr:uid="{00000000-0005-0000-0000-00001E2B0000}"/>
    <cellStyle name="Normal 2 2 2 2 2 2 20 2" xfId="11082" xr:uid="{00000000-0005-0000-0000-00001F2B0000}"/>
    <cellStyle name="Normal 2 2 2 2 2 2 20 2 10" xfId="11083" xr:uid="{00000000-0005-0000-0000-0000202B0000}"/>
    <cellStyle name="Normal 2 2 2 2 2 2 20 2 2" xfId="11084" xr:uid="{00000000-0005-0000-0000-0000212B0000}"/>
    <cellStyle name="Normal 2 2 2 2 2 2 20 2 3" xfId="11085" xr:uid="{00000000-0005-0000-0000-0000222B0000}"/>
    <cellStyle name="Normal 2 2 2 2 2 2 20 2 4" xfId="11086" xr:uid="{00000000-0005-0000-0000-0000232B0000}"/>
    <cellStyle name="Normal 2 2 2 2 2 2 20 2 5" xfId="11087" xr:uid="{00000000-0005-0000-0000-0000242B0000}"/>
    <cellStyle name="Normal 2 2 2 2 2 2 20 2 6" xfId="11088" xr:uid="{00000000-0005-0000-0000-0000252B0000}"/>
    <cellStyle name="Normal 2 2 2 2 2 2 20 2 7" xfId="11089" xr:uid="{00000000-0005-0000-0000-0000262B0000}"/>
    <cellStyle name="Normal 2 2 2 2 2 2 20 2 8" xfId="11090" xr:uid="{00000000-0005-0000-0000-0000272B0000}"/>
    <cellStyle name="Normal 2 2 2 2 2 2 20 2 9" xfId="11091" xr:uid="{00000000-0005-0000-0000-0000282B0000}"/>
    <cellStyle name="Normal 2 2 2 2 2 2 20 3" xfId="11092" xr:uid="{00000000-0005-0000-0000-0000292B0000}"/>
    <cellStyle name="Normal 2 2 2 2 2 2 20 3 10" xfId="11093" xr:uid="{00000000-0005-0000-0000-00002A2B0000}"/>
    <cellStyle name="Normal 2 2 2 2 2 2 20 3 2" xfId="11094" xr:uid="{00000000-0005-0000-0000-00002B2B0000}"/>
    <cellStyle name="Normal 2 2 2 2 2 2 20 3 3" xfId="11095" xr:uid="{00000000-0005-0000-0000-00002C2B0000}"/>
    <cellStyle name="Normal 2 2 2 2 2 2 20 3 4" xfId="11096" xr:uid="{00000000-0005-0000-0000-00002D2B0000}"/>
    <cellStyle name="Normal 2 2 2 2 2 2 20 3 5" xfId="11097" xr:uid="{00000000-0005-0000-0000-00002E2B0000}"/>
    <cellStyle name="Normal 2 2 2 2 2 2 20 3 6" xfId="11098" xr:uid="{00000000-0005-0000-0000-00002F2B0000}"/>
    <cellStyle name="Normal 2 2 2 2 2 2 20 3 7" xfId="11099" xr:uid="{00000000-0005-0000-0000-0000302B0000}"/>
    <cellStyle name="Normal 2 2 2 2 2 2 20 3 8" xfId="11100" xr:uid="{00000000-0005-0000-0000-0000312B0000}"/>
    <cellStyle name="Normal 2 2 2 2 2 2 20 3 9" xfId="11101" xr:uid="{00000000-0005-0000-0000-0000322B0000}"/>
    <cellStyle name="Normal 2 2 2 2 2 2 20 4" xfId="11102" xr:uid="{00000000-0005-0000-0000-0000332B0000}"/>
    <cellStyle name="Normal 2 2 2 2 2 2 20 4 10" xfId="11103" xr:uid="{00000000-0005-0000-0000-0000342B0000}"/>
    <cellStyle name="Normal 2 2 2 2 2 2 20 4 2" xfId="11104" xr:uid="{00000000-0005-0000-0000-0000352B0000}"/>
    <cellStyle name="Normal 2 2 2 2 2 2 20 4 3" xfId="11105" xr:uid="{00000000-0005-0000-0000-0000362B0000}"/>
    <cellStyle name="Normal 2 2 2 2 2 2 20 4 4" xfId="11106" xr:uid="{00000000-0005-0000-0000-0000372B0000}"/>
    <cellStyle name="Normal 2 2 2 2 2 2 20 4 5" xfId="11107" xr:uid="{00000000-0005-0000-0000-0000382B0000}"/>
    <cellStyle name="Normal 2 2 2 2 2 2 20 4 6" xfId="11108" xr:uid="{00000000-0005-0000-0000-0000392B0000}"/>
    <cellStyle name="Normal 2 2 2 2 2 2 20 4 7" xfId="11109" xr:uid="{00000000-0005-0000-0000-00003A2B0000}"/>
    <cellStyle name="Normal 2 2 2 2 2 2 20 4 8" xfId="11110" xr:uid="{00000000-0005-0000-0000-00003B2B0000}"/>
    <cellStyle name="Normal 2 2 2 2 2 2 20 4 9" xfId="11111" xr:uid="{00000000-0005-0000-0000-00003C2B0000}"/>
    <cellStyle name="Normal 2 2 2 2 2 2 20 5" xfId="11112" xr:uid="{00000000-0005-0000-0000-00003D2B0000}"/>
    <cellStyle name="Normal 2 2 2 2 2 2 20 5 10" xfId="11113" xr:uid="{00000000-0005-0000-0000-00003E2B0000}"/>
    <cellStyle name="Normal 2 2 2 2 2 2 20 5 2" xfId="11114" xr:uid="{00000000-0005-0000-0000-00003F2B0000}"/>
    <cellStyle name="Normal 2 2 2 2 2 2 20 5 3" xfId="11115" xr:uid="{00000000-0005-0000-0000-0000402B0000}"/>
    <cellStyle name="Normal 2 2 2 2 2 2 20 5 4" xfId="11116" xr:uid="{00000000-0005-0000-0000-0000412B0000}"/>
    <cellStyle name="Normal 2 2 2 2 2 2 20 5 5" xfId="11117" xr:uid="{00000000-0005-0000-0000-0000422B0000}"/>
    <cellStyle name="Normal 2 2 2 2 2 2 20 5 6" xfId="11118" xr:uid="{00000000-0005-0000-0000-0000432B0000}"/>
    <cellStyle name="Normal 2 2 2 2 2 2 20 5 7" xfId="11119" xr:uid="{00000000-0005-0000-0000-0000442B0000}"/>
    <cellStyle name="Normal 2 2 2 2 2 2 20 5 8" xfId="11120" xr:uid="{00000000-0005-0000-0000-0000452B0000}"/>
    <cellStyle name="Normal 2 2 2 2 2 2 20 5 9" xfId="11121" xr:uid="{00000000-0005-0000-0000-0000462B0000}"/>
    <cellStyle name="Normal 2 2 2 2 2 2 20 6" xfId="11122" xr:uid="{00000000-0005-0000-0000-0000472B0000}"/>
    <cellStyle name="Normal 2 2 2 2 2 2 20 7" xfId="11123" xr:uid="{00000000-0005-0000-0000-0000482B0000}"/>
    <cellStyle name="Normal 2 2 2 2 2 2 20 8" xfId="11124" xr:uid="{00000000-0005-0000-0000-0000492B0000}"/>
    <cellStyle name="Normal 2 2 2 2 2 2 20 9" xfId="11125" xr:uid="{00000000-0005-0000-0000-00004A2B0000}"/>
    <cellStyle name="Normal 2 2 2 2 2 2 21" xfId="11126" xr:uid="{00000000-0005-0000-0000-00004B2B0000}"/>
    <cellStyle name="Normal 2 2 2 2 2 2 21 10" xfId="11127" xr:uid="{00000000-0005-0000-0000-00004C2B0000}"/>
    <cellStyle name="Normal 2 2 2 2 2 2 21 11" xfId="11128" xr:uid="{00000000-0005-0000-0000-00004D2B0000}"/>
    <cellStyle name="Normal 2 2 2 2 2 2 21 12" xfId="11129" xr:uid="{00000000-0005-0000-0000-00004E2B0000}"/>
    <cellStyle name="Normal 2 2 2 2 2 2 21 13" xfId="11130" xr:uid="{00000000-0005-0000-0000-00004F2B0000}"/>
    <cellStyle name="Normal 2 2 2 2 2 2 21 14" xfId="11131" xr:uid="{00000000-0005-0000-0000-0000502B0000}"/>
    <cellStyle name="Normal 2 2 2 2 2 2 21 2" xfId="11132" xr:uid="{00000000-0005-0000-0000-0000512B0000}"/>
    <cellStyle name="Normal 2 2 2 2 2 2 21 2 10" xfId="11133" xr:uid="{00000000-0005-0000-0000-0000522B0000}"/>
    <cellStyle name="Normal 2 2 2 2 2 2 21 2 2" xfId="11134" xr:uid="{00000000-0005-0000-0000-0000532B0000}"/>
    <cellStyle name="Normal 2 2 2 2 2 2 21 2 3" xfId="11135" xr:uid="{00000000-0005-0000-0000-0000542B0000}"/>
    <cellStyle name="Normal 2 2 2 2 2 2 21 2 4" xfId="11136" xr:uid="{00000000-0005-0000-0000-0000552B0000}"/>
    <cellStyle name="Normal 2 2 2 2 2 2 21 2 5" xfId="11137" xr:uid="{00000000-0005-0000-0000-0000562B0000}"/>
    <cellStyle name="Normal 2 2 2 2 2 2 21 2 6" xfId="11138" xr:uid="{00000000-0005-0000-0000-0000572B0000}"/>
    <cellStyle name="Normal 2 2 2 2 2 2 21 2 7" xfId="11139" xr:uid="{00000000-0005-0000-0000-0000582B0000}"/>
    <cellStyle name="Normal 2 2 2 2 2 2 21 2 8" xfId="11140" xr:uid="{00000000-0005-0000-0000-0000592B0000}"/>
    <cellStyle name="Normal 2 2 2 2 2 2 21 2 9" xfId="11141" xr:uid="{00000000-0005-0000-0000-00005A2B0000}"/>
    <cellStyle name="Normal 2 2 2 2 2 2 21 3" xfId="11142" xr:uid="{00000000-0005-0000-0000-00005B2B0000}"/>
    <cellStyle name="Normal 2 2 2 2 2 2 21 3 10" xfId="11143" xr:uid="{00000000-0005-0000-0000-00005C2B0000}"/>
    <cellStyle name="Normal 2 2 2 2 2 2 21 3 2" xfId="11144" xr:uid="{00000000-0005-0000-0000-00005D2B0000}"/>
    <cellStyle name="Normal 2 2 2 2 2 2 21 3 3" xfId="11145" xr:uid="{00000000-0005-0000-0000-00005E2B0000}"/>
    <cellStyle name="Normal 2 2 2 2 2 2 21 3 4" xfId="11146" xr:uid="{00000000-0005-0000-0000-00005F2B0000}"/>
    <cellStyle name="Normal 2 2 2 2 2 2 21 3 5" xfId="11147" xr:uid="{00000000-0005-0000-0000-0000602B0000}"/>
    <cellStyle name="Normal 2 2 2 2 2 2 21 3 6" xfId="11148" xr:uid="{00000000-0005-0000-0000-0000612B0000}"/>
    <cellStyle name="Normal 2 2 2 2 2 2 21 3 7" xfId="11149" xr:uid="{00000000-0005-0000-0000-0000622B0000}"/>
    <cellStyle name="Normal 2 2 2 2 2 2 21 3 8" xfId="11150" xr:uid="{00000000-0005-0000-0000-0000632B0000}"/>
    <cellStyle name="Normal 2 2 2 2 2 2 21 3 9" xfId="11151" xr:uid="{00000000-0005-0000-0000-0000642B0000}"/>
    <cellStyle name="Normal 2 2 2 2 2 2 21 4" xfId="11152" xr:uid="{00000000-0005-0000-0000-0000652B0000}"/>
    <cellStyle name="Normal 2 2 2 2 2 2 21 4 10" xfId="11153" xr:uid="{00000000-0005-0000-0000-0000662B0000}"/>
    <cellStyle name="Normal 2 2 2 2 2 2 21 4 2" xfId="11154" xr:uid="{00000000-0005-0000-0000-0000672B0000}"/>
    <cellStyle name="Normal 2 2 2 2 2 2 21 4 3" xfId="11155" xr:uid="{00000000-0005-0000-0000-0000682B0000}"/>
    <cellStyle name="Normal 2 2 2 2 2 2 21 4 4" xfId="11156" xr:uid="{00000000-0005-0000-0000-0000692B0000}"/>
    <cellStyle name="Normal 2 2 2 2 2 2 21 4 5" xfId="11157" xr:uid="{00000000-0005-0000-0000-00006A2B0000}"/>
    <cellStyle name="Normal 2 2 2 2 2 2 21 4 6" xfId="11158" xr:uid="{00000000-0005-0000-0000-00006B2B0000}"/>
    <cellStyle name="Normal 2 2 2 2 2 2 21 4 7" xfId="11159" xr:uid="{00000000-0005-0000-0000-00006C2B0000}"/>
    <cellStyle name="Normal 2 2 2 2 2 2 21 4 8" xfId="11160" xr:uid="{00000000-0005-0000-0000-00006D2B0000}"/>
    <cellStyle name="Normal 2 2 2 2 2 2 21 4 9" xfId="11161" xr:uid="{00000000-0005-0000-0000-00006E2B0000}"/>
    <cellStyle name="Normal 2 2 2 2 2 2 21 5" xfId="11162" xr:uid="{00000000-0005-0000-0000-00006F2B0000}"/>
    <cellStyle name="Normal 2 2 2 2 2 2 21 5 10" xfId="11163" xr:uid="{00000000-0005-0000-0000-0000702B0000}"/>
    <cellStyle name="Normal 2 2 2 2 2 2 21 5 2" xfId="11164" xr:uid="{00000000-0005-0000-0000-0000712B0000}"/>
    <cellStyle name="Normal 2 2 2 2 2 2 21 5 3" xfId="11165" xr:uid="{00000000-0005-0000-0000-0000722B0000}"/>
    <cellStyle name="Normal 2 2 2 2 2 2 21 5 4" xfId="11166" xr:uid="{00000000-0005-0000-0000-0000732B0000}"/>
    <cellStyle name="Normal 2 2 2 2 2 2 21 5 5" xfId="11167" xr:uid="{00000000-0005-0000-0000-0000742B0000}"/>
    <cellStyle name="Normal 2 2 2 2 2 2 21 5 6" xfId="11168" xr:uid="{00000000-0005-0000-0000-0000752B0000}"/>
    <cellStyle name="Normal 2 2 2 2 2 2 21 5 7" xfId="11169" xr:uid="{00000000-0005-0000-0000-0000762B0000}"/>
    <cellStyle name="Normal 2 2 2 2 2 2 21 5 8" xfId="11170" xr:uid="{00000000-0005-0000-0000-0000772B0000}"/>
    <cellStyle name="Normal 2 2 2 2 2 2 21 5 9" xfId="11171" xr:uid="{00000000-0005-0000-0000-0000782B0000}"/>
    <cellStyle name="Normal 2 2 2 2 2 2 21 6" xfId="11172" xr:uid="{00000000-0005-0000-0000-0000792B0000}"/>
    <cellStyle name="Normal 2 2 2 2 2 2 21 7" xfId="11173" xr:uid="{00000000-0005-0000-0000-00007A2B0000}"/>
    <cellStyle name="Normal 2 2 2 2 2 2 21 8" xfId="11174" xr:uid="{00000000-0005-0000-0000-00007B2B0000}"/>
    <cellStyle name="Normal 2 2 2 2 2 2 21 9" xfId="11175" xr:uid="{00000000-0005-0000-0000-00007C2B0000}"/>
    <cellStyle name="Normal 2 2 2 2 2 2 22" xfId="11176" xr:uid="{00000000-0005-0000-0000-00007D2B0000}"/>
    <cellStyle name="Normal 2 2 2 2 2 2 22 10" xfId="11177" xr:uid="{00000000-0005-0000-0000-00007E2B0000}"/>
    <cellStyle name="Normal 2 2 2 2 2 2 22 11" xfId="11178" xr:uid="{00000000-0005-0000-0000-00007F2B0000}"/>
    <cellStyle name="Normal 2 2 2 2 2 2 22 12" xfId="11179" xr:uid="{00000000-0005-0000-0000-0000802B0000}"/>
    <cellStyle name="Normal 2 2 2 2 2 2 22 13" xfId="11180" xr:uid="{00000000-0005-0000-0000-0000812B0000}"/>
    <cellStyle name="Normal 2 2 2 2 2 2 22 14" xfId="11181" xr:uid="{00000000-0005-0000-0000-0000822B0000}"/>
    <cellStyle name="Normal 2 2 2 2 2 2 22 2" xfId="11182" xr:uid="{00000000-0005-0000-0000-0000832B0000}"/>
    <cellStyle name="Normal 2 2 2 2 2 2 22 2 10" xfId="11183" xr:uid="{00000000-0005-0000-0000-0000842B0000}"/>
    <cellStyle name="Normal 2 2 2 2 2 2 22 2 2" xfId="11184" xr:uid="{00000000-0005-0000-0000-0000852B0000}"/>
    <cellStyle name="Normal 2 2 2 2 2 2 22 2 3" xfId="11185" xr:uid="{00000000-0005-0000-0000-0000862B0000}"/>
    <cellStyle name="Normal 2 2 2 2 2 2 22 2 4" xfId="11186" xr:uid="{00000000-0005-0000-0000-0000872B0000}"/>
    <cellStyle name="Normal 2 2 2 2 2 2 22 2 5" xfId="11187" xr:uid="{00000000-0005-0000-0000-0000882B0000}"/>
    <cellStyle name="Normal 2 2 2 2 2 2 22 2 6" xfId="11188" xr:uid="{00000000-0005-0000-0000-0000892B0000}"/>
    <cellStyle name="Normal 2 2 2 2 2 2 22 2 7" xfId="11189" xr:uid="{00000000-0005-0000-0000-00008A2B0000}"/>
    <cellStyle name="Normal 2 2 2 2 2 2 22 2 8" xfId="11190" xr:uid="{00000000-0005-0000-0000-00008B2B0000}"/>
    <cellStyle name="Normal 2 2 2 2 2 2 22 2 9" xfId="11191" xr:uid="{00000000-0005-0000-0000-00008C2B0000}"/>
    <cellStyle name="Normal 2 2 2 2 2 2 22 3" xfId="11192" xr:uid="{00000000-0005-0000-0000-00008D2B0000}"/>
    <cellStyle name="Normal 2 2 2 2 2 2 22 3 10" xfId="11193" xr:uid="{00000000-0005-0000-0000-00008E2B0000}"/>
    <cellStyle name="Normal 2 2 2 2 2 2 22 3 2" xfId="11194" xr:uid="{00000000-0005-0000-0000-00008F2B0000}"/>
    <cellStyle name="Normal 2 2 2 2 2 2 22 3 3" xfId="11195" xr:uid="{00000000-0005-0000-0000-0000902B0000}"/>
    <cellStyle name="Normal 2 2 2 2 2 2 22 3 4" xfId="11196" xr:uid="{00000000-0005-0000-0000-0000912B0000}"/>
    <cellStyle name="Normal 2 2 2 2 2 2 22 3 5" xfId="11197" xr:uid="{00000000-0005-0000-0000-0000922B0000}"/>
    <cellStyle name="Normal 2 2 2 2 2 2 22 3 6" xfId="11198" xr:uid="{00000000-0005-0000-0000-0000932B0000}"/>
    <cellStyle name="Normal 2 2 2 2 2 2 22 3 7" xfId="11199" xr:uid="{00000000-0005-0000-0000-0000942B0000}"/>
    <cellStyle name="Normal 2 2 2 2 2 2 22 3 8" xfId="11200" xr:uid="{00000000-0005-0000-0000-0000952B0000}"/>
    <cellStyle name="Normal 2 2 2 2 2 2 22 3 9" xfId="11201" xr:uid="{00000000-0005-0000-0000-0000962B0000}"/>
    <cellStyle name="Normal 2 2 2 2 2 2 22 4" xfId="11202" xr:uid="{00000000-0005-0000-0000-0000972B0000}"/>
    <cellStyle name="Normal 2 2 2 2 2 2 22 4 10" xfId="11203" xr:uid="{00000000-0005-0000-0000-0000982B0000}"/>
    <cellStyle name="Normal 2 2 2 2 2 2 22 4 2" xfId="11204" xr:uid="{00000000-0005-0000-0000-0000992B0000}"/>
    <cellStyle name="Normal 2 2 2 2 2 2 22 4 3" xfId="11205" xr:uid="{00000000-0005-0000-0000-00009A2B0000}"/>
    <cellStyle name="Normal 2 2 2 2 2 2 22 4 4" xfId="11206" xr:uid="{00000000-0005-0000-0000-00009B2B0000}"/>
    <cellStyle name="Normal 2 2 2 2 2 2 22 4 5" xfId="11207" xr:uid="{00000000-0005-0000-0000-00009C2B0000}"/>
    <cellStyle name="Normal 2 2 2 2 2 2 22 4 6" xfId="11208" xr:uid="{00000000-0005-0000-0000-00009D2B0000}"/>
    <cellStyle name="Normal 2 2 2 2 2 2 22 4 7" xfId="11209" xr:uid="{00000000-0005-0000-0000-00009E2B0000}"/>
    <cellStyle name="Normal 2 2 2 2 2 2 22 4 8" xfId="11210" xr:uid="{00000000-0005-0000-0000-00009F2B0000}"/>
    <cellStyle name="Normal 2 2 2 2 2 2 22 4 9" xfId="11211" xr:uid="{00000000-0005-0000-0000-0000A02B0000}"/>
    <cellStyle name="Normal 2 2 2 2 2 2 22 5" xfId="11212" xr:uid="{00000000-0005-0000-0000-0000A12B0000}"/>
    <cellStyle name="Normal 2 2 2 2 2 2 22 5 10" xfId="11213" xr:uid="{00000000-0005-0000-0000-0000A22B0000}"/>
    <cellStyle name="Normal 2 2 2 2 2 2 22 5 2" xfId="11214" xr:uid="{00000000-0005-0000-0000-0000A32B0000}"/>
    <cellStyle name="Normal 2 2 2 2 2 2 22 5 3" xfId="11215" xr:uid="{00000000-0005-0000-0000-0000A42B0000}"/>
    <cellStyle name="Normal 2 2 2 2 2 2 22 5 4" xfId="11216" xr:uid="{00000000-0005-0000-0000-0000A52B0000}"/>
    <cellStyle name="Normal 2 2 2 2 2 2 22 5 5" xfId="11217" xr:uid="{00000000-0005-0000-0000-0000A62B0000}"/>
    <cellStyle name="Normal 2 2 2 2 2 2 22 5 6" xfId="11218" xr:uid="{00000000-0005-0000-0000-0000A72B0000}"/>
    <cellStyle name="Normal 2 2 2 2 2 2 22 5 7" xfId="11219" xr:uid="{00000000-0005-0000-0000-0000A82B0000}"/>
    <cellStyle name="Normal 2 2 2 2 2 2 22 5 8" xfId="11220" xr:uid="{00000000-0005-0000-0000-0000A92B0000}"/>
    <cellStyle name="Normal 2 2 2 2 2 2 22 5 9" xfId="11221" xr:uid="{00000000-0005-0000-0000-0000AA2B0000}"/>
    <cellStyle name="Normal 2 2 2 2 2 2 22 6" xfId="11222" xr:uid="{00000000-0005-0000-0000-0000AB2B0000}"/>
    <cellStyle name="Normal 2 2 2 2 2 2 22 7" xfId="11223" xr:uid="{00000000-0005-0000-0000-0000AC2B0000}"/>
    <cellStyle name="Normal 2 2 2 2 2 2 22 8" xfId="11224" xr:uid="{00000000-0005-0000-0000-0000AD2B0000}"/>
    <cellStyle name="Normal 2 2 2 2 2 2 22 9" xfId="11225" xr:uid="{00000000-0005-0000-0000-0000AE2B0000}"/>
    <cellStyle name="Normal 2 2 2 2 2 2 23" xfId="11226" xr:uid="{00000000-0005-0000-0000-0000AF2B0000}"/>
    <cellStyle name="Normal 2 2 2 2 2 2 23 10" xfId="11227" xr:uid="{00000000-0005-0000-0000-0000B02B0000}"/>
    <cellStyle name="Normal 2 2 2 2 2 2 23 11" xfId="11228" xr:uid="{00000000-0005-0000-0000-0000B12B0000}"/>
    <cellStyle name="Normal 2 2 2 2 2 2 23 12" xfId="11229" xr:uid="{00000000-0005-0000-0000-0000B22B0000}"/>
    <cellStyle name="Normal 2 2 2 2 2 2 23 13" xfId="11230" xr:uid="{00000000-0005-0000-0000-0000B32B0000}"/>
    <cellStyle name="Normal 2 2 2 2 2 2 23 14" xfId="11231" xr:uid="{00000000-0005-0000-0000-0000B42B0000}"/>
    <cellStyle name="Normal 2 2 2 2 2 2 23 2" xfId="11232" xr:uid="{00000000-0005-0000-0000-0000B52B0000}"/>
    <cellStyle name="Normal 2 2 2 2 2 2 23 2 10" xfId="11233" xr:uid="{00000000-0005-0000-0000-0000B62B0000}"/>
    <cellStyle name="Normal 2 2 2 2 2 2 23 2 2" xfId="11234" xr:uid="{00000000-0005-0000-0000-0000B72B0000}"/>
    <cellStyle name="Normal 2 2 2 2 2 2 23 2 3" xfId="11235" xr:uid="{00000000-0005-0000-0000-0000B82B0000}"/>
    <cellStyle name="Normal 2 2 2 2 2 2 23 2 4" xfId="11236" xr:uid="{00000000-0005-0000-0000-0000B92B0000}"/>
    <cellStyle name="Normal 2 2 2 2 2 2 23 2 5" xfId="11237" xr:uid="{00000000-0005-0000-0000-0000BA2B0000}"/>
    <cellStyle name="Normal 2 2 2 2 2 2 23 2 6" xfId="11238" xr:uid="{00000000-0005-0000-0000-0000BB2B0000}"/>
    <cellStyle name="Normal 2 2 2 2 2 2 23 2 7" xfId="11239" xr:uid="{00000000-0005-0000-0000-0000BC2B0000}"/>
    <cellStyle name="Normal 2 2 2 2 2 2 23 2 8" xfId="11240" xr:uid="{00000000-0005-0000-0000-0000BD2B0000}"/>
    <cellStyle name="Normal 2 2 2 2 2 2 23 2 9" xfId="11241" xr:uid="{00000000-0005-0000-0000-0000BE2B0000}"/>
    <cellStyle name="Normal 2 2 2 2 2 2 23 3" xfId="11242" xr:uid="{00000000-0005-0000-0000-0000BF2B0000}"/>
    <cellStyle name="Normal 2 2 2 2 2 2 23 3 10" xfId="11243" xr:uid="{00000000-0005-0000-0000-0000C02B0000}"/>
    <cellStyle name="Normal 2 2 2 2 2 2 23 3 2" xfId="11244" xr:uid="{00000000-0005-0000-0000-0000C12B0000}"/>
    <cellStyle name="Normal 2 2 2 2 2 2 23 3 3" xfId="11245" xr:uid="{00000000-0005-0000-0000-0000C22B0000}"/>
    <cellStyle name="Normal 2 2 2 2 2 2 23 3 4" xfId="11246" xr:uid="{00000000-0005-0000-0000-0000C32B0000}"/>
    <cellStyle name="Normal 2 2 2 2 2 2 23 3 5" xfId="11247" xr:uid="{00000000-0005-0000-0000-0000C42B0000}"/>
    <cellStyle name="Normal 2 2 2 2 2 2 23 3 6" xfId="11248" xr:uid="{00000000-0005-0000-0000-0000C52B0000}"/>
    <cellStyle name="Normal 2 2 2 2 2 2 23 3 7" xfId="11249" xr:uid="{00000000-0005-0000-0000-0000C62B0000}"/>
    <cellStyle name="Normal 2 2 2 2 2 2 23 3 8" xfId="11250" xr:uid="{00000000-0005-0000-0000-0000C72B0000}"/>
    <cellStyle name="Normal 2 2 2 2 2 2 23 3 9" xfId="11251" xr:uid="{00000000-0005-0000-0000-0000C82B0000}"/>
    <cellStyle name="Normal 2 2 2 2 2 2 23 4" xfId="11252" xr:uid="{00000000-0005-0000-0000-0000C92B0000}"/>
    <cellStyle name="Normal 2 2 2 2 2 2 23 4 10" xfId="11253" xr:uid="{00000000-0005-0000-0000-0000CA2B0000}"/>
    <cellStyle name="Normal 2 2 2 2 2 2 23 4 2" xfId="11254" xr:uid="{00000000-0005-0000-0000-0000CB2B0000}"/>
    <cellStyle name="Normal 2 2 2 2 2 2 23 4 3" xfId="11255" xr:uid="{00000000-0005-0000-0000-0000CC2B0000}"/>
    <cellStyle name="Normal 2 2 2 2 2 2 23 4 4" xfId="11256" xr:uid="{00000000-0005-0000-0000-0000CD2B0000}"/>
    <cellStyle name="Normal 2 2 2 2 2 2 23 4 5" xfId="11257" xr:uid="{00000000-0005-0000-0000-0000CE2B0000}"/>
    <cellStyle name="Normal 2 2 2 2 2 2 23 4 6" xfId="11258" xr:uid="{00000000-0005-0000-0000-0000CF2B0000}"/>
    <cellStyle name="Normal 2 2 2 2 2 2 23 4 7" xfId="11259" xr:uid="{00000000-0005-0000-0000-0000D02B0000}"/>
    <cellStyle name="Normal 2 2 2 2 2 2 23 4 8" xfId="11260" xr:uid="{00000000-0005-0000-0000-0000D12B0000}"/>
    <cellStyle name="Normal 2 2 2 2 2 2 23 4 9" xfId="11261" xr:uid="{00000000-0005-0000-0000-0000D22B0000}"/>
    <cellStyle name="Normal 2 2 2 2 2 2 23 5" xfId="11262" xr:uid="{00000000-0005-0000-0000-0000D32B0000}"/>
    <cellStyle name="Normal 2 2 2 2 2 2 23 5 10" xfId="11263" xr:uid="{00000000-0005-0000-0000-0000D42B0000}"/>
    <cellStyle name="Normal 2 2 2 2 2 2 23 5 2" xfId="11264" xr:uid="{00000000-0005-0000-0000-0000D52B0000}"/>
    <cellStyle name="Normal 2 2 2 2 2 2 23 5 3" xfId="11265" xr:uid="{00000000-0005-0000-0000-0000D62B0000}"/>
    <cellStyle name="Normal 2 2 2 2 2 2 23 5 4" xfId="11266" xr:uid="{00000000-0005-0000-0000-0000D72B0000}"/>
    <cellStyle name="Normal 2 2 2 2 2 2 23 5 5" xfId="11267" xr:uid="{00000000-0005-0000-0000-0000D82B0000}"/>
    <cellStyle name="Normal 2 2 2 2 2 2 23 5 6" xfId="11268" xr:uid="{00000000-0005-0000-0000-0000D92B0000}"/>
    <cellStyle name="Normal 2 2 2 2 2 2 23 5 7" xfId="11269" xr:uid="{00000000-0005-0000-0000-0000DA2B0000}"/>
    <cellStyle name="Normal 2 2 2 2 2 2 23 5 8" xfId="11270" xr:uid="{00000000-0005-0000-0000-0000DB2B0000}"/>
    <cellStyle name="Normal 2 2 2 2 2 2 23 5 9" xfId="11271" xr:uid="{00000000-0005-0000-0000-0000DC2B0000}"/>
    <cellStyle name="Normal 2 2 2 2 2 2 23 6" xfId="11272" xr:uid="{00000000-0005-0000-0000-0000DD2B0000}"/>
    <cellStyle name="Normal 2 2 2 2 2 2 23 7" xfId="11273" xr:uid="{00000000-0005-0000-0000-0000DE2B0000}"/>
    <cellStyle name="Normal 2 2 2 2 2 2 23 8" xfId="11274" xr:uid="{00000000-0005-0000-0000-0000DF2B0000}"/>
    <cellStyle name="Normal 2 2 2 2 2 2 23 9" xfId="11275" xr:uid="{00000000-0005-0000-0000-0000E02B0000}"/>
    <cellStyle name="Normal 2 2 2 2 2 2 24" xfId="11276" xr:uid="{00000000-0005-0000-0000-0000E12B0000}"/>
    <cellStyle name="Normal 2 2 2 2 2 2 24 10" xfId="11277" xr:uid="{00000000-0005-0000-0000-0000E22B0000}"/>
    <cellStyle name="Normal 2 2 2 2 2 2 24 11" xfId="11278" xr:uid="{00000000-0005-0000-0000-0000E32B0000}"/>
    <cellStyle name="Normal 2 2 2 2 2 2 24 12" xfId="11279" xr:uid="{00000000-0005-0000-0000-0000E42B0000}"/>
    <cellStyle name="Normal 2 2 2 2 2 2 24 13" xfId="11280" xr:uid="{00000000-0005-0000-0000-0000E52B0000}"/>
    <cellStyle name="Normal 2 2 2 2 2 2 24 14" xfId="11281" xr:uid="{00000000-0005-0000-0000-0000E62B0000}"/>
    <cellStyle name="Normal 2 2 2 2 2 2 24 2" xfId="11282" xr:uid="{00000000-0005-0000-0000-0000E72B0000}"/>
    <cellStyle name="Normal 2 2 2 2 2 2 24 2 10" xfId="11283" xr:uid="{00000000-0005-0000-0000-0000E82B0000}"/>
    <cellStyle name="Normal 2 2 2 2 2 2 24 2 2" xfId="11284" xr:uid="{00000000-0005-0000-0000-0000E92B0000}"/>
    <cellStyle name="Normal 2 2 2 2 2 2 24 2 3" xfId="11285" xr:uid="{00000000-0005-0000-0000-0000EA2B0000}"/>
    <cellStyle name="Normal 2 2 2 2 2 2 24 2 4" xfId="11286" xr:uid="{00000000-0005-0000-0000-0000EB2B0000}"/>
    <cellStyle name="Normal 2 2 2 2 2 2 24 2 5" xfId="11287" xr:uid="{00000000-0005-0000-0000-0000EC2B0000}"/>
    <cellStyle name="Normal 2 2 2 2 2 2 24 2 6" xfId="11288" xr:uid="{00000000-0005-0000-0000-0000ED2B0000}"/>
    <cellStyle name="Normal 2 2 2 2 2 2 24 2 7" xfId="11289" xr:uid="{00000000-0005-0000-0000-0000EE2B0000}"/>
    <cellStyle name="Normal 2 2 2 2 2 2 24 2 8" xfId="11290" xr:uid="{00000000-0005-0000-0000-0000EF2B0000}"/>
    <cellStyle name="Normal 2 2 2 2 2 2 24 2 9" xfId="11291" xr:uid="{00000000-0005-0000-0000-0000F02B0000}"/>
    <cellStyle name="Normal 2 2 2 2 2 2 24 3" xfId="11292" xr:uid="{00000000-0005-0000-0000-0000F12B0000}"/>
    <cellStyle name="Normal 2 2 2 2 2 2 24 3 10" xfId="11293" xr:uid="{00000000-0005-0000-0000-0000F22B0000}"/>
    <cellStyle name="Normal 2 2 2 2 2 2 24 3 2" xfId="11294" xr:uid="{00000000-0005-0000-0000-0000F32B0000}"/>
    <cellStyle name="Normal 2 2 2 2 2 2 24 3 3" xfId="11295" xr:uid="{00000000-0005-0000-0000-0000F42B0000}"/>
    <cellStyle name="Normal 2 2 2 2 2 2 24 3 4" xfId="11296" xr:uid="{00000000-0005-0000-0000-0000F52B0000}"/>
    <cellStyle name="Normal 2 2 2 2 2 2 24 3 5" xfId="11297" xr:uid="{00000000-0005-0000-0000-0000F62B0000}"/>
    <cellStyle name="Normal 2 2 2 2 2 2 24 3 6" xfId="11298" xr:uid="{00000000-0005-0000-0000-0000F72B0000}"/>
    <cellStyle name="Normal 2 2 2 2 2 2 24 3 7" xfId="11299" xr:uid="{00000000-0005-0000-0000-0000F82B0000}"/>
    <cellStyle name="Normal 2 2 2 2 2 2 24 3 8" xfId="11300" xr:uid="{00000000-0005-0000-0000-0000F92B0000}"/>
    <cellStyle name="Normal 2 2 2 2 2 2 24 3 9" xfId="11301" xr:uid="{00000000-0005-0000-0000-0000FA2B0000}"/>
    <cellStyle name="Normal 2 2 2 2 2 2 24 4" xfId="11302" xr:uid="{00000000-0005-0000-0000-0000FB2B0000}"/>
    <cellStyle name="Normal 2 2 2 2 2 2 24 4 10" xfId="11303" xr:uid="{00000000-0005-0000-0000-0000FC2B0000}"/>
    <cellStyle name="Normal 2 2 2 2 2 2 24 4 2" xfId="11304" xr:uid="{00000000-0005-0000-0000-0000FD2B0000}"/>
    <cellStyle name="Normal 2 2 2 2 2 2 24 4 3" xfId="11305" xr:uid="{00000000-0005-0000-0000-0000FE2B0000}"/>
    <cellStyle name="Normal 2 2 2 2 2 2 24 4 4" xfId="11306" xr:uid="{00000000-0005-0000-0000-0000FF2B0000}"/>
    <cellStyle name="Normal 2 2 2 2 2 2 24 4 5" xfId="11307" xr:uid="{00000000-0005-0000-0000-0000002C0000}"/>
    <cellStyle name="Normal 2 2 2 2 2 2 24 4 6" xfId="11308" xr:uid="{00000000-0005-0000-0000-0000012C0000}"/>
    <cellStyle name="Normal 2 2 2 2 2 2 24 4 7" xfId="11309" xr:uid="{00000000-0005-0000-0000-0000022C0000}"/>
    <cellStyle name="Normal 2 2 2 2 2 2 24 4 8" xfId="11310" xr:uid="{00000000-0005-0000-0000-0000032C0000}"/>
    <cellStyle name="Normal 2 2 2 2 2 2 24 4 9" xfId="11311" xr:uid="{00000000-0005-0000-0000-0000042C0000}"/>
    <cellStyle name="Normal 2 2 2 2 2 2 24 5" xfId="11312" xr:uid="{00000000-0005-0000-0000-0000052C0000}"/>
    <cellStyle name="Normal 2 2 2 2 2 2 24 5 10" xfId="11313" xr:uid="{00000000-0005-0000-0000-0000062C0000}"/>
    <cellStyle name="Normal 2 2 2 2 2 2 24 5 2" xfId="11314" xr:uid="{00000000-0005-0000-0000-0000072C0000}"/>
    <cellStyle name="Normal 2 2 2 2 2 2 24 5 3" xfId="11315" xr:uid="{00000000-0005-0000-0000-0000082C0000}"/>
    <cellStyle name="Normal 2 2 2 2 2 2 24 5 4" xfId="11316" xr:uid="{00000000-0005-0000-0000-0000092C0000}"/>
    <cellStyle name="Normal 2 2 2 2 2 2 24 5 5" xfId="11317" xr:uid="{00000000-0005-0000-0000-00000A2C0000}"/>
    <cellStyle name="Normal 2 2 2 2 2 2 24 5 6" xfId="11318" xr:uid="{00000000-0005-0000-0000-00000B2C0000}"/>
    <cellStyle name="Normal 2 2 2 2 2 2 24 5 7" xfId="11319" xr:uid="{00000000-0005-0000-0000-00000C2C0000}"/>
    <cellStyle name="Normal 2 2 2 2 2 2 24 5 8" xfId="11320" xr:uid="{00000000-0005-0000-0000-00000D2C0000}"/>
    <cellStyle name="Normal 2 2 2 2 2 2 24 5 9" xfId="11321" xr:uid="{00000000-0005-0000-0000-00000E2C0000}"/>
    <cellStyle name="Normal 2 2 2 2 2 2 24 6" xfId="11322" xr:uid="{00000000-0005-0000-0000-00000F2C0000}"/>
    <cellStyle name="Normal 2 2 2 2 2 2 24 7" xfId="11323" xr:uid="{00000000-0005-0000-0000-0000102C0000}"/>
    <cellStyle name="Normal 2 2 2 2 2 2 24 8" xfId="11324" xr:uid="{00000000-0005-0000-0000-0000112C0000}"/>
    <cellStyle name="Normal 2 2 2 2 2 2 24 9" xfId="11325" xr:uid="{00000000-0005-0000-0000-0000122C0000}"/>
    <cellStyle name="Normal 2 2 2 2 2 2 25" xfId="11326" xr:uid="{00000000-0005-0000-0000-0000132C0000}"/>
    <cellStyle name="Normal 2 2 2 2 2 2 25 10" xfId="11327" xr:uid="{00000000-0005-0000-0000-0000142C0000}"/>
    <cellStyle name="Normal 2 2 2 2 2 2 25 11" xfId="11328" xr:uid="{00000000-0005-0000-0000-0000152C0000}"/>
    <cellStyle name="Normal 2 2 2 2 2 2 25 12" xfId="11329" xr:uid="{00000000-0005-0000-0000-0000162C0000}"/>
    <cellStyle name="Normal 2 2 2 2 2 2 25 13" xfId="11330" xr:uid="{00000000-0005-0000-0000-0000172C0000}"/>
    <cellStyle name="Normal 2 2 2 2 2 2 25 14" xfId="11331" xr:uid="{00000000-0005-0000-0000-0000182C0000}"/>
    <cellStyle name="Normal 2 2 2 2 2 2 25 2" xfId="11332" xr:uid="{00000000-0005-0000-0000-0000192C0000}"/>
    <cellStyle name="Normal 2 2 2 2 2 2 25 2 10" xfId="11333" xr:uid="{00000000-0005-0000-0000-00001A2C0000}"/>
    <cellStyle name="Normal 2 2 2 2 2 2 25 2 2" xfId="11334" xr:uid="{00000000-0005-0000-0000-00001B2C0000}"/>
    <cellStyle name="Normal 2 2 2 2 2 2 25 2 3" xfId="11335" xr:uid="{00000000-0005-0000-0000-00001C2C0000}"/>
    <cellStyle name="Normal 2 2 2 2 2 2 25 2 4" xfId="11336" xr:uid="{00000000-0005-0000-0000-00001D2C0000}"/>
    <cellStyle name="Normal 2 2 2 2 2 2 25 2 5" xfId="11337" xr:uid="{00000000-0005-0000-0000-00001E2C0000}"/>
    <cellStyle name="Normal 2 2 2 2 2 2 25 2 6" xfId="11338" xr:uid="{00000000-0005-0000-0000-00001F2C0000}"/>
    <cellStyle name="Normal 2 2 2 2 2 2 25 2 7" xfId="11339" xr:uid="{00000000-0005-0000-0000-0000202C0000}"/>
    <cellStyle name="Normal 2 2 2 2 2 2 25 2 8" xfId="11340" xr:uid="{00000000-0005-0000-0000-0000212C0000}"/>
    <cellStyle name="Normal 2 2 2 2 2 2 25 2 9" xfId="11341" xr:uid="{00000000-0005-0000-0000-0000222C0000}"/>
    <cellStyle name="Normal 2 2 2 2 2 2 25 3" xfId="11342" xr:uid="{00000000-0005-0000-0000-0000232C0000}"/>
    <cellStyle name="Normal 2 2 2 2 2 2 25 3 10" xfId="11343" xr:uid="{00000000-0005-0000-0000-0000242C0000}"/>
    <cellStyle name="Normal 2 2 2 2 2 2 25 3 2" xfId="11344" xr:uid="{00000000-0005-0000-0000-0000252C0000}"/>
    <cellStyle name="Normal 2 2 2 2 2 2 25 3 3" xfId="11345" xr:uid="{00000000-0005-0000-0000-0000262C0000}"/>
    <cellStyle name="Normal 2 2 2 2 2 2 25 3 4" xfId="11346" xr:uid="{00000000-0005-0000-0000-0000272C0000}"/>
    <cellStyle name="Normal 2 2 2 2 2 2 25 3 5" xfId="11347" xr:uid="{00000000-0005-0000-0000-0000282C0000}"/>
    <cellStyle name="Normal 2 2 2 2 2 2 25 3 6" xfId="11348" xr:uid="{00000000-0005-0000-0000-0000292C0000}"/>
    <cellStyle name="Normal 2 2 2 2 2 2 25 3 7" xfId="11349" xr:uid="{00000000-0005-0000-0000-00002A2C0000}"/>
    <cellStyle name="Normal 2 2 2 2 2 2 25 3 8" xfId="11350" xr:uid="{00000000-0005-0000-0000-00002B2C0000}"/>
    <cellStyle name="Normal 2 2 2 2 2 2 25 3 9" xfId="11351" xr:uid="{00000000-0005-0000-0000-00002C2C0000}"/>
    <cellStyle name="Normal 2 2 2 2 2 2 25 4" xfId="11352" xr:uid="{00000000-0005-0000-0000-00002D2C0000}"/>
    <cellStyle name="Normal 2 2 2 2 2 2 25 4 10" xfId="11353" xr:uid="{00000000-0005-0000-0000-00002E2C0000}"/>
    <cellStyle name="Normal 2 2 2 2 2 2 25 4 2" xfId="11354" xr:uid="{00000000-0005-0000-0000-00002F2C0000}"/>
    <cellStyle name="Normal 2 2 2 2 2 2 25 4 3" xfId="11355" xr:uid="{00000000-0005-0000-0000-0000302C0000}"/>
    <cellStyle name="Normal 2 2 2 2 2 2 25 4 4" xfId="11356" xr:uid="{00000000-0005-0000-0000-0000312C0000}"/>
    <cellStyle name="Normal 2 2 2 2 2 2 25 4 5" xfId="11357" xr:uid="{00000000-0005-0000-0000-0000322C0000}"/>
    <cellStyle name="Normal 2 2 2 2 2 2 25 4 6" xfId="11358" xr:uid="{00000000-0005-0000-0000-0000332C0000}"/>
    <cellStyle name="Normal 2 2 2 2 2 2 25 4 7" xfId="11359" xr:uid="{00000000-0005-0000-0000-0000342C0000}"/>
    <cellStyle name="Normal 2 2 2 2 2 2 25 4 8" xfId="11360" xr:uid="{00000000-0005-0000-0000-0000352C0000}"/>
    <cellStyle name="Normal 2 2 2 2 2 2 25 4 9" xfId="11361" xr:uid="{00000000-0005-0000-0000-0000362C0000}"/>
    <cellStyle name="Normal 2 2 2 2 2 2 25 5" xfId="11362" xr:uid="{00000000-0005-0000-0000-0000372C0000}"/>
    <cellStyle name="Normal 2 2 2 2 2 2 25 5 10" xfId="11363" xr:uid="{00000000-0005-0000-0000-0000382C0000}"/>
    <cellStyle name="Normal 2 2 2 2 2 2 25 5 2" xfId="11364" xr:uid="{00000000-0005-0000-0000-0000392C0000}"/>
    <cellStyle name="Normal 2 2 2 2 2 2 25 5 3" xfId="11365" xr:uid="{00000000-0005-0000-0000-00003A2C0000}"/>
    <cellStyle name="Normal 2 2 2 2 2 2 25 5 4" xfId="11366" xr:uid="{00000000-0005-0000-0000-00003B2C0000}"/>
    <cellStyle name="Normal 2 2 2 2 2 2 25 5 5" xfId="11367" xr:uid="{00000000-0005-0000-0000-00003C2C0000}"/>
    <cellStyle name="Normal 2 2 2 2 2 2 25 5 6" xfId="11368" xr:uid="{00000000-0005-0000-0000-00003D2C0000}"/>
    <cellStyle name="Normal 2 2 2 2 2 2 25 5 7" xfId="11369" xr:uid="{00000000-0005-0000-0000-00003E2C0000}"/>
    <cellStyle name="Normal 2 2 2 2 2 2 25 5 8" xfId="11370" xr:uid="{00000000-0005-0000-0000-00003F2C0000}"/>
    <cellStyle name="Normal 2 2 2 2 2 2 25 5 9" xfId="11371" xr:uid="{00000000-0005-0000-0000-0000402C0000}"/>
    <cellStyle name="Normal 2 2 2 2 2 2 25 6" xfId="11372" xr:uid="{00000000-0005-0000-0000-0000412C0000}"/>
    <cellStyle name="Normal 2 2 2 2 2 2 25 7" xfId="11373" xr:uid="{00000000-0005-0000-0000-0000422C0000}"/>
    <cellStyle name="Normal 2 2 2 2 2 2 25 8" xfId="11374" xr:uid="{00000000-0005-0000-0000-0000432C0000}"/>
    <cellStyle name="Normal 2 2 2 2 2 2 25 9" xfId="11375" xr:uid="{00000000-0005-0000-0000-0000442C0000}"/>
    <cellStyle name="Normal 2 2 2 2 2 2 26" xfId="11376" xr:uid="{00000000-0005-0000-0000-0000452C0000}"/>
    <cellStyle name="Normal 2 2 2 2 2 2 26 10" xfId="11377" xr:uid="{00000000-0005-0000-0000-0000462C0000}"/>
    <cellStyle name="Normal 2 2 2 2 2 2 26 11" xfId="11378" xr:uid="{00000000-0005-0000-0000-0000472C0000}"/>
    <cellStyle name="Normal 2 2 2 2 2 2 26 12" xfId="11379" xr:uid="{00000000-0005-0000-0000-0000482C0000}"/>
    <cellStyle name="Normal 2 2 2 2 2 2 26 13" xfId="11380" xr:uid="{00000000-0005-0000-0000-0000492C0000}"/>
    <cellStyle name="Normal 2 2 2 2 2 2 26 14" xfId="11381" xr:uid="{00000000-0005-0000-0000-00004A2C0000}"/>
    <cellStyle name="Normal 2 2 2 2 2 2 26 2" xfId="11382" xr:uid="{00000000-0005-0000-0000-00004B2C0000}"/>
    <cellStyle name="Normal 2 2 2 2 2 2 26 2 10" xfId="11383" xr:uid="{00000000-0005-0000-0000-00004C2C0000}"/>
    <cellStyle name="Normal 2 2 2 2 2 2 26 2 2" xfId="11384" xr:uid="{00000000-0005-0000-0000-00004D2C0000}"/>
    <cellStyle name="Normal 2 2 2 2 2 2 26 2 3" xfId="11385" xr:uid="{00000000-0005-0000-0000-00004E2C0000}"/>
    <cellStyle name="Normal 2 2 2 2 2 2 26 2 4" xfId="11386" xr:uid="{00000000-0005-0000-0000-00004F2C0000}"/>
    <cellStyle name="Normal 2 2 2 2 2 2 26 2 5" xfId="11387" xr:uid="{00000000-0005-0000-0000-0000502C0000}"/>
    <cellStyle name="Normal 2 2 2 2 2 2 26 2 6" xfId="11388" xr:uid="{00000000-0005-0000-0000-0000512C0000}"/>
    <cellStyle name="Normal 2 2 2 2 2 2 26 2 7" xfId="11389" xr:uid="{00000000-0005-0000-0000-0000522C0000}"/>
    <cellStyle name="Normal 2 2 2 2 2 2 26 2 8" xfId="11390" xr:uid="{00000000-0005-0000-0000-0000532C0000}"/>
    <cellStyle name="Normal 2 2 2 2 2 2 26 2 9" xfId="11391" xr:uid="{00000000-0005-0000-0000-0000542C0000}"/>
    <cellStyle name="Normal 2 2 2 2 2 2 26 3" xfId="11392" xr:uid="{00000000-0005-0000-0000-0000552C0000}"/>
    <cellStyle name="Normal 2 2 2 2 2 2 26 3 10" xfId="11393" xr:uid="{00000000-0005-0000-0000-0000562C0000}"/>
    <cellStyle name="Normal 2 2 2 2 2 2 26 3 2" xfId="11394" xr:uid="{00000000-0005-0000-0000-0000572C0000}"/>
    <cellStyle name="Normal 2 2 2 2 2 2 26 3 3" xfId="11395" xr:uid="{00000000-0005-0000-0000-0000582C0000}"/>
    <cellStyle name="Normal 2 2 2 2 2 2 26 3 4" xfId="11396" xr:uid="{00000000-0005-0000-0000-0000592C0000}"/>
    <cellStyle name="Normal 2 2 2 2 2 2 26 3 5" xfId="11397" xr:uid="{00000000-0005-0000-0000-00005A2C0000}"/>
    <cellStyle name="Normal 2 2 2 2 2 2 26 3 6" xfId="11398" xr:uid="{00000000-0005-0000-0000-00005B2C0000}"/>
    <cellStyle name="Normal 2 2 2 2 2 2 26 3 7" xfId="11399" xr:uid="{00000000-0005-0000-0000-00005C2C0000}"/>
    <cellStyle name="Normal 2 2 2 2 2 2 26 3 8" xfId="11400" xr:uid="{00000000-0005-0000-0000-00005D2C0000}"/>
    <cellStyle name="Normal 2 2 2 2 2 2 26 3 9" xfId="11401" xr:uid="{00000000-0005-0000-0000-00005E2C0000}"/>
    <cellStyle name="Normal 2 2 2 2 2 2 26 4" xfId="11402" xr:uid="{00000000-0005-0000-0000-00005F2C0000}"/>
    <cellStyle name="Normal 2 2 2 2 2 2 26 4 10" xfId="11403" xr:uid="{00000000-0005-0000-0000-0000602C0000}"/>
    <cellStyle name="Normal 2 2 2 2 2 2 26 4 2" xfId="11404" xr:uid="{00000000-0005-0000-0000-0000612C0000}"/>
    <cellStyle name="Normal 2 2 2 2 2 2 26 4 3" xfId="11405" xr:uid="{00000000-0005-0000-0000-0000622C0000}"/>
    <cellStyle name="Normal 2 2 2 2 2 2 26 4 4" xfId="11406" xr:uid="{00000000-0005-0000-0000-0000632C0000}"/>
    <cellStyle name="Normal 2 2 2 2 2 2 26 4 5" xfId="11407" xr:uid="{00000000-0005-0000-0000-0000642C0000}"/>
    <cellStyle name="Normal 2 2 2 2 2 2 26 4 6" xfId="11408" xr:uid="{00000000-0005-0000-0000-0000652C0000}"/>
    <cellStyle name="Normal 2 2 2 2 2 2 26 4 7" xfId="11409" xr:uid="{00000000-0005-0000-0000-0000662C0000}"/>
    <cellStyle name="Normal 2 2 2 2 2 2 26 4 8" xfId="11410" xr:uid="{00000000-0005-0000-0000-0000672C0000}"/>
    <cellStyle name="Normal 2 2 2 2 2 2 26 4 9" xfId="11411" xr:uid="{00000000-0005-0000-0000-0000682C0000}"/>
    <cellStyle name="Normal 2 2 2 2 2 2 26 5" xfId="11412" xr:uid="{00000000-0005-0000-0000-0000692C0000}"/>
    <cellStyle name="Normal 2 2 2 2 2 2 26 5 10" xfId="11413" xr:uid="{00000000-0005-0000-0000-00006A2C0000}"/>
    <cellStyle name="Normal 2 2 2 2 2 2 26 5 2" xfId="11414" xr:uid="{00000000-0005-0000-0000-00006B2C0000}"/>
    <cellStyle name="Normal 2 2 2 2 2 2 26 5 3" xfId="11415" xr:uid="{00000000-0005-0000-0000-00006C2C0000}"/>
    <cellStyle name="Normal 2 2 2 2 2 2 26 5 4" xfId="11416" xr:uid="{00000000-0005-0000-0000-00006D2C0000}"/>
    <cellStyle name="Normal 2 2 2 2 2 2 26 5 5" xfId="11417" xr:uid="{00000000-0005-0000-0000-00006E2C0000}"/>
    <cellStyle name="Normal 2 2 2 2 2 2 26 5 6" xfId="11418" xr:uid="{00000000-0005-0000-0000-00006F2C0000}"/>
    <cellStyle name="Normal 2 2 2 2 2 2 26 5 7" xfId="11419" xr:uid="{00000000-0005-0000-0000-0000702C0000}"/>
    <cellStyle name="Normal 2 2 2 2 2 2 26 5 8" xfId="11420" xr:uid="{00000000-0005-0000-0000-0000712C0000}"/>
    <cellStyle name="Normal 2 2 2 2 2 2 26 5 9" xfId="11421" xr:uid="{00000000-0005-0000-0000-0000722C0000}"/>
    <cellStyle name="Normal 2 2 2 2 2 2 26 6" xfId="11422" xr:uid="{00000000-0005-0000-0000-0000732C0000}"/>
    <cellStyle name="Normal 2 2 2 2 2 2 26 7" xfId="11423" xr:uid="{00000000-0005-0000-0000-0000742C0000}"/>
    <cellStyle name="Normal 2 2 2 2 2 2 26 8" xfId="11424" xr:uid="{00000000-0005-0000-0000-0000752C0000}"/>
    <cellStyle name="Normal 2 2 2 2 2 2 26 9" xfId="11425" xr:uid="{00000000-0005-0000-0000-0000762C0000}"/>
    <cellStyle name="Normal 2 2 2 2 2 2 27" xfId="11426" xr:uid="{00000000-0005-0000-0000-0000772C0000}"/>
    <cellStyle name="Normal 2 2 2 2 2 2 27 10" xfId="11427" xr:uid="{00000000-0005-0000-0000-0000782C0000}"/>
    <cellStyle name="Normal 2 2 2 2 2 2 27 11" xfId="11428" xr:uid="{00000000-0005-0000-0000-0000792C0000}"/>
    <cellStyle name="Normal 2 2 2 2 2 2 27 12" xfId="11429" xr:uid="{00000000-0005-0000-0000-00007A2C0000}"/>
    <cellStyle name="Normal 2 2 2 2 2 2 27 13" xfId="11430" xr:uid="{00000000-0005-0000-0000-00007B2C0000}"/>
    <cellStyle name="Normal 2 2 2 2 2 2 27 14" xfId="11431" xr:uid="{00000000-0005-0000-0000-00007C2C0000}"/>
    <cellStyle name="Normal 2 2 2 2 2 2 27 2" xfId="11432" xr:uid="{00000000-0005-0000-0000-00007D2C0000}"/>
    <cellStyle name="Normal 2 2 2 2 2 2 27 2 10" xfId="11433" xr:uid="{00000000-0005-0000-0000-00007E2C0000}"/>
    <cellStyle name="Normal 2 2 2 2 2 2 27 2 2" xfId="11434" xr:uid="{00000000-0005-0000-0000-00007F2C0000}"/>
    <cellStyle name="Normal 2 2 2 2 2 2 27 2 3" xfId="11435" xr:uid="{00000000-0005-0000-0000-0000802C0000}"/>
    <cellStyle name="Normal 2 2 2 2 2 2 27 2 4" xfId="11436" xr:uid="{00000000-0005-0000-0000-0000812C0000}"/>
    <cellStyle name="Normal 2 2 2 2 2 2 27 2 5" xfId="11437" xr:uid="{00000000-0005-0000-0000-0000822C0000}"/>
    <cellStyle name="Normal 2 2 2 2 2 2 27 2 6" xfId="11438" xr:uid="{00000000-0005-0000-0000-0000832C0000}"/>
    <cellStyle name="Normal 2 2 2 2 2 2 27 2 7" xfId="11439" xr:uid="{00000000-0005-0000-0000-0000842C0000}"/>
    <cellStyle name="Normal 2 2 2 2 2 2 27 2 8" xfId="11440" xr:uid="{00000000-0005-0000-0000-0000852C0000}"/>
    <cellStyle name="Normal 2 2 2 2 2 2 27 2 9" xfId="11441" xr:uid="{00000000-0005-0000-0000-0000862C0000}"/>
    <cellStyle name="Normal 2 2 2 2 2 2 27 3" xfId="11442" xr:uid="{00000000-0005-0000-0000-0000872C0000}"/>
    <cellStyle name="Normal 2 2 2 2 2 2 27 3 10" xfId="11443" xr:uid="{00000000-0005-0000-0000-0000882C0000}"/>
    <cellStyle name="Normal 2 2 2 2 2 2 27 3 2" xfId="11444" xr:uid="{00000000-0005-0000-0000-0000892C0000}"/>
    <cellStyle name="Normal 2 2 2 2 2 2 27 3 3" xfId="11445" xr:uid="{00000000-0005-0000-0000-00008A2C0000}"/>
    <cellStyle name="Normal 2 2 2 2 2 2 27 3 4" xfId="11446" xr:uid="{00000000-0005-0000-0000-00008B2C0000}"/>
    <cellStyle name="Normal 2 2 2 2 2 2 27 3 5" xfId="11447" xr:uid="{00000000-0005-0000-0000-00008C2C0000}"/>
    <cellStyle name="Normal 2 2 2 2 2 2 27 3 6" xfId="11448" xr:uid="{00000000-0005-0000-0000-00008D2C0000}"/>
    <cellStyle name="Normal 2 2 2 2 2 2 27 3 7" xfId="11449" xr:uid="{00000000-0005-0000-0000-00008E2C0000}"/>
    <cellStyle name="Normal 2 2 2 2 2 2 27 3 8" xfId="11450" xr:uid="{00000000-0005-0000-0000-00008F2C0000}"/>
    <cellStyle name="Normal 2 2 2 2 2 2 27 3 9" xfId="11451" xr:uid="{00000000-0005-0000-0000-0000902C0000}"/>
    <cellStyle name="Normal 2 2 2 2 2 2 27 4" xfId="11452" xr:uid="{00000000-0005-0000-0000-0000912C0000}"/>
    <cellStyle name="Normal 2 2 2 2 2 2 27 4 10" xfId="11453" xr:uid="{00000000-0005-0000-0000-0000922C0000}"/>
    <cellStyle name="Normal 2 2 2 2 2 2 27 4 2" xfId="11454" xr:uid="{00000000-0005-0000-0000-0000932C0000}"/>
    <cellStyle name="Normal 2 2 2 2 2 2 27 4 3" xfId="11455" xr:uid="{00000000-0005-0000-0000-0000942C0000}"/>
    <cellStyle name="Normal 2 2 2 2 2 2 27 4 4" xfId="11456" xr:uid="{00000000-0005-0000-0000-0000952C0000}"/>
    <cellStyle name="Normal 2 2 2 2 2 2 27 4 5" xfId="11457" xr:uid="{00000000-0005-0000-0000-0000962C0000}"/>
    <cellStyle name="Normal 2 2 2 2 2 2 27 4 6" xfId="11458" xr:uid="{00000000-0005-0000-0000-0000972C0000}"/>
    <cellStyle name="Normal 2 2 2 2 2 2 27 4 7" xfId="11459" xr:uid="{00000000-0005-0000-0000-0000982C0000}"/>
    <cellStyle name="Normal 2 2 2 2 2 2 27 4 8" xfId="11460" xr:uid="{00000000-0005-0000-0000-0000992C0000}"/>
    <cellStyle name="Normal 2 2 2 2 2 2 27 4 9" xfId="11461" xr:uid="{00000000-0005-0000-0000-00009A2C0000}"/>
    <cellStyle name="Normal 2 2 2 2 2 2 27 5" xfId="11462" xr:uid="{00000000-0005-0000-0000-00009B2C0000}"/>
    <cellStyle name="Normal 2 2 2 2 2 2 27 5 10" xfId="11463" xr:uid="{00000000-0005-0000-0000-00009C2C0000}"/>
    <cellStyle name="Normal 2 2 2 2 2 2 27 5 2" xfId="11464" xr:uid="{00000000-0005-0000-0000-00009D2C0000}"/>
    <cellStyle name="Normal 2 2 2 2 2 2 27 5 3" xfId="11465" xr:uid="{00000000-0005-0000-0000-00009E2C0000}"/>
    <cellStyle name="Normal 2 2 2 2 2 2 27 5 4" xfId="11466" xr:uid="{00000000-0005-0000-0000-00009F2C0000}"/>
    <cellStyle name="Normal 2 2 2 2 2 2 27 5 5" xfId="11467" xr:uid="{00000000-0005-0000-0000-0000A02C0000}"/>
    <cellStyle name="Normal 2 2 2 2 2 2 27 5 6" xfId="11468" xr:uid="{00000000-0005-0000-0000-0000A12C0000}"/>
    <cellStyle name="Normal 2 2 2 2 2 2 27 5 7" xfId="11469" xr:uid="{00000000-0005-0000-0000-0000A22C0000}"/>
    <cellStyle name="Normal 2 2 2 2 2 2 27 5 8" xfId="11470" xr:uid="{00000000-0005-0000-0000-0000A32C0000}"/>
    <cellStyle name="Normal 2 2 2 2 2 2 27 5 9" xfId="11471" xr:uid="{00000000-0005-0000-0000-0000A42C0000}"/>
    <cellStyle name="Normal 2 2 2 2 2 2 27 6" xfId="11472" xr:uid="{00000000-0005-0000-0000-0000A52C0000}"/>
    <cellStyle name="Normal 2 2 2 2 2 2 27 7" xfId="11473" xr:uid="{00000000-0005-0000-0000-0000A62C0000}"/>
    <cellStyle name="Normal 2 2 2 2 2 2 27 8" xfId="11474" xr:uid="{00000000-0005-0000-0000-0000A72C0000}"/>
    <cellStyle name="Normal 2 2 2 2 2 2 27 9" xfId="11475" xr:uid="{00000000-0005-0000-0000-0000A82C0000}"/>
    <cellStyle name="Normal 2 2 2 2 2 2 28" xfId="11476" xr:uid="{00000000-0005-0000-0000-0000A92C0000}"/>
    <cellStyle name="Normal 2 2 2 2 2 2 28 10" xfId="11477" xr:uid="{00000000-0005-0000-0000-0000AA2C0000}"/>
    <cellStyle name="Normal 2 2 2 2 2 2 28 11" xfId="11478" xr:uid="{00000000-0005-0000-0000-0000AB2C0000}"/>
    <cellStyle name="Normal 2 2 2 2 2 2 28 12" xfId="11479" xr:uid="{00000000-0005-0000-0000-0000AC2C0000}"/>
    <cellStyle name="Normal 2 2 2 2 2 2 28 13" xfId="11480" xr:uid="{00000000-0005-0000-0000-0000AD2C0000}"/>
    <cellStyle name="Normal 2 2 2 2 2 2 28 14" xfId="11481" xr:uid="{00000000-0005-0000-0000-0000AE2C0000}"/>
    <cellStyle name="Normal 2 2 2 2 2 2 28 2" xfId="11482" xr:uid="{00000000-0005-0000-0000-0000AF2C0000}"/>
    <cellStyle name="Normal 2 2 2 2 2 2 28 2 10" xfId="11483" xr:uid="{00000000-0005-0000-0000-0000B02C0000}"/>
    <cellStyle name="Normal 2 2 2 2 2 2 28 2 2" xfId="11484" xr:uid="{00000000-0005-0000-0000-0000B12C0000}"/>
    <cellStyle name="Normal 2 2 2 2 2 2 28 2 3" xfId="11485" xr:uid="{00000000-0005-0000-0000-0000B22C0000}"/>
    <cellStyle name="Normal 2 2 2 2 2 2 28 2 4" xfId="11486" xr:uid="{00000000-0005-0000-0000-0000B32C0000}"/>
    <cellStyle name="Normal 2 2 2 2 2 2 28 2 5" xfId="11487" xr:uid="{00000000-0005-0000-0000-0000B42C0000}"/>
    <cellStyle name="Normal 2 2 2 2 2 2 28 2 6" xfId="11488" xr:uid="{00000000-0005-0000-0000-0000B52C0000}"/>
    <cellStyle name="Normal 2 2 2 2 2 2 28 2 7" xfId="11489" xr:uid="{00000000-0005-0000-0000-0000B62C0000}"/>
    <cellStyle name="Normal 2 2 2 2 2 2 28 2 8" xfId="11490" xr:uid="{00000000-0005-0000-0000-0000B72C0000}"/>
    <cellStyle name="Normal 2 2 2 2 2 2 28 2 9" xfId="11491" xr:uid="{00000000-0005-0000-0000-0000B82C0000}"/>
    <cellStyle name="Normal 2 2 2 2 2 2 28 3" xfId="11492" xr:uid="{00000000-0005-0000-0000-0000B92C0000}"/>
    <cellStyle name="Normal 2 2 2 2 2 2 28 3 10" xfId="11493" xr:uid="{00000000-0005-0000-0000-0000BA2C0000}"/>
    <cellStyle name="Normal 2 2 2 2 2 2 28 3 2" xfId="11494" xr:uid="{00000000-0005-0000-0000-0000BB2C0000}"/>
    <cellStyle name="Normal 2 2 2 2 2 2 28 3 3" xfId="11495" xr:uid="{00000000-0005-0000-0000-0000BC2C0000}"/>
    <cellStyle name="Normal 2 2 2 2 2 2 28 3 4" xfId="11496" xr:uid="{00000000-0005-0000-0000-0000BD2C0000}"/>
    <cellStyle name="Normal 2 2 2 2 2 2 28 3 5" xfId="11497" xr:uid="{00000000-0005-0000-0000-0000BE2C0000}"/>
    <cellStyle name="Normal 2 2 2 2 2 2 28 3 6" xfId="11498" xr:uid="{00000000-0005-0000-0000-0000BF2C0000}"/>
    <cellStyle name="Normal 2 2 2 2 2 2 28 3 7" xfId="11499" xr:uid="{00000000-0005-0000-0000-0000C02C0000}"/>
    <cellStyle name="Normal 2 2 2 2 2 2 28 3 8" xfId="11500" xr:uid="{00000000-0005-0000-0000-0000C12C0000}"/>
    <cellStyle name="Normal 2 2 2 2 2 2 28 3 9" xfId="11501" xr:uid="{00000000-0005-0000-0000-0000C22C0000}"/>
    <cellStyle name="Normal 2 2 2 2 2 2 28 4" xfId="11502" xr:uid="{00000000-0005-0000-0000-0000C32C0000}"/>
    <cellStyle name="Normal 2 2 2 2 2 2 28 4 10" xfId="11503" xr:uid="{00000000-0005-0000-0000-0000C42C0000}"/>
    <cellStyle name="Normal 2 2 2 2 2 2 28 4 2" xfId="11504" xr:uid="{00000000-0005-0000-0000-0000C52C0000}"/>
    <cellStyle name="Normal 2 2 2 2 2 2 28 4 3" xfId="11505" xr:uid="{00000000-0005-0000-0000-0000C62C0000}"/>
    <cellStyle name="Normal 2 2 2 2 2 2 28 4 4" xfId="11506" xr:uid="{00000000-0005-0000-0000-0000C72C0000}"/>
    <cellStyle name="Normal 2 2 2 2 2 2 28 4 5" xfId="11507" xr:uid="{00000000-0005-0000-0000-0000C82C0000}"/>
    <cellStyle name="Normal 2 2 2 2 2 2 28 4 6" xfId="11508" xr:uid="{00000000-0005-0000-0000-0000C92C0000}"/>
    <cellStyle name="Normal 2 2 2 2 2 2 28 4 7" xfId="11509" xr:uid="{00000000-0005-0000-0000-0000CA2C0000}"/>
    <cellStyle name="Normal 2 2 2 2 2 2 28 4 8" xfId="11510" xr:uid="{00000000-0005-0000-0000-0000CB2C0000}"/>
    <cellStyle name="Normal 2 2 2 2 2 2 28 4 9" xfId="11511" xr:uid="{00000000-0005-0000-0000-0000CC2C0000}"/>
    <cellStyle name="Normal 2 2 2 2 2 2 28 5" xfId="11512" xr:uid="{00000000-0005-0000-0000-0000CD2C0000}"/>
    <cellStyle name="Normal 2 2 2 2 2 2 28 5 10" xfId="11513" xr:uid="{00000000-0005-0000-0000-0000CE2C0000}"/>
    <cellStyle name="Normal 2 2 2 2 2 2 28 5 2" xfId="11514" xr:uid="{00000000-0005-0000-0000-0000CF2C0000}"/>
    <cellStyle name="Normal 2 2 2 2 2 2 28 5 3" xfId="11515" xr:uid="{00000000-0005-0000-0000-0000D02C0000}"/>
    <cellStyle name="Normal 2 2 2 2 2 2 28 5 4" xfId="11516" xr:uid="{00000000-0005-0000-0000-0000D12C0000}"/>
    <cellStyle name="Normal 2 2 2 2 2 2 28 5 5" xfId="11517" xr:uid="{00000000-0005-0000-0000-0000D22C0000}"/>
    <cellStyle name="Normal 2 2 2 2 2 2 28 5 6" xfId="11518" xr:uid="{00000000-0005-0000-0000-0000D32C0000}"/>
    <cellStyle name="Normal 2 2 2 2 2 2 28 5 7" xfId="11519" xr:uid="{00000000-0005-0000-0000-0000D42C0000}"/>
    <cellStyle name="Normal 2 2 2 2 2 2 28 5 8" xfId="11520" xr:uid="{00000000-0005-0000-0000-0000D52C0000}"/>
    <cellStyle name="Normal 2 2 2 2 2 2 28 5 9" xfId="11521" xr:uid="{00000000-0005-0000-0000-0000D62C0000}"/>
    <cellStyle name="Normal 2 2 2 2 2 2 28 6" xfId="11522" xr:uid="{00000000-0005-0000-0000-0000D72C0000}"/>
    <cellStyle name="Normal 2 2 2 2 2 2 28 7" xfId="11523" xr:uid="{00000000-0005-0000-0000-0000D82C0000}"/>
    <cellStyle name="Normal 2 2 2 2 2 2 28 8" xfId="11524" xr:uid="{00000000-0005-0000-0000-0000D92C0000}"/>
    <cellStyle name="Normal 2 2 2 2 2 2 28 9" xfId="11525" xr:uid="{00000000-0005-0000-0000-0000DA2C0000}"/>
    <cellStyle name="Normal 2 2 2 2 2 2 29" xfId="11526" xr:uid="{00000000-0005-0000-0000-0000DB2C0000}"/>
    <cellStyle name="Normal 2 2 2 2 2 2 29 10" xfId="11527" xr:uid="{00000000-0005-0000-0000-0000DC2C0000}"/>
    <cellStyle name="Normal 2 2 2 2 2 2 29 11" xfId="11528" xr:uid="{00000000-0005-0000-0000-0000DD2C0000}"/>
    <cellStyle name="Normal 2 2 2 2 2 2 29 12" xfId="11529" xr:uid="{00000000-0005-0000-0000-0000DE2C0000}"/>
    <cellStyle name="Normal 2 2 2 2 2 2 29 13" xfId="11530" xr:uid="{00000000-0005-0000-0000-0000DF2C0000}"/>
    <cellStyle name="Normal 2 2 2 2 2 2 29 14" xfId="11531" xr:uid="{00000000-0005-0000-0000-0000E02C0000}"/>
    <cellStyle name="Normal 2 2 2 2 2 2 29 2" xfId="11532" xr:uid="{00000000-0005-0000-0000-0000E12C0000}"/>
    <cellStyle name="Normal 2 2 2 2 2 2 29 2 10" xfId="11533" xr:uid="{00000000-0005-0000-0000-0000E22C0000}"/>
    <cellStyle name="Normal 2 2 2 2 2 2 29 2 2" xfId="11534" xr:uid="{00000000-0005-0000-0000-0000E32C0000}"/>
    <cellStyle name="Normal 2 2 2 2 2 2 29 2 3" xfId="11535" xr:uid="{00000000-0005-0000-0000-0000E42C0000}"/>
    <cellStyle name="Normal 2 2 2 2 2 2 29 2 4" xfId="11536" xr:uid="{00000000-0005-0000-0000-0000E52C0000}"/>
    <cellStyle name="Normal 2 2 2 2 2 2 29 2 5" xfId="11537" xr:uid="{00000000-0005-0000-0000-0000E62C0000}"/>
    <cellStyle name="Normal 2 2 2 2 2 2 29 2 6" xfId="11538" xr:uid="{00000000-0005-0000-0000-0000E72C0000}"/>
    <cellStyle name="Normal 2 2 2 2 2 2 29 2 7" xfId="11539" xr:uid="{00000000-0005-0000-0000-0000E82C0000}"/>
    <cellStyle name="Normal 2 2 2 2 2 2 29 2 8" xfId="11540" xr:uid="{00000000-0005-0000-0000-0000E92C0000}"/>
    <cellStyle name="Normal 2 2 2 2 2 2 29 2 9" xfId="11541" xr:uid="{00000000-0005-0000-0000-0000EA2C0000}"/>
    <cellStyle name="Normal 2 2 2 2 2 2 29 3" xfId="11542" xr:uid="{00000000-0005-0000-0000-0000EB2C0000}"/>
    <cellStyle name="Normal 2 2 2 2 2 2 29 3 10" xfId="11543" xr:uid="{00000000-0005-0000-0000-0000EC2C0000}"/>
    <cellStyle name="Normal 2 2 2 2 2 2 29 3 2" xfId="11544" xr:uid="{00000000-0005-0000-0000-0000ED2C0000}"/>
    <cellStyle name="Normal 2 2 2 2 2 2 29 3 3" xfId="11545" xr:uid="{00000000-0005-0000-0000-0000EE2C0000}"/>
    <cellStyle name="Normal 2 2 2 2 2 2 29 3 4" xfId="11546" xr:uid="{00000000-0005-0000-0000-0000EF2C0000}"/>
    <cellStyle name="Normal 2 2 2 2 2 2 29 3 5" xfId="11547" xr:uid="{00000000-0005-0000-0000-0000F02C0000}"/>
    <cellStyle name="Normal 2 2 2 2 2 2 29 3 6" xfId="11548" xr:uid="{00000000-0005-0000-0000-0000F12C0000}"/>
    <cellStyle name="Normal 2 2 2 2 2 2 29 3 7" xfId="11549" xr:uid="{00000000-0005-0000-0000-0000F22C0000}"/>
    <cellStyle name="Normal 2 2 2 2 2 2 29 3 8" xfId="11550" xr:uid="{00000000-0005-0000-0000-0000F32C0000}"/>
    <cellStyle name="Normal 2 2 2 2 2 2 29 3 9" xfId="11551" xr:uid="{00000000-0005-0000-0000-0000F42C0000}"/>
    <cellStyle name="Normal 2 2 2 2 2 2 29 4" xfId="11552" xr:uid="{00000000-0005-0000-0000-0000F52C0000}"/>
    <cellStyle name="Normal 2 2 2 2 2 2 29 4 10" xfId="11553" xr:uid="{00000000-0005-0000-0000-0000F62C0000}"/>
    <cellStyle name="Normal 2 2 2 2 2 2 29 4 2" xfId="11554" xr:uid="{00000000-0005-0000-0000-0000F72C0000}"/>
    <cellStyle name="Normal 2 2 2 2 2 2 29 4 3" xfId="11555" xr:uid="{00000000-0005-0000-0000-0000F82C0000}"/>
    <cellStyle name="Normal 2 2 2 2 2 2 29 4 4" xfId="11556" xr:uid="{00000000-0005-0000-0000-0000F92C0000}"/>
    <cellStyle name="Normal 2 2 2 2 2 2 29 4 5" xfId="11557" xr:uid="{00000000-0005-0000-0000-0000FA2C0000}"/>
    <cellStyle name="Normal 2 2 2 2 2 2 29 4 6" xfId="11558" xr:uid="{00000000-0005-0000-0000-0000FB2C0000}"/>
    <cellStyle name="Normal 2 2 2 2 2 2 29 4 7" xfId="11559" xr:uid="{00000000-0005-0000-0000-0000FC2C0000}"/>
    <cellStyle name="Normal 2 2 2 2 2 2 29 4 8" xfId="11560" xr:uid="{00000000-0005-0000-0000-0000FD2C0000}"/>
    <cellStyle name="Normal 2 2 2 2 2 2 29 4 9" xfId="11561" xr:uid="{00000000-0005-0000-0000-0000FE2C0000}"/>
    <cellStyle name="Normal 2 2 2 2 2 2 29 5" xfId="11562" xr:uid="{00000000-0005-0000-0000-0000FF2C0000}"/>
    <cellStyle name="Normal 2 2 2 2 2 2 29 5 10" xfId="11563" xr:uid="{00000000-0005-0000-0000-0000002D0000}"/>
    <cellStyle name="Normal 2 2 2 2 2 2 29 5 2" xfId="11564" xr:uid="{00000000-0005-0000-0000-0000012D0000}"/>
    <cellStyle name="Normal 2 2 2 2 2 2 29 5 3" xfId="11565" xr:uid="{00000000-0005-0000-0000-0000022D0000}"/>
    <cellStyle name="Normal 2 2 2 2 2 2 29 5 4" xfId="11566" xr:uid="{00000000-0005-0000-0000-0000032D0000}"/>
    <cellStyle name="Normal 2 2 2 2 2 2 29 5 5" xfId="11567" xr:uid="{00000000-0005-0000-0000-0000042D0000}"/>
    <cellStyle name="Normal 2 2 2 2 2 2 29 5 6" xfId="11568" xr:uid="{00000000-0005-0000-0000-0000052D0000}"/>
    <cellStyle name="Normal 2 2 2 2 2 2 29 5 7" xfId="11569" xr:uid="{00000000-0005-0000-0000-0000062D0000}"/>
    <cellStyle name="Normal 2 2 2 2 2 2 29 5 8" xfId="11570" xr:uid="{00000000-0005-0000-0000-0000072D0000}"/>
    <cellStyle name="Normal 2 2 2 2 2 2 29 5 9" xfId="11571" xr:uid="{00000000-0005-0000-0000-0000082D0000}"/>
    <cellStyle name="Normal 2 2 2 2 2 2 29 6" xfId="11572" xr:uid="{00000000-0005-0000-0000-0000092D0000}"/>
    <cellStyle name="Normal 2 2 2 2 2 2 29 7" xfId="11573" xr:uid="{00000000-0005-0000-0000-00000A2D0000}"/>
    <cellStyle name="Normal 2 2 2 2 2 2 29 8" xfId="11574" xr:uid="{00000000-0005-0000-0000-00000B2D0000}"/>
    <cellStyle name="Normal 2 2 2 2 2 2 29 9" xfId="11575" xr:uid="{00000000-0005-0000-0000-00000C2D0000}"/>
    <cellStyle name="Normal 2 2 2 2 2 2 3" xfId="11576" xr:uid="{00000000-0005-0000-0000-00000D2D0000}"/>
    <cellStyle name="Normal 2 2 2 2 2 2 3 10" xfId="11577" xr:uid="{00000000-0005-0000-0000-00000E2D0000}"/>
    <cellStyle name="Normal 2 2 2 2 2 2 3 11" xfId="11578" xr:uid="{00000000-0005-0000-0000-00000F2D0000}"/>
    <cellStyle name="Normal 2 2 2 2 2 2 3 12" xfId="11579" xr:uid="{00000000-0005-0000-0000-0000102D0000}"/>
    <cellStyle name="Normal 2 2 2 2 2 2 3 13" xfId="11580" xr:uid="{00000000-0005-0000-0000-0000112D0000}"/>
    <cellStyle name="Normal 2 2 2 2 2 2 3 14" xfId="11581" xr:uid="{00000000-0005-0000-0000-0000122D0000}"/>
    <cellStyle name="Normal 2 2 2 2 2 2 3 15" xfId="11582" xr:uid="{00000000-0005-0000-0000-0000132D0000}"/>
    <cellStyle name="Normal 2 2 2 2 2 2 3 16" xfId="11583" xr:uid="{00000000-0005-0000-0000-0000142D0000}"/>
    <cellStyle name="Normal 2 2 2 2 2 2 3 2" xfId="11584" xr:uid="{00000000-0005-0000-0000-0000152D0000}"/>
    <cellStyle name="Normal 2 2 2 2 2 2 3 2 10" xfId="11585" xr:uid="{00000000-0005-0000-0000-0000162D0000}"/>
    <cellStyle name="Normal 2 2 2 2 2 2 3 2 2" xfId="11586" xr:uid="{00000000-0005-0000-0000-0000172D0000}"/>
    <cellStyle name="Normal 2 2 2 2 2 2 3 2 3" xfId="11587" xr:uid="{00000000-0005-0000-0000-0000182D0000}"/>
    <cellStyle name="Normal 2 2 2 2 2 2 3 2 4" xfId="11588" xr:uid="{00000000-0005-0000-0000-0000192D0000}"/>
    <cellStyle name="Normal 2 2 2 2 2 2 3 2 5" xfId="11589" xr:uid="{00000000-0005-0000-0000-00001A2D0000}"/>
    <cellStyle name="Normal 2 2 2 2 2 2 3 2 6" xfId="11590" xr:uid="{00000000-0005-0000-0000-00001B2D0000}"/>
    <cellStyle name="Normal 2 2 2 2 2 2 3 2 7" xfId="11591" xr:uid="{00000000-0005-0000-0000-00001C2D0000}"/>
    <cellStyle name="Normal 2 2 2 2 2 2 3 2 8" xfId="11592" xr:uid="{00000000-0005-0000-0000-00001D2D0000}"/>
    <cellStyle name="Normal 2 2 2 2 2 2 3 2 9" xfId="11593" xr:uid="{00000000-0005-0000-0000-00001E2D0000}"/>
    <cellStyle name="Normal 2 2 2 2 2 2 3 3" xfId="11594" xr:uid="{00000000-0005-0000-0000-00001F2D0000}"/>
    <cellStyle name="Normal 2 2 2 2 2 2 3 3 10" xfId="11595" xr:uid="{00000000-0005-0000-0000-0000202D0000}"/>
    <cellStyle name="Normal 2 2 2 2 2 2 3 3 2" xfId="11596" xr:uid="{00000000-0005-0000-0000-0000212D0000}"/>
    <cellStyle name="Normal 2 2 2 2 2 2 3 3 3" xfId="11597" xr:uid="{00000000-0005-0000-0000-0000222D0000}"/>
    <cellStyle name="Normal 2 2 2 2 2 2 3 3 4" xfId="11598" xr:uid="{00000000-0005-0000-0000-0000232D0000}"/>
    <cellStyle name="Normal 2 2 2 2 2 2 3 3 5" xfId="11599" xr:uid="{00000000-0005-0000-0000-0000242D0000}"/>
    <cellStyle name="Normal 2 2 2 2 2 2 3 3 6" xfId="11600" xr:uid="{00000000-0005-0000-0000-0000252D0000}"/>
    <cellStyle name="Normal 2 2 2 2 2 2 3 3 7" xfId="11601" xr:uid="{00000000-0005-0000-0000-0000262D0000}"/>
    <cellStyle name="Normal 2 2 2 2 2 2 3 3 8" xfId="11602" xr:uid="{00000000-0005-0000-0000-0000272D0000}"/>
    <cellStyle name="Normal 2 2 2 2 2 2 3 3 9" xfId="11603" xr:uid="{00000000-0005-0000-0000-0000282D0000}"/>
    <cellStyle name="Normal 2 2 2 2 2 2 3 4" xfId="11604" xr:uid="{00000000-0005-0000-0000-0000292D0000}"/>
    <cellStyle name="Normal 2 2 2 2 2 2 3 4 10" xfId="11605" xr:uid="{00000000-0005-0000-0000-00002A2D0000}"/>
    <cellStyle name="Normal 2 2 2 2 2 2 3 4 2" xfId="11606" xr:uid="{00000000-0005-0000-0000-00002B2D0000}"/>
    <cellStyle name="Normal 2 2 2 2 2 2 3 4 3" xfId="11607" xr:uid="{00000000-0005-0000-0000-00002C2D0000}"/>
    <cellStyle name="Normal 2 2 2 2 2 2 3 4 4" xfId="11608" xr:uid="{00000000-0005-0000-0000-00002D2D0000}"/>
    <cellStyle name="Normal 2 2 2 2 2 2 3 4 5" xfId="11609" xr:uid="{00000000-0005-0000-0000-00002E2D0000}"/>
    <cellStyle name="Normal 2 2 2 2 2 2 3 4 6" xfId="11610" xr:uid="{00000000-0005-0000-0000-00002F2D0000}"/>
    <cellStyle name="Normal 2 2 2 2 2 2 3 4 7" xfId="11611" xr:uid="{00000000-0005-0000-0000-0000302D0000}"/>
    <cellStyle name="Normal 2 2 2 2 2 2 3 4 8" xfId="11612" xr:uid="{00000000-0005-0000-0000-0000312D0000}"/>
    <cellStyle name="Normal 2 2 2 2 2 2 3 4 9" xfId="11613" xr:uid="{00000000-0005-0000-0000-0000322D0000}"/>
    <cellStyle name="Normal 2 2 2 2 2 2 3 5" xfId="11614" xr:uid="{00000000-0005-0000-0000-0000332D0000}"/>
    <cellStyle name="Normal 2 2 2 2 2 2 3 5 10" xfId="11615" xr:uid="{00000000-0005-0000-0000-0000342D0000}"/>
    <cellStyle name="Normal 2 2 2 2 2 2 3 5 2" xfId="11616" xr:uid="{00000000-0005-0000-0000-0000352D0000}"/>
    <cellStyle name="Normal 2 2 2 2 2 2 3 5 3" xfId="11617" xr:uid="{00000000-0005-0000-0000-0000362D0000}"/>
    <cellStyle name="Normal 2 2 2 2 2 2 3 5 4" xfId="11618" xr:uid="{00000000-0005-0000-0000-0000372D0000}"/>
    <cellStyle name="Normal 2 2 2 2 2 2 3 5 5" xfId="11619" xr:uid="{00000000-0005-0000-0000-0000382D0000}"/>
    <cellStyle name="Normal 2 2 2 2 2 2 3 5 6" xfId="11620" xr:uid="{00000000-0005-0000-0000-0000392D0000}"/>
    <cellStyle name="Normal 2 2 2 2 2 2 3 5 7" xfId="11621" xr:uid="{00000000-0005-0000-0000-00003A2D0000}"/>
    <cellStyle name="Normal 2 2 2 2 2 2 3 5 8" xfId="11622" xr:uid="{00000000-0005-0000-0000-00003B2D0000}"/>
    <cellStyle name="Normal 2 2 2 2 2 2 3 5 9" xfId="11623" xr:uid="{00000000-0005-0000-0000-00003C2D0000}"/>
    <cellStyle name="Normal 2 2 2 2 2 2 3 6" xfId="11624" xr:uid="{00000000-0005-0000-0000-00003D2D0000}"/>
    <cellStyle name="Normal 2 2 2 2 2 2 3 7" xfId="11625" xr:uid="{00000000-0005-0000-0000-00003E2D0000}"/>
    <cellStyle name="Normal 2 2 2 2 2 2 3 8" xfId="11626" xr:uid="{00000000-0005-0000-0000-00003F2D0000}"/>
    <cellStyle name="Normal 2 2 2 2 2 2 3 9" xfId="11627" xr:uid="{00000000-0005-0000-0000-0000402D0000}"/>
    <cellStyle name="Normal 2 2 2 2 2 2 30" xfId="11628" xr:uid="{00000000-0005-0000-0000-0000412D0000}"/>
    <cellStyle name="Normal 2 2 2 2 2 2 30 10" xfId="11629" xr:uid="{00000000-0005-0000-0000-0000422D0000}"/>
    <cellStyle name="Normal 2 2 2 2 2 2 30 11" xfId="11630" xr:uid="{00000000-0005-0000-0000-0000432D0000}"/>
    <cellStyle name="Normal 2 2 2 2 2 2 30 12" xfId="11631" xr:uid="{00000000-0005-0000-0000-0000442D0000}"/>
    <cellStyle name="Normal 2 2 2 2 2 2 30 13" xfId="11632" xr:uid="{00000000-0005-0000-0000-0000452D0000}"/>
    <cellStyle name="Normal 2 2 2 2 2 2 30 14" xfId="11633" xr:uid="{00000000-0005-0000-0000-0000462D0000}"/>
    <cellStyle name="Normal 2 2 2 2 2 2 30 2" xfId="11634" xr:uid="{00000000-0005-0000-0000-0000472D0000}"/>
    <cellStyle name="Normal 2 2 2 2 2 2 30 2 10" xfId="11635" xr:uid="{00000000-0005-0000-0000-0000482D0000}"/>
    <cellStyle name="Normal 2 2 2 2 2 2 30 2 2" xfId="11636" xr:uid="{00000000-0005-0000-0000-0000492D0000}"/>
    <cellStyle name="Normal 2 2 2 2 2 2 30 2 3" xfId="11637" xr:uid="{00000000-0005-0000-0000-00004A2D0000}"/>
    <cellStyle name="Normal 2 2 2 2 2 2 30 2 4" xfId="11638" xr:uid="{00000000-0005-0000-0000-00004B2D0000}"/>
    <cellStyle name="Normal 2 2 2 2 2 2 30 2 5" xfId="11639" xr:uid="{00000000-0005-0000-0000-00004C2D0000}"/>
    <cellStyle name="Normal 2 2 2 2 2 2 30 2 6" xfId="11640" xr:uid="{00000000-0005-0000-0000-00004D2D0000}"/>
    <cellStyle name="Normal 2 2 2 2 2 2 30 2 7" xfId="11641" xr:uid="{00000000-0005-0000-0000-00004E2D0000}"/>
    <cellStyle name="Normal 2 2 2 2 2 2 30 2 8" xfId="11642" xr:uid="{00000000-0005-0000-0000-00004F2D0000}"/>
    <cellStyle name="Normal 2 2 2 2 2 2 30 2 9" xfId="11643" xr:uid="{00000000-0005-0000-0000-0000502D0000}"/>
    <cellStyle name="Normal 2 2 2 2 2 2 30 3" xfId="11644" xr:uid="{00000000-0005-0000-0000-0000512D0000}"/>
    <cellStyle name="Normal 2 2 2 2 2 2 30 3 10" xfId="11645" xr:uid="{00000000-0005-0000-0000-0000522D0000}"/>
    <cellStyle name="Normal 2 2 2 2 2 2 30 3 2" xfId="11646" xr:uid="{00000000-0005-0000-0000-0000532D0000}"/>
    <cellStyle name="Normal 2 2 2 2 2 2 30 3 3" xfId="11647" xr:uid="{00000000-0005-0000-0000-0000542D0000}"/>
    <cellStyle name="Normal 2 2 2 2 2 2 30 3 4" xfId="11648" xr:uid="{00000000-0005-0000-0000-0000552D0000}"/>
    <cellStyle name="Normal 2 2 2 2 2 2 30 3 5" xfId="11649" xr:uid="{00000000-0005-0000-0000-0000562D0000}"/>
    <cellStyle name="Normal 2 2 2 2 2 2 30 3 6" xfId="11650" xr:uid="{00000000-0005-0000-0000-0000572D0000}"/>
    <cellStyle name="Normal 2 2 2 2 2 2 30 3 7" xfId="11651" xr:uid="{00000000-0005-0000-0000-0000582D0000}"/>
    <cellStyle name="Normal 2 2 2 2 2 2 30 3 8" xfId="11652" xr:uid="{00000000-0005-0000-0000-0000592D0000}"/>
    <cellStyle name="Normal 2 2 2 2 2 2 30 3 9" xfId="11653" xr:uid="{00000000-0005-0000-0000-00005A2D0000}"/>
    <cellStyle name="Normal 2 2 2 2 2 2 30 4" xfId="11654" xr:uid="{00000000-0005-0000-0000-00005B2D0000}"/>
    <cellStyle name="Normal 2 2 2 2 2 2 30 4 10" xfId="11655" xr:uid="{00000000-0005-0000-0000-00005C2D0000}"/>
    <cellStyle name="Normal 2 2 2 2 2 2 30 4 2" xfId="11656" xr:uid="{00000000-0005-0000-0000-00005D2D0000}"/>
    <cellStyle name="Normal 2 2 2 2 2 2 30 4 3" xfId="11657" xr:uid="{00000000-0005-0000-0000-00005E2D0000}"/>
    <cellStyle name="Normal 2 2 2 2 2 2 30 4 4" xfId="11658" xr:uid="{00000000-0005-0000-0000-00005F2D0000}"/>
    <cellStyle name="Normal 2 2 2 2 2 2 30 4 5" xfId="11659" xr:uid="{00000000-0005-0000-0000-0000602D0000}"/>
    <cellStyle name="Normal 2 2 2 2 2 2 30 4 6" xfId="11660" xr:uid="{00000000-0005-0000-0000-0000612D0000}"/>
    <cellStyle name="Normal 2 2 2 2 2 2 30 4 7" xfId="11661" xr:uid="{00000000-0005-0000-0000-0000622D0000}"/>
    <cellStyle name="Normal 2 2 2 2 2 2 30 4 8" xfId="11662" xr:uid="{00000000-0005-0000-0000-0000632D0000}"/>
    <cellStyle name="Normal 2 2 2 2 2 2 30 4 9" xfId="11663" xr:uid="{00000000-0005-0000-0000-0000642D0000}"/>
    <cellStyle name="Normal 2 2 2 2 2 2 30 5" xfId="11664" xr:uid="{00000000-0005-0000-0000-0000652D0000}"/>
    <cellStyle name="Normal 2 2 2 2 2 2 30 5 10" xfId="11665" xr:uid="{00000000-0005-0000-0000-0000662D0000}"/>
    <cellStyle name="Normal 2 2 2 2 2 2 30 5 2" xfId="11666" xr:uid="{00000000-0005-0000-0000-0000672D0000}"/>
    <cellStyle name="Normal 2 2 2 2 2 2 30 5 3" xfId="11667" xr:uid="{00000000-0005-0000-0000-0000682D0000}"/>
    <cellStyle name="Normal 2 2 2 2 2 2 30 5 4" xfId="11668" xr:uid="{00000000-0005-0000-0000-0000692D0000}"/>
    <cellStyle name="Normal 2 2 2 2 2 2 30 5 5" xfId="11669" xr:uid="{00000000-0005-0000-0000-00006A2D0000}"/>
    <cellStyle name="Normal 2 2 2 2 2 2 30 5 6" xfId="11670" xr:uid="{00000000-0005-0000-0000-00006B2D0000}"/>
    <cellStyle name="Normal 2 2 2 2 2 2 30 5 7" xfId="11671" xr:uid="{00000000-0005-0000-0000-00006C2D0000}"/>
    <cellStyle name="Normal 2 2 2 2 2 2 30 5 8" xfId="11672" xr:uid="{00000000-0005-0000-0000-00006D2D0000}"/>
    <cellStyle name="Normal 2 2 2 2 2 2 30 5 9" xfId="11673" xr:uid="{00000000-0005-0000-0000-00006E2D0000}"/>
    <cellStyle name="Normal 2 2 2 2 2 2 30 6" xfId="11674" xr:uid="{00000000-0005-0000-0000-00006F2D0000}"/>
    <cellStyle name="Normal 2 2 2 2 2 2 30 7" xfId="11675" xr:uid="{00000000-0005-0000-0000-0000702D0000}"/>
    <cellStyle name="Normal 2 2 2 2 2 2 30 8" xfId="11676" xr:uid="{00000000-0005-0000-0000-0000712D0000}"/>
    <cellStyle name="Normal 2 2 2 2 2 2 30 9" xfId="11677" xr:uid="{00000000-0005-0000-0000-0000722D0000}"/>
    <cellStyle name="Normal 2 2 2 2 2 2 31" xfId="11678" xr:uid="{00000000-0005-0000-0000-0000732D0000}"/>
    <cellStyle name="Normal 2 2 2 2 2 2 31 10" xfId="11679" xr:uid="{00000000-0005-0000-0000-0000742D0000}"/>
    <cellStyle name="Normal 2 2 2 2 2 2 31 11" xfId="11680" xr:uid="{00000000-0005-0000-0000-0000752D0000}"/>
    <cellStyle name="Normal 2 2 2 2 2 2 31 12" xfId="11681" xr:uid="{00000000-0005-0000-0000-0000762D0000}"/>
    <cellStyle name="Normal 2 2 2 2 2 2 31 13" xfId="11682" xr:uid="{00000000-0005-0000-0000-0000772D0000}"/>
    <cellStyle name="Normal 2 2 2 2 2 2 31 14" xfId="11683" xr:uid="{00000000-0005-0000-0000-0000782D0000}"/>
    <cellStyle name="Normal 2 2 2 2 2 2 31 2" xfId="11684" xr:uid="{00000000-0005-0000-0000-0000792D0000}"/>
    <cellStyle name="Normal 2 2 2 2 2 2 31 2 10" xfId="11685" xr:uid="{00000000-0005-0000-0000-00007A2D0000}"/>
    <cellStyle name="Normal 2 2 2 2 2 2 31 2 2" xfId="11686" xr:uid="{00000000-0005-0000-0000-00007B2D0000}"/>
    <cellStyle name="Normal 2 2 2 2 2 2 31 2 3" xfId="11687" xr:uid="{00000000-0005-0000-0000-00007C2D0000}"/>
    <cellStyle name="Normal 2 2 2 2 2 2 31 2 4" xfId="11688" xr:uid="{00000000-0005-0000-0000-00007D2D0000}"/>
    <cellStyle name="Normal 2 2 2 2 2 2 31 2 5" xfId="11689" xr:uid="{00000000-0005-0000-0000-00007E2D0000}"/>
    <cellStyle name="Normal 2 2 2 2 2 2 31 2 6" xfId="11690" xr:uid="{00000000-0005-0000-0000-00007F2D0000}"/>
    <cellStyle name="Normal 2 2 2 2 2 2 31 2 7" xfId="11691" xr:uid="{00000000-0005-0000-0000-0000802D0000}"/>
    <cellStyle name="Normal 2 2 2 2 2 2 31 2 8" xfId="11692" xr:uid="{00000000-0005-0000-0000-0000812D0000}"/>
    <cellStyle name="Normal 2 2 2 2 2 2 31 2 9" xfId="11693" xr:uid="{00000000-0005-0000-0000-0000822D0000}"/>
    <cellStyle name="Normal 2 2 2 2 2 2 31 3" xfId="11694" xr:uid="{00000000-0005-0000-0000-0000832D0000}"/>
    <cellStyle name="Normal 2 2 2 2 2 2 31 3 10" xfId="11695" xr:uid="{00000000-0005-0000-0000-0000842D0000}"/>
    <cellStyle name="Normal 2 2 2 2 2 2 31 3 2" xfId="11696" xr:uid="{00000000-0005-0000-0000-0000852D0000}"/>
    <cellStyle name="Normal 2 2 2 2 2 2 31 3 3" xfId="11697" xr:uid="{00000000-0005-0000-0000-0000862D0000}"/>
    <cellStyle name="Normal 2 2 2 2 2 2 31 3 4" xfId="11698" xr:uid="{00000000-0005-0000-0000-0000872D0000}"/>
    <cellStyle name="Normal 2 2 2 2 2 2 31 3 5" xfId="11699" xr:uid="{00000000-0005-0000-0000-0000882D0000}"/>
    <cellStyle name="Normal 2 2 2 2 2 2 31 3 6" xfId="11700" xr:uid="{00000000-0005-0000-0000-0000892D0000}"/>
    <cellStyle name="Normal 2 2 2 2 2 2 31 3 7" xfId="11701" xr:uid="{00000000-0005-0000-0000-00008A2D0000}"/>
    <cellStyle name="Normal 2 2 2 2 2 2 31 3 8" xfId="11702" xr:uid="{00000000-0005-0000-0000-00008B2D0000}"/>
    <cellStyle name="Normal 2 2 2 2 2 2 31 3 9" xfId="11703" xr:uid="{00000000-0005-0000-0000-00008C2D0000}"/>
    <cellStyle name="Normal 2 2 2 2 2 2 31 4" xfId="11704" xr:uid="{00000000-0005-0000-0000-00008D2D0000}"/>
    <cellStyle name="Normal 2 2 2 2 2 2 31 4 10" xfId="11705" xr:uid="{00000000-0005-0000-0000-00008E2D0000}"/>
    <cellStyle name="Normal 2 2 2 2 2 2 31 4 2" xfId="11706" xr:uid="{00000000-0005-0000-0000-00008F2D0000}"/>
    <cellStyle name="Normal 2 2 2 2 2 2 31 4 3" xfId="11707" xr:uid="{00000000-0005-0000-0000-0000902D0000}"/>
    <cellStyle name="Normal 2 2 2 2 2 2 31 4 4" xfId="11708" xr:uid="{00000000-0005-0000-0000-0000912D0000}"/>
    <cellStyle name="Normal 2 2 2 2 2 2 31 4 5" xfId="11709" xr:uid="{00000000-0005-0000-0000-0000922D0000}"/>
    <cellStyle name="Normal 2 2 2 2 2 2 31 4 6" xfId="11710" xr:uid="{00000000-0005-0000-0000-0000932D0000}"/>
    <cellStyle name="Normal 2 2 2 2 2 2 31 4 7" xfId="11711" xr:uid="{00000000-0005-0000-0000-0000942D0000}"/>
    <cellStyle name="Normal 2 2 2 2 2 2 31 4 8" xfId="11712" xr:uid="{00000000-0005-0000-0000-0000952D0000}"/>
    <cellStyle name="Normal 2 2 2 2 2 2 31 4 9" xfId="11713" xr:uid="{00000000-0005-0000-0000-0000962D0000}"/>
    <cellStyle name="Normal 2 2 2 2 2 2 31 5" xfId="11714" xr:uid="{00000000-0005-0000-0000-0000972D0000}"/>
    <cellStyle name="Normal 2 2 2 2 2 2 31 5 10" xfId="11715" xr:uid="{00000000-0005-0000-0000-0000982D0000}"/>
    <cellStyle name="Normal 2 2 2 2 2 2 31 5 2" xfId="11716" xr:uid="{00000000-0005-0000-0000-0000992D0000}"/>
    <cellStyle name="Normal 2 2 2 2 2 2 31 5 3" xfId="11717" xr:uid="{00000000-0005-0000-0000-00009A2D0000}"/>
    <cellStyle name="Normal 2 2 2 2 2 2 31 5 4" xfId="11718" xr:uid="{00000000-0005-0000-0000-00009B2D0000}"/>
    <cellStyle name="Normal 2 2 2 2 2 2 31 5 5" xfId="11719" xr:uid="{00000000-0005-0000-0000-00009C2D0000}"/>
    <cellStyle name="Normal 2 2 2 2 2 2 31 5 6" xfId="11720" xr:uid="{00000000-0005-0000-0000-00009D2D0000}"/>
    <cellStyle name="Normal 2 2 2 2 2 2 31 5 7" xfId="11721" xr:uid="{00000000-0005-0000-0000-00009E2D0000}"/>
    <cellStyle name="Normal 2 2 2 2 2 2 31 5 8" xfId="11722" xr:uid="{00000000-0005-0000-0000-00009F2D0000}"/>
    <cellStyle name="Normal 2 2 2 2 2 2 31 5 9" xfId="11723" xr:uid="{00000000-0005-0000-0000-0000A02D0000}"/>
    <cellStyle name="Normal 2 2 2 2 2 2 31 6" xfId="11724" xr:uid="{00000000-0005-0000-0000-0000A12D0000}"/>
    <cellStyle name="Normal 2 2 2 2 2 2 31 7" xfId="11725" xr:uid="{00000000-0005-0000-0000-0000A22D0000}"/>
    <cellStyle name="Normal 2 2 2 2 2 2 31 8" xfId="11726" xr:uid="{00000000-0005-0000-0000-0000A32D0000}"/>
    <cellStyle name="Normal 2 2 2 2 2 2 31 9" xfId="11727" xr:uid="{00000000-0005-0000-0000-0000A42D0000}"/>
    <cellStyle name="Normal 2 2 2 2 2 2 32" xfId="11728" xr:uid="{00000000-0005-0000-0000-0000A52D0000}"/>
    <cellStyle name="Normal 2 2 2 2 2 2 32 10" xfId="11729" xr:uid="{00000000-0005-0000-0000-0000A62D0000}"/>
    <cellStyle name="Normal 2 2 2 2 2 2 32 11" xfId="11730" xr:uid="{00000000-0005-0000-0000-0000A72D0000}"/>
    <cellStyle name="Normal 2 2 2 2 2 2 32 12" xfId="11731" xr:uid="{00000000-0005-0000-0000-0000A82D0000}"/>
    <cellStyle name="Normal 2 2 2 2 2 2 32 13" xfId="11732" xr:uid="{00000000-0005-0000-0000-0000A92D0000}"/>
    <cellStyle name="Normal 2 2 2 2 2 2 32 14" xfId="11733" xr:uid="{00000000-0005-0000-0000-0000AA2D0000}"/>
    <cellStyle name="Normal 2 2 2 2 2 2 32 2" xfId="11734" xr:uid="{00000000-0005-0000-0000-0000AB2D0000}"/>
    <cellStyle name="Normal 2 2 2 2 2 2 32 2 10" xfId="11735" xr:uid="{00000000-0005-0000-0000-0000AC2D0000}"/>
    <cellStyle name="Normal 2 2 2 2 2 2 32 2 2" xfId="11736" xr:uid="{00000000-0005-0000-0000-0000AD2D0000}"/>
    <cellStyle name="Normal 2 2 2 2 2 2 32 2 3" xfId="11737" xr:uid="{00000000-0005-0000-0000-0000AE2D0000}"/>
    <cellStyle name="Normal 2 2 2 2 2 2 32 2 4" xfId="11738" xr:uid="{00000000-0005-0000-0000-0000AF2D0000}"/>
    <cellStyle name="Normal 2 2 2 2 2 2 32 2 5" xfId="11739" xr:uid="{00000000-0005-0000-0000-0000B02D0000}"/>
    <cellStyle name="Normal 2 2 2 2 2 2 32 2 6" xfId="11740" xr:uid="{00000000-0005-0000-0000-0000B12D0000}"/>
    <cellStyle name="Normal 2 2 2 2 2 2 32 2 7" xfId="11741" xr:uid="{00000000-0005-0000-0000-0000B22D0000}"/>
    <cellStyle name="Normal 2 2 2 2 2 2 32 2 8" xfId="11742" xr:uid="{00000000-0005-0000-0000-0000B32D0000}"/>
    <cellStyle name="Normal 2 2 2 2 2 2 32 2 9" xfId="11743" xr:uid="{00000000-0005-0000-0000-0000B42D0000}"/>
    <cellStyle name="Normal 2 2 2 2 2 2 32 3" xfId="11744" xr:uid="{00000000-0005-0000-0000-0000B52D0000}"/>
    <cellStyle name="Normal 2 2 2 2 2 2 32 3 10" xfId="11745" xr:uid="{00000000-0005-0000-0000-0000B62D0000}"/>
    <cellStyle name="Normal 2 2 2 2 2 2 32 3 2" xfId="11746" xr:uid="{00000000-0005-0000-0000-0000B72D0000}"/>
    <cellStyle name="Normal 2 2 2 2 2 2 32 3 3" xfId="11747" xr:uid="{00000000-0005-0000-0000-0000B82D0000}"/>
    <cellStyle name="Normal 2 2 2 2 2 2 32 3 4" xfId="11748" xr:uid="{00000000-0005-0000-0000-0000B92D0000}"/>
    <cellStyle name="Normal 2 2 2 2 2 2 32 3 5" xfId="11749" xr:uid="{00000000-0005-0000-0000-0000BA2D0000}"/>
    <cellStyle name="Normal 2 2 2 2 2 2 32 3 6" xfId="11750" xr:uid="{00000000-0005-0000-0000-0000BB2D0000}"/>
    <cellStyle name="Normal 2 2 2 2 2 2 32 3 7" xfId="11751" xr:uid="{00000000-0005-0000-0000-0000BC2D0000}"/>
    <cellStyle name="Normal 2 2 2 2 2 2 32 3 8" xfId="11752" xr:uid="{00000000-0005-0000-0000-0000BD2D0000}"/>
    <cellStyle name="Normal 2 2 2 2 2 2 32 3 9" xfId="11753" xr:uid="{00000000-0005-0000-0000-0000BE2D0000}"/>
    <cellStyle name="Normal 2 2 2 2 2 2 32 4" xfId="11754" xr:uid="{00000000-0005-0000-0000-0000BF2D0000}"/>
    <cellStyle name="Normal 2 2 2 2 2 2 32 4 10" xfId="11755" xr:uid="{00000000-0005-0000-0000-0000C02D0000}"/>
    <cellStyle name="Normal 2 2 2 2 2 2 32 4 2" xfId="11756" xr:uid="{00000000-0005-0000-0000-0000C12D0000}"/>
    <cellStyle name="Normal 2 2 2 2 2 2 32 4 3" xfId="11757" xr:uid="{00000000-0005-0000-0000-0000C22D0000}"/>
    <cellStyle name="Normal 2 2 2 2 2 2 32 4 4" xfId="11758" xr:uid="{00000000-0005-0000-0000-0000C32D0000}"/>
    <cellStyle name="Normal 2 2 2 2 2 2 32 4 5" xfId="11759" xr:uid="{00000000-0005-0000-0000-0000C42D0000}"/>
    <cellStyle name="Normal 2 2 2 2 2 2 32 4 6" xfId="11760" xr:uid="{00000000-0005-0000-0000-0000C52D0000}"/>
    <cellStyle name="Normal 2 2 2 2 2 2 32 4 7" xfId="11761" xr:uid="{00000000-0005-0000-0000-0000C62D0000}"/>
    <cellStyle name="Normal 2 2 2 2 2 2 32 4 8" xfId="11762" xr:uid="{00000000-0005-0000-0000-0000C72D0000}"/>
    <cellStyle name="Normal 2 2 2 2 2 2 32 4 9" xfId="11763" xr:uid="{00000000-0005-0000-0000-0000C82D0000}"/>
    <cellStyle name="Normal 2 2 2 2 2 2 32 5" xfId="11764" xr:uid="{00000000-0005-0000-0000-0000C92D0000}"/>
    <cellStyle name="Normal 2 2 2 2 2 2 32 5 10" xfId="11765" xr:uid="{00000000-0005-0000-0000-0000CA2D0000}"/>
    <cellStyle name="Normal 2 2 2 2 2 2 32 5 2" xfId="11766" xr:uid="{00000000-0005-0000-0000-0000CB2D0000}"/>
    <cellStyle name="Normal 2 2 2 2 2 2 32 5 3" xfId="11767" xr:uid="{00000000-0005-0000-0000-0000CC2D0000}"/>
    <cellStyle name="Normal 2 2 2 2 2 2 32 5 4" xfId="11768" xr:uid="{00000000-0005-0000-0000-0000CD2D0000}"/>
    <cellStyle name="Normal 2 2 2 2 2 2 32 5 5" xfId="11769" xr:uid="{00000000-0005-0000-0000-0000CE2D0000}"/>
    <cellStyle name="Normal 2 2 2 2 2 2 32 5 6" xfId="11770" xr:uid="{00000000-0005-0000-0000-0000CF2D0000}"/>
    <cellStyle name="Normal 2 2 2 2 2 2 32 5 7" xfId="11771" xr:uid="{00000000-0005-0000-0000-0000D02D0000}"/>
    <cellStyle name="Normal 2 2 2 2 2 2 32 5 8" xfId="11772" xr:uid="{00000000-0005-0000-0000-0000D12D0000}"/>
    <cellStyle name="Normal 2 2 2 2 2 2 32 5 9" xfId="11773" xr:uid="{00000000-0005-0000-0000-0000D22D0000}"/>
    <cellStyle name="Normal 2 2 2 2 2 2 32 6" xfId="11774" xr:uid="{00000000-0005-0000-0000-0000D32D0000}"/>
    <cellStyle name="Normal 2 2 2 2 2 2 32 7" xfId="11775" xr:uid="{00000000-0005-0000-0000-0000D42D0000}"/>
    <cellStyle name="Normal 2 2 2 2 2 2 32 8" xfId="11776" xr:uid="{00000000-0005-0000-0000-0000D52D0000}"/>
    <cellStyle name="Normal 2 2 2 2 2 2 32 9" xfId="11777" xr:uid="{00000000-0005-0000-0000-0000D62D0000}"/>
    <cellStyle name="Normal 2 2 2 2 2 2 33" xfId="11778" xr:uid="{00000000-0005-0000-0000-0000D72D0000}"/>
    <cellStyle name="Normal 2 2 2 2 2 2 33 10" xfId="11779" xr:uid="{00000000-0005-0000-0000-0000D82D0000}"/>
    <cellStyle name="Normal 2 2 2 2 2 2 33 11" xfId="11780" xr:uid="{00000000-0005-0000-0000-0000D92D0000}"/>
    <cellStyle name="Normal 2 2 2 2 2 2 33 12" xfId="11781" xr:uid="{00000000-0005-0000-0000-0000DA2D0000}"/>
    <cellStyle name="Normal 2 2 2 2 2 2 33 13" xfId="11782" xr:uid="{00000000-0005-0000-0000-0000DB2D0000}"/>
    <cellStyle name="Normal 2 2 2 2 2 2 33 14" xfId="11783" xr:uid="{00000000-0005-0000-0000-0000DC2D0000}"/>
    <cellStyle name="Normal 2 2 2 2 2 2 33 2" xfId="11784" xr:uid="{00000000-0005-0000-0000-0000DD2D0000}"/>
    <cellStyle name="Normal 2 2 2 2 2 2 33 2 10" xfId="11785" xr:uid="{00000000-0005-0000-0000-0000DE2D0000}"/>
    <cellStyle name="Normal 2 2 2 2 2 2 33 2 2" xfId="11786" xr:uid="{00000000-0005-0000-0000-0000DF2D0000}"/>
    <cellStyle name="Normal 2 2 2 2 2 2 33 2 3" xfId="11787" xr:uid="{00000000-0005-0000-0000-0000E02D0000}"/>
    <cellStyle name="Normal 2 2 2 2 2 2 33 2 4" xfId="11788" xr:uid="{00000000-0005-0000-0000-0000E12D0000}"/>
    <cellStyle name="Normal 2 2 2 2 2 2 33 2 5" xfId="11789" xr:uid="{00000000-0005-0000-0000-0000E22D0000}"/>
    <cellStyle name="Normal 2 2 2 2 2 2 33 2 6" xfId="11790" xr:uid="{00000000-0005-0000-0000-0000E32D0000}"/>
    <cellStyle name="Normal 2 2 2 2 2 2 33 2 7" xfId="11791" xr:uid="{00000000-0005-0000-0000-0000E42D0000}"/>
    <cellStyle name="Normal 2 2 2 2 2 2 33 2 8" xfId="11792" xr:uid="{00000000-0005-0000-0000-0000E52D0000}"/>
    <cellStyle name="Normal 2 2 2 2 2 2 33 2 9" xfId="11793" xr:uid="{00000000-0005-0000-0000-0000E62D0000}"/>
    <cellStyle name="Normal 2 2 2 2 2 2 33 3" xfId="11794" xr:uid="{00000000-0005-0000-0000-0000E72D0000}"/>
    <cellStyle name="Normal 2 2 2 2 2 2 33 3 10" xfId="11795" xr:uid="{00000000-0005-0000-0000-0000E82D0000}"/>
    <cellStyle name="Normal 2 2 2 2 2 2 33 3 2" xfId="11796" xr:uid="{00000000-0005-0000-0000-0000E92D0000}"/>
    <cellStyle name="Normal 2 2 2 2 2 2 33 3 3" xfId="11797" xr:uid="{00000000-0005-0000-0000-0000EA2D0000}"/>
    <cellStyle name="Normal 2 2 2 2 2 2 33 3 4" xfId="11798" xr:uid="{00000000-0005-0000-0000-0000EB2D0000}"/>
    <cellStyle name="Normal 2 2 2 2 2 2 33 3 5" xfId="11799" xr:uid="{00000000-0005-0000-0000-0000EC2D0000}"/>
    <cellStyle name="Normal 2 2 2 2 2 2 33 3 6" xfId="11800" xr:uid="{00000000-0005-0000-0000-0000ED2D0000}"/>
    <cellStyle name="Normal 2 2 2 2 2 2 33 3 7" xfId="11801" xr:uid="{00000000-0005-0000-0000-0000EE2D0000}"/>
    <cellStyle name="Normal 2 2 2 2 2 2 33 3 8" xfId="11802" xr:uid="{00000000-0005-0000-0000-0000EF2D0000}"/>
    <cellStyle name="Normal 2 2 2 2 2 2 33 3 9" xfId="11803" xr:uid="{00000000-0005-0000-0000-0000F02D0000}"/>
    <cellStyle name="Normal 2 2 2 2 2 2 33 4" xfId="11804" xr:uid="{00000000-0005-0000-0000-0000F12D0000}"/>
    <cellStyle name="Normal 2 2 2 2 2 2 33 4 10" xfId="11805" xr:uid="{00000000-0005-0000-0000-0000F22D0000}"/>
    <cellStyle name="Normal 2 2 2 2 2 2 33 4 2" xfId="11806" xr:uid="{00000000-0005-0000-0000-0000F32D0000}"/>
    <cellStyle name="Normal 2 2 2 2 2 2 33 4 3" xfId="11807" xr:uid="{00000000-0005-0000-0000-0000F42D0000}"/>
    <cellStyle name="Normal 2 2 2 2 2 2 33 4 4" xfId="11808" xr:uid="{00000000-0005-0000-0000-0000F52D0000}"/>
    <cellStyle name="Normal 2 2 2 2 2 2 33 4 5" xfId="11809" xr:uid="{00000000-0005-0000-0000-0000F62D0000}"/>
    <cellStyle name="Normal 2 2 2 2 2 2 33 4 6" xfId="11810" xr:uid="{00000000-0005-0000-0000-0000F72D0000}"/>
    <cellStyle name="Normal 2 2 2 2 2 2 33 4 7" xfId="11811" xr:uid="{00000000-0005-0000-0000-0000F82D0000}"/>
    <cellStyle name="Normal 2 2 2 2 2 2 33 4 8" xfId="11812" xr:uid="{00000000-0005-0000-0000-0000F92D0000}"/>
    <cellStyle name="Normal 2 2 2 2 2 2 33 4 9" xfId="11813" xr:uid="{00000000-0005-0000-0000-0000FA2D0000}"/>
    <cellStyle name="Normal 2 2 2 2 2 2 33 5" xfId="11814" xr:uid="{00000000-0005-0000-0000-0000FB2D0000}"/>
    <cellStyle name="Normal 2 2 2 2 2 2 33 5 10" xfId="11815" xr:uid="{00000000-0005-0000-0000-0000FC2D0000}"/>
    <cellStyle name="Normal 2 2 2 2 2 2 33 5 2" xfId="11816" xr:uid="{00000000-0005-0000-0000-0000FD2D0000}"/>
    <cellStyle name="Normal 2 2 2 2 2 2 33 5 3" xfId="11817" xr:uid="{00000000-0005-0000-0000-0000FE2D0000}"/>
    <cellStyle name="Normal 2 2 2 2 2 2 33 5 4" xfId="11818" xr:uid="{00000000-0005-0000-0000-0000FF2D0000}"/>
    <cellStyle name="Normal 2 2 2 2 2 2 33 5 5" xfId="11819" xr:uid="{00000000-0005-0000-0000-0000002E0000}"/>
    <cellStyle name="Normal 2 2 2 2 2 2 33 5 6" xfId="11820" xr:uid="{00000000-0005-0000-0000-0000012E0000}"/>
    <cellStyle name="Normal 2 2 2 2 2 2 33 5 7" xfId="11821" xr:uid="{00000000-0005-0000-0000-0000022E0000}"/>
    <cellStyle name="Normal 2 2 2 2 2 2 33 5 8" xfId="11822" xr:uid="{00000000-0005-0000-0000-0000032E0000}"/>
    <cellStyle name="Normal 2 2 2 2 2 2 33 5 9" xfId="11823" xr:uid="{00000000-0005-0000-0000-0000042E0000}"/>
    <cellStyle name="Normal 2 2 2 2 2 2 33 6" xfId="11824" xr:uid="{00000000-0005-0000-0000-0000052E0000}"/>
    <cellStyle name="Normal 2 2 2 2 2 2 33 7" xfId="11825" xr:uid="{00000000-0005-0000-0000-0000062E0000}"/>
    <cellStyle name="Normal 2 2 2 2 2 2 33 8" xfId="11826" xr:uid="{00000000-0005-0000-0000-0000072E0000}"/>
    <cellStyle name="Normal 2 2 2 2 2 2 33 9" xfId="11827" xr:uid="{00000000-0005-0000-0000-0000082E0000}"/>
    <cellStyle name="Normal 2 2 2 2 2 2 34" xfId="11828" xr:uid="{00000000-0005-0000-0000-0000092E0000}"/>
    <cellStyle name="Normal 2 2 2 2 2 2 34 10" xfId="11829" xr:uid="{00000000-0005-0000-0000-00000A2E0000}"/>
    <cellStyle name="Normal 2 2 2 2 2 2 34 2" xfId="11830" xr:uid="{00000000-0005-0000-0000-00000B2E0000}"/>
    <cellStyle name="Normal 2 2 2 2 2 2 34 3" xfId="11831" xr:uid="{00000000-0005-0000-0000-00000C2E0000}"/>
    <cellStyle name="Normal 2 2 2 2 2 2 34 4" xfId="11832" xr:uid="{00000000-0005-0000-0000-00000D2E0000}"/>
    <cellStyle name="Normal 2 2 2 2 2 2 34 5" xfId="11833" xr:uid="{00000000-0005-0000-0000-00000E2E0000}"/>
    <cellStyle name="Normal 2 2 2 2 2 2 34 6" xfId="11834" xr:uid="{00000000-0005-0000-0000-00000F2E0000}"/>
    <cellStyle name="Normal 2 2 2 2 2 2 34 7" xfId="11835" xr:uid="{00000000-0005-0000-0000-0000102E0000}"/>
    <cellStyle name="Normal 2 2 2 2 2 2 34 8" xfId="11836" xr:uid="{00000000-0005-0000-0000-0000112E0000}"/>
    <cellStyle name="Normal 2 2 2 2 2 2 34 9" xfId="11837" xr:uid="{00000000-0005-0000-0000-0000122E0000}"/>
    <cellStyle name="Normal 2 2 2 2 2 2 35" xfId="11838" xr:uid="{00000000-0005-0000-0000-0000132E0000}"/>
    <cellStyle name="Normal 2 2 2 2 2 2 35 10" xfId="11839" xr:uid="{00000000-0005-0000-0000-0000142E0000}"/>
    <cellStyle name="Normal 2 2 2 2 2 2 35 2" xfId="11840" xr:uid="{00000000-0005-0000-0000-0000152E0000}"/>
    <cellStyle name="Normal 2 2 2 2 2 2 35 3" xfId="11841" xr:uid="{00000000-0005-0000-0000-0000162E0000}"/>
    <cellStyle name="Normal 2 2 2 2 2 2 35 4" xfId="11842" xr:uid="{00000000-0005-0000-0000-0000172E0000}"/>
    <cellStyle name="Normal 2 2 2 2 2 2 35 5" xfId="11843" xr:uid="{00000000-0005-0000-0000-0000182E0000}"/>
    <cellStyle name="Normal 2 2 2 2 2 2 35 6" xfId="11844" xr:uid="{00000000-0005-0000-0000-0000192E0000}"/>
    <cellStyle name="Normal 2 2 2 2 2 2 35 7" xfId="11845" xr:uid="{00000000-0005-0000-0000-00001A2E0000}"/>
    <cellStyle name="Normal 2 2 2 2 2 2 35 8" xfId="11846" xr:uid="{00000000-0005-0000-0000-00001B2E0000}"/>
    <cellStyle name="Normal 2 2 2 2 2 2 35 9" xfId="11847" xr:uid="{00000000-0005-0000-0000-00001C2E0000}"/>
    <cellStyle name="Normal 2 2 2 2 2 2 36" xfId="11848" xr:uid="{00000000-0005-0000-0000-00001D2E0000}"/>
    <cellStyle name="Normal 2 2 2 2 2 2 36 10" xfId="11849" xr:uid="{00000000-0005-0000-0000-00001E2E0000}"/>
    <cellStyle name="Normal 2 2 2 2 2 2 36 2" xfId="11850" xr:uid="{00000000-0005-0000-0000-00001F2E0000}"/>
    <cellStyle name="Normal 2 2 2 2 2 2 36 3" xfId="11851" xr:uid="{00000000-0005-0000-0000-0000202E0000}"/>
    <cellStyle name="Normal 2 2 2 2 2 2 36 4" xfId="11852" xr:uid="{00000000-0005-0000-0000-0000212E0000}"/>
    <cellStyle name="Normal 2 2 2 2 2 2 36 5" xfId="11853" xr:uid="{00000000-0005-0000-0000-0000222E0000}"/>
    <cellStyle name="Normal 2 2 2 2 2 2 36 6" xfId="11854" xr:uid="{00000000-0005-0000-0000-0000232E0000}"/>
    <cellStyle name="Normal 2 2 2 2 2 2 36 7" xfId="11855" xr:uid="{00000000-0005-0000-0000-0000242E0000}"/>
    <cellStyle name="Normal 2 2 2 2 2 2 36 8" xfId="11856" xr:uid="{00000000-0005-0000-0000-0000252E0000}"/>
    <cellStyle name="Normal 2 2 2 2 2 2 36 9" xfId="11857" xr:uid="{00000000-0005-0000-0000-0000262E0000}"/>
    <cellStyle name="Normal 2 2 2 2 2 2 37" xfId="11858" xr:uid="{00000000-0005-0000-0000-0000272E0000}"/>
    <cellStyle name="Normal 2 2 2 2 2 2 37 10" xfId="11859" xr:uid="{00000000-0005-0000-0000-0000282E0000}"/>
    <cellStyle name="Normal 2 2 2 2 2 2 37 2" xfId="11860" xr:uid="{00000000-0005-0000-0000-0000292E0000}"/>
    <cellStyle name="Normal 2 2 2 2 2 2 37 3" xfId="11861" xr:uid="{00000000-0005-0000-0000-00002A2E0000}"/>
    <cellStyle name="Normal 2 2 2 2 2 2 37 4" xfId="11862" xr:uid="{00000000-0005-0000-0000-00002B2E0000}"/>
    <cellStyle name="Normal 2 2 2 2 2 2 37 5" xfId="11863" xr:uid="{00000000-0005-0000-0000-00002C2E0000}"/>
    <cellStyle name="Normal 2 2 2 2 2 2 37 6" xfId="11864" xr:uid="{00000000-0005-0000-0000-00002D2E0000}"/>
    <cellStyle name="Normal 2 2 2 2 2 2 37 7" xfId="11865" xr:uid="{00000000-0005-0000-0000-00002E2E0000}"/>
    <cellStyle name="Normal 2 2 2 2 2 2 37 8" xfId="11866" xr:uid="{00000000-0005-0000-0000-00002F2E0000}"/>
    <cellStyle name="Normal 2 2 2 2 2 2 37 9" xfId="11867" xr:uid="{00000000-0005-0000-0000-0000302E0000}"/>
    <cellStyle name="Normal 2 2 2 2 2 2 38" xfId="11868" xr:uid="{00000000-0005-0000-0000-0000312E0000}"/>
    <cellStyle name="Normal 2 2 2 2 2 2 39" xfId="11869" xr:uid="{00000000-0005-0000-0000-0000322E0000}"/>
    <cellStyle name="Normal 2 2 2 2 2 2 4" xfId="11870" xr:uid="{00000000-0005-0000-0000-0000332E0000}"/>
    <cellStyle name="Normal 2 2 2 2 2 2 4 10" xfId="11871" xr:uid="{00000000-0005-0000-0000-0000342E0000}"/>
    <cellStyle name="Normal 2 2 2 2 2 2 4 11" xfId="11872" xr:uid="{00000000-0005-0000-0000-0000352E0000}"/>
    <cellStyle name="Normal 2 2 2 2 2 2 4 12" xfId="11873" xr:uid="{00000000-0005-0000-0000-0000362E0000}"/>
    <cellStyle name="Normal 2 2 2 2 2 2 4 13" xfId="11874" xr:uid="{00000000-0005-0000-0000-0000372E0000}"/>
    <cellStyle name="Normal 2 2 2 2 2 2 4 14" xfId="11875" xr:uid="{00000000-0005-0000-0000-0000382E0000}"/>
    <cellStyle name="Normal 2 2 2 2 2 2 4 2" xfId="11876" xr:uid="{00000000-0005-0000-0000-0000392E0000}"/>
    <cellStyle name="Normal 2 2 2 2 2 2 4 2 10" xfId="11877" xr:uid="{00000000-0005-0000-0000-00003A2E0000}"/>
    <cellStyle name="Normal 2 2 2 2 2 2 4 2 2" xfId="11878" xr:uid="{00000000-0005-0000-0000-00003B2E0000}"/>
    <cellStyle name="Normal 2 2 2 2 2 2 4 2 3" xfId="11879" xr:uid="{00000000-0005-0000-0000-00003C2E0000}"/>
    <cellStyle name="Normal 2 2 2 2 2 2 4 2 4" xfId="11880" xr:uid="{00000000-0005-0000-0000-00003D2E0000}"/>
    <cellStyle name="Normal 2 2 2 2 2 2 4 2 5" xfId="11881" xr:uid="{00000000-0005-0000-0000-00003E2E0000}"/>
    <cellStyle name="Normal 2 2 2 2 2 2 4 2 6" xfId="11882" xr:uid="{00000000-0005-0000-0000-00003F2E0000}"/>
    <cellStyle name="Normal 2 2 2 2 2 2 4 2 7" xfId="11883" xr:uid="{00000000-0005-0000-0000-0000402E0000}"/>
    <cellStyle name="Normal 2 2 2 2 2 2 4 2 8" xfId="11884" xr:uid="{00000000-0005-0000-0000-0000412E0000}"/>
    <cellStyle name="Normal 2 2 2 2 2 2 4 2 9" xfId="11885" xr:uid="{00000000-0005-0000-0000-0000422E0000}"/>
    <cellStyle name="Normal 2 2 2 2 2 2 4 3" xfId="11886" xr:uid="{00000000-0005-0000-0000-0000432E0000}"/>
    <cellStyle name="Normal 2 2 2 2 2 2 4 3 10" xfId="11887" xr:uid="{00000000-0005-0000-0000-0000442E0000}"/>
    <cellStyle name="Normal 2 2 2 2 2 2 4 3 2" xfId="11888" xr:uid="{00000000-0005-0000-0000-0000452E0000}"/>
    <cellStyle name="Normal 2 2 2 2 2 2 4 3 3" xfId="11889" xr:uid="{00000000-0005-0000-0000-0000462E0000}"/>
    <cellStyle name="Normal 2 2 2 2 2 2 4 3 4" xfId="11890" xr:uid="{00000000-0005-0000-0000-0000472E0000}"/>
    <cellStyle name="Normal 2 2 2 2 2 2 4 3 5" xfId="11891" xr:uid="{00000000-0005-0000-0000-0000482E0000}"/>
    <cellStyle name="Normal 2 2 2 2 2 2 4 3 6" xfId="11892" xr:uid="{00000000-0005-0000-0000-0000492E0000}"/>
    <cellStyle name="Normal 2 2 2 2 2 2 4 3 7" xfId="11893" xr:uid="{00000000-0005-0000-0000-00004A2E0000}"/>
    <cellStyle name="Normal 2 2 2 2 2 2 4 3 8" xfId="11894" xr:uid="{00000000-0005-0000-0000-00004B2E0000}"/>
    <cellStyle name="Normal 2 2 2 2 2 2 4 3 9" xfId="11895" xr:uid="{00000000-0005-0000-0000-00004C2E0000}"/>
    <cellStyle name="Normal 2 2 2 2 2 2 4 4" xfId="11896" xr:uid="{00000000-0005-0000-0000-00004D2E0000}"/>
    <cellStyle name="Normal 2 2 2 2 2 2 4 4 10" xfId="11897" xr:uid="{00000000-0005-0000-0000-00004E2E0000}"/>
    <cellStyle name="Normal 2 2 2 2 2 2 4 4 2" xfId="11898" xr:uid="{00000000-0005-0000-0000-00004F2E0000}"/>
    <cellStyle name="Normal 2 2 2 2 2 2 4 4 3" xfId="11899" xr:uid="{00000000-0005-0000-0000-0000502E0000}"/>
    <cellStyle name="Normal 2 2 2 2 2 2 4 4 4" xfId="11900" xr:uid="{00000000-0005-0000-0000-0000512E0000}"/>
    <cellStyle name="Normal 2 2 2 2 2 2 4 4 5" xfId="11901" xr:uid="{00000000-0005-0000-0000-0000522E0000}"/>
    <cellStyle name="Normal 2 2 2 2 2 2 4 4 6" xfId="11902" xr:uid="{00000000-0005-0000-0000-0000532E0000}"/>
    <cellStyle name="Normal 2 2 2 2 2 2 4 4 7" xfId="11903" xr:uid="{00000000-0005-0000-0000-0000542E0000}"/>
    <cellStyle name="Normal 2 2 2 2 2 2 4 4 8" xfId="11904" xr:uid="{00000000-0005-0000-0000-0000552E0000}"/>
    <cellStyle name="Normal 2 2 2 2 2 2 4 4 9" xfId="11905" xr:uid="{00000000-0005-0000-0000-0000562E0000}"/>
    <cellStyle name="Normal 2 2 2 2 2 2 4 5" xfId="11906" xr:uid="{00000000-0005-0000-0000-0000572E0000}"/>
    <cellStyle name="Normal 2 2 2 2 2 2 4 5 10" xfId="11907" xr:uid="{00000000-0005-0000-0000-0000582E0000}"/>
    <cellStyle name="Normal 2 2 2 2 2 2 4 5 2" xfId="11908" xr:uid="{00000000-0005-0000-0000-0000592E0000}"/>
    <cellStyle name="Normal 2 2 2 2 2 2 4 5 3" xfId="11909" xr:uid="{00000000-0005-0000-0000-00005A2E0000}"/>
    <cellStyle name="Normal 2 2 2 2 2 2 4 5 4" xfId="11910" xr:uid="{00000000-0005-0000-0000-00005B2E0000}"/>
    <cellStyle name="Normal 2 2 2 2 2 2 4 5 5" xfId="11911" xr:uid="{00000000-0005-0000-0000-00005C2E0000}"/>
    <cellStyle name="Normal 2 2 2 2 2 2 4 5 6" xfId="11912" xr:uid="{00000000-0005-0000-0000-00005D2E0000}"/>
    <cellStyle name="Normal 2 2 2 2 2 2 4 5 7" xfId="11913" xr:uid="{00000000-0005-0000-0000-00005E2E0000}"/>
    <cellStyle name="Normal 2 2 2 2 2 2 4 5 8" xfId="11914" xr:uid="{00000000-0005-0000-0000-00005F2E0000}"/>
    <cellStyle name="Normal 2 2 2 2 2 2 4 5 9" xfId="11915" xr:uid="{00000000-0005-0000-0000-0000602E0000}"/>
    <cellStyle name="Normal 2 2 2 2 2 2 4 6" xfId="11916" xr:uid="{00000000-0005-0000-0000-0000612E0000}"/>
    <cellStyle name="Normal 2 2 2 2 2 2 4 7" xfId="11917" xr:uid="{00000000-0005-0000-0000-0000622E0000}"/>
    <cellStyle name="Normal 2 2 2 2 2 2 4 8" xfId="11918" xr:uid="{00000000-0005-0000-0000-0000632E0000}"/>
    <cellStyle name="Normal 2 2 2 2 2 2 4 9" xfId="11919" xr:uid="{00000000-0005-0000-0000-0000642E0000}"/>
    <cellStyle name="Normal 2 2 2 2 2 2 40" xfId="11920" xr:uid="{00000000-0005-0000-0000-0000652E0000}"/>
    <cellStyle name="Normal 2 2 2 2 2 2 41" xfId="11921" xr:uid="{00000000-0005-0000-0000-0000662E0000}"/>
    <cellStyle name="Normal 2 2 2 2 2 2 42" xfId="11922" xr:uid="{00000000-0005-0000-0000-0000672E0000}"/>
    <cellStyle name="Normal 2 2 2 2 2 2 43" xfId="11923" xr:uid="{00000000-0005-0000-0000-0000682E0000}"/>
    <cellStyle name="Normal 2 2 2 2 2 2 44" xfId="11924" xr:uid="{00000000-0005-0000-0000-0000692E0000}"/>
    <cellStyle name="Normal 2 2 2 2 2 2 45" xfId="11925" xr:uid="{00000000-0005-0000-0000-00006A2E0000}"/>
    <cellStyle name="Normal 2 2 2 2 2 2 46" xfId="11926" xr:uid="{00000000-0005-0000-0000-00006B2E0000}"/>
    <cellStyle name="Normal 2 2 2 2 2 2 47" xfId="11927" xr:uid="{00000000-0005-0000-0000-00006C2E0000}"/>
    <cellStyle name="Normal 2 2 2 2 2 2 48" xfId="11928" xr:uid="{00000000-0005-0000-0000-00006D2E0000}"/>
    <cellStyle name="Normal 2 2 2 2 2 2 5" xfId="11929" xr:uid="{00000000-0005-0000-0000-00006E2E0000}"/>
    <cellStyle name="Normal 2 2 2 2 2 2 5 10" xfId="11930" xr:uid="{00000000-0005-0000-0000-00006F2E0000}"/>
    <cellStyle name="Normal 2 2 2 2 2 2 5 11" xfId="11931" xr:uid="{00000000-0005-0000-0000-0000702E0000}"/>
    <cellStyle name="Normal 2 2 2 2 2 2 5 12" xfId="11932" xr:uid="{00000000-0005-0000-0000-0000712E0000}"/>
    <cellStyle name="Normal 2 2 2 2 2 2 5 13" xfId="11933" xr:uid="{00000000-0005-0000-0000-0000722E0000}"/>
    <cellStyle name="Normal 2 2 2 2 2 2 5 14" xfId="11934" xr:uid="{00000000-0005-0000-0000-0000732E0000}"/>
    <cellStyle name="Normal 2 2 2 2 2 2 5 2" xfId="11935" xr:uid="{00000000-0005-0000-0000-0000742E0000}"/>
    <cellStyle name="Normal 2 2 2 2 2 2 5 2 10" xfId="11936" xr:uid="{00000000-0005-0000-0000-0000752E0000}"/>
    <cellStyle name="Normal 2 2 2 2 2 2 5 2 2" xfId="11937" xr:uid="{00000000-0005-0000-0000-0000762E0000}"/>
    <cellStyle name="Normal 2 2 2 2 2 2 5 2 3" xfId="11938" xr:uid="{00000000-0005-0000-0000-0000772E0000}"/>
    <cellStyle name="Normal 2 2 2 2 2 2 5 2 4" xfId="11939" xr:uid="{00000000-0005-0000-0000-0000782E0000}"/>
    <cellStyle name="Normal 2 2 2 2 2 2 5 2 5" xfId="11940" xr:uid="{00000000-0005-0000-0000-0000792E0000}"/>
    <cellStyle name="Normal 2 2 2 2 2 2 5 2 6" xfId="11941" xr:uid="{00000000-0005-0000-0000-00007A2E0000}"/>
    <cellStyle name="Normal 2 2 2 2 2 2 5 2 7" xfId="11942" xr:uid="{00000000-0005-0000-0000-00007B2E0000}"/>
    <cellStyle name="Normal 2 2 2 2 2 2 5 2 8" xfId="11943" xr:uid="{00000000-0005-0000-0000-00007C2E0000}"/>
    <cellStyle name="Normal 2 2 2 2 2 2 5 2 9" xfId="11944" xr:uid="{00000000-0005-0000-0000-00007D2E0000}"/>
    <cellStyle name="Normal 2 2 2 2 2 2 5 3" xfId="11945" xr:uid="{00000000-0005-0000-0000-00007E2E0000}"/>
    <cellStyle name="Normal 2 2 2 2 2 2 5 3 10" xfId="11946" xr:uid="{00000000-0005-0000-0000-00007F2E0000}"/>
    <cellStyle name="Normal 2 2 2 2 2 2 5 3 2" xfId="11947" xr:uid="{00000000-0005-0000-0000-0000802E0000}"/>
    <cellStyle name="Normal 2 2 2 2 2 2 5 3 3" xfId="11948" xr:uid="{00000000-0005-0000-0000-0000812E0000}"/>
    <cellStyle name="Normal 2 2 2 2 2 2 5 3 4" xfId="11949" xr:uid="{00000000-0005-0000-0000-0000822E0000}"/>
    <cellStyle name="Normal 2 2 2 2 2 2 5 3 5" xfId="11950" xr:uid="{00000000-0005-0000-0000-0000832E0000}"/>
    <cellStyle name="Normal 2 2 2 2 2 2 5 3 6" xfId="11951" xr:uid="{00000000-0005-0000-0000-0000842E0000}"/>
    <cellStyle name="Normal 2 2 2 2 2 2 5 3 7" xfId="11952" xr:uid="{00000000-0005-0000-0000-0000852E0000}"/>
    <cellStyle name="Normal 2 2 2 2 2 2 5 3 8" xfId="11953" xr:uid="{00000000-0005-0000-0000-0000862E0000}"/>
    <cellStyle name="Normal 2 2 2 2 2 2 5 3 9" xfId="11954" xr:uid="{00000000-0005-0000-0000-0000872E0000}"/>
    <cellStyle name="Normal 2 2 2 2 2 2 5 4" xfId="11955" xr:uid="{00000000-0005-0000-0000-0000882E0000}"/>
    <cellStyle name="Normal 2 2 2 2 2 2 5 4 10" xfId="11956" xr:uid="{00000000-0005-0000-0000-0000892E0000}"/>
    <cellStyle name="Normal 2 2 2 2 2 2 5 4 2" xfId="11957" xr:uid="{00000000-0005-0000-0000-00008A2E0000}"/>
    <cellStyle name="Normal 2 2 2 2 2 2 5 4 3" xfId="11958" xr:uid="{00000000-0005-0000-0000-00008B2E0000}"/>
    <cellStyle name="Normal 2 2 2 2 2 2 5 4 4" xfId="11959" xr:uid="{00000000-0005-0000-0000-00008C2E0000}"/>
    <cellStyle name="Normal 2 2 2 2 2 2 5 4 5" xfId="11960" xr:uid="{00000000-0005-0000-0000-00008D2E0000}"/>
    <cellStyle name="Normal 2 2 2 2 2 2 5 4 6" xfId="11961" xr:uid="{00000000-0005-0000-0000-00008E2E0000}"/>
    <cellStyle name="Normal 2 2 2 2 2 2 5 4 7" xfId="11962" xr:uid="{00000000-0005-0000-0000-00008F2E0000}"/>
    <cellStyle name="Normal 2 2 2 2 2 2 5 4 8" xfId="11963" xr:uid="{00000000-0005-0000-0000-0000902E0000}"/>
    <cellStyle name="Normal 2 2 2 2 2 2 5 4 9" xfId="11964" xr:uid="{00000000-0005-0000-0000-0000912E0000}"/>
    <cellStyle name="Normal 2 2 2 2 2 2 5 5" xfId="11965" xr:uid="{00000000-0005-0000-0000-0000922E0000}"/>
    <cellStyle name="Normal 2 2 2 2 2 2 5 5 10" xfId="11966" xr:uid="{00000000-0005-0000-0000-0000932E0000}"/>
    <cellStyle name="Normal 2 2 2 2 2 2 5 5 2" xfId="11967" xr:uid="{00000000-0005-0000-0000-0000942E0000}"/>
    <cellStyle name="Normal 2 2 2 2 2 2 5 5 3" xfId="11968" xr:uid="{00000000-0005-0000-0000-0000952E0000}"/>
    <cellStyle name="Normal 2 2 2 2 2 2 5 5 4" xfId="11969" xr:uid="{00000000-0005-0000-0000-0000962E0000}"/>
    <cellStyle name="Normal 2 2 2 2 2 2 5 5 5" xfId="11970" xr:uid="{00000000-0005-0000-0000-0000972E0000}"/>
    <cellStyle name="Normal 2 2 2 2 2 2 5 5 6" xfId="11971" xr:uid="{00000000-0005-0000-0000-0000982E0000}"/>
    <cellStyle name="Normal 2 2 2 2 2 2 5 5 7" xfId="11972" xr:uid="{00000000-0005-0000-0000-0000992E0000}"/>
    <cellStyle name="Normal 2 2 2 2 2 2 5 5 8" xfId="11973" xr:uid="{00000000-0005-0000-0000-00009A2E0000}"/>
    <cellStyle name="Normal 2 2 2 2 2 2 5 5 9" xfId="11974" xr:uid="{00000000-0005-0000-0000-00009B2E0000}"/>
    <cellStyle name="Normal 2 2 2 2 2 2 5 6" xfId="11975" xr:uid="{00000000-0005-0000-0000-00009C2E0000}"/>
    <cellStyle name="Normal 2 2 2 2 2 2 5 7" xfId="11976" xr:uid="{00000000-0005-0000-0000-00009D2E0000}"/>
    <cellStyle name="Normal 2 2 2 2 2 2 5 8" xfId="11977" xr:uid="{00000000-0005-0000-0000-00009E2E0000}"/>
    <cellStyle name="Normal 2 2 2 2 2 2 5 9" xfId="11978" xr:uid="{00000000-0005-0000-0000-00009F2E0000}"/>
    <cellStyle name="Normal 2 2 2 2 2 2 6" xfId="11979" xr:uid="{00000000-0005-0000-0000-0000A02E0000}"/>
    <cellStyle name="Normal 2 2 2 2 2 2 6 10" xfId="11980" xr:uid="{00000000-0005-0000-0000-0000A12E0000}"/>
    <cellStyle name="Normal 2 2 2 2 2 2 6 11" xfId="11981" xr:uid="{00000000-0005-0000-0000-0000A22E0000}"/>
    <cellStyle name="Normal 2 2 2 2 2 2 6 12" xfId="11982" xr:uid="{00000000-0005-0000-0000-0000A32E0000}"/>
    <cellStyle name="Normal 2 2 2 2 2 2 6 13" xfId="11983" xr:uid="{00000000-0005-0000-0000-0000A42E0000}"/>
    <cellStyle name="Normal 2 2 2 2 2 2 6 14" xfId="11984" xr:uid="{00000000-0005-0000-0000-0000A52E0000}"/>
    <cellStyle name="Normal 2 2 2 2 2 2 6 2" xfId="11985" xr:uid="{00000000-0005-0000-0000-0000A62E0000}"/>
    <cellStyle name="Normal 2 2 2 2 2 2 6 2 10" xfId="11986" xr:uid="{00000000-0005-0000-0000-0000A72E0000}"/>
    <cellStyle name="Normal 2 2 2 2 2 2 6 2 2" xfId="11987" xr:uid="{00000000-0005-0000-0000-0000A82E0000}"/>
    <cellStyle name="Normal 2 2 2 2 2 2 6 2 3" xfId="11988" xr:uid="{00000000-0005-0000-0000-0000A92E0000}"/>
    <cellStyle name="Normal 2 2 2 2 2 2 6 2 4" xfId="11989" xr:uid="{00000000-0005-0000-0000-0000AA2E0000}"/>
    <cellStyle name="Normal 2 2 2 2 2 2 6 2 5" xfId="11990" xr:uid="{00000000-0005-0000-0000-0000AB2E0000}"/>
    <cellStyle name="Normal 2 2 2 2 2 2 6 2 6" xfId="11991" xr:uid="{00000000-0005-0000-0000-0000AC2E0000}"/>
    <cellStyle name="Normal 2 2 2 2 2 2 6 2 7" xfId="11992" xr:uid="{00000000-0005-0000-0000-0000AD2E0000}"/>
    <cellStyle name="Normal 2 2 2 2 2 2 6 2 8" xfId="11993" xr:uid="{00000000-0005-0000-0000-0000AE2E0000}"/>
    <cellStyle name="Normal 2 2 2 2 2 2 6 2 9" xfId="11994" xr:uid="{00000000-0005-0000-0000-0000AF2E0000}"/>
    <cellStyle name="Normal 2 2 2 2 2 2 6 3" xfId="11995" xr:uid="{00000000-0005-0000-0000-0000B02E0000}"/>
    <cellStyle name="Normal 2 2 2 2 2 2 6 3 10" xfId="11996" xr:uid="{00000000-0005-0000-0000-0000B12E0000}"/>
    <cellStyle name="Normal 2 2 2 2 2 2 6 3 2" xfId="11997" xr:uid="{00000000-0005-0000-0000-0000B22E0000}"/>
    <cellStyle name="Normal 2 2 2 2 2 2 6 3 3" xfId="11998" xr:uid="{00000000-0005-0000-0000-0000B32E0000}"/>
    <cellStyle name="Normal 2 2 2 2 2 2 6 3 4" xfId="11999" xr:uid="{00000000-0005-0000-0000-0000B42E0000}"/>
    <cellStyle name="Normal 2 2 2 2 2 2 6 3 5" xfId="12000" xr:uid="{00000000-0005-0000-0000-0000B52E0000}"/>
    <cellStyle name="Normal 2 2 2 2 2 2 6 3 6" xfId="12001" xr:uid="{00000000-0005-0000-0000-0000B62E0000}"/>
    <cellStyle name="Normal 2 2 2 2 2 2 6 3 7" xfId="12002" xr:uid="{00000000-0005-0000-0000-0000B72E0000}"/>
    <cellStyle name="Normal 2 2 2 2 2 2 6 3 8" xfId="12003" xr:uid="{00000000-0005-0000-0000-0000B82E0000}"/>
    <cellStyle name="Normal 2 2 2 2 2 2 6 3 9" xfId="12004" xr:uid="{00000000-0005-0000-0000-0000B92E0000}"/>
    <cellStyle name="Normal 2 2 2 2 2 2 6 4" xfId="12005" xr:uid="{00000000-0005-0000-0000-0000BA2E0000}"/>
    <cellStyle name="Normal 2 2 2 2 2 2 6 4 10" xfId="12006" xr:uid="{00000000-0005-0000-0000-0000BB2E0000}"/>
    <cellStyle name="Normal 2 2 2 2 2 2 6 4 2" xfId="12007" xr:uid="{00000000-0005-0000-0000-0000BC2E0000}"/>
    <cellStyle name="Normal 2 2 2 2 2 2 6 4 3" xfId="12008" xr:uid="{00000000-0005-0000-0000-0000BD2E0000}"/>
    <cellStyle name="Normal 2 2 2 2 2 2 6 4 4" xfId="12009" xr:uid="{00000000-0005-0000-0000-0000BE2E0000}"/>
    <cellStyle name="Normal 2 2 2 2 2 2 6 4 5" xfId="12010" xr:uid="{00000000-0005-0000-0000-0000BF2E0000}"/>
    <cellStyle name="Normal 2 2 2 2 2 2 6 4 6" xfId="12011" xr:uid="{00000000-0005-0000-0000-0000C02E0000}"/>
    <cellStyle name="Normal 2 2 2 2 2 2 6 4 7" xfId="12012" xr:uid="{00000000-0005-0000-0000-0000C12E0000}"/>
    <cellStyle name="Normal 2 2 2 2 2 2 6 4 8" xfId="12013" xr:uid="{00000000-0005-0000-0000-0000C22E0000}"/>
    <cellStyle name="Normal 2 2 2 2 2 2 6 4 9" xfId="12014" xr:uid="{00000000-0005-0000-0000-0000C32E0000}"/>
    <cellStyle name="Normal 2 2 2 2 2 2 6 5" xfId="12015" xr:uid="{00000000-0005-0000-0000-0000C42E0000}"/>
    <cellStyle name="Normal 2 2 2 2 2 2 6 5 10" xfId="12016" xr:uid="{00000000-0005-0000-0000-0000C52E0000}"/>
    <cellStyle name="Normal 2 2 2 2 2 2 6 5 2" xfId="12017" xr:uid="{00000000-0005-0000-0000-0000C62E0000}"/>
    <cellStyle name="Normal 2 2 2 2 2 2 6 5 3" xfId="12018" xr:uid="{00000000-0005-0000-0000-0000C72E0000}"/>
    <cellStyle name="Normal 2 2 2 2 2 2 6 5 4" xfId="12019" xr:uid="{00000000-0005-0000-0000-0000C82E0000}"/>
    <cellStyle name="Normal 2 2 2 2 2 2 6 5 5" xfId="12020" xr:uid="{00000000-0005-0000-0000-0000C92E0000}"/>
    <cellStyle name="Normal 2 2 2 2 2 2 6 5 6" xfId="12021" xr:uid="{00000000-0005-0000-0000-0000CA2E0000}"/>
    <cellStyle name="Normal 2 2 2 2 2 2 6 5 7" xfId="12022" xr:uid="{00000000-0005-0000-0000-0000CB2E0000}"/>
    <cellStyle name="Normal 2 2 2 2 2 2 6 5 8" xfId="12023" xr:uid="{00000000-0005-0000-0000-0000CC2E0000}"/>
    <cellStyle name="Normal 2 2 2 2 2 2 6 5 9" xfId="12024" xr:uid="{00000000-0005-0000-0000-0000CD2E0000}"/>
    <cellStyle name="Normal 2 2 2 2 2 2 6 6" xfId="12025" xr:uid="{00000000-0005-0000-0000-0000CE2E0000}"/>
    <cellStyle name="Normal 2 2 2 2 2 2 6 7" xfId="12026" xr:uid="{00000000-0005-0000-0000-0000CF2E0000}"/>
    <cellStyle name="Normal 2 2 2 2 2 2 6 8" xfId="12027" xr:uid="{00000000-0005-0000-0000-0000D02E0000}"/>
    <cellStyle name="Normal 2 2 2 2 2 2 6 9" xfId="12028" xr:uid="{00000000-0005-0000-0000-0000D12E0000}"/>
    <cellStyle name="Normal 2 2 2 2 2 2 7" xfId="12029" xr:uid="{00000000-0005-0000-0000-0000D22E0000}"/>
    <cellStyle name="Normal 2 2 2 2 2 2 7 10" xfId="12030" xr:uid="{00000000-0005-0000-0000-0000D32E0000}"/>
    <cellStyle name="Normal 2 2 2 2 2 2 7 11" xfId="12031" xr:uid="{00000000-0005-0000-0000-0000D42E0000}"/>
    <cellStyle name="Normal 2 2 2 2 2 2 7 12" xfId="12032" xr:uid="{00000000-0005-0000-0000-0000D52E0000}"/>
    <cellStyle name="Normal 2 2 2 2 2 2 7 13" xfId="12033" xr:uid="{00000000-0005-0000-0000-0000D62E0000}"/>
    <cellStyle name="Normal 2 2 2 2 2 2 7 14" xfId="12034" xr:uid="{00000000-0005-0000-0000-0000D72E0000}"/>
    <cellStyle name="Normal 2 2 2 2 2 2 7 2" xfId="12035" xr:uid="{00000000-0005-0000-0000-0000D82E0000}"/>
    <cellStyle name="Normal 2 2 2 2 2 2 7 2 10" xfId="12036" xr:uid="{00000000-0005-0000-0000-0000D92E0000}"/>
    <cellStyle name="Normal 2 2 2 2 2 2 7 2 2" xfId="12037" xr:uid="{00000000-0005-0000-0000-0000DA2E0000}"/>
    <cellStyle name="Normal 2 2 2 2 2 2 7 2 3" xfId="12038" xr:uid="{00000000-0005-0000-0000-0000DB2E0000}"/>
    <cellStyle name="Normal 2 2 2 2 2 2 7 2 4" xfId="12039" xr:uid="{00000000-0005-0000-0000-0000DC2E0000}"/>
    <cellStyle name="Normal 2 2 2 2 2 2 7 2 5" xfId="12040" xr:uid="{00000000-0005-0000-0000-0000DD2E0000}"/>
    <cellStyle name="Normal 2 2 2 2 2 2 7 2 6" xfId="12041" xr:uid="{00000000-0005-0000-0000-0000DE2E0000}"/>
    <cellStyle name="Normal 2 2 2 2 2 2 7 2 7" xfId="12042" xr:uid="{00000000-0005-0000-0000-0000DF2E0000}"/>
    <cellStyle name="Normal 2 2 2 2 2 2 7 2 8" xfId="12043" xr:uid="{00000000-0005-0000-0000-0000E02E0000}"/>
    <cellStyle name="Normal 2 2 2 2 2 2 7 2 9" xfId="12044" xr:uid="{00000000-0005-0000-0000-0000E12E0000}"/>
    <cellStyle name="Normal 2 2 2 2 2 2 7 3" xfId="12045" xr:uid="{00000000-0005-0000-0000-0000E22E0000}"/>
    <cellStyle name="Normal 2 2 2 2 2 2 7 3 10" xfId="12046" xr:uid="{00000000-0005-0000-0000-0000E32E0000}"/>
    <cellStyle name="Normal 2 2 2 2 2 2 7 3 2" xfId="12047" xr:uid="{00000000-0005-0000-0000-0000E42E0000}"/>
    <cellStyle name="Normal 2 2 2 2 2 2 7 3 3" xfId="12048" xr:uid="{00000000-0005-0000-0000-0000E52E0000}"/>
    <cellStyle name="Normal 2 2 2 2 2 2 7 3 4" xfId="12049" xr:uid="{00000000-0005-0000-0000-0000E62E0000}"/>
    <cellStyle name="Normal 2 2 2 2 2 2 7 3 5" xfId="12050" xr:uid="{00000000-0005-0000-0000-0000E72E0000}"/>
    <cellStyle name="Normal 2 2 2 2 2 2 7 3 6" xfId="12051" xr:uid="{00000000-0005-0000-0000-0000E82E0000}"/>
    <cellStyle name="Normal 2 2 2 2 2 2 7 3 7" xfId="12052" xr:uid="{00000000-0005-0000-0000-0000E92E0000}"/>
    <cellStyle name="Normal 2 2 2 2 2 2 7 3 8" xfId="12053" xr:uid="{00000000-0005-0000-0000-0000EA2E0000}"/>
    <cellStyle name="Normal 2 2 2 2 2 2 7 3 9" xfId="12054" xr:uid="{00000000-0005-0000-0000-0000EB2E0000}"/>
    <cellStyle name="Normal 2 2 2 2 2 2 7 4" xfId="12055" xr:uid="{00000000-0005-0000-0000-0000EC2E0000}"/>
    <cellStyle name="Normal 2 2 2 2 2 2 7 4 10" xfId="12056" xr:uid="{00000000-0005-0000-0000-0000ED2E0000}"/>
    <cellStyle name="Normal 2 2 2 2 2 2 7 4 2" xfId="12057" xr:uid="{00000000-0005-0000-0000-0000EE2E0000}"/>
    <cellStyle name="Normal 2 2 2 2 2 2 7 4 3" xfId="12058" xr:uid="{00000000-0005-0000-0000-0000EF2E0000}"/>
    <cellStyle name="Normal 2 2 2 2 2 2 7 4 4" xfId="12059" xr:uid="{00000000-0005-0000-0000-0000F02E0000}"/>
    <cellStyle name="Normal 2 2 2 2 2 2 7 4 5" xfId="12060" xr:uid="{00000000-0005-0000-0000-0000F12E0000}"/>
    <cellStyle name="Normal 2 2 2 2 2 2 7 4 6" xfId="12061" xr:uid="{00000000-0005-0000-0000-0000F22E0000}"/>
    <cellStyle name="Normal 2 2 2 2 2 2 7 4 7" xfId="12062" xr:uid="{00000000-0005-0000-0000-0000F32E0000}"/>
    <cellStyle name="Normal 2 2 2 2 2 2 7 4 8" xfId="12063" xr:uid="{00000000-0005-0000-0000-0000F42E0000}"/>
    <cellStyle name="Normal 2 2 2 2 2 2 7 4 9" xfId="12064" xr:uid="{00000000-0005-0000-0000-0000F52E0000}"/>
    <cellStyle name="Normal 2 2 2 2 2 2 7 5" xfId="12065" xr:uid="{00000000-0005-0000-0000-0000F62E0000}"/>
    <cellStyle name="Normal 2 2 2 2 2 2 7 5 10" xfId="12066" xr:uid="{00000000-0005-0000-0000-0000F72E0000}"/>
    <cellStyle name="Normal 2 2 2 2 2 2 7 5 2" xfId="12067" xr:uid="{00000000-0005-0000-0000-0000F82E0000}"/>
    <cellStyle name="Normal 2 2 2 2 2 2 7 5 3" xfId="12068" xr:uid="{00000000-0005-0000-0000-0000F92E0000}"/>
    <cellStyle name="Normal 2 2 2 2 2 2 7 5 4" xfId="12069" xr:uid="{00000000-0005-0000-0000-0000FA2E0000}"/>
    <cellStyle name="Normal 2 2 2 2 2 2 7 5 5" xfId="12070" xr:uid="{00000000-0005-0000-0000-0000FB2E0000}"/>
    <cellStyle name="Normal 2 2 2 2 2 2 7 5 6" xfId="12071" xr:uid="{00000000-0005-0000-0000-0000FC2E0000}"/>
    <cellStyle name="Normal 2 2 2 2 2 2 7 5 7" xfId="12072" xr:uid="{00000000-0005-0000-0000-0000FD2E0000}"/>
    <cellStyle name="Normal 2 2 2 2 2 2 7 5 8" xfId="12073" xr:uid="{00000000-0005-0000-0000-0000FE2E0000}"/>
    <cellStyle name="Normal 2 2 2 2 2 2 7 5 9" xfId="12074" xr:uid="{00000000-0005-0000-0000-0000FF2E0000}"/>
    <cellStyle name="Normal 2 2 2 2 2 2 7 6" xfId="12075" xr:uid="{00000000-0005-0000-0000-0000002F0000}"/>
    <cellStyle name="Normal 2 2 2 2 2 2 7 7" xfId="12076" xr:uid="{00000000-0005-0000-0000-0000012F0000}"/>
    <cellStyle name="Normal 2 2 2 2 2 2 7 8" xfId="12077" xr:uid="{00000000-0005-0000-0000-0000022F0000}"/>
    <cellStyle name="Normal 2 2 2 2 2 2 7 9" xfId="12078" xr:uid="{00000000-0005-0000-0000-0000032F0000}"/>
    <cellStyle name="Normal 2 2 2 2 2 2 8" xfId="12079" xr:uid="{00000000-0005-0000-0000-0000042F0000}"/>
    <cellStyle name="Normal 2 2 2 2 2 2 8 10" xfId="12080" xr:uid="{00000000-0005-0000-0000-0000052F0000}"/>
    <cellStyle name="Normal 2 2 2 2 2 2 8 11" xfId="12081" xr:uid="{00000000-0005-0000-0000-0000062F0000}"/>
    <cellStyle name="Normal 2 2 2 2 2 2 8 12" xfId="12082" xr:uid="{00000000-0005-0000-0000-0000072F0000}"/>
    <cellStyle name="Normal 2 2 2 2 2 2 8 13" xfId="12083" xr:uid="{00000000-0005-0000-0000-0000082F0000}"/>
    <cellStyle name="Normal 2 2 2 2 2 2 8 14" xfId="12084" xr:uid="{00000000-0005-0000-0000-0000092F0000}"/>
    <cellStyle name="Normal 2 2 2 2 2 2 8 2" xfId="12085" xr:uid="{00000000-0005-0000-0000-00000A2F0000}"/>
    <cellStyle name="Normal 2 2 2 2 2 2 8 2 10" xfId="12086" xr:uid="{00000000-0005-0000-0000-00000B2F0000}"/>
    <cellStyle name="Normal 2 2 2 2 2 2 8 2 2" xfId="12087" xr:uid="{00000000-0005-0000-0000-00000C2F0000}"/>
    <cellStyle name="Normal 2 2 2 2 2 2 8 2 3" xfId="12088" xr:uid="{00000000-0005-0000-0000-00000D2F0000}"/>
    <cellStyle name="Normal 2 2 2 2 2 2 8 2 4" xfId="12089" xr:uid="{00000000-0005-0000-0000-00000E2F0000}"/>
    <cellStyle name="Normal 2 2 2 2 2 2 8 2 5" xfId="12090" xr:uid="{00000000-0005-0000-0000-00000F2F0000}"/>
    <cellStyle name="Normal 2 2 2 2 2 2 8 2 6" xfId="12091" xr:uid="{00000000-0005-0000-0000-0000102F0000}"/>
    <cellStyle name="Normal 2 2 2 2 2 2 8 2 7" xfId="12092" xr:uid="{00000000-0005-0000-0000-0000112F0000}"/>
    <cellStyle name="Normal 2 2 2 2 2 2 8 2 8" xfId="12093" xr:uid="{00000000-0005-0000-0000-0000122F0000}"/>
    <cellStyle name="Normal 2 2 2 2 2 2 8 2 9" xfId="12094" xr:uid="{00000000-0005-0000-0000-0000132F0000}"/>
    <cellStyle name="Normal 2 2 2 2 2 2 8 3" xfId="12095" xr:uid="{00000000-0005-0000-0000-0000142F0000}"/>
    <cellStyle name="Normal 2 2 2 2 2 2 8 3 10" xfId="12096" xr:uid="{00000000-0005-0000-0000-0000152F0000}"/>
    <cellStyle name="Normal 2 2 2 2 2 2 8 3 2" xfId="12097" xr:uid="{00000000-0005-0000-0000-0000162F0000}"/>
    <cellStyle name="Normal 2 2 2 2 2 2 8 3 3" xfId="12098" xr:uid="{00000000-0005-0000-0000-0000172F0000}"/>
    <cellStyle name="Normal 2 2 2 2 2 2 8 3 4" xfId="12099" xr:uid="{00000000-0005-0000-0000-0000182F0000}"/>
    <cellStyle name="Normal 2 2 2 2 2 2 8 3 5" xfId="12100" xr:uid="{00000000-0005-0000-0000-0000192F0000}"/>
    <cellStyle name="Normal 2 2 2 2 2 2 8 3 6" xfId="12101" xr:uid="{00000000-0005-0000-0000-00001A2F0000}"/>
    <cellStyle name="Normal 2 2 2 2 2 2 8 3 7" xfId="12102" xr:uid="{00000000-0005-0000-0000-00001B2F0000}"/>
    <cellStyle name="Normal 2 2 2 2 2 2 8 3 8" xfId="12103" xr:uid="{00000000-0005-0000-0000-00001C2F0000}"/>
    <cellStyle name="Normal 2 2 2 2 2 2 8 3 9" xfId="12104" xr:uid="{00000000-0005-0000-0000-00001D2F0000}"/>
    <cellStyle name="Normal 2 2 2 2 2 2 8 4" xfId="12105" xr:uid="{00000000-0005-0000-0000-00001E2F0000}"/>
    <cellStyle name="Normal 2 2 2 2 2 2 8 4 10" xfId="12106" xr:uid="{00000000-0005-0000-0000-00001F2F0000}"/>
    <cellStyle name="Normal 2 2 2 2 2 2 8 4 2" xfId="12107" xr:uid="{00000000-0005-0000-0000-0000202F0000}"/>
    <cellStyle name="Normal 2 2 2 2 2 2 8 4 3" xfId="12108" xr:uid="{00000000-0005-0000-0000-0000212F0000}"/>
    <cellStyle name="Normal 2 2 2 2 2 2 8 4 4" xfId="12109" xr:uid="{00000000-0005-0000-0000-0000222F0000}"/>
    <cellStyle name="Normal 2 2 2 2 2 2 8 4 5" xfId="12110" xr:uid="{00000000-0005-0000-0000-0000232F0000}"/>
    <cellStyle name="Normal 2 2 2 2 2 2 8 4 6" xfId="12111" xr:uid="{00000000-0005-0000-0000-0000242F0000}"/>
    <cellStyle name="Normal 2 2 2 2 2 2 8 4 7" xfId="12112" xr:uid="{00000000-0005-0000-0000-0000252F0000}"/>
    <cellStyle name="Normal 2 2 2 2 2 2 8 4 8" xfId="12113" xr:uid="{00000000-0005-0000-0000-0000262F0000}"/>
    <cellStyle name="Normal 2 2 2 2 2 2 8 4 9" xfId="12114" xr:uid="{00000000-0005-0000-0000-0000272F0000}"/>
    <cellStyle name="Normal 2 2 2 2 2 2 8 5" xfId="12115" xr:uid="{00000000-0005-0000-0000-0000282F0000}"/>
    <cellStyle name="Normal 2 2 2 2 2 2 8 5 10" xfId="12116" xr:uid="{00000000-0005-0000-0000-0000292F0000}"/>
    <cellStyle name="Normal 2 2 2 2 2 2 8 5 2" xfId="12117" xr:uid="{00000000-0005-0000-0000-00002A2F0000}"/>
    <cellStyle name="Normal 2 2 2 2 2 2 8 5 3" xfId="12118" xr:uid="{00000000-0005-0000-0000-00002B2F0000}"/>
    <cellStyle name="Normal 2 2 2 2 2 2 8 5 4" xfId="12119" xr:uid="{00000000-0005-0000-0000-00002C2F0000}"/>
    <cellStyle name="Normal 2 2 2 2 2 2 8 5 5" xfId="12120" xr:uid="{00000000-0005-0000-0000-00002D2F0000}"/>
    <cellStyle name="Normal 2 2 2 2 2 2 8 5 6" xfId="12121" xr:uid="{00000000-0005-0000-0000-00002E2F0000}"/>
    <cellStyle name="Normal 2 2 2 2 2 2 8 5 7" xfId="12122" xr:uid="{00000000-0005-0000-0000-00002F2F0000}"/>
    <cellStyle name="Normal 2 2 2 2 2 2 8 5 8" xfId="12123" xr:uid="{00000000-0005-0000-0000-0000302F0000}"/>
    <cellStyle name="Normal 2 2 2 2 2 2 8 5 9" xfId="12124" xr:uid="{00000000-0005-0000-0000-0000312F0000}"/>
    <cellStyle name="Normal 2 2 2 2 2 2 8 6" xfId="12125" xr:uid="{00000000-0005-0000-0000-0000322F0000}"/>
    <cellStyle name="Normal 2 2 2 2 2 2 8 7" xfId="12126" xr:uid="{00000000-0005-0000-0000-0000332F0000}"/>
    <cellStyle name="Normal 2 2 2 2 2 2 8 8" xfId="12127" xr:uid="{00000000-0005-0000-0000-0000342F0000}"/>
    <cellStyle name="Normal 2 2 2 2 2 2 8 9" xfId="12128" xr:uid="{00000000-0005-0000-0000-0000352F0000}"/>
    <cellStyle name="Normal 2 2 2 2 2 2 9" xfId="12129" xr:uid="{00000000-0005-0000-0000-0000362F0000}"/>
    <cellStyle name="Normal 2 2 2 2 2 2 9 10" xfId="12130" xr:uid="{00000000-0005-0000-0000-0000372F0000}"/>
    <cellStyle name="Normal 2 2 2 2 2 2 9 11" xfId="12131" xr:uid="{00000000-0005-0000-0000-0000382F0000}"/>
    <cellStyle name="Normal 2 2 2 2 2 2 9 12" xfId="12132" xr:uid="{00000000-0005-0000-0000-0000392F0000}"/>
    <cellStyle name="Normal 2 2 2 2 2 2 9 13" xfId="12133" xr:uid="{00000000-0005-0000-0000-00003A2F0000}"/>
    <cellStyle name="Normal 2 2 2 2 2 2 9 14" xfId="12134" xr:uid="{00000000-0005-0000-0000-00003B2F0000}"/>
    <cellStyle name="Normal 2 2 2 2 2 2 9 2" xfId="12135" xr:uid="{00000000-0005-0000-0000-00003C2F0000}"/>
    <cellStyle name="Normal 2 2 2 2 2 2 9 2 10" xfId="12136" xr:uid="{00000000-0005-0000-0000-00003D2F0000}"/>
    <cellStyle name="Normal 2 2 2 2 2 2 9 2 2" xfId="12137" xr:uid="{00000000-0005-0000-0000-00003E2F0000}"/>
    <cellStyle name="Normal 2 2 2 2 2 2 9 2 3" xfId="12138" xr:uid="{00000000-0005-0000-0000-00003F2F0000}"/>
    <cellStyle name="Normal 2 2 2 2 2 2 9 2 4" xfId="12139" xr:uid="{00000000-0005-0000-0000-0000402F0000}"/>
    <cellStyle name="Normal 2 2 2 2 2 2 9 2 5" xfId="12140" xr:uid="{00000000-0005-0000-0000-0000412F0000}"/>
    <cellStyle name="Normal 2 2 2 2 2 2 9 2 6" xfId="12141" xr:uid="{00000000-0005-0000-0000-0000422F0000}"/>
    <cellStyle name="Normal 2 2 2 2 2 2 9 2 7" xfId="12142" xr:uid="{00000000-0005-0000-0000-0000432F0000}"/>
    <cellStyle name="Normal 2 2 2 2 2 2 9 2 8" xfId="12143" xr:uid="{00000000-0005-0000-0000-0000442F0000}"/>
    <cellStyle name="Normal 2 2 2 2 2 2 9 2 9" xfId="12144" xr:uid="{00000000-0005-0000-0000-0000452F0000}"/>
    <cellStyle name="Normal 2 2 2 2 2 2 9 3" xfId="12145" xr:uid="{00000000-0005-0000-0000-0000462F0000}"/>
    <cellStyle name="Normal 2 2 2 2 2 2 9 3 10" xfId="12146" xr:uid="{00000000-0005-0000-0000-0000472F0000}"/>
    <cellStyle name="Normal 2 2 2 2 2 2 9 3 2" xfId="12147" xr:uid="{00000000-0005-0000-0000-0000482F0000}"/>
    <cellStyle name="Normal 2 2 2 2 2 2 9 3 3" xfId="12148" xr:uid="{00000000-0005-0000-0000-0000492F0000}"/>
    <cellStyle name="Normal 2 2 2 2 2 2 9 3 4" xfId="12149" xr:uid="{00000000-0005-0000-0000-00004A2F0000}"/>
    <cellStyle name="Normal 2 2 2 2 2 2 9 3 5" xfId="12150" xr:uid="{00000000-0005-0000-0000-00004B2F0000}"/>
    <cellStyle name="Normal 2 2 2 2 2 2 9 3 6" xfId="12151" xr:uid="{00000000-0005-0000-0000-00004C2F0000}"/>
    <cellStyle name="Normal 2 2 2 2 2 2 9 3 7" xfId="12152" xr:uid="{00000000-0005-0000-0000-00004D2F0000}"/>
    <cellStyle name="Normal 2 2 2 2 2 2 9 3 8" xfId="12153" xr:uid="{00000000-0005-0000-0000-00004E2F0000}"/>
    <cellStyle name="Normal 2 2 2 2 2 2 9 3 9" xfId="12154" xr:uid="{00000000-0005-0000-0000-00004F2F0000}"/>
    <cellStyle name="Normal 2 2 2 2 2 2 9 4" xfId="12155" xr:uid="{00000000-0005-0000-0000-0000502F0000}"/>
    <cellStyle name="Normal 2 2 2 2 2 2 9 4 10" xfId="12156" xr:uid="{00000000-0005-0000-0000-0000512F0000}"/>
    <cellStyle name="Normal 2 2 2 2 2 2 9 4 2" xfId="12157" xr:uid="{00000000-0005-0000-0000-0000522F0000}"/>
    <cellStyle name="Normal 2 2 2 2 2 2 9 4 3" xfId="12158" xr:uid="{00000000-0005-0000-0000-0000532F0000}"/>
    <cellStyle name="Normal 2 2 2 2 2 2 9 4 4" xfId="12159" xr:uid="{00000000-0005-0000-0000-0000542F0000}"/>
    <cellStyle name="Normal 2 2 2 2 2 2 9 4 5" xfId="12160" xr:uid="{00000000-0005-0000-0000-0000552F0000}"/>
    <cellStyle name="Normal 2 2 2 2 2 2 9 4 6" xfId="12161" xr:uid="{00000000-0005-0000-0000-0000562F0000}"/>
    <cellStyle name="Normal 2 2 2 2 2 2 9 4 7" xfId="12162" xr:uid="{00000000-0005-0000-0000-0000572F0000}"/>
    <cellStyle name="Normal 2 2 2 2 2 2 9 4 8" xfId="12163" xr:uid="{00000000-0005-0000-0000-0000582F0000}"/>
    <cellStyle name="Normal 2 2 2 2 2 2 9 4 9" xfId="12164" xr:uid="{00000000-0005-0000-0000-0000592F0000}"/>
    <cellStyle name="Normal 2 2 2 2 2 2 9 5" xfId="12165" xr:uid="{00000000-0005-0000-0000-00005A2F0000}"/>
    <cellStyle name="Normal 2 2 2 2 2 2 9 5 10" xfId="12166" xr:uid="{00000000-0005-0000-0000-00005B2F0000}"/>
    <cellStyle name="Normal 2 2 2 2 2 2 9 5 2" xfId="12167" xr:uid="{00000000-0005-0000-0000-00005C2F0000}"/>
    <cellStyle name="Normal 2 2 2 2 2 2 9 5 3" xfId="12168" xr:uid="{00000000-0005-0000-0000-00005D2F0000}"/>
    <cellStyle name="Normal 2 2 2 2 2 2 9 5 4" xfId="12169" xr:uid="{00000000-0005-0000-0000-00005E2F0000}"/>
    <cellStyle name="Normal 2 2 2 2 2 2 9 5 5" xfId="12170" xr:uid="{00000000-0005-0000-0000-00005F2F0000}"/>
    <cellStyle name="Normal 2 2 2 2 2 2 9 5 6" xfId="12171" xr:uid="{00000000-0005-0000-0000-0000602F0000}"/>
    <cellStyle name="Normal 2 2 2 2 2 2 9 5 7" xfId="12172" xr:uid="{00000000-0005-0000-0000-0000612F0000}"/>
    <cellStyle name="Normal 2 2 2 2 2 2 9 5 8" xfId="12173" xr:uid="{00000000-0005-0000-0000-0000622F0000}"/>
    <cellStyle name="Normal 2 2 2 2 2 2 9 5 9" xfId="12174" xr:uid="{00000000-0005-0000-0000-0000632F0000}"/>
    <cellStyle name="Normal 2 2 2 2 2 2 9 6" xfId="12175" xr:uid="{00000000-0005-0000-0000-0000642F0000}"/>
    <cellStyle name="Normal 2 2 2 2 2 2 9 7" xfId="12176" xr:uid="{00000000-0005-0000-0000-0000652F0000}"/>
    <cellStyle name="Normal 2 2 2 2 2 2 9 8" xfId="12177" xr:uid="{00000000-0005-0000-0000-0000662F0000}"/>
    <cellStyle name="Normal 2 2 2 2 2 2 9 9" xfId="12178" xr:uid="{00000000-0005-0000-0000-0000672F0000}"/>
    <cellStyle name="Normal 2 2 2 2 2 20" xfId="12179" xr:uid="{00000000-0005-0000-0000-0000682F0000}"/>
    <cellStyle name="Normal 2 2 2 2 2 20 10" xfId="12180" xr:uid="{00000000-0005-0000-0000-0000692F0000}"/>
    <cellStyle name="Normal 2 2 2 2 2 20 11" xfId="12181" xr:uid="{00000000-0005-0000-0000-00006A2F0000}"/>
    <cellStyle name="Normal 2 2 2 2 2 20 12" xfId="12182" xr:uid="{00000000-0005-0000-0000-00006B2F0000}"/>
    <cellStyle name="Normal 2 2 2 2 2 20 13" xfId="12183" xr:uid="{00000000-0005-0000-0000-00006C2F0000}"/>
    <cellStyle name="Normal 2 2 2 2 2 20 14" xfId="12184" xr:uid="{00000000-0005-0000-0000-00006D2F0000}"/>
    <cellStyle name="Normal 2 2 2 2 2 20 2" xfId="12185" xr:uid="{00000000-0005-0000-0000-00006E2F0000}"/>
    <cellStyle name="Normal 2 2 2 2 2 20 2 10" xfId="12186" xr:uid="{00000000-0005-0000-0000-00006F2F0000}"/>
    <cellStyle name="Normal 2 2 2 2 2 20 2 2" xfId="12187" xr:uid="{00000000-0005-0000-0000-0000702F0000}"/>
    <cellStyle name="Normal 2 2 2 2 2 20 2 3" xfId="12188" xr:uid="{00000000-0005-0000-0000-0000712F0000}"/>
    <cellStyle name="Normal 2 2 2 2 2 20 2 4" xfId="12189" xr:uid="{00000000-0005-0000-0000-0000722F0000}"/>
    <cellStyle name="Normal 2 2 2 2 2 20 2 5" xfId="12190" xr:uid="{00000000-0005-0000-0000-0000732F0000}"/>
    <cellStyle name="Normal 2 2 2 2 2 20 2 6" xfId="12191" xr:uid="{00000000-0005-0000-0000-0000742F0000}"/>
    <cellStyle name="Normal 2 2 2 2 2 20 2 7" xfId="12192" xr:uid="{00000000-0005-0000-0000-0000752F0000}"/>
    <cellStyle name="Normal 2 2 2 2 2 20 2 8" xfId="12193" xr:uid="{00000000-0005-0000-0000-0000762F0000}"/>
    <cellStyle name="Normal 2 2 2 2 2 20 2 9" xfId="12194" xr:uid="{00000000-0005-0000-0000-0000772F0000}"/>
    <cellStyle name="Normal 2 2 2 2 2 20 3" xfId="12195" xr:uid="{00000000-0005-0000-0000-0000782F0000}"/>
    <cellStyle name="Normal 2 2 2 2 2 20 3 10" xfId="12196" xr:uid="{00000000-0005-0000-0000-0000792F0000}"/>
    <cellStyle name="Normal 2 2 2 2 2 20 3 2" xfId="12197" xr:uid="{00000000-0005-0000-0000-00007A2F0000}"/>
    <cellStyle name="Normal 2 2 2 2 2 20 3 3" xfId="12198" xr:uid="{00000000-0005-0000-0000-00007B2F0000}"/>
    <cellStyle name="Normal 2 2 2 2 2 20 3 4" xfId="12199" xr:uid="{00000000-0005-0000-0000-00007C2F0000}"/>
    <cellStyle name="Normal 2 2 2 2 2 20 3 5" xfId="12200" xr:uid="{00000000-0005-0000-0000-00007D2F0000}"/>
    <cellStyle name="Normal 2 2 2 2 2 20 3 6" xfId="12201" xr:uid="{00000000-0005-0000-0000-00007E2F0000}"/>
    <cellStyle name="Normal 2 2 2 2 2 20 3 7" xfId="12202" xr:uid="{00000000-0005-0000-0000-00007F2F0000}"/>
    <cellStyle name="Normal 2 2 2 2 2 20 3 8" xfId="12203" xr:uid="{00000000-0005-0000-0000-0000802F0000}"/>
    <cellStyle name="Normal 2 2 2 2 2 20 3 9" xfId="12204" xr:uid="{00000000-0005-0000-0000-0000812F0000}"/>
    <cellStyle name="Normal 2 2 2 2 2 20 4" xfId="12205" xr:uid="{00000000-0005-0000-0000-0000822F0000}"/>
    <cellStyle name="Normal 2 2 2 2 2 20 4 10" xfId="12206" xr:uid="{00000000-0005-0000-0000-0000832F0000}"/>
    <cellStyle name="Normal 2 2 2 2 2 20 4 2" xfId="12207" xr:uid="{00000000-0005-0000-0000-0000842F0000}"/>
    <cellStyle name="Normal 2 2 2 2 2 20 4 3" xfId="12208" xr:uid="{00000000-0005-0000-0000-0000852F0000}"/>
    <cellStyle name="Normal 2 2 2 2 2 20 4 4" xfId="12209" xr:uid="{00000000-0005-0000-0000-0000862F0000}"/>
    <cellStyle name="Normal 2 2 2 2 2 20 4 5" xfId="12210" xr:uid="{00000000-0005-0000-0000-0000872F0000}"/>
    <cellStyle name="Normal 2 2 2 2 2 20 4 6" xfId="12211" xr:uid="{00000000-0005-0000-0000-0000882F0000}"/>
    <cellStyle name="Normal 2 2 2 2 2 20 4 7" xfId="12212" xr:uid="{00000000-0005-0000-0000-0000892F0000}"/>
    <cellStyle name="Normal 2 2 2 2 2 20 4 8" xfId="12213" xr:uid="{00000000-0005-0000-0000-00008A2F0000}"/>
    <cellStyle name="Normal 2 2 2 2 2 20 4 9" xfId="12214" xr:uid="{00000000-0005-0000-0000-00008B2F0000}"/>
    <cellStyle name="Normal 2 2 2 2 2 20 5" xfId="12215" xr:uid="{00000000-0005-0000-0000-00008C2F0000}"/>
    <cellStyle name="Normal 2 2 2 2 2 20 5 10" xfId="12216" xr:uid="{00000000-0005-0000-0000-00008D2F0000}"/>
    <cellStyle name="Normal 2 2 2 2 2 20 5 2" xfId="12217" xr:uid="{00000000-0005-0000-0000-00008E2F0000}"/>
    <cellStyle name="Normal 2 2 2 2 2 20 5 3" xfId="12218" xr:uid="{00000000-0005-0000-0000-00008F2F0000}"/>
    <cellStyle name="Normal 2 2 2 2 2 20 5 4" xfId="12219" xr:uid="{00000000-0005-0000-0000-0000902F0000}"/>
    <cellStyle name="Normal 2 2 2 2 2 20 5 5" xfId="12220" xr:uid="{00000000-0005-0000-0000-0000912F0000}"/>
    <cellStyle name="Normal 2 2 2 2 2 20 5 6" xfId="12221" xr:uid="{00000000-0005-0000-0000-0000922F0000}"/>
    <cellStyle name="Normal 2 2 2 2 2 20 5 7" xfId="12222" xr:uid="{00000000-0005-0000-0000-0000932F0000}"/>
    <cellStyle name="Normal 2 2 2 2 2 20 5 8" xfId="12223" xr:uid="{00000000-0005-0000-0000-0000942F0000}"/>
    <cellStyle name="Normal 2 2 2 2 2 20 5 9" xfId="12224" xr:uid="{00000000-0005-0000-0000-0000952F0000}"/>
    <cellStyle name="Normal 2 2 2 2 2 20 6" xfId="12225" xr:uid="{00000000-0005-0000-0000-0000962F0000}"/>
    <cellStyle name="Normal 2 2 2 2 2 20 7" xfId="12226" xr:uid="{00000000-0005-0000-0000-0000972F0000}"/>
    <cellStyle name="Normal 2 2 2 2 2 20 8" xfId="12227" xr:uid="{00000000-0005-0000-0000-0000982F0000}"/>
    <cellStyle name="Normal 2 2 2 2 2 20 9" xfId="12228" xr:uid="{00000000-0005-0000-0000-0000992F0000}"/>
    <cellStyle name="Normal 2 2 2 2 2 21" xfId="12229" xr:uid="{00000000-0005-0000-0000-00009A2F0000}"/>
    <cellStyle name="Normal 2 2 2 2 2 21 10" xfId="12230" xr:uid="{00000000-0005-0000-0000-00009B2F0000}"/>
    <cellStyle name="Normal 2 2 2 2 2 21 11" xfId="12231" xr:uid="{00000000-0005-0000-0000-00009C2F0000}"/>
    <cellStyle name="Normal 2 2 2 2 2 21 12" xfId="12232" xr:uid="{00000000-0005-0000-0000-00009D2F0000}"/>
    <cellStyle name="Normal 2 2 2 2 2 21 13" xfId="12233" xr:uid="{00000000-0005-0000-0000-00009E2F0000}"/>
    <cellStyle name="Normal 2 2 2 2 2 21 14" xfId="12234" xr:uid="{00000000-0005-0000-0000-00009F2F0000}"/>
    <cellStyle name="Normal 2 2 2 2 2 21 2" xfId="12235" xr:uid="{00000000-0005-0000-0000-0000A02F0000}"/>
    <cellStyle name="Normal 2 2 2 2 2 21 2 10" xfId="12236" xr:uid="{00000000-0005-0000-0000-0000A12F0000}"/>
    <cellStyle name="Normal 2 2 2 2 2 21 2 2" xfId="12237" xr:uid="{00000000-0005-0000-0000-0000A22F0000}"/>
    <cellStyle name="Normal 2 2 2 2 2 21 2 3" xfId="12238" xr:uid="{00000000-0005-0000-0000-0000A32F0000}"/>
    <cellStyle name="Normal 2 2 2 2 2 21 2 4" xfId="12239" xr:uid="{00000000-0005-0000-0000-0000A42F0000}"/>
    <cellStyle name="Normal 2 2 2 2 2 21 2 5" xfId="12240" xr:uid="{00000000-0005-0000-0000-0000A52F0000}"/>
    <cellStyle name="Normal 2 2 2 2 2 21 2 6" xfId="12241" xr:uid="{00000000-0005-0000-0000-0000A62F0000}"/>
    <cellStyle name="Normal 2 2 2 2 2 21 2 7" xfId="12242" xr:uid="{00000000-0005-0000-0000-0000A72F0000}"/>
    <cellStyle name="Normal 2 2 2 2 2 21 2 8" xfId="12243" xr:uid="{00000000-0005-0000-0000-0000A82F0000}"/>
    <cellStyle name="Normal 2 2 2 2 2 21 2 9" xfId="12244" xr:uid="{00000000-0005-0000-0000-0000A92F0000}"/>
    <cellStyle name="Normal 2 2 2 2 2 21 3" xfId="12245" xr:uid="{00000000-0005-0000-0000-0000AA2F0000}"/>
    <cellStyle name="Normal 2 2 2 2 2 21 3 10" xfId="12246" xr:uid="{00000000-0005-0000-0000-0000AB2F0000}"/>
    <cellStyle name="Normal 2 2 2 2 2 21 3 2" xfId="12247" xr:uid="{00000000-0005-0000-0000-0000AC2F0000}"/>
    <cellStyle name="Normal 2 2 2 2 2 21 3 3" xfId="12248" xr:uid="{00000000-0005-0000-0000-0000AD2F0000}"/>
    <cellStyle name="Normal 2 2 2 2 2 21 3 4" xfId="12249" xr:uid="{00000000-0005-0000-0000-0000AE2F0000}"/>
    <cellStyle name="Normal 2 2 2 2 2 21 3 5" xfId="12250" xr:uid="{00000000-0005-0000-0000-0000AF2F0000}"/>
    <cellStyle name="Normal 2 2 2 2 2 21 3 6" xfId="12251" xr:uid="{00000000-0005-0000-0000-0000B02F0000}"/>
    <cellStyle name="Normal 2 2 2 2 2 21 3 7" xfId="12252" xr:uid="{00000000-0005-0000-0000-0000B12F0000}"/>
    <cellStyle name="Normal 2 2 2 2 2 21 3 8" xfId="12253" xr:uid="{00000000-0005-0000-0000-0000B22F0000}"/>
    <cellStyle name="Normal 2 2 2 2 2 21 3 9" xfId="12254" xr:uid="{00000000-0005-0000-0000-0000B32F0000}"/>
    <cellStyle name="Normal 2 2 2 2 2 21 4" xfId="12255" xr:uid="{00000000-0005-0000-0000-0000B42F0000}"/>
    <cellStyle name="Normal 2 2 2 2 2 21 4 10" xfId="12256" xr:uid="{00000000-0005-0000-0000-0000B52F0000}"/>
    <cellStyle name="Normal 2 2 2 2 2 21 4 2" xfId="12257" xr:uid="{00000000-0005-0000-0000-0000B62F0000}"/>
    <cellStyle name="Normal 2 2 2 2 2 21 4 3" xfId="12258" xr:uid="{00000000-0005-0000-0000-0000B72F0000}"/>
    <cellStyle name="Normal 2 2 2 2 2 21 4 4" xfId="12259" xr:uid="{00000000-0005-0000-0000-0000B82F0000}"/>
    <cellStyle name="Normal 2 2 2 2 2 21 4 5" xfId="12260" xr:uid="{00000000-0005-0000-0000-0000B92F0000}"/>
    <cellStyle name="Normal 2 2 2 2 2 21 4 6" xfId="12261" xr:uid="{00000000-0005-0000-0000-0000BA2F0000}"/>
    <cellStyle name="Normal 2 2 2 2 2 21 4 7" xfId="12262" xr:uid="{00000000-0005-0000-0000-0000BB2F0000}"/>
    <cellStyle name="Normal 2 2 2 2 2 21 4 8" xfId="12263" xr:uid="{00000000-0005-0000-0000-0000BC2F0000}"/>
    <cellStyle name="Normal 2 2 2 2 2 21 4 9" xfId="12264" xr:uid="{00000000-0005-0000-0000-0000BD2F0000}"/>
    <cellStyle name="Normal 2 2 2 2 2 21 5" xfId="12265" xr:uid="{00000000-0005-0000-0000-0000BE2F0000}"/>
    <cellStyle name="Normal 2 2 2 2 2 21 5 10" xfId="12266" xr:uid="{00000000-0005-0000-0000-0000BF2F0000}"/>
    <cellStyle name="Normal 2 2 2 2 2 21 5 2" xfId="12267" xr:uid="{00000000-0005-0000-0000-0000C02F0000}"/>
    <cellStyle name="Normal 2 2 2 2 2 21 5 3" xfId="12268" xr:uid="{00000000-0005-0000-0000-0000C12F0000}"/>
    <cellStyle name="Normal 2 2 2 2 2 21 5 4" xfId="12269" xr:uid="{00000000-0005-0000-0000-0000C22F0000}"/>
    <cellStyle name="Normal 2 2 2 2 2 21 5 5" xfId="12270" xr:uid="{00000000-0005-0000-0000-0000C32F0000}"/>
    <cellStyle name="Normal 2 2 2 2 2 21 5 6" xfId="12271" xr:uid="{00000000-0005-0000-0000-0000C42F0000}"/>
    <cellStyle name="Normal 2 2 2 2 2 21 5 7" xfId="12272" xr:uid="{00000000-0005-0000-0000-0000C52F0000}"/>
    <cellStyle name="Normal 2 2 2 2 2 21 5 8" xfId="12273" xr:uid="{00000000-0005-0000-0000-0000C62F0000}"/>
    <cellStyle name="Normal 2 2 2 2 2 21 5 9" xfId="12274" xr:uid="{00000000-0005-0000-0000-0000C72F0000}"/>
    <cellStyle name="Normal 2 2 2 2 2 21 6" xfId="12275" xr:uid="{00000000-0005-0000-0000-0000C82F0000}"/>
    <cellStyle name="Normal 2 2 2 2 2 21 7" xfId="12276" xr:uid="{00000000-0005-0000-0000-0000C92F0000}"/>
    <cellStyle name="Normal 2 2 2 2 2 21 8" xfId="12277" xr:uid="{00000000-0005-0000-0000-0000CA2F0000}"/>
    <cellStyle name="Normal 2 2 2 2 2 21 9" xfId="12278" xr:uid="{00000000-0005-0000-0000-0000CB2F0000}"/>
    <cellStyle name="Normal 2 2 2 2 2 22" xfId="12279" xr:uid="{00000000-0005-0000-0000-0000CC2F0000}"/>
    <cellStyle name="Normal 2 2 2 2 2 22 10" xfId="12280" xr:uid="{00000000-0005-0000-0000-0000CD2F0000}"/>
    <cellStyle name="Normal 2 2 2 2 2 22 11" xfId="12281" xr:uid="{00000000-0005-0000-0000-0000CE2F0000}"/>
    <cellStyle name="Normal 2 2 2 2 2 22 12" xfId="12282" xr:uid="{00000000-0005-0000-0000-0000CF2F0000}"/>
    <cellStyle name="Normal 2 2 2 2 2 22 13" xfId="12283" xr:uid="{00000000-0005-0000-0000-0000D02F0000}"/>
    <cellStyle name="Normal 2 2 2 2 2 22 14" xfId="12284" xr:uid="{00000000-0005-0000-0000-0000D12F0000}"/>
    <cellStyle name="Normal 2 2 2 2 2 22 2" xfId="12285" xr:uid="{00000000-0005-0000-0000-0000D22F0000}"/>
    <cellStyle name="Normal 2 2 2 2 2 22 2 10" xfId="12286" xr:uid="{00000000-0005-0000-0000-0000D32F0000}"/>
    <cellStyle name="Normal 2 2 2 2 2 22 2 2" xfId="12287" xr:uid="{00000000-0005-0000-0000-0000D42F0000}"/>
    <cellStyle name="Normal 2 2 2 2 2 22 2 3" xfId="12288" xr:uid="{00000000-0005-0000-0000-0000D52F0000}"/>
    <cellStyle name="Normal 2 2 2 2 2 22 2 4" xfId="12289" xr:uid="{00000000-0005-0000-0000-0000D62F0000}"/>
    <cellStyle name="Normal 2 2 2 2 2 22 2 5" xfId="12290" xr:uid="{00000000-0005-0000-0000-0000D72F0000}"/>
    <cellStyle name="Normal 2 2 2 2 2 22 2 6" xfId="12291" xr:uid="{00000000-0005-0000-0000-0000D82F0000}"/>
    <cellStyle name="Normal 2 2 2 2 2 22 2 7" xfId="12292" xr:uid="{00000000-0005-0000-0000-0000D92F0000}"/>
    <cellStyle name="Normal 2 2 2 2 2 22 2 8" xfId="12293" xr:uid="{00000000-0005-0000-0000-0000DA2F0000}"/>
    <cellStyle name="Normal 2 2 2 2 2 22 2 9" xfId="12294" xr:uid="{00000000-0005-0000-0000-0000DB2F0000}"/>
    <cellStyle name="Normal 2 2 2 2 2 22 3" xfId="12295" xr:uid="{00000000-0005-0000-0000-0000DC2F0000}"/>
    <cellStyle name="Normal 2 2 2 2 2 22 3 10" xfId="12296" xr:uid="{00000000-0005-0000-0000-0000DD2F0000}"/>
    <cellStyle name="Normal 2 2 2 2 2 22 3 2" xfId="12297" xr:uid="{00000000-0005-0000-0000-0000DE2F0000}"/>
    <cellStyle name="Normal 2 2 2 2 2 22 3 3" xfId="12298" xr:uid="{00000000-0005-0000-0000-0000DF2F0000}"/>
    <cellStyle name="Normal 2 2 2 2 2 22 3 4" xfId="12299" xr:uid="{00000000-0005-0000-0000-0000E02F0000}"/>
    <cellStyle name="Normal 2 2 2 2 2 22 3 5" xfId="12300" xr:uid="{00000000-0005-0000-0000-0000E12F0000}"/>
    <cellStyle name="Normal 2 2 2 2 2 22 3 6" xfId="12301" xr:uid="{00000000-0005-0000-0000-0000E22F0000}"/>
    <cellStyle name="Normal 2 2 2 2 2 22 3 7" xfId="12302" xr:uid="{00000000-0005-0000-0000-0000E32F0000}"/>
    <cellStyle name="Normal 2 2 2 2 2 22 3 8" xfId="12303" xr:uid="{00000000-0005-0000-0000-0000E42F0000}"/>
    <cellStyle name="Normal 2 2 2 2 2 22 3 9" xfId="12304" xr:uid="{00000000-0005-0000-0000-0000E52F0000}"/>
    <cellStyle name="Normal 2 2 2 2 2 22 4" xfId="12305" xr:uid="{00000000-0005-0000-0000-0000E62F0000}"/>
    <cellStyle name="Normal 2 2 2 2 2 22 4 10" xfId="12306" xr:uid="{00000000-0005-0000-0000-0000E72F0000}"/>
    <cellStyle name="Normal 2 2 2 2 2 22 4 2" xfId="12307" xr:uid="{00000000-0005-0000-0000-0000E82F0000}"/>
    <cellStyle name="Normal 2 2 2 2 2 22 4 3" xfId="12308" xr:uid="{00000000-0005-0000-0000-0000E92F0000}"/>
    <cellStyle name="Normal 2 2 2 2 2 22 4 4" xfId="12309" xr:uid="{00000000-0005-0000-0000-0000EA2F0000}"/>
    <cellStyle name="Normal 2 2 2 2 2 22 4 5" xfId="12310" xr:uid="{00000000-0005-0000-0000-0000EB2F0000}"/>
    <cellStyle name="Normal 2 2 2 2 2 22 4 6" xfId="12311" xr:uid="{00000000-0005-0000-0000-0000EC2F0000}"/>
    <cellStyle name="Normal 2 2 2 2 2 22 4 7" xfId="12312" xr:uid="{00000000-0005-0000-0000-0000ED2F0000}"/>
    <cellStyle name="Normal 2 2 2 2 2 22 4 8" xfId="12313" xr:uid="{00000000-0005-0000-0000-0000EE2F0000}"/>
    <cellStyle name="Normal 2 2 2 2 2 22 4 9" xfId="12314" xr:uid="{00000000-0005-0000-0000-0000EF2F0000}"/>
    <cellStyle name="Normal 2 2 2 2 2 22 5" xfId="12315" xr:uid="{00000000-0005-0000-0000-0000F02F0000}"/>
    <cellStyle name="Normal 2 2 2 2 2 22 5 10" xfId="12316" xr:uid="{00000000-0005-0000-0000-0000F12F0000}"/>
    <cellStyle name="Normal 2 2 2 2 2 22 5 2" xfId="12317" xr:uid="{00000000-0005-0000-0000-0000F22F0000}"/>
    <cellStyle name="Normal 2 2 2 2 2 22 5 3" xfId="12318" xr:uid="{00000000-0005-0000-0000-0000F32F0000}"/>
    <cellStyle name="Normal 2 2 2 2 2 22 5 4" xfId="12319" xr:uid="{00000000-0005-0000-0000-0000F42F0000}"/>
    <cellStyle name="Normal 2 2 2 2 2 22 5 5" xfId="12320" xr:uid="{00000000-0005-0000-0000-0000F52F0000}"/>
    <cellStyle name="Normal 2 2 2 2 2 22 5 6" xfId="12321" xr:uid="{00000000-0005-0000-0000-0000F62F0000}"/>
    <cellStyle name="Normal 2 2 2 2 2 22 5 7" xfId="12322" xr:uid="{00000000-0005-0000-0000-0000F72F0000}"/>
    <cellStyle name="Normal 2 2 2 2 2 22 5 8" xfId="12323" xr:uid="{00000000-0005-0000-0000-0000F82F0000}"/>
    <cellStyle name="Normal 2 2 2 2 2 22 5 9" xfId="12324" xr:uid="{00000000-0005-0000-0000-0000F92F0000}"/>
    <cellStyle name="Normal 2 2 2 2 2 22 6" xfId="12325" xr:uid="{00000000-0005-0000-0000-0000FA2F0000}"/>
    <cellStyle name="Normal 2 2 2 2 2 22 7" xfId="12326" xr:uid="{00000000-0005-0000-0000-0000FB2F0000}"/>
    <cellStyle name="Normal 2 2 2 2 2 22 8" xfId="12327" xr:uid="{00000000-0005-0000-0000-0000FC2F0000}"/>
    <cellStyle name="Normal 2 2 2 2 2 22 9" xfId="12328" xr:uid="{00000000-0005-0000-0000-0000FD2F0000}"/>
    <cellStyle name="Normal 2 2 2 2 2 23" xfId="12329" xr:uid="{00000000-0005-0000-0000-0000FE2F0000}"/>
    <cellStyle name="Normal 2 2 2 2 2 23 10" xfId="12330" xr:uid="{00000000-0005-0000-0000-0000FF2F0000}"/>
    <cellStyle name="Normal 2 2 2 2 2 23 11" xfId="12331" xr:uid="{00000000-0005-0000-0000-000000300000}"/>
    <cellStyle name="Normal 2 2 2 2 2 23 12" xfId="12332" xr:uid="{00000000-0005-0000-0000-000001300000}"/>
    <cellStyle name="Normal 2 2 2 2 2 23 13" xfId="12333" xr:uid="{00000000-0005-0000-0000-000002300000}"/>
    <cellStyle name="Normal 2 2 2 2 2 23 14" xfId="12334" xr:uid="{00000000-0005-0000-0000-000003300000}"/>
    <cellStyle name="Normal 2 2 2 2 2 23 2" xfId="12335" xr:uid="{00000000-0005-0000-0000-000004300000}"/>
    <cellStyle name="Normal 2 2 2 2 2 23 2 10" xfId="12336" xr:uid="{00000000-0005-0000-0000-000005300000}"/>
    <cellStyle name="Normal 2 2 2 2 2 23 2 2" xfId="12337" xr:uid="{00000000-0005-0000-0000-000006300000}"/>
    <cellStyle name="Normal 2 2 2 2 2 23 2 3" xfId="12338" xr:uid="{00000000-0005-0000-0000-000007300000}"/>
    <cellStyle name="Normal 2 2 2 2 2 23 2 4" xfId="12339" xr:uid="{00000000-0005-0000-0000-000008300000}"/>
    <cellStyle name="Normal 2 2 2 2 2 23 2 5" xfId="12340" xr:uid="{00000000-0005-0000-0000-000009300000}"/>
    <cellStyle name="Normal 2 2 2 2 2 23 2 6" xfId="12341" xr:uid="{00000000-0005-0000-0000-00000A300000}"/>
    <cellStyle name="Normal 2 2 2 2 2 23 2 7" xfId="12342" xr:uid="{00000000-0005-0000-0000-00000B300000}"/>
    <cellStyle name="Normal 2 2 2 2 2 23 2 8" xfId="12343" xr:uid="{00000000-0005-0000-0000-00000C300000}"/>
    <cellStyle name="Normal 2 2 2 2 2 23 2 9" xfId="12344" xr:uid="{00000000-0005-0000-0000-00000D300000}"/>
    <cellStyle name="Normal 2 2 2 2 2 23 3" xfId="12345" xr:uid="{00000000-0005-0000-0000-00000E300000}"/>
    <cellStyle name="Normal 2 2 2 2 2 23 3 10" xfId="12346" xr:uid="{00000000-0005-0000-0000-00000F300000}"/>
    <cellStyle name="Normal 2 2 2 2 2 23 3 2" xfId="12347" xr:uid="{00000000-0005-0000-0000-000010300000}"/>
    <cellStyle name="Normal 2 2 2 2 2 23 3 3" xfId="12348" xr:uid="{00000000-0005-0000-0000-000011300000}"/>
    <cellStyle name="Normal 2 2 2 2 2 23 3 4" xfId="12349" xr:uid="{00000000-0005-0000-0000-000012300000}"/>
    <cellStyle name="Normal 2 2 2 2 2 23 3 5" xfId="12350" xr:uid="{00000000-0005-0000-0000-000013300000}"/>
    <cellStyle name="Normal 2 2 2 2 2 23 3 6" xfId="12351" xr:uid="{00000000-0005-0000-0000-000014300000}"/>
    <cellStyle name="Normal 2 2 2 2 2 23 3 7" xfId="12352" xr:uid="{00000000-0005-0000-0000-000015300000}"/>
    <cellStyle name="Normal 2 2 2 2 2 23 3 8" xfId="12353" xr:uid="{00000000-0005-0000-0000-000016300000}"/>
    <cellStyle name="Normal 2 2 2 2 2 23 3 9" xfId="12354" xr:uid="{00000000-0005-0000-0000-000017300000}"/>
    <cellStyle name="Normal 2 2 2 2 2 23 4" xfId="12355" xr:uid="{00000000-0005-0000-0000-000018300000}"/>
    <cellStyle name="Normal 2 2 2 2 2 23 4 10" xfId="12356" xr:uid="{00000000-0005-0000-0000-000019300000}"/>
    <cellStyle name="Normal 2 2 2 2 2 23 4 2" xfId="12357" xr:uid="{00000000-0005-0000-0000-00001A300000}"/>
    <cellStyle name="Normal 2 2 2 2 2 23 4 3" xfId="12358" xr:uid="{00000000-0005-0000-0000-00001B300000}"/>
    <cellStyle name="Normal 2 2 2 2 2 23 4 4" xfId="12359" xr:uid="{00000000-0005-0000-0000-00001C300000}"/>
    <cellStyle name="Normal 2 2 2 2 2 23 4 5" xfId="12360" xr:uid="{00000000-0005-0000-0000-00001D300000}"/>
    <cellStyle name="Normal 2 2 2 2 2 23 4 6" xfId="12361" xr:uid="{00000000-0005-0000-0000-00001E300000}"/>
    <cellStyle name="Normal 2 2 2 2 2 23 4 7" xfId="12362" xr:uid="{00000000-0005-0000-0000-00001F300000}"/>
    <cellStyle name="Normal 2 2 2 2 2 23 4 8" xfId="12363" xr:uid="{00000000-0005-0000-0000-000020300000}"/>
    <cellStyle name="Normal 2 2 2 2 2 23 4 9" xfId="12364" xr:uid="{00000000-0005-0000-0000-000021300000}"/>
    <cellStyle name="Normal 2 2 2 2 2 23 5" xfId="12365" xr:uid="{00000000-0005-0000-0000-000022300000}"/>
    <cellStyle name="Normal 2 2 2 2 2 23 5 10" xfId="12366" xr:uid="{00000000-0005-0000-0000-000023300000}"/>
    <cellStyle name="Normal 2 2 2 2 2 23 5 2" xfId="12367" xr:uid="{00000000-0005-0000-0000-000024300000}"/>
    <cellStyle name="Normal 2 2 2 2 2 23 5 3" xfId="12368" xr:uid="{00000000-0005-0000-0000-000025300000}"/>
    <cellStyle name="Normal 2 2 2 2 2 23 5 4" xfId="12369" xr:uid="{00000000-0005-0000-0000-000026300000}"/>
    <cellStyle name="Normal 2 2 2 2 2 23 5 5" xfId="12370" xr:uid="{00000000-0005-0000-0000-000027300000}"/>
    <cellStyle name="Normal 2 2 2 2 2 23 5 6" xfId="12371" xr:uid="{00000000-0005-0000-0000-000028300000}"/>
    <cellStyle name="Normal 2 2 2 2 2 23 5 7" xfId="12372" xr:uid="{00000000-0005-0000-0000-000029300000}"/>
    <cellStyle name="Normal 2 2 2 2 2 23 5 8" xfId="12373" xr:uid="{00000000-0005-0000-0000-00002A300000}"/>
    <cellStyle name="Normal 2 2 2 2 2 23 5 9" xfId="12374" xr:uid="{00000000-0005-0000-0000-00002B300000}"/>
    <cellStyle name="Normal 2 2 2 2 2 23 6" xfId="12375" xr:uid="{00000000-0005-0000-0000-00002C300000}"/>
    <cellStyle name="Normal 2 2 2 2 2 23 7" xfId="12376" xr:uid="{00000000-0005-0000-0000-00002D300000}"/>
    <cellStyle name="Normal 2 2 2 2 2 23 8" xfId="12377" xr:uid="{00000000-0005-0000-0000-00002E300000}"/>
    <cellStyle name="Normal 2 2 2 2 2 23 9" xfId="12378" xr:uid="{00000000-0005-0000-0000-00002F300000}"/>
    <cellStyle name="Normal 2 2 2 2 2 24" xfId="12379" xr:uid="{00000000-0005-0000-0000-000030300000}"/>
    <cellStyle name="Normal 2 2 2 2 2 24 10" xfId="12380" xr:uid="{00000000-0005-0000-0000-000031300000}"/>
    <cellStyle name="Normal 2 2 2 2 2 24 11" xfId="12381" xr:uid="{00000000-0005-0000-0000-000032300000}"/>
    <cellStyle name="Normal 2 2 2 2 2 24 12" xfId="12382" xr:uid="{00000000-0005-0000-0000-000033300000}"/>
    <cellStyle name="Normal 2 2 2 2 2 24 13" xfId="12383" xr:uid="{00000000-0005-0000-0000-000034300000}"/>
    <cellStyle name="Normal 2 2 2 2 2 24 14" xfId="12384" xr:uid="{00000000-0005-0000-0000-000035300000}"/>
    <cellStyle name="Normal 2 2 2 2 2 24 2" xfId="12385" xr:uid="{00000000-0005-0000-0000-000036300000}"/>
    <cellStyle name="Normal 2 2 2 2 2 24 2 10" xfId="12386" xr:uid="{00000000-0005-0000-0000-000037300000}"/>
    <cellStyle name="Normal 2 2 2 2 2 24 2 2" xfId="12387" xr:uid="{00000000-0005-0000-0000-000038300000}"/>
    <cellStyle name="Normal 2 2 2 2 2 24 2 3" xfId="12388" xr:uid="{00000000-0005-0000-0000-000039300000}"/>
    <cellStyle name="Normal 2 2 2 2 2 24 2 4" xfId="12389" xr:uid="{00000000-0005-0000-0000-00003A300000}"/>
    <cellStyle name="Normal 2 2 2 2 2 24 2 5" xfId="12390" xr:uid="{00000000-0005-0000-0000-00003B300000}"/>
    <cellStyle name="Normal 2 2 2 2 2 24 2 6" xfId="12391" xr:uid="{00000000-0005-0000-0000-00003C300000}"/>
    <cellStyle name="Normal 2 2 2 2 2 24 2 7" xfId="12392" xr:uid="{00000000-0005-0000-0000-00003D300000}"/>
    <cellStyle name="Normal 2 2 2 2 2 24 2 8" xfId="12393" xr:uid="{00000000-0005-0000-0000-00003E300000}"/>
    <cellStyle name="Normal 2 2 2 2 2 24 2 9" xfId="12394" xr:uid="{00000000-0005-0000-0000-00003F300000}"/>
    <cellStyle name="Normal 2 2 2 2 2 24 3" xfId="12395" xr:uid="{00000000-0005-0000-0000-000040300000}"/>
    <cellStyle name="Normal 2 2 2 2 2 24 3 10" xfId="12396" xr:uid="{00000000-0005-0000-0000-000041300000}"/>
    <cellStyle name="Normal 2 2 2 2 2 24 3 2" xfId="12397" xr:uid="{00000000-0005-0000-0000-000042300000}"/>
    <cellStyle name="Normal 2 2 2 2 2 24 3 3" xfId="12398" xr:uid="{00000000-0005-0000-0000-000043300000}"/>
    <cellStyle name="Normal 2 2 2 2 2 24 3 4" xfId="12399" xr:uid="{00000000-0005-0000-0000-000044300000}"/>
    <cellStyle name="Normal 2 2 2 2 2 24 3 5" xfId="12400" xr:uid="{00000000-0005-0000-0000-000045300000}"/>
    <cellStyle name="Normal 2 2 2 2 2 24 3 6" xfId="12401" xr:uid="{00000000-0005-0000-0000-000046300000}"/>
    <cellStyle name="Normal 2 2 2 2 2 24 3 7" xfId="12402" xr:uid="{00000000-0005-0000-0000-000047300000}"/>
    <cellStyle name="Normal 2 2 2 2 2 24 3 8" xfId="12403" xr:uid="{00000000-0005-0000-0000-000048300000}"/>
    <cellStyle name="Normal 2 2 2 2 2 24 3 9" xfId="12404" xr:uid="{00000000-0005-0000-0000-000049300000}"/>
    <cellStyle name="Normal 2 2 2 2 2 24 4" xfId="12405" xr:uid="{00000000-0005-0000-0000-00004A300000}"/>
    <cellStyle name="Normal 2 2 2 2 2 24 4 10" xfId="12406" xr:uid="{00000000-0005-0000-0000-00004B300000}"/>
    <cellStyle name="Normal 2 2 2 2 2 24 4 2" xfId="12407" xr:uid="{00000000-0005-0000-0000-00004C300000}"/>
    <cellStyle name="Normal 2 2 2 2 2 24 4 3" xfId="12408" xr:uid="{00000000-0005-0000-0000-00004D300000}"/>
    <cellStyle name="Normal 2 2 2 2 2 24 4 4" xfId="12409" xr:uid="{00000000-0005-0000-0000-00004E300000}"/>
    <cellStyle name="Normal 2 2 2 2 2 24 4 5" xfId="12410" xr:uid="{00000000-0005-0000-0000-00004F300000}"/>
    <cellStyle name="Normal 2 2 2 2 2 24 4 6" xfId="12411" xr:uid="{00000000-0005-0000-0000-000050300000}"/>
    <cellStyle name="Normal 2 2 2 2 2 24 4 7" xfId="12412" xr:uid="{00000000-0005-0000-0000-000051300000}"/>
    <cellStyle name="Normal 2 2 2 2 2 24 4 8" xfId="12413" xr:uid="{00000000-0005-0000-0000-000052300000}"/>
    <cellStyle name="Normal 2 2 2 2 2 24 4 9" xfId="12414" xr:uid="{00000000-0005-0000-0000-000053300000}"/>
    <cellStyle name="Normal 2 2 2 2 2 24 5" xfId="12415" xr:uid="{00000000-0005-0000-0000-000054300000}"/>
    <cellStyle name="Normal 2 2 2 2 2 24 5 10" xfId="12416" xr:uid="{00000000-0005-0000-0000-000055300000}"/>
    <cellStyle name="Normal 2 2 2 2 2 24 5 2" xfId="12417" xr:uid="{00000000-0005-0000-0000-000056300000}"/>
    <cellStyle name="Normal 2 2 2 2 2 24 5 3" xfId="12418" xr:uid="{00000000-0005-0000-0000-000057300000}"/>
    <cellStyle name="Normal 2 2 2 2 2 24 5 4" xfId="12419" xr:uid="{00000000-0005-0000-0000-000058300000}"/>
    <cellStyle name="Normal 2 2 2 2 2 24 5 5" xfId="12420" xr:uid="{00000000-0005-0000-0000-000059300000}"/>
    <cellStyle name="Normal 2 2 2 2 2 24 5 6" xfId="12421" xr:uid="{00000000-0005-0000-0000-00005A300000}"/>
    <cellStyle name="Normal 2 2 2 2 2 24 5 7" xfId="12422" xr:uid="{00000000-0005-0000-0000-00005B300000}"/>
    <cellStyle name="Normal 2 2 2 2 2 24 5 8" xfId="12423" xr:uid="{00000000-0005-0000-0000-00005C300000}"/>
    <cellStyle name="Normal 2 2 2 2 2 24 5 9" xfId="12424" xr:uid="{00000000-0005-0000-0000-00005D300000}"/>
    <cellStyle name="Normal 2 2 2 2 2 24 6" xfId="12425" xr:uid="{00000000-0005-0000-0000-00005E300000}"/>
    <cellStyle name="Normal 2 2 2 2 2 24 7" xfId="12426" xr:uid="{00000000-0005-0000-0000-00005F300000}"/>
    <cellStyle name="Normal 2 2 2 2 2 24 8" xfId="12427" xr:uid="{00000000-0005-0000-0000-000060300000}"/>
    <cellStyle name="Normal 2 2 2 2 2 24 9" xfId="12428" xr:uid="{00000000-0005-0000-0000-000061300000}"/>
    <cellStyle name="Normal 2 2 2 2 2 25" xfId="12429" xr:uid="{00000000-0005-0000-0000-000062300000}"/>
    <cellStyle name="Normal 2 2 2 2 2 25 10" xfId="12430" xr:uid="{00000000-0005-0000-0000-000063300000}"/>
    <cellStyle name="Normal 2 2 2 2 2 25 11" xfId="12431" xr:uid="{00000000-0005-0000-0000-000064300000}"/>
    <cellStyle name="Normal 2 2 2 2 2 25 12" xfId="12432" xr:uid="{00000000-0005-0000-0000-000065300000}"/>
    <cellStyle name="Normal 2 2 2 2 2 25 13" xfId="12433" xr:uid="{00000000-0005-0000-0000-000066300000}"/>
    <cellStyle name="Normal 2 2 2 2 2 25 14" xfId="12434" xr:uid="{00000000-0005-0000-0000-000067300000}"/>
    <cellStyle name="Normal 2 2 2 2 2 25 2" xfId="12435" xr:uid="{00000000-0005-0000-0000-000068300000}"/>
    <cellStyle name="Normal 2 2 2 2 2 25 2 10" xfId="12436" xr:uid="{00000000-0005-0000-0000-000069300000}"/>
    <cellStyle name="Normal 2 2 2 2 2 25 2 2" xfId="12437" xr:uid="{00000000-0005-0000-0000-00006A300000}"/>
    <cellStyle name="Normal 2 2 2 2 2 25 2 3" xfId="12438" xr:uid="{00000000-0005-0000-0000-00006B300000}"/>
    <cellStyle name="Normal 2 2 2 2 2 25 2 4" xfId="12439" xr:uid="{00000000-0005-0000-0000-00006C300000}"/>
    <cellStyle name="Normal 2 2 2 2 2 25 2 5" xfId="12440" xr:uid="{00000000-0005-0000-0000-00006D300000}"/>
    <cellStyle name="Normal 2 2 2 2 2 25 2 6" xfId="12441" xr:uid="{00000000-0005-0000-0000-00006E300000}"/>
    <cellStyle name="Normal 2 2 2 2 2 25 2 7" xfId="12442" xr:uid="{00000000-0005-0000-0000-00006F300000}"/>
    <cellStyle name="Normal 2 2 2 2 2 25 2 8" xfId="12443" xr:uid="{00000000-0005-0000-0000-000070300000}"/>
    <cellStyle name="Normal 2 2 2 2 2 25 2 9" xfId="12444" xr:uid="{00000000-0005-0000-0000-000071300000}"/>
    <cellStyle name="Normal 2 2 2 2 2 25 3" xfId="12445" xr:uid="{00000000-0005-0000-0000-000072300000}"/>
    <cellStyle name="Normal 2 2 2 2 2 25 3 10" xfId="12446" xr:uid="{00000000-0005-0000-0000-000073300000}"/>
    <cellStyle name="Normal 2 2 2 2 2 25 3 2" xfId="12447" xr:uid="{00000000-0005-0000-0000-000074300000}"/>
    <cellStyle name="Normal 2 2 2 2 2 25 3 3" xfId="12448" xr:uid="{00000000-0005-0000-0000-000075300000}"/>
    <cellStyle name="Normal 2 2 2 2 2 25 3 4" xfId="12449" xr:uid="{00000000-0005-0000-0000-000076300000}"/>
    <cellStyle name="Normal 2 2 2 2 2 25 3 5" xfId="12450" xr:uid="{00000000-0005-0000-0000-000077300000}"/>
    <cellStyle name="Normal 2 2 2 2 2 25 3 6" xfId="12451" xr:uid="{00000000-0005-0000-0000-000078300000}"/>
    <cellStyle name="Normal 2 2 2 2 2 25 3 7" xfId="12452" xr:uid="{00000000-0005-0000-0000-000079300000}"/>
    <cellStyle name="Normal 2 2 2 2 2 25 3 8" xfId="12453" xr:uid="{00000000-0005-0000-0000-00007A300000}"/>
    <cellStyle name="Normal 2 2 2 2 2 25 3 9" xfId="12454" xr:uid="{00000000-0005-0000-0000-00007B300000}"/>
    <cellStyle name="Normal 2 2 2 2 2 25 4" xfId="12455" xr:uid="{00000000-0005-0000-0000-00007C300000}"/>
    <cellStyle name="Normal 2 2 2 2 2 25 4 10" xfId="12456" xr:uid="{00000000-0005-0000-0000-00007D300000}"/>
    <cellStyle name="Normal 2 2 2 2 2 25 4 2" xfId="12457" xr:uid="{00000000-0005-0000-0000-00007E300000}"/>
    <cellStyle name="Normal 2 2 2 2 2 25 4 3" xfId="12458" xr:uid="{00000000-0005-0000-0000-00007F300000}"/>
    <cellStyle name="Normal 2 2 2 2 2 25 4 4" xfId="12459" xr:uid="{00000000-0005-0000-0000-000080300000}"/>
    <cellStyle name="Normal 2 2 2 2 2 25 4 5" xfId="12460" xr:uid="{00000000-0005-0000-0000-000081300000}"/>
    <cellStyle name="Normal 2 2 2 2 2 25 4 6" xfId="12461" xr:uid="{00000000-0005-0000-0000-000082300000}"/>
    <cellStyle name="Normal 2 2 2 2 2 25 4 7" xfId="12462" xr:uid="{00000000-0005-0000-0000-000083300000}"/>
    <cellStyle name="Normal 2 2 2 2 2 25 4 8" xfId="12463" xr:uid="{00000000-0005-0000-0000-000084300000}"/>
    <cellStyle name="Normal 2 2 2 2 2 25 4 9" xfId="12464" xr:uid="{00000000-0005-0000-0000-000085300000}"/>
    <cellStyle name="Normal 2 2 2 2 2 25 5" xfId="12465" xr:uid="{00000000-0005-0000-0000-000086300000}"/>
    <cellStyle name="Normal 2 2 2 2 2 25 5 10" xfId="12466" xr:uid="{00000000-0005-0000-0000-000087300000}"/>
    <cellStyle name="Normal 2 2 2 2 2 25 5 2" xfId="12467" xr:uid="{00000000-0005-0000-0000-000088300000}"/>
    <cellStyle name="Normal 2 2 2 2 2 25 5 3" xfId="12468" xr:uid="{00000000-0005-0000-0000-000089300000}"/>
    <cellStyle name="Normal 2 2 2 2 2 25 5 4" xfId="12469" xr:uid="{00000000-0005-0000-0000-00008A300000}"/>
    <cellStyle name="Normal 2 2 2 2 2 25 5 5" xfId="12470" xr:uid="{00000000-0005-0000-0000-00008B300000}"/>
    <cellStyle name="Normal 2 2 2 2 2 25 5 6" xfId="12471" xr:uid="{00000000-0005-0000-0000-00008C300000}"/>
    <cellStyle name="Normal 2 2 2 2 2 25 5 7" xfId="12472" xr:uid="{00000000-0005-0000-0000-00008D300000}"/>
    <cellStyle name="Normal 2 2 2 2 2 25 5 8" xfId="12473" xr:uid="{00000000-0005-0000-0000-00008E300000}"/>
    <cellStyle name="Normal 2 2 2 2 2 25 5 9" xfId="12474" xr:uid="{00000000-0005-0000-0000-00008F300000}"/>
    <cellStyle name="Normal 2 2 2 2 2 25 6" xfId="12475" xr:uid="{00000000-0005-0000-0000-000090300000}"/>
    <cellStyle name="Normal 2 2 2 2 2 25 7" xfId="12476" xr:uid="{00000000-0005-0000-0000-000091300000}"/>
    <cellStyle name="Normal 2 2 2 2 2 25 8" xfId="12477" xr:uid="{00000000-0005-0000-0000-000092300000}"/>
    <cellStyle name="Normal 2 2 2 2 2 25 9" xfId="12478" xr:uid="{00000000-0005-0000-0000-000093300000}"/>
    <cellStyle name="Normal 2 2 2 2 2 26" xfId="12479" xr:uid="{00000000-0005-0000-0000-000094300000}"/>
    <cellStyle name="Normal 2 2 2 2 2 26 10" xfId="12480" xr:uid="{00000000-0005-0000-0000-000095300000}"/>
    <cellStyle name="Normal 2 2 2 2 2 26 11" xfId="12481" xr:uid="{00000000-0005-0000-0000-000096300000}"/>
    <cellStyle name="Normal 2 2 2 2 2 26 12" xfId="12482" xr:uid="{00000000-0005-0000-0000-000097300000}"/>
    <cellStyle name="Normal 2 2 2 2 2 26 13" xfId="12483" xr:uid="{00000000-0005-0000-0000-000098300000}"/>
    <cellStyle name="Normal 2 2 2 2 2 26 14" xfId="12484" xr:uid="{00000000-0005-0000-0000-000099300000}"/>
    <cellStyle name="Normal 2 2 2 2 2 26 2" xfId="12485" xr:uid="{00000000-0005-0000-0000-00009A300000}"/>
    <cellStyle name="Normal 2 2 2 2 2 26 2 10" xfId="12486" xr:uid="{00000000-0005-0000-0000-00009B300000}"/>
    <cellStyle name="Normal 2 2 2 2 2 26 2 2" xfId="12487" xr:uid="{00000000-0005-0000-0000-00009C300000}"/>
    <cellStyle name="Normal 2 2 2 2 2 26 2 3" xfId="12488" xr:uid="{00000000-0005-0000-0000-00009D300000}"/>
    <cellStyle name="Normal 2 2 2 2 2 26 2 4" xfId="12489" xr:uid="{00000000-0005-0000-0000-00009E300000}"/>
    <cellStyle name="Normal 2 2 2 2 2 26 2 5" xfId="12490" xr:uid="{00000000-0005-0000-0000-00009F300000}"/>
    <cellStyle name="Normal 2 2 2 2 2 26 2 6" xfId="12491" xr:uid="{00000000-0005-0000-0000-0000A0300000}"/>
    <cellStyle name="Normal 2 2 2 2 2 26 2 7" xfId="12492" xr:uid="{00000000-0005-0000-0000-0000A1300000}"/>
    <cellStyle name="Normal 2 2 2 2 2 26 2 8" xfId="12493" xr:uid="{00000000-0005-0000-0000-0000A2300000}"/>
    <cellStyle name="Normal 2 2 2 2 2 26 2 9" xfId="12494" xr:uid="{00000000-0005-0000-0000-0000A3300000}"/>
    <cellStyle name="Normal 2 2 2 2 2 26 3" xfId="12495" xr:uid="{00000000-0005-0000-0000-0000A4300000}"/>
    <cellStyle name="Normal 2 2 2 2 2 26 3 10" xfId="12496" xr:uid="{00000000-0005-0000-0000-0000A5300000}"/>
    <cellStyle name="Normal 2 2 2 2 2 26 3 2" xfId="12497" xr:uid="{00000000-0005-0000-0000-0000A6300000}"/>
    <cellStyle name="Normal 2 2 2 2 2 26 3 3" xfId="12498" xr:uid="{00000000-0005-0000-0000-0000A7300000}"/>
    <cellStyle name="Normal 2 2 2 2 2 26 3 4" xfId="12499" xr:uid="{00000000-0005-0000-0000-0000A8300000}"/>
    <cellStyle name="Normal 2 2 2 2 2 26 3 5" xfId="12500" xr:uid="{00000000-0005-0000-0000-0000A9300000}"/>
    <cellStyle name="Normal 2 2 2 2 2 26 3 6" xfId="12501" xr:uid="{00000000-0005-0000-0000-0000AA300000}"/>
    <cellStyle name="Normal 2 2 2 2 2 26 3 7" xfId="12502" xr:uid="{00000000-0005-0000-0000-0000AB300000}"/>
    <cellStyle name="Normal 2 2 2 2 2 26 3 8" xfId="12503" xr:uid="{00000000-0005-0000-0000-0000AC300000}"/>
    <cellStyle name="Normal 2 2 2 2 2 26 3 9" xfId="12504" xr:uid="{00000000-0005-0000-0000-0000AD300000}"/>
    <cellStyle name="Normal 2 2 2 2 2 26 4" xfId="12505" xr:uid="{00000000-0005-0000-0000-0000AE300000}"/>
    <cellStyle name="Normal 2 2 2 2 2 26 4 10" xfId="12506" xr:uid="{00000000-0005-0000-0000-0000AF300000}"/>
    <cellStyle name="Normal 2 2 2 2 2 26 4 2" xfId="12507" xr:uid="{00000000-0005-0000-0000-0000B0300000}"/>
    <cellStyle name="Normal 2 2 2 2 2 26 4 3" xfId="12508" xr:uid="{00000000-0005-0000-0000-0000B1300000}"/>
    <cellStyle name="Normal 2 2 2 2 2 26 4 4" xfId="12509" xr:uid="{00000000-0005-0000-0000-0000B2300000}"/>
    <cellStyle name="Normal 2 2 2 2 2 26 4 5" xfId="12510" xr:uid="{00000000-0005-0000-0000-0000B3300000}"/>
    <cellStyle name="Normal 2 2 2 2 2 26 4 6" xfId="12511" xr:uid="{00000000-0005-0000-0000-0000B4300000}"/>
    <cellStyle name="Normal 2 2 2 2 2 26 4 7" xfId="12512" xr:uid="{00000000-0005-0000-0000-0000B5300000}"/>
    <cellStyle name="Normal 2 2 2 2 2 26 4 8" xfId="12513" xr:uid="{00000000-0005-0000-0000-0000B6300000}"/>
    <cellStyle name="Normal 2 2 2 2 2 26 4 9" xfId="12514" xr:uid="{00000000-0005-0000-0000-0000B7300000}"/>
    <cellStyle name="Normal 2 2 2 2 2 26 5" xfId="12515" xr:uid="{00000000-0005-0000-0000-0000B8300000}"/>
    <cellStyle name="Normal 2 2 2 2 2 26 5 10" xfId="12516" xr:uid="{00000000-0005-0000-0000-0000B9300000}"/>
    <cellStyle name="Normal 2 2 2 2 2 26 5 2" xfId="12517" xr:uid="{00000000-0005-0000-0000-0000BA300000}"/>
    <cellStyle name="Normal 2 2 2 2 2 26 5 3" xfId="12518" xr:uid="{00000000-0005-0000-0000-0000BB300000}"/>
    <cellStyle name="Normal 2 2 2 2 2 26 5 4" xfId="12519" xr:uid="{00000000-0005-0000-0000-0000BC300000}"/>
    <cellStyle name="Normal 2 2 2 2 2 26 5 5" xfId="12520" xr:uid="{00000000-0005-0000-0000-0000BD300000}"/>
    <cellStyle name="Normal 2 2 2 2 2 26 5 6" xfId="12521" xr:uid="{00000000-0005-0000-0000-0000BE300000}"/>
    <cellStyle name="Normal 2 2 2 2 2 26 5 7" xfId="12522" xr:uid="{00000000-0005-0000-0000-0000BF300000}"/>
    <cellStyle name="Normal 2 2 2 2 2 26 5 8" xfId="12523" xr:uid="{00000000-0005-0000-0000-0000C0300000}"/>
    <cellStyle name="Normal 2 2 2 2 2 26 5 9" xfId="12524" xr:uid="{00000000-0005-0000-0000-0000C1300000}"/>
    <cellStyle name="Normal 2 2 2 2 2 26 6" xfId="12525" xr:uid="{00000000-0005-0000-0000-0000C2300000}"/>
    <cellStyle name="Normal 2 2 2 2 2 26 7" xfId="12526" xr:uid="{00000000-0005-0000-0000-0000C3300000}"/>
    <cellStyle name="Normal 2 2 2 2 2 26 8" xfId="12527" xr:uid="{00000000-0005-0000-0000-0000C4300000}"/>
    <cellStyle name="Normal 2 2 2 2 2 26 9" xfId="12528" xr:uid="{00000000-0005-0000-0000-0000C5300000}"/>
    <cellStyle name="Normal 2 2 2 2 2 27" xfId="12529" xr:uid="{00000000-0005-0000-0000-0000C6300000}"/>
    <cellStyle name="Normal 2 2 2 2 2 27 10" xfId="12530" xr:uid="{00000000-0005-0000-0000-0000C7300000}"/>
    <cellStyle name="Normal 2 2 2 2 2 27 11" xfId="12531" xr:uid="{00000000-0005-0000-0000-0000C8300000}"/>
    <cellStyle name="Normal 2 2 2 2 2 27 12" xfId="12532" xr:uid="{00000000-0005-0000-0000-0000C9300000}"/>
    <cellStyle name="Normal 2 2 2 2 2 27 13" xfId="12533" xr:uid="{00000000-0005-0000-0000-0000CA300000}"/>
    <cellStyle name="Normal 2 2 2 2 2 27 14" xfId="12534" xr:uid="{00000000-0005-0000-0000-0000CB300000}"/>
    <cellStyle name="Normal 2 2 2 2 2 27 2" xfId="12535" xr:uid="{00000000-0005-0000-0000-0000CC300000}"/>
    <cellStyle name="Normal 2 2 2 2 2 27 2 10" xfId="12536" xr:uid="{00000000-0005-0000-0000-0000CD300000}"/>
    <cellStyle name="Normal 2 2 2 2 2 27 2 2" xfId="12537" xr:uid="{00000000-0005-0000-0000-0000CE300000}"/>
    <cellStyle name="Normal 2 2 2 2 2 27 2 3" xfId="12538" xr:uid="{00000000-0005-0000-0000-0000CF300000}"/>
    <cellStyle name="Normal 2 2 2 2 2 27 2 4" xfId="12539" xr:uid="{00000000-0005-0000-0000-0000D0300000}"/>
    <cellStyle name="Normal 2 2 2 2 2 27 2 5" xfId="12540" xr:uid="{00000000-0005-0000-0000-0000D1300000}"/>
    <cellStyle name="Normal 2 2 2 2 2 27 2 6" xfId="12541" xr:uid="{00000000-0005-0000-0000-0000D2300000}"/>
    <cellStyle name="Normal 2 2 2 2 2 27 2 7" xfId="12542" xr:uid="{00000000-0005-0000-0000-0000D3300000}"/>
    <cellStyle name="Normal 2 2 2 2 2 27 2 8" xfId="12543" xr:uid="{00000000-0005-0000-0000-0000D4300000}"/>
    <cellStyle name="Normal 2 2 2 2 2 27 2 9" xfId="12544" xr:uid="{00000000-0005-0000-0000-0000D5300000}"/>
    <cellStyle name="Normal 2 2 2 2 2 27 3" xfId="12545" xr:uid="{00000000-0005-0000-0000-0000D6300000}"/>
    <cellStyle name="Normal 2 2 2 2 2 27 3 10" xfId="12546" xr:uid="{00000000-0005-0000-0000-0000D7300000}"/>
    <cellStyle name="Normal 2 2 2 2 2 27 3 2" xfId="12547" xr:uid="{00000000-0005-0000-0000-0000D8300000}"/>
    <cellStyle name="Normal 2 2 2 2 2 27 3 3" xfId="12548" xr:uid="{00000000-0005-0000-0000-0000D9300000}"/>
    <cellStyle name="Normal 2 2 2 2 2 27 3 4" xfId="12549" xr:uid="{00000000-0005-0000-0000-0000DA300000}"/>
    <cellStyle name="Normal 2 2 2 2 2 27 3 5" xfId="12550" xr:uid="{00000000-0005-0000-0000-0000DB300000}"/>
    <cellStyle name="Normal 2 2 2 2 2 27 3 6" xfId="12551" xr:uid="{00000000-0005-0000-0000-0000DC300000}"/>
    <cellStyle name="Normal 2 2 2 2 2 27 3 7" xfId="12552" xr:uid="{00000000-0005-0000-0000-0000DD300000}"/>
    <cellStyle name="Normal 2 2 2 2 2 27 3 8" xfId="12553" xr:uid="{00000000-0005-0000-0000-0000DE300000}"/>
    <cellStyle name="Normal 2 2 2 2 2 27 3 9" xfId="12554" xr:uid="{00000000-0005-0000-0000-0000DF300000}"/>
    <cellStyle name="Normal 2 2 2 2 2 27 4" xfId="12555" xr:uid="{00000000-0005-0000-0000-0000E0300000}"/>
    <cellStyle name="Normal 2 2 2 2 2 27 4 10" xfId="12556" xr:uid="{00000000-0005-0000-0000-0000E1300000}"/>
    <cellStyle name="Normal 2 2 2 2 2 27 4 2" xfId="12557" xr:uid="{00000000-0005-0000-0000-0000E2300000}"/>
    <cellStyle name="Normal 2 2 2 2 2 27 4 3" xfId="12558" xr:uid="{00000000-0005-0000-0000-0000E3300000}"/>
    <cellStyle name="Normal 2 2 2 2 2 27 4 4" xfId="12559" xr:uid="{00000000-0005-0000-0000-0000E4300000}"/>
    <cellStyle name="Normal 2 2 2 2 2 27 4 5" xfId="12560" xr:uid="{00000000-0005-0000-0000-0000E5300000}"/>
    <cellStyle name="Normal 2 2 2 2 2 27 4 6" xfId="12561" xr:uid="{00000000-0005-0000-0000-0000E6300000}"/>
    <cellStyle name="Normal 2 2 2 2 2 27 4 7" xfId="12562" xr:uid="{00000000-0005-0000-0000-0000E7300000}"/>
    <cellStyle name="Normal 2 2 2 2 2 27 4 8" xfId="12563" xr:uid="{00000000-0005-0000-0000-0000E8300000}"/>
    <cellStyle name="Normal 2 2 2 2 2 27 4 9" xfId="12564" xr:uid="{00000000-0005-0000-0000-0000E9300000}"/>
    <cellStyle name="Normal 2 2 2 2 2 27 5" xfId="12565" xr:uid="{00000000-0005-0000-0000-0000EA300000}"/>
    <cellStyle name="Normal 2 2 2 2 2 27 5 10" xfId="12566" xr:uid="{00000000-0005-0000-0000-0000EB300000}"/>
    <cellStyle name="Normal 2 2 2 2 2 27 5 2" xfId="12567" xr:uid="{00000000-0005-0000-0000-0000EC300000}"/>
    <cellStyle name="Normal 2 2 2 2 2 27 5 3" xfId="12568" xr:uid="{00000000-0005-0000-0000-0000ED300000}"/>
    <cellStyle name="Normal 2 2 2 2 2 27 5 4" xfId="12569" xr:uid="{00000000-0005-0000-0000-0000EE300000}"/>
    <cellStyle name="Normal 2 2 2 2 2 27 5 5" xfId="12570" xr:uid="{00000000-0005-0000-0000-0000EF300000}"/>
    <cellStyle name="Normal 2 2 2 2 2 27 5 6" xfId="12571" xr:uid="{00000000-0005-0000-0000-0000F0300000}"/>
    <cellStyle name="Normal 2 2 2 2 2 27 5 7" xfId="12572" xr:uid="{00000000-0005-0000-0000-0000F1300000}"/>
    <cellStyle name="Normal 2 2 2 2 2 27 5 8" xfId="12573" xr:uid="{00000000-0005-0000-0000-0000F2300000}"/>
    <cellStyle name="Normal 2 2 2 2 2 27 5 9" xfId="12574" xr:uid="{00000000-0005-0000-0000-0000F3300000}"/>
    <cellStyle name="Normal 2 2 2 2 2 27 6" xfId="12575" xr:uid="{00000000-0005-0000-0000-0000F4300000}"/>
    <cellStyle name="Normal 2 2 2 2 2 27 7" xfId="12576" xr:uid="{00000000-0005-0000-0000-0000F5300000}"/>
    <cellStyle name="Normal 2 2 2 2 2 27 8" xfId="12577" xr:uid="{00000000-0005-0000-0000-0000F6300000}"/>
    <cellStyle name="Normal 2 2 2 2 2 27 9" xfId="12578" xr:uid="{00000000-0005-0000-0000-0000F7300000}"/>
    <cellStyle name="Normal 2 2 2 2 2 28" xfId="12579" xr:uid="{00000000-0005-0000-0000-0000F8300000}"/>
    <cellStyle name="Normal 2 2 2 2 2 28 10" xfId="12580" xr:uid="{00000000-0005-0000-0000-0000F9300000}"/>
    <cellStyle name="Normal 2 2 2 2 2 28 11" xfId="12581" xr:uid="{00000000-0005-0000-0000-0000FA300000}"/>
    <cellStyle name="Normal 2 2 2 2 2 28 12" xfId="12582" xr:uid="{00000000-0005-0000-0000-0000FB300000}"/>
    <cellStyle name="Normal 2 2 2 2 2 28 13" xfId="12583" xr:uid="{00000000-0005-0000-0000-0000FC300000}"/>
    <cellStyle name="Normal 2 2 2 2 2 28 14" xfId="12584" xr:uid="{00000000-0005-0000-0000-0000FD300000}"/>
    <cellStyle name="Normal 2 2 2 2 2 28 2" xfId="12585" xr:uid="{00000000-0005-0000-0000-0000FE300000}"/>
    <cellStyle name="Normal 2 2 2 2 2 28 2 10" xfId="12586" xr:uid="{00000000-0005-0000-0000-0000FF300000}"/>
    <cellStyle name="Normal 2 2 2 2 2 28 2 2" xfId="12587" xr:uid="{00000000-0005-0000-0000-000000310000}"/>
    <cellStyle name="Normal 2 2 2 2 2 28 2 3" xfId="12588" xr:uid="{00000000-0005-0000-0000-000001310000}"/>
    <cellStyle name="Normal 2 2 2 2 2 28 2 4" xfId="12589" xr:uid="{00000000-0005-0000-0000-000002310000}"/>
    <cellStyle name="Normal 2 2 2 2 2 28 2 5" xfId="12590" xr:uid="{00000000-0005-0000-0000-000003310000}"/>
    <cellStyle name="Normal 2 2 2 2 2 28 2 6" xfId="12591" xr:uid="{00000000-0005-0000-0000-000004310000}"/>
    <cellStyle name="Normal 2 2 2 2 2 28 2 7" xfId="12592" xr:uid="{00000000-0005-0000-0000-000005310000}"/>
    <cellStyle name="Normal 2 2 2 2 2 28 2 8" xfId="12593" xr:uid="{00000000-0005-0000-0000-000006310000}"/>
    <cellStyle name="Normal 2 2 2 2 2 28 2 9" xfId="12594" xr:uid="{00000000-0005-0000-0000-000007310000}"/>
    <cellStyle name="Normal 2 2 2 2 2 28 3" xfId="12595" xr:uid="{00000000-0005-0000-0000-000008310000}"/>
    <cellStyle name="Normal 2 2 2 2 2 28 3 10" xfId="12596" xr:uid="{00000000-0005-0000-0000-000009310000}"/>
    <cellStyle name="Normal 2 2 2 2 2 28 3 2" xfId="12597" xr:uid="{00000000-0005-0000-0000-00000A310000}"/>
    <cellStyle name="Normal 2 2 2 2 2 28 3 3" xfId="12598" xr:uid="{00000000-0005-0000-0000-00000B310000}"/>
    <cellStyle name="Normal 2 2 2 2 2 28 3 4" xfId="12599" xr:uid="{00000000-0005-0000-0000-00000C310000}"/>
    <cellStyle name="Normal 2 2 2 2 2 28 3 5" xfId="12600" xr:uid="{00000000-0005-0000-0000-00000D310000}"/>
    <cellStyle name="Normal 2 2 2 2 2 28 3 6" xfId="12601" xr:uid="{00000000-0005-0000-0000-00000E310000}"/>
    <cellStyle name="Normal 2 2 2 2 2 28 3 7" xfId="12602" xr:uid="{00000000-0005-0000-0000-00000F310000}"/>
    <cellStyle name="Normal 2 2 2 2 2 28 3 8" xfId="12603" xr:uid="{00000000-0005-0000-0000-000010310000}"/>
    <cellStyle name="Normal 2 2 2 2 2 28 3 9" xfId="12604" xr:uid="{00000000-0005-0000-0000-000011310000}"/>
    <cellStyle name="Normal 2 2 2 2 2 28 4" xfId="12605" xr:uid="{00000000-0005-0000-0000-000012310000}"/>
    <cellStyle name="Normal 2 2 2 2 2 28 4 10" xfId="12606" xr:uid="{00000000-0005-0000-0000-000013310000}"/>
    <cellStyle name="Normal 2 2 2 2 2 28 4 2" xfId="12607" xr:uid="{00000000-0005-0000-0000-000014310000}"/>
    <cellStyle name="Normal 2 2 2 2 2 28 4 3" xfId="12608" xr:uid="{00000000-0005-0000-0000-000015310000}"/>
    <cellStyle name="Normal 2 2 2 2 2 28 4 4" xfId="12609" xr:uid="{00000000-0005-0000-0000-000016310000}"/>
    <cellStyle name="Normal 2 2 2 2 2 28 4 5" xfId="12610" xr:uid="{00000000-0005-0000-0000-000017310000}"/>
    <cellStyle name="Normal 2 2 2 2 2 28 4 6" xfId="12611" xr:uid="{00000000-0005-0000-0000-000018310000}"/>
    <cellStyle name="Normal 2 2 2 2 2 28 4 7" xfId="12612" xr:uid="{00000000-0005-0000-0000-000019310000}"/>
    <cellStyle name="Normal 2 2 2 2 2 28 4 8" xfId="12613" xr:uid="{00000000-0005-0000-0000-00001A310000}"/>
    <cellStyle name="Normal 2 2 2 2 2 28 4 9" xfId="12614" xr:uid="{00000000-0005-0000-0000-00001B310000}"/>
    <cellStyle name="Normal 2 2 2 2 2 28 5" xfId="12615" xr:uid="{00000000-0005-0000-0000-00001C310000}"/>
    <cellStyle name="Normal 2 2 2 2 2 28 5 10" xfId="12616" xr:uid="{00000000-0005-0000-0000-00001D310000}"/>
    <cellStyle name="Normal 2 2 2 2 2 28 5 2" xfId="12617" xr:uid="{00000000-0005-0000-0000-00001E310000}"/>
    <cellStyle name="Normal 2 2 2 2 2 28 5 3" xfId="12618" xr:uid="{00000000-0005-0000-0000-00001F310000}"/>
    <cellStyle name="Normal 2 2 2 2 2 28 5 4" xfId="12619" xr:uid="{00000000-0005-0000-0000-000020310000}"/>
    <cellStyle name="Normal 2 2 2 2 2 28 5 5" xfId="12620" xr:uid="{00000000-0005-0000-0000-000021310000}"/>
    <cellStyle name="Normal 2 2 2 2 2 28 5 6" xfId="12621" xr:uid="{00000000-0005-0000-0000-000022310000}"/>
    <cellStyle name="Normal 2 2 2 2 2 28 5 7" xfId="12622" xr:uid="{00000000-0005-0000-0000-000023310000}"/>
    <cellStyle name="Normal 2 2 2 2 2 28 5 8" xfId="12623" xr:uid="{00000000-0005-0000-0000-000024310000}"/>
    <cellStyle name="Normal 2 2 2 2 2 28 5 9" xfId="12624" xr:uid="{00000000-0005-0000-0000-000025310000}"/>
    <cellStyle name="Normal 2 2 2 2 2 28 6" xfId="12625" xr:uid="{00000000-0005-0000-0000-000026310000}"/>
    <cellStyle name="Normal 2 2 2 2 2 28 7" xfId="12626" xr:uid="{00000000-0005-0000-0000-000027310000}"/>
    <cellStyle name="Normal 2 2 2 2 2 28 8" xfId="12627" xr:uid="{00000000-0005-0000-0000-000028310000}"/>
    <cellStyle name="Normal 2 2 2 2 2 28 9" xfId="12628" xr:uid="{00000000-0005-0000-0000-000029310000}"/>
    <cellStyle name="Normal 2 2 2 2 2 29" xfId="12629" xr:uid="{00000000-0005-0000-0000-00002A310000}"/>
    <cellStyle name="Normal 2 2 2 2 2 29 10" xfId="12630" xr:uid="{00000000-0005-0000-0000-00002B310000}"/>
    <cellStyle name="Normal 2 2 2 2 2 29 11" xfId="12631" xr:uid="{00000000-0005-0000-0000-00002C310000}"/>
    <cellStyle name="Normal 2 2 2 2 2 29 12" xfId="12632" xr:uid="{00000000-0005-0000-0000-00002D310000}"/>
    <cellStyle name="Normal 2 2 2 2 2 29 13" xfId="12633" xr:uid="{00000000-0005-0000-0000-00002E310000}"/>
    <cellStyle name="Normal 2 2 2 2 2 29 14" xfId="12634" xr:uid="{00000000-0005-0000-0000-00002F310000}"/>
    <cellStyle name="Normal 2 2 2 2 2 29 2" xfId="12635" xr:uid="{00000000-0005-0000-0000-000030310000}"/>
    <cellStyle name="Normal 2 2 2 2 2 29 2 10" xfId="12636" xr:uid="{00000000-0005-0000-0000-000031310000}"/>
    <cellStyle name="Normal 2 2 2 2 2 29 2 2" xfId="12637" xr:uid="{00000000-0005-0000-0000-000032310000}"/>
    <cellStyle name="Normal 2 2 2 2 2 29 2 3" xfId="12638" xr:uid="{00000000-0005-0000-0000-000033310000}"/>
    <cellStyle name="Normal 2 2 2 2 2 29 2 4" xfId="12639" xr:uid="{00000000-0005-0000-0000-000034310000}"/>
    <cellStyle name="Normal 2 2 2 2 2 29 2 5" xfId="12640" xr:uid="{00000000-0005-0000-0000-000035310000}"/>
    <cellStyle name="Normal 2 2 2 2 2 29 2 6" xfId="12641" xr:uid="{00000000-0005-0000-0000-000036310000}"/>
    <cellStyle name="Normal 2 2 2 2 2 29 2 7" xfId="12642" xr:uid="{00000000-0005-0000-0000-000037310000}"/>
    <cellStyle name="Normal 2 2 2 2 2 29 2 8" xfId="12643" xr:uid="{00000000-0005-0000-0000-000038310000}"/>
    <cellStyle name="Normal 2 2 2 2 2 29 2 9" xfId="12644" xr:uid="{00000000-0005-0000-0000-000039310000}"/>
    <cellStyle name="Normal 2 2 2 2 2 29 3" xfId="12645" xr:uid="{00000000-0005-0000-0000-00003A310000}"/>
    <cellStyle name="Normal 2 2 2 2 2 29 3 10" xfId="12646" xr:uid="{00000000-0005-0000-0000-00003B310000}"/>
    <cellStyle name="Normal 2 2 2 2 2 29 3 2" xfId="12647" xr:uid="{00000000-0005-0000-0000-00003C310000}"/>
    <cellStyle name="Normal 2 2 2 2 2 29 3 3" xfId="12648" xr:uid="{00000000-0005-0000-0000-00003D310000}"/>
    <cellStyle name="Normal 2 2 2 2 2 29 3 4" xfId="12649" xr:uid="{00000000-0005-0000-0000-00003E310000}"/>
    <cellStyle name="Normal 2 2 2 2 2 29 3 5" xfId="12650" xr:uid="{00000000-0005-0000-0000-00003F310000}"/>
    <cellStyle name="Normal 2 2 2 2 2 29 3 6" xfId="12651" xr:uid="{00000000-0005-0000-0000-000040310000}"/>
    <cellStyle name="Normal 2 2 2 2 2 29 3 7" xfId="12652" xr:uid="{00000000-0005-0000-0000-000041310000}"/>
    <cellStyle name="Normal 2 2 2 2 2 29 3 8" xfId="12653" xr:uid="{00000000-0005-0000-0000-000042310000}"/>
    <cellStyle name="Normal 2 2 2 2 2 29 3 9" xfId="12654" xr:uid="{00000000-0005-0000-0000-000043310000}"/>
    <cellStyle name="Normal 2 2 2 2 2 29 4" xfId="12655" xr:uid="{00000000-0005-0000-0000-000044310000}"/>
    <cellStyle name="Normal 2 2 2 2 2 29 4 10" xfId="12656" xr:uid="{00000000-0005-0000-0000-000045310000}"/>
    <cellStyle name="Normal 2 2 2 2 2 29 4 2" xfId="12657" xr:uid="{00000000-0005-0000-0000-000046310000}"/>
    <cellStyle name="Normal 2 2 2 2 2 29 4 3" xfId="12658" xr:uid="{00000000-0005-0000-0000-000047310000}"/>
    <cellStyle name="Normal 2 2 2 2 2 29 4 4" xfId="12659" xr:uid="{00000000-0005-0000-0000-000048310000}"/>
    <cellStyle name="Normal 2 2 2 2 2 29 4 5" xfId="12660" xr:uid="{00000000-0005-0000-0000-000049310000}"/>
    <cellStyle name="Normal 2 2 2 2 2 29 4 6" xfId="12661" xr:uid="{00000000-0005-0000-0000-00004A310000}"/>
    <cellStyle name="Normal 2 2 2 2 2 29 4 7" xfId="12662" xr:uid="{00000000-0005-0000-0000-00004B310000}"/>
    <cellStyle name="Normal 2 2 2 2 2 29 4 8" xfId="12663" xr:uid="{00000000-0005-0000-0000-00004C310000}"/>
    <cellStyle name="Normal 2 2 2 2 2 29 4 9" xfId="12664" xr:uid="{00000000-0005-0000-0000-00004D310000}"/>
    <cellStyle name="Normal 2 2 2 2 2 29 5" xfId="12665" xr:uid="{00000000-0005-0000-0000-00004E310000}"/>
    <cellStyle name="Normal 2 2 2 2 2 29 5 10" xfId="12666" xr:uid="{00000000-0005-0000-0000-00004F310000}"/>
    <cellStyle name="Normal 2 2 2 2 2 29 5 2" xfId="12667" xr:uid="{00000000-0005-0000-0000-000050310000}"/>
    <cellStyle name="Normal 2 2 2 2 2 29 5 3" xfId="12668" xr:uid="{00000000-0005-0000-0000-000051310000}"/>
    <cellStyle name="Normal 2 2 2 2 2 29 5 4" xfId="12669" xr:uid="{00000000-0005-0000-0000-000052310000}"/>
    <cellStyle name="Normal 2 2 2 2 2 29 5 5" xfId="12670" xr:uid="{00000000-0005-0000-0000-000053310000}"/>
    <cellStyle name="Normal 2 2 2 2 2 29 5 6" xfId="12671" xr:uid="{00000000-0005-0000-0000-000054310000}"/>
    <cellStyle name="Normal 2 2 2 2 2 29 5 7" xfId="12672" xr:uid="{00000000-0005-0000-0000-000055310000}"/>
    <cellStyle name="Normal 2 2 2 2 2 29 5 8" xfId="12673" xr:uid="{00000000-0005-0000-0000-000056310000}"/>
    <cellStyle name="Normal 2 2 2 2 2 29 5 9" xfId="12674" xr:uid="{00000000-0005-0000-0000-000057310000}"/>
    <cellStyle name="Normal 2 2 2 2 2 29 6" xfId="12675" xr:uid="{00000000-0005-0000-0000-000058310000}"/>
    <cellStyle name="Normal 2 2 2 2 2 29 7" xfId="12676" xr:uid="{00000000-0005-0000-0000-000059310000}"/>
    <cellStyle name="Normal 2 2 2 2 2 29 8" xfId="12677" xr:uid="{00000000-0005-0000-0000-00005A310000}"/>
    <cellStyle name="Normal 2 2 2 2 2 29 9" xfId="12678" xr:uid="{00000000-0005-0000-0000-00005B310000}"/>
    <cellStyle name="Normal 2 2 2 2 2 3" xfId="12679" xr:uid="{00000000-0005-0000-0000-00005C310000}"/>
    <cellStyle name="Normal 2 2 2 2 2 3 10" xfId="12680" xr:uid="{00000000-0005-0000-0000-00005D310000}"/>
    <cellStyle name="Normal 2 2 2 2 2 3 11" xfId="12681" xr:uid="{00000000-0005-0000-0000-00005E310000}"/>
    <cellStyle name="Normal 2 2 2 2 2 3 12" xfId="12682" xr:uid="{00000000-0005-0000-0000-00005F310000}"/>
    <cellStyle name="Normal 2 2 2 2 2 3 13" xfId="12683" xr:uid="{00000000-0005-0000-0000-000060310000}"/>
    <cellStyle name="Normal 2 2 2 2 2 3 14" xfId="12684" xr:uid="{00000000-0005-0000-0000-000061310000}"/>
    <cellStyle name="Normal 2 2 2 2 2 3 15" xfId="12685" xr:uid="{00000000-0005-0000-0000-000062310000}"/>
    <cellStyle name="Normal 2 2 2 2 2 3 16" xfId="12686" xr:uid="{00000000-0005-0000-0000-000063310000}"/>
    <cellStyle name="Normal 2 2 2 2 2 3 2" xfId="12687" xr:uid="{00000000-0005-0000-0000-000064310000}"/>
    <cellStyle name="Normal 2 2 2 2 2 3 2 10" xfId="12688" xr:uid="{00000000-0005-0000-0000-000065310000}"/>
    <cellStyle name="Normal 2 2 2 2 2 3 2 11" xfId="12689" xr:uid="{00000000-0005-0000-0000-000066310000}"/>
    <cellStyle name="Normal 2 2 2 2 2 3 2 12" xfId="12690" xr:uid="{00000000-0005-0000-0000-000067310000}"/>
    <cellStyle name="Normal 2 2 2 2 2 3 2 2" xfId="12691" xr:uid="{00000000-0005-0000-0000-000068310000}"/>
    <cellStyle name="Normal 2 2 2 2 2 3 2 3" xfId="12692" xr:uid="{00000000-0005-0000-0000-000069310000}"/>
    <cellStyle name="Normal 2 2 2 2 2 3 2 4" xfId="12693" xr:uid="{00000000-0005-0000-0000-00006A310000}"/>
    <cellStyle name="Normal 2 2 2 2 2 3 2 5" xfId="12694" xr:uid="{00000000-0005-0000-0000-00006B310000}"/>
    <cellStyle name="Normal 2 2 2 2 2 3 2 6" xfId="12695" xr:uid="{00000000-0005-0000-0000-00006C310000}"/>
    <cellStyle name="Normal 2 2 2 2 2 3 2 7" xfId="12696" xr:uid="{00000000-0005-0000-0000-00006D310000}"/>
    <cellStyle name="Normal 2 2 2 2 2 3 2 8" xfId="12697" xr:uid="{00000000-0005-0000-0000-00006E310000}"/>
    <cellStyle name="Normal 2 2 2 2 2 3 2 9" xfId="12698" xr:uid="{00000000-0005-0000-0000-00006F310000}"/>
    <cellStyle name="Normal 2 2 2 2 2 3 3" xfId="12699" xr:uid="{00000000-0005-0000-0000-000070310000}"/>
    <cellStyle name="Normal 2 2 2 2 2 3 3 10" xfId="12700" xr:uid="{00000000-0005-0000-0000-000071310000}"/>
    <cellStyle name="Normal 2 2 2 2 2 3 3 2" xfId="12701" xr:uid="{00000000-0005-0000-0000-000072310000}"/>
    <cellStyle name="Normal 2 2 2 2 2 3 3 3" xfId="12702" xr:uid="{00000000-0005-0000-0000-000073310000}"/>
    <cellStyle name="Normal 2 2 2 2 2 3 3 4" xfId="12703" xr:uid="{00000000-0005-0000-0000-000074310000}"/>
    <cellStyle name="Normal 2 2 2 2 2 3 3 5" xfId="12704" xr:uid="{00000000-0005-0000-0000-000075310000}"/>
    <cellStyle name="Normal 2 2 2 2 2 3 3 6" xfId="12705" xr:uid="{00000000-0005-0000-0000-000076310000}"/>
    <cellStyle name="Normal 2 2 2 2 2 3 3 7" xfId="12706" xr:uid="{00000000-0005-0000-0000-000077310000}"/>
    <cellStyle name="Normal 2 2 2 2 2 3 3 8" xfId="12707" xr:uid="{00000000-0005-0000-0000-000078310000}"/>
    <cellStyle name="Normal 2 2 2 2 2 3 3 9" xfId="12708" xr:uid="{00000000-0005-0000-0000-000079310000}"/>
    <cellStyle name="Normal 2 2 2 2 2 3 4" xfId="12709" xr:uid="{00000000-0005-0000-0000-00007A310000}"/>
    <cellStyle name="Normal 2 2 2 2 2 3 4 10" xfId="12710" xr:uid="{00000000-0005-0000-0000-00007B310000}"/>
    <cellStyle name="Normal 2 2 2 2 2 3 4 2" xfId="12711" xr:uid="{00000000-0005-0000-0000-00007C310000}"/>
    <cellStyle name="Normal 2 2 2 2 2 3 4 3" xfId="12712" xr:uid="{00000000-0005-0000-0000-00007D310000}"/>
    <cellStyle name="Normal 2 2 2 2 2 3 4 4" xfId="12713" xr:uid="{00000000-0005-0000-0000-00007E310000}"/>
    <cellStyle name="Normal 2 2 2 2 2 3 4 5" xfId="12714" xr:uid="{00000000-0005-0000-0000-00007F310000}"/>
    <cellStyle name="Normal 2 2 2 2 2 3 4 6" xfId="12715" xr:uid="{00000000-0005-0000-0000-000080310000}"/>
    <cellStyle name="Normal 2 2 2 2 2 3 4 7" xfId="12716" xr:uid="{00000000-0005-0000-0000-000081310000}"/>
    <cellStyle name="Normal 2 2 2 2 2 3 4 8" xfId="12717" xr:uid="{00000000-0005-0000-0000-000082310000}"/>
    <cellStyle name="Normal 2 2 2 2 2 3 4 9" xfId="12718" xr:uid="{00000000-0005-0000-0000-000083310000}"/>
    <cellStyle name="Normal 2 2 2 2 2 3 5" xfId="12719" xr:uid="{00000000-0005-0000-0000-000084310000}"/>
    <cellStyle name="Normal 2 2 2 2 2 3 5 10" xfId="12720" xr:uid="{00000000-0005-0000-0000-000085310000}"/>
    <cellStyle name="Normal 2 2 2 2 2 3 5 2" xfId="12721" xr:uid="{00000000-0005-0000-0000-000086310000}"/>
    <cellStyle name="Normal 2 2 2 2 2 3 5 3" xfId="12722" xr:uid="{00000000-0005-0000-0000-000087310000}"/>
    <cellStyle name="Normal 2 2 2 2 2 3 5 4" xfId="12723" xr:uid="{00000000-0005-0000-0000-000088310000}"/>
    <cellStyle name="Normal 2 2 2 2 2 3 5 5" xfId="12724" xr:uid="{00000000-0005-0000-0000-000089310000}"/>
    <cellStyle name="Normal 2 2 2 2 2 3 5 6" xfId="12725" xr:uid="{00000000-0005-0000-0000-00008A310000}"/>
    <cellStyle name="Normal 2 2 2 2 2 3 5 7" xfId="12726" xr:uid="{00000000-0005-0000-0000-00008B310000}"/>
    <cellStyle name="Normal 2 2 2 2 2 3 5 8" xfId="12727" xr:uid="{00000000-0005-0000-0000-00008C310000}"/>
    <cellStyle name="Normal 2 2 2 2 2 3 5 9" xfId="12728" xr:uid="{00000000-0005-0000-0000-00008D310000}"/>
    <cellStyle name="Normal 2 2 2 2 2 3 6" xfId="12729" xr:uid="{00000000-0005-0000-0000-00008E310000}"/>
    <cellStyle name="Normal 2 2 2 2 2 3 7" xfId="12730" xr:uid="{00000000-0005-0000-0000-00008F310000}"/>
    <cellStyle name="Normal 2 2 2 2 2 3 8" xfId="12731" xr:uid="{00000000-0005-0000-0000-000090310000}"/>
    <cellStyle name="Normal 2 2 2 2 2 3 9" xfId="12732" xr:uid="{00000000-0005-0000-0000-000091310000}"/>
    <cellStyle name="Normal 2 2 2 2 2 30" xfId="12733" xr:uid="{00000000-0005-0000-0000-000092310000}"/>
    <cellStyle name="Normal 2 2 2 2 2 30 10" xfId="12734" xr:uid="{00000000-0005-0000-0000-000093310000}"/>
    <cellStyle name="Normal 2 2 2 2 2 30 11" xfId="12735" xr:uid="{00000000-0005-0000-0000-000094310000}"/>
    <cellStyle name="Normal 2 2 2 2 2 30 12" xfId="12736" xr:uid="{00000000-0005-0000-0000-000095310000}"/>
    <cellStyle name="Normal 2 2 2 2 2 30 13" xfId="12737" xr:uid="{00000000-0005-0000-0000-000096310000}"/>
    <cellStyle name="Normal 2 2 2 2 2 30 14" xfId="12738" xr:uid="{00000000-0005-0000-0000-000097310000}"/>
    <cellStyle name="Normal 2 2 2 2 2 30 2" xfId="12739" xr:uid="{00000000-0005-0000-0000-000098310000}"/>
    <cellStyle name="Normal 2 2 2 2 2 30 2 10" xfId="12740" xr:uid="{00000000-0005-0000-0000-000099310000}"/>
    <cellStyle name="Normal 2 2 2 2 2 30 2 2" xfId="12741" xr:uid="{00000000-0005-0000-0000-00009A310000}"/>
    <cellStyle name="Normal 2 2 2 2 2 30 2 3" xfId="12742" xr:uid="{00000000-0005-0000-0000-00009B310000}"/>
    <cellStyle name="Normal 2 2 2 2 2 30 2 4" xfId="12743" xr:uid="{00000000-0005-0000-0000-00009C310000}"/>
    <cellStyle name="Normal 2 2 2 2 2 30 2 5" xfId="12744" xr:uid="{00000000-0005-0000-0000-00009D310000}"/>
    <cellStyle name="Normal 2 2 2 2 2 30 2 6" xfId="12745" xr:uid="{00000000-0005-0000-0000-00009E310000}"/>
    <cellStyle name="Normal 2 2 2 2 2 30 2 7" xfId="12746" xr:uid="{00000000-0005-0000-0000-00009F310000}"/>
    <cellStyle name="Normal 2 2 2 2 2 30 2 8" xfId="12747" xr:uid="{00000000-0005-0000-0000-0000A0310000}"/>
    <cellStyle name="Normal 2 2 2 2 2 30 2 9" xfId="12748" xr:uid="{00000000-0005-0000-0000-0000A1310000}"/>
    <cellStyle name="Normal 2 2 2 2 2 30 3" xfId="12749" xr:uid="{00000000-0005-0000-0000-0000A2310000}"/>
    <cellStyle name="Normal 2 2 2 2 2 30 3 10" xfId="12750" xr:uid="{00000000-0005-0000-0000-0000A3310000}"/>
    <cellStyle name="Normal 2 2 2 2 2 30 3 2" xfId="12751" xr:uid="{00000000-0005-0000-0000-0000A4310000}"/>
    <cellStyle name="Normal 2 2 2 2 2 30 3 3" xfId="12752" xr:uid="{00000000-0005-0000-0000-0000A5310000}"/>
    <cellStyle name="Normal 2 2 2 2 2 30 3 4" xfId="12753" xr:uid="{00000000-0005-0000-0000-0000A6310000}"/>
    <cellStyle name="Normal 2 2 2 2 2 30 3 5" xfId="12754" xr:uid="{00000000-0005-0000-0000-0000A7310000}"/>
    <cellStyle name="Normal 2 2 2 2 2 30 3 6" xfId="12755" xr:uid="{00000000-0005-0000-0000-0000A8310000}"/>
    <cellStyle name="Normal 2 2 2 2 2 30 3 7" xfId="12756" xr:uid="{00000000-0005-0000-0000-0000A9310000}"/>
    <cellStyle name="Normal 2 2 2 2 2 30 3 8" xfId="12757" xr:uid="{00000000-0005-0000-0000-0000AA310000}"/>
    <cellStyle name="Normal 2 2 2 2 2 30 3 9" xfId="12758" xr:uid="{00000000-0005-0000-0000-0000AB310000}"/>
    <cellStyle name="Normal 2 2 2 2 2 30 4" xfId="12759" xr:uid="{00000000-0005-0000-0000-0000AC310000}"/>
    <cellStyle name="Normal 2 2 2 2 2 30 4 10" xfId="12760" xr:uid="{00000000-0005-0000-0000-0000AD310000}"/>
    <cellStyle name="Normal 2 2 2 2 2 30 4 2" xfId="12761" xr:uid="{00000000-0005-0000-0000-0000AE310000}"/>
    <cellStyle name="Normal 2 2 2 2 2 30 4 3" xfId="12762" xr:uid="{00000000-0005-0000-0000-0000AF310000}"/>
    <cellStyle name="Normal 2 2 2 2 2 30 4 4" xfId="12763" xr:uid="{00000000-0005-0000-0000-0000B0310000}"/>
    <cellStyle name="Normal 2 2 2 2 2 30 4 5" xfId="12764" xr:uid="{00000000-0005-0000-0000-0000B1310000}"/>
    <cellStyle name="Normal 2 2 2 2 2 30 4 6" xfId="12765" xr:uid="{00000000-0005-0000-0000-0000B2310000}"/>
    <cellStyle name="Normal 2 2 2 2 2 30 4 7" xfId="12766" xr:uid="{00000000-0005-0000-0000-0000B3310000}"/>
    <cellStyle name="Normal 2 2 2 2 2 30 4 8" xfId="12767" xr:uid="{00000000-0005-0000-0000-0000B4310000}"/>
    <cellStyle name="Normal 2 2 2 2 2 30 4 9" xfId="12768" xr:uid="{00000000-0005-0000-0000-0000B5310000}"/>
    <cellStyle name="Normal 2 2 2 2 2 30 5" xfId="12769" xr:uid="{00000000-0005-0000-0000-0000B6310000}"/>
    <cellStyle name="Normal 2 2 2 2 2 30 5 10" xfId="12770" xr:uid="{00000000-0005-0000-0000-0000B7310000}"/>
    <cellStyle name="Normal 2 2 2 2 2 30 5 2" xfId="12771" xr:uid="{00000000-0005-0000-0000-0000B8310000}"/>
    <cellStyle name="Normal 2 2 2 2 2 30 5 3" xfId="12772" xr:uid="{00000000-0005-0000-0000-0000B9310000}"/>
    <cellStyle name="Normal 2 2 2 2 2 30 5 4" xfId="12773" xr:uid="{00000000-0005-0000-0000-0000BA310000}"/>
    <cellStyle name="Normal 2 2 2 2 2 30 5 5" xfId="12774" xr:uid="{00000000-0005-0000-0000-0000BB310000}"/>
    <cellStyle name="Normal 2 2 2 2 2 30 5 6" xfId="12775" xr:uid="{00000000-0005-0000-0000-0000BC310000}"/>
    <cellStyle name="Normal 2 2 2 2 2 30 5 7" xfId="12776" xr:uid="{00000000-0005-0000-0000-0000BD310000}"/>
    <cellStyle name="Normal 2 2 2 2 2 30 5 8" xfId="12777" xr:uid="{00000000-0005-0000-0000-0000BE310000}"/>
    <cellStyle name="Normal 2 2 2 2 2 30 5 9" xfId="12778" xr:uid="{00000000-0005-0000-0000-0000BF310000}"/>
    <cellStyle name="Normal 2 2 2 2 2 30 6" xfId="12779" xr:uid="{00000000-0005-0000-0000-0000C0310000}"/>
    <cellStyle name="Normal 2 2 2 2 2 30 7" xfId="12780" xr:uid="{00000000-0005-0000-0000-0000C1310000}"/>
    <cellStyle name="Normal 2 2 2 2 2 30 8" xfId="12781" xr:uid="{00000000-0005-0000-0000-0000C2310000}"/>
    <cellStyle name="Normal 2 2 2 2 2 30 9" xfId="12782" xr:uid="{00000000-0005-0000-0000-0000C3310000}"/>
    <cellStyle name="Normal 2 2 2 2 2 31" xfId="12783" xr:uid="{00000000-0005-0000-0000-0000C4310000}"/>
    <cellStyle name="Normal 2 2 2 2 2 31 10" xfId="12784" xr:uid="{00000000-0005-0000-0000-0000C5310000}"/>
    <cellStyle name="Normal 2 2 2 2 2 31 11" xfId="12785" xr:uid="{00000000-0005-0000-0000-0000C6310000}"/>
    <cellStyle name="Normal 2 2 2 2 2 31 12" xfId="12786" xr:uid="{00000000-0005-0000-0000-0000C7310000}"/>
    <cellStyle name="Normal 2 2 2 2 2 31 13" xfId="12787" xr:uid="{00000000-0005-0000-0000-0000C8310000}"/>
    <cellStyle name="Normal 2 2 2 2 2 31 14" xfId="12788" xr:uid="{00000000-0005-0000-0000-0000C9310000}"/>
    <cellStyle name="Normal 2 2 2 2 2 31 2" xfId="12789" xr:uid="{00000000-0005-0000-0000-0000CA310000}"/>
    <cellStyle name="Normal 2 2 2 2 2 31 2 10" xfId="12790" xr:uid="{00000000-0005-0000-0000-0000CB310000}"/>
    <cellStyle name="Normal 2 2 2 2 2 31 2 2" xfId="12791" xr:uid="{00000000-0005-0000-0000-0000CC310000}"/>
    <cellStyle name="Normal 2 2 2 2 2 31 2 3" xfId="12792" xr:uid="{00000000-0005-0000-0000-0000CD310000}"/>
    <cellStyle name="Normal 2 2 2 2 2 31 2 4" xfId="12793" xr:uid="{00000000-0005-0000-0000-0000CE310000}"/>
    <cellStyle name="Normal 2 2 2 2 2 31 2 5" xfId="12794" xr:uid="{00000000-0005-0000-0000-0000CF310000}"/>
    <cellStyle name="Normal 2 2 2 2 2 31 2 6" xfId="12795" xr:uid="{00000000-0005-0000-0000-0000D0310000}"/>
    <cellStyle name="Normal 2 2 2 2 2 31 2 7" xfId="12796" xr:uid="{00000000-0005-0000-0000-0000D1310000}"/>
    <cellStyle name="Normal 2 2 2 2 2 31 2 8" xfId="12797" xr:uid="{00000000-0005-0000-0000-0000D2310000}"/>
    <cellStyle name="Normal 2 2 2 2 2 31 2 9" xfId="12798" xr:uid="{00000000-0005-0000-0000-0000D3310000}"/>
    <cellStyle name="Normal 2 2 2 2 2 31 3" xfId="12799" xr:uid="{00000000-0005-0000-0000-0000D4310000}"/>
    <cellStyle name="Normal 2 2 2 2 2 31 3 10" xfId="12800" xr:uid="{00000000-0005-0000-0000-0000D5310000}"/>
    <cellStyle name="Normal 2 2 2 2 2 31 3 2" xfId="12801" xr:uid="{00000000-0005-0000-0000-0000D6310000}"/>
    <cellStyle name="Normal 2 2 2 2 2 31 3 3" xfId="12802" xr:uid="{00000000-0005-0000-0000-0000D7310000}"/>
    <cellStyle name="Normal 2 2 2 2 2 31 3 4" xfId="12803" xr:uid="{00000000-0005-0000-0000-0000D8310000}"/>
    <cellStyle name="Normal 2 2 2 2 2 31 3 5" xfId="12804" xr:uid="{00000000-0005-0000-0000-0000D9310000}"/>
    <cellStyle name="Normal 2 2 2 2 2 31 3 6" xfId="12805" xr:uid="{00000000-0005-0000-0000-0000DA310000}"/>
    <cellStyle name="Normal 2 2 2 2 2 31 3 7" xfId="12806" xr:uid="{00000000-0005-0000-0000-0000DB310000}"/>
    <cellStyle name="Normal 2 2 2 2 2 31 3 8" xfId="12807" xr:uid="{00000000-0005-0000-0000-0000DC310000}"/>
    <cellStyle name="Normal 2 2 2 2 2 31 3 9" xfId="12808" xr:uid="{00000000-0005-0000-0000-0000DD310000}"/>
    <cellStyle name="Normal 2 2 2 2 2 31 4" xfId="12809" xr:uid="{00000000-0005-0000-0000-0000DE310000}"/>
    <cellStyle name="Normal 2 2 2 2 2 31 4 10" xfId="12810" xr:uid="{00000000-0005-0000-0000-0000DF310000}"/>
    <cellStyle name="Normal 2 2 2 2 2 31 4 2" xfId="12811" xr:uid="{00000000-0005-0000-0000-0000E0310000}"/>
    <cellStyle name="Normal 2 2 2 2 2 31 4 3" xfId="12812" xr:uid="{00000000-0005-0000-0000-0000E1310000}"/>
    <cellStyle name="Normal 2 2 2 2 2 31 4 4" xfId="12813" xr:uid="{00000000-0005-0000-0000-0000E2310000}"/>
    <cellStyle name="Normal 2 2 2 2 2 31 4 5" xfId="12814" xr:uid="{00000000-0005-0000-0000-0000E3310000}"/>
    <cellStyle name="Normal 2 2 2 2 2 31 4 6" xfId="12815" xr:uid="{00000000-0005-0000-0000-0000E4310000}"/>
    <cellStyle name="Normal 2 2 2 2 2 31 4 7" xfId="12816" xr:uid="{00000000-0005-0000-0000-0000E5310000}"/>
    <cellStyle name="Normal 2 2 2 2 2 31 4 8" xfId="12817" xr:uid="{00000000-0005-0000-0000-0000E6310000}"/>
    <cellStyle name="Normal 2 2 2 2 2 31 4 9" xfId="12818" xr:uid="{00000000-0005-0000-0000-0000E7310000}"/>
    <cellStyle name="Normal 2 2 2 2 2 31 5" xfId="12819" xr:uid="{00000000-0005-0000-0000-0000E8310000}"/>
    <cellStyle name="Normal 2 2 2 2 2 31 5 10" xfId="12820" xr:uid="{00000000-0005-0000-0000-0000E9310000}"/>
    <cellStyle name="Normal 2 2 2 2 2 31 5 2" xfId="12821" xr:uid="{00000000-0005-0000-0000-0000EA310000}"/>
    <cellStyle name="Normal 2 2 2 2 2 31 5 3" xfId="12822" xr:uid="{00000000-0005-0000-0000-0000EB310000}"/>
    <cellStyle name="Normal 2 2 2 2 2 31 5 4" xfId="12823" xr:uid="{00000000-0005-0000-0000-0000EC310000}"/>
    <cellStyle name="Normal 2 2 2 2 2 31 5 5" xfId="12824" xr:uid="{00000000-0005-0000-0000-0000ED310000}"/>
    <cellStyle name="Normal 2 2 2 2 2 31 5 6" xfId="12825" xr:uid="{00000000-0005-0000-0000-0000EE310000}"/>
    <cellStyle name="Normal 2 2 2 2 2 31 5 7" xfId="12826" xr:uid="{00000000-0005-0000-0000-0000EF310000}"/>
    <cellStyle name="Normal 2 2 2 2 2 31 5 8" xfId="12827" xr:uid="{00000000-0005-0000-0000-0000F0310000}"/>
    <cellStyle name="Normal 2 2 2 2 2 31 5 9" xfId="12828" xr:uid="{00000000-0005-0000-0000-0000F1310000}"/>
    <cellStyle name="Normal 2 2 2 2 2 31 6" xfId="12829" xr:uid="{00000000-0005-0000-0000-0000F2310000}"/>
    <cellStyle name="Normal 2 2 2 2 2 31 7" xfId="12830" xr:uid="{00000000-0005-0000-0000-0000F3310000}"/>
    <cellStyle name="Normal 2 2 2 2 2 31 8" xfId="12831" xr:uid="{00000000-0005-0000-0000-0000F4310000}"/>
    <cellStyle name="Normal 2 2 2 2 2 31 9" xfId="12832" xr:uid="{00000000-0005-0000-0000-0000F5310000}"/>
    <cellStyle name="Normal 2 2 2 2 2 32" xfId="12833" xr:uid="{00000000-0005-0000-0000-0000F6310000}"/>
    <cellStyle name="Normal 2 2 2 2 2 32 10" xfId="12834" xr:uid="{00000000-0005-0000-0000-0000F7310000}"/>
    <cellStyle name="Normal 2 2 2 2 2 32 11" xfId="12835" xr:uid="{00000000-0005-0000-0000-0000F8310000}"/>
    <cellStyle name="Normal 2 2 2 2 2 32 12" xfId="12836" xr:uid="{00000000-0005-0000-0000-0000F9310000}"/>
    <cellStyle name="Normal 2 2 2 2 2 32 13" xfId="12837" xr:uid="{00000000-0005-0000-0000-0000FA310000}"/>
    <cellStyle name="Normal 2 2 2 2 2 32 14" xfId="12838" xr:uid="{00000000-0005-0000-0000-0000FB310000}"/>
    <cellStyle name="Normal 2 2 2 2 2 32 2" xfId="12839" xr:uid="{00000000-0005-0000-0000-0000FC310000}"/>
    <cellStyle name="Normal 2 2 2 2 2 32 2 10" xfId="12840" xr:uid="{00000000-0005-0000-0000-0000FD310000}"/>
    <cellStyle name="Normal 2 2 2 2 2 32 2 2" xfId="12841" xr:uid="{00000000-0005-0000-0000-0000FE310000}"/>
    <cellStyle name="Normal 2 2 2 2 2 32 2 3" xfId="12842" xr:uid="{00000000-0005-0000-0000-0000FF310000}"/>
    <cellStyle name="Normal 2 2 2 2 2 32 2 4" xfId="12843" xr:uid="{00000000-0005-0000-0000-000000320000}"/>
    <cellStyle name="Normal 2 2 2 2 2 32 2 5" xfId="12844" xr:uid="{00000000-0005-0000-0000-000001320000}"/>
    <cellStyle name="Normal 2 2 2 2 2 32 2 6" xfId="12845" xr:uid="{00000000-0005-0000-0000-000002320000}"/>
    <cellStyle name="Normal 2 2 2 2 2 32 2 7" xfId="12846" xr:uid="{00000000-0005-0000-0000-000003320000}"/>
    <cellStyle name="Normal 2 2 2 2 2 32 2 8" xfId="12847" xr:uid="{00000000-0005-0000-0000-000004320000}"/>
    <cellStyle name="Normal 2 2 2 2 2 32 2 9" xfId="12848" xr:uid="{00000000-0005-0000-0000-000005320000}"/>
    <cellStyle name="Normal 2 2 2 2 2 32 3" xfId="12849" xr:uid="{00000000-0005-0000-0000-000006320000}"/>
    <cellStyle name="Normal 2 2 2 2 2 32 3 10" xfId="12850" xr:uid="{00000000-0005-0000-0000-000007320000}"/>
    <cellStyle name="Normal 2 2 2 2 2 32 3 2" xfId="12851" xr:uid="{00000000-0005-0000-0000-000008320000}"/>
    <cellStyle name="Normal 2 2 2 2 2 32 3 3" xfId="12852" xr:uid="{00000000-0005-0000-0000-000009320000}"/>
    <cellStyle name="Normal 2 2 2 2 2 32 3 4" xfId="12853" xr:uid="{00000000-0005-0000-0000-00000A320000}"/>
    <cellStyle name="Normal 2 2 2 2 2 32 3 5" xfId="12854" xr:uid="{00000000-0005-0000-0000-00000B320000}"/>
    <cellStyle name="Normal 2 2 2 2 2 32 3 6" xfId="12855" xr:uid="{00000000-0005-0000-0000-00000C320000}"/>
    <cellStyle name="Normal 2 2 2 2 2 32 3 7" xfId="12856" xr:uid="{00000000-0005-0000-0000-00000D320000}"/>
    <cellStyle name="Normal 2 2 2 2 2 32 3 8" xfId="12857" xr:uid="{00000000-0005-0000-0000-00000E320000}"/>
    <cellStyle name="Normal 2 2 2 2 2 32 3 9" xfId="12858" xr:uid="{00000000-0005-0000-0000-00000F320000}"/>
    <cellStyle name="Normal 2 2 2 2 2 32 4" xfId="12859" xr:uid="{00000000-0005-0000-0000-000010320000}"/>
    <cellStyle name="Normal 2 2 2 2 2 32 4 10" xfId="12860" xr:uid="{00000000-0005-0000-0000-000011320000}"/>
    <cellStyle name="Normal 2 2 2 2 2 32 4 2" xfId="12861" xr:uid="{00000000-0005-0000-0000-000012320000}"/>
    <cellStyle name="Normal 2 2 2 2 2 32 4 3" xfId="12862" xr:uid="{00000000-0005-0000-0000-000013320000}"/>
    <cellStyle name="Normal 2 2 2 2 2 32 4 4" xfId="12863" xr:uid="{00000000-0005-0000-0000-000014320000}"/>
    <cellStyle name="Normal 2 2 2 2 2 32 4 5" xfId="12864" xr:uid="{00000000-0005-0000-0000-000015320000}"/>
    <cellStyle name="Normal 2 2 2 2 2 32 4 6" xfId="12865" xr:uid="{00000000-0005-0000-0000-000016320000}"/>
    <cellStyle name="Normal 2 2 2 2 2 32 4 7" xfId="12866" xr:uid="{00000000-0005-0000-0000-000017320000}"/>
    <cellStyle name="Normal 2 2 2 2 2 32 4 8" xfId="12867" xr:uid="{00000000-0005-0000-0000-000018320000}"/>
    <cellStyle name="Normal 2 2 2 2 2 32 4 9" xfId="12868" xr:uid="{00000000-0005-0000-0000-000019320000}"/>
    <cellStyle name="Normal 2 2 2 2 2 32 5" xfId="12869" xr:uid="{00000000-0005-0000-0000-00001A320000}"/>
    <cellStyle name="Normal 2 2 2 2 2 32 5 10" xfId="12870" xr:uid="{00000000-0005-0000-0000-00001B320000}"/>
    <cellStyle name="Normal 2 2 2 2 2 32 5 2" xfId="12871" xr:uid="{00000000-0005-0000-0000-00001C320000}"/>
    <cellStyle name="Normal 2 2 2 2 2 32 5 3" xfId="12872" xr:uid="{00000000-0005-0000-0000-00001D320000}"/>
    <cellStyle name="Normal 2 2 2 2 2 32 5 4" xfId="12873" xr:uid="{00000000-0005-0000-0000-00001E320000}"/>
    <cellStyle name="Normal 2 2 2 2 2 32 5 5" xfId="12874" xr:uid="{00000000-0005-0000-0000-00001F320000}"/>
    <cellStyle name="Normal 2 2 2 2 2 32 5 6" xfId="12875" xr:uid="{00000000-0005-0000-0000-000020320000}"/>
    <cellStyle name="Normal 2 2 2 2 2 32 5 7" xfId="12876" xr:uid="{00000000-0005-0000-0000-000021320000}"/>
    <cellStyle name="Normal 2 2 2 2 2 32 5 8" xfId="12877" xr:uid="{00000000-0005-0000-0000-000022320000}"/>
    <cellStyle name="Normal 2 2 2 2 2 32 5 9" xfId="12878" xr:uid="{00000000-0005-0000-0000-000023320000}"/>
    <cellStyle name="Normal 2 2 2 2 2 32 6" xfId="12879" xr:uid="{00000000-0005-0000-0000-000024320000}"/>
    <cellStyle name="Normal 2 2 2 2 2 32 7" xfId="12880" xr:uid="{00000000-0005-0000-0000-000025320000}"/>
    <cellStyle name="Normal 2 2 2 2 2 32 8" xfId="12881" xr:uid="{00000000-0005-0000-0000-000026320000}"/>
    <cellStyle name="Normal 2 2 2 2 2 32 9" xfId="12882" xr:uid="{00000000-0005-0000-0000-000027320000}"/>
    <cellStyle name="Normal 2 2 2 2 2 33" xfId="12883" xr:uid="{00000000-0005-0000-0000-000028320000}"/>
    <cellStyle name="Normal 2 2 2 2 2 33 10" xfId="12884" xr:uid="{00000000-0005-0000-0000-000029320000}"/>
    <cellStyle name="Normal 2 2 2 2 2 33 11" xfId="12885" xr:uid="{00000000-0005-0000-0000-00002A320000}"/>
    <cellStyle name="Normal 2 2 2 2 2 33 12" xfId="12886" xr:uid="{00000000-0005-0000-0000-00002B320000}"/>
    <cellStyle name="Normal 2 2 2 2 2 33 13" xfId="12887" xr:uid="{00000000-0005-0000-0000-00002C320000}"/>
    <cellStyle name="Normal 2 2 2 2 2 33 14" xfId="12888" xr:uid="{00000000-0005-0000-0000-00002D320000}"/>
    <cellStyle name="Normal 2 2 2 2 2 33 2" xfId="12889" xr:uid="{00000000-0005-0000-0000-00002E320000}"/>
    <cellStyle name="Normal 2 2 2 2 2 33 2 10" xfId="12890" xr:uid="{00000000-0005-0000-0000-00002F320000}"/>
    <cellStyle name="Normal 2 2 2 2 2 33 2 2" xfId="12891" xr:uid="{00000000-0005-0000-0000-000030320000}"/>
    <cellStyle name="Normal 2 2 2 2 2 33 2 3" xfId="12892" xr:uid="{00000000-0005-0000-0000-000031320000}"/>
    <cellStyle name="Normal 2 2 2 2 2 33 2 4" xfId="12893" xr:uid="{00000000-0005-0000-0000-000032320000}"/>
    <cellStyle name="Normal 2 2 2 2 2 33 2 5" xfId="12894" xr:uid="{00000000-0005-0000-0000-000033320000}"/>
    <cellStyle name="Normal 2 2 2 2 2 33 2 6" xfId="12895" xr:uid="{00000000-0005-0000-0000-000034320000}"/>
    <cellStyle name="Normal 2 2 2 2 2 33 2 7" xfId="12896" xr:uid="{00000000-0005-0000-0000-000035320000}"/>
    <cellStyle name="Normal 2 2 2 2 2 33 2 8" xfId="12897" xr:uid="{00000000-0005-0000-0000-000036320000}"/>
    <cellStyle name="Normal 2 2 2 2 2 33 2 9" xfId="12898" xr:uid="{00000000-0005-0000-0000-000037320000}"/>
    <cellStyle name="Normal 2 2 2 2 2 33 3" xfId="12899" xr:uid="{00000000-0005-0000-0000-000038320000}"/>
    <cellStyle name="Normal 2 2 2 2 2 33 3 10" xfId="12900" xr:uid="{00000000-0005-0000-0000-000039320000}"/>
    <cellStyle name="Normal 2 2 2 2 2 33 3 2" xfId="12901" xr:uid="{00000000-0005-0000-0000-00003A320000}"/>
    <cellStyle name="Normal 2 2 2 2 2 33 3 3" xfId="12902" xr:uid="{00000000-0005-0000-0000-00003B320000}"/>
    <cellStyle name="Normal 2 2 2 2 2 33 3 4" xfId="12903" xr:uid="{00000000-0005-0000-0000-00003C320000}"/>
    <cellStyle name="Normal 2 2 2 2 2 33 3 5" xfId="12904" xr:uid="{00000000-0005-0000-0000-00003D320000}"/>
    <cellStyle name="Normal 2 2 2 2 2 33 3 6" xfId="12905" xr:uid="{00000000-0005-0000-0000-00003E320000}"/>
    <cellStyle name="Normal 2 2 2 2 2 33 3 7" xfId="12906" xr:uid="{00000000-0005-0000-0000-00003F320000}"/>
    <cellStyle name="Normal 2 2 2 2 2 33 3 8" xfId="12907" xr:uid="{00000000-0005-0000-0000-000040320000}"/>
    <cellStyle name="Normal 2 2 2 2 2 33 3 9" xfId="12908" xr:uid="{00000000-0005-0000-0000-000041320000}"/>
    <cellStyle name="Normal 2 2 2 2 2 33 4" xfId="12909" xr:uid="{00000000-0005-0000-0000-000042320000}"/>
    <cellStyle name="Normal 2 2 2 2 2 33 4 10" xfId="12910" xr:uid="{00000000-0005-0000-0000-000043320000}"/>
    <cellStyle name="Normal 2 2 2 2 2 33 4 2" xfId="12911" xr:uid="{00000000-0005-0000-0000-000044320000}"/>
    <cellStyle name="Normal 2 2 2 2 2 33 4 3" xfId="12912" xr:uid="{00000000-0005-0000-0000-000045320000}"/>
    <cellStyle name="Normal 2 2 2 2 2 33 4 4" xfId="12913" xr:uid="{00000000-0005-0000-0000-000046320000}"/>
    <cellStyle name="Normal 2 2 2 2 2 33 4 5" xfId="12914" xr:uid="{00000000-0005-0000-0000-000047320000}"/>
    <cellStyle name="Normal 2 2 2 2 2 33 4 6" xfId="12915" xr:uid="{00000000-0005-0000-0000-000048320000}"/>
    <cellStyle name="Normal 2 2 2 2 2 33 4 7" xfId="12916" xr:uid="{00000000-0005-0000-0000-000049320000}"/>
    <cellStyle name="Normal 2 2 2 2 2 33 4 8" xfId="12917" xr:uid="{00000000-0005-0000-0000-00004A320000}"/>
    <cellStyle name="Normal 2 2 2 2 2 33 4 9" xfId="12918" xr:uid="{00000000-0005-0000-0000-00004B320000}"/>
    <cellStyle name="Normal 2 2 2 2 2 33 5" xfId="12919" xr:uid="{00000000-0005-0000-0000-00004C320000}"/>
    <cellStyle name="Normal 2 2 2 2 2 33 5 10" xfId="12920" xr:uid="{00000000-0005-0000-0000-00004D320000}"/>
    <cellStyle name="Normal 2 2 2 2 2 33 5 2" xfId="12921" xr:uid="{00000000-0005-0000-0000-00004E320000}"/>
    <cellStyle name="Normal 2 2 2 2 2 33 5 3" xfId="12922" xr:uid="{00000000-0005-0000-0000-00004F320000}"/>
    <cellStyle name="Normal 2 2 2 2 2 33 5 4" xfId="12923" xr:uid="{00000000-0005-0000-0000-000050320000}"/>
    <cellStyle name="Normal 2 2 2 2 2 33 5 5" xfId="12924" xr:uid="{00000000-0005-0000-0000-000051320000}"/>
    <cellStyle name="Normal 2 2 2 2 2 33 5 6" xfId="12925" xr:uid="{00000000-0005-0000-0000-000052320000}"/>
    <cellStyle name="Normal 2 2 2 2 2 33 5 7" xfId="12926" xr:uid="{00000000-0005-0000-0000-000053320000}"/>
    <cellStyle name="Normal 2 2 2 2 2 33 5 8" xfId="12927" xr:uid="{00000000-0005-0000-0000-000054320000}"/>
    <cellStyle name="Normal 2 2 2 2 2 33 5 9" xfId="12928" xr:uid="{00000000-0005-0000-0000-000055320000}"/>
    <cellStyle name="Normal 2 2 2 2 2 33 6" xfId="12929" xr:uid="{00000000-0005-0000-0000-000056320000}"/>
    <cellStyle name="Normal 2 2 2 2 2 33 7" xfId="12930" xr:uid="{00000000-0005-0000-0000-000057320000}"/>
    <cellStyle name="Normal 2 2 2 2 2 33 8" xfId="12931" xr:uid="{00000000-0005-0000-0000-000058320000}"/>
    <cellStyle name="Normal 2 2 2 2 2 33 9" xfId="12932" xr:uid="{00000000-0005-0000-0000-000059320000}"/>
    <cellStyle name="Normal 2 2 2 2 2 34" xfId="12933" xr:uid="{00000000-0005-0000-0000-00005A320000}"/>
    <cellStyle name="Normal 2 2 2 2 2 34 10" xfId="12934" xr:uid="{00000000-0005-0000-0000-00005B320000}"/>
    <cellStyle name="Normal 2 2 2 2 2 34 11" xfId="12935" xr:uid="{00000000-0005-0000-0000-00005C320000}"/>
    <cellStyle name="Normal 2 2 2 2 2 34 12" xfId="12936" xr:uid="{00000000-0005-0000-0000-00005D320000}"/>
    <cellStyle name="Normal 2 2 2 2 2 34 13" xfId="12937" xr:uid="{00000000-0005-0000-0000-00005E320000}"/>
    <cellStyle name="Normal 2 2 2 2 2 34 14" xfId="12938" xr:uid="{00000000-0005-0000-0000-00005F320000}"/>
    <cellStyle name="Normal 2 2 2 2 2 34 2" xfId="12939" xr:uid="{00000000-0005-0000-0000-000060320000}"/>
    <cellStyle name="Normal 2 2 2 2 2 34 2 10" xfId="12940" xr:uid="{00000000-0005-0000-0000-000061320000}"/>
    <cellStyle name="Normal 2 2 2 2 2 34 2 2" xfId="12941" xr:uid="{00000000-0005-0000-0000-000062320000}"/>
    <cellStyle name="Normal 2 2 2 2 2 34 2 3" xfId="12942" xr:uid="{00000000-0005-0000-0000-000063320000}"/>
    <cellStyle name="Normal 2 2 2 2 2 34 2 4" xfId="12943" xr:uid="{00000000-0005-0000-0000-000064320000}"/>
    <cellStyle name="Normal 2 2 2 2 2 34 2 5" xfId="12944" xr:uid="{00000000-0005-0000-0000-000065320000}"/>
    <cellStyle name="Normal 2 2 2 2 2 34 2 6" xfId="12945" xr:uid="{00000000-0005-0000-0000-000066320000}"/>
    <cellStyle name="Normal 2 2 2 2 2 34 2 7" xfId="12946" xr:uid="{00000000-0005-0000-0000-000067320000}"/>
    <cellStyle name="Normal 2 2 2 2 2 34 2 8" xfId="12947" xr:uid="{00000000-0005-0000-0000-000068320000}"/>
    <cellStyle name="Normal 2 2 2 2 2 34 2 9" xfId="12948" xr:uid="{00000000-0005-0000-0000-000069320000}"/>
    <cellStyle name="Normal 2 2 2 2 2 34 3" xfId="12949" xr:uid="{00000000-0005-0000-0000-00006A320000}"/>
    <cellStyle name="Normal 2 2 2 2 2 34 3 10" xfId="12950" xr:uid="{00000000-0005-0000-0000-00006B320000}"/>
    <cellStyle name="Normal 2 2 2 2 2 34 3 2" xfId="12951" xr:uid="{00000000-0005-0000-0000-00006C320000}"/>
    <cellStyle name="Normal 2 2 2 2 2 34 3 3" xfId="12952" xr:uid="{00000000-0005-0000-0000-00006D320000}"/>
    <cellStyle name="Normal 2 2 2 2 2 34 3 4" xfId="12953" xr:uid="{00000000-0005-0000-0000-00006E320000}"/>
    <cellStyle name="Normal 2 2 2 2 2 34 3 5" xfId="12954" xr:uid="{00000000-0005-0000-0000-00006F320000}"/>
    <cellStyle name="Normal 2 2 2 2 2 34 3 6" xfId="12955" xr:uid="{00000000-0005-0000-0000-000070320000}"/>
    <cellStyle name="Normal 2 2 2 2 2 34 3 7" xfId="12956" xr:uid="{00000000-0005-0000-0000-000071320000}"/>
    <cellStyle name="Normal 2 2 2 2 2 34 3 8" xfId="12957" xr:uid="{00000000-0005-0000-0000-000072320000}"/>
    <cellStyle name="Normal 2 2 2 2 2 34 3 9" xfId="12958" xr:uid="{00000000-0005-0000-0000-000073320000}"/>
    <cellStyle name="Normal 2 2 2 2 2 34 4" xfId="12959" xr:uid="{00000000-0005-0000-0000-000074320000}"/>
    <cellStyle name="Normal 2 2 2 2 2 34 4 10" xfId="12960" xr:uid="{00000000-0005-0000-0000-000075320000}"/>
    <cellStyle name="Normal 2 2 2 2 2 34 4 2" xfId="12961" xr:uid="{00000000-0005-0000-0000-000076320000}"/>
    <cellStyle name="Normal 2 2 2 2 2 34 4 3" xfId="12962" xr:uid="{00000000-0005-0000-0000-000077320000}"/>
    <cellStyle name="Normal 2 2 2 2 2 34 4 4" xfId="12963" xr:uid="{00000000-0005-0000-0000-000078320000}"/>
    <cellStyle name="Normal 2 2 2 2 2 34 4 5" xfId="12964" xr:uid="{00000000-0005-0000-0000-000079320000}"/>
    <cellStyle name="Normal 2 2 2 2 2 34 4 6" xfId="12965" xr:uid="{00000000-0005-0000-0000-00007A320000}"/>
    <cellStyle name="Normal 2 2 2 2 2 34 4 7" xfId="12966" xr:uid="{00000000-0005-0000-0000-00007B320000}"/>
    <cellStyle name="Normal 2 2 2 2 2 34 4 8" xfId="12967" xr:uid="{00000000-0005-0000-0000-00007C320000}"/>
    <cellStyle name="Normal 2 2 2 2 2 34 4 9" xfId="12968" xr:uid="{00000000-0005-0000-0000-00007D320000}"/>
    <cellStyle name="Normal 2 2 2 2 2 34 5" xfId="12969" xr:uid="{00000000-0005-0000-0000-00007E320000}"/>
    <cellStyle name="Normal 2 2 2 2 2 34 5 10" xfId="12970" xr:uid="{00000000-0005-0000-0000-00007F320000}"/>
    <cellStyle name="Normal 2 2 2 2 2 34 5 2" xfId="12971" xr:uid="{00000000-0005-0000-0000-000080320000}"/>
    <cellStyle name="Normal 2 2 2 2 2 34 5 3" xfId="12972" xr:uid="{00000000-0005-0000-0000-000081320000}"/>
    <cellStyle name="Normal 2 2 2 2 2 34 5 4" xfId="12973" xr:uid="{00000000-0005-0000-0000-000082320000}"/>
    <cellStyle name="Normal 2 2 2 2 2 34 5 5" xfId="12974" xr:uid="{00000000-0005-0000-0000-000083320000}"/>
    <cellStyle name="Normal 2 2 2 2 2 34 5 6" xfId="12975" xr:uid="{00000000-0005-0000-0000-000084320000}"/>
    <cellStyle name="Normal 2 2 2 2 2 34 5 7" xfId="12976" xr:uid="{00000000-0005-0000-0000-000085320000}"/>
    <cellStyle name="Normal 2 2 2 2 2 34 5 8" xfId="12977" xr:uid="{00000000-0005-0000-0000-000086320000}"/>
    <cellStyle name="Normal 2 2 2 2 2 34 5 9" xfId="12978" xr:uid="{00000000-0005-0000-0000-000087320000}"/>
    <cellStyle name="Normal 2 2 2 2 2 34 6" xfId="12979" xr:uid="{00000000-0005-0000-0000-000088320000}"/>
    <cellStyle name="Normal 2 2 2 2 2 34 7" xfId="12980" xr:uid="{00000000-0005-0000-0000-000089320000}"/>
    <cellStyle name="Normal 2 2 2 2 2 34 8" xfId="12981" xr:uid="{00000000-0005-0000-0000-00008A320000}"/>
    <cellStyle name="Normal 2 2 2 2 2 34 9" xfId="12982" xr:uid="{00000000-0005-0000-0000-00008B320000}"/>
    <cellStyle name="Normal 2 2 2 2 2 35" xfId="12983" xr:uid="{00000000-0005-0000-0000-00008C320000}"/>
    <cellStyle name="Normal 2 2 2 2 2 35 10" xfId="12984" xr:uid="{00000000-0005-0000-0000-00008D320000}"/>
    <cellStyle name="Normal 2 2 2 2 2 35 2" xfId="12985" xr:uid="{00000000-0005-0000-0000-00008E320000}"/>
    <cellStyle name="Normal 2 2 2 2 2 35 3" xfId="12986" xr:uid="{00000000-0005-0000-0000-00008F320000}"/>
    <cellStyle name="Normal 2 2 2 2 2 35 4" xfId="12987" xr:uid="{00000000-0005-0000-0000-000090320000}"/>
    <cellStyle name="Normal 2 2 2 2 2 35 5" xfId="12988" xr:uid="{00000000-0005-0000-0000-000091320000}"/>
    <cellStyle name="Normal 2 2 2 2 2 35 6" xfId="12989" xr:uid="{00000000-0005-0000-0000-000092320000}"/>
    <cellStyle name="Normal 2 2 2 2 2 35 7" xfId="12990" xr:uid="{00000000-0005-0000-0000-000093320000}"/>
    <cellStyle name="Normal 2 2 2 2 2 35 8" xfId="12991" xr:uid="{00000000-0005-0000-0000-000094320000}"/>
    <cellStyle name="Normal 2 2 2 2 2 35 9" xfId="12992" xr:uid="{00000000-0005-0000-0000-000095320000}"/>
    <cellStyle name="Normal 2 2 2 2 2 36" xfId="12993" xr:uid="{00000000-0005-0000-0000-000096320000}"/>
    <cellStyle name="Normal 2 2 2 2 2 36 10" xfId="12994" xr:uid="{00000000-0005-0000-0000-000097320000}"/>
    <cellStyle name="Normal 2 2 2 2 2 36 2" xfId="12995" xr:uid="{00000000-0005-0000-0000-000098320000}"/>
    <cellStyle name="Normal 2 2 2 2 2 36 3" xfId="12996" xr:uid="{00000000-0005-0000-0000-000099320000}"/>
    <cellStyle name="Normal 2 2 2 2 2 36 4" xfId="12997" xr:uid="{00000000-0005-0000-0000-00009A320000}"/>
    <cellStyle name="Normal 2 2 2 2 2 36 5" xfId="12998" xr:uid="{00000000-0005-0000-0000-00009B320000}"/>
    <cellStyle name="Normal 2 2 2 2 2 36 6" xfId="12999" xr:uid="{00000000-0005-0000-0000-00009C320000}"/>
    <cellStyle name="Normal 2 2 2 2 2 36 7" xfId="13000" xr:uid="{00000000-0005-0000-0000-00009D320000}"/>
    <cellStyle name="Normal 2 2 2 2 2 36 8" xfId="13001" xr:uid="{00000000-0005-0000-0000-00009E320000}"/>
    <cellStyle name="Normal 2 2 2 2 2 36 9" xfId="13002" xr:uid="{00000000-0005-0000-0000-00009F320000}"/>
    <cellStyle name="Normal 2 2 2 2 2 37" xfId="13003" xr:uid="{00000000-0005-0000-0000-0000A0320000}"/>
    <cellStyle name="Normal 2 2 2 2 2 37 10" xfId="13004" xr:uid="{00000000-0005-0000-0000-0000A1320000}"/>
    <cellStyle name="Normal 2 2 2 2 2 37 2" xfId="13005" xr:uid="{00000000-0005-0000-0000-0000A2320000}"/>
    <cellStyle name="Normal 2 2 2 2 2 37 3" xfId="13006" xr:uid="{00000000-0005-0000-0000-0000A3320000}"/>
    <cellStyle name="Normal 2 2 2 2 2 37 4" xfId="13007" xr:uid="{00000000-0005-0000-0000-0000A4320000}"/>
    <cellStyle name="Normal 2 2 2 2 2 37 5" xfId="13008" xr:uid="{00000000-0005-0000-0000-0000A5320000}"/>
    <cellStyle name="Normal 2 2 2 2 2 37 6" xfId="13009" xr:uid="{00000000-0005-0000-0000-0000A6320000}"/>
    <cellStyle name="Normal 2 2 2 2 2 37 7" xfId="13010" xr:uid="{00000000-0005-0000-0000-0000A7320000}"/>
    <cellStyle name="Normal 2 2 2 2 2 37 8" xfId="13011" xr:uid="{00000000-0005-0000-0000-0000A8320000}"/>
    <cellStyle name="Normal 2 2 2 2 2 37 9" xfId="13012" xr:uid="{00000000-0005-0000-0000-0000A9320000}"/>
    <cellStyle name="Normal 2 2 2 2 2 38" xfId="13013" xr:uid="{00000000-0005-0000-0000-0000AA320000}"/>
    <cellStyle name="Normal 2 2 2 2 2 38 10" xfId="13014" xr:uid="{00000000-0005-0000-0000-0000AB320000}"/>
    <cellStyle name="Normal 2 2 2 2 2 38 2" xfId="13015" xr:uid="{00000000-0005-0000-0000-0000AC320000}"/>
    <cellStyle name="Normal 2 2 2 2 2 38 3" xfId="13016" xr:uid="{00000000-0005-0000-0000-0000AD320000}"/>
    <cellStyle name="Normal 2 2 2 2 2 38 4" xfId="13017" xr:uid="{00000000-0005-0000-0000-0000AE320000}"/>
    <cellStyle name="Normal 2 2 2 2 2 38 5" xfId="13018" xr:uid="{00000000-0005-0000-0000-0000AF320000}"/>
    <cellStyle name="Normal 2 2 2 2 2 38 6" xfId="13019" xr:uid="{00000000-0005-0000-0000-0000B0320000}"/>
    <cellStyle name="Normal 2 2 2 2 2 38 7" xfId="13020" xr:uid="{00000000-0005-0000-0000-0000B1320000}"/>
    <cellStyle name="Normal 2 2 2 2 2 38 8" xfId="13021" xr:uid="{00000000-0005-0000-0000-0000B2320000}"/>
    <cellStyle name="Normal 2 2 2 2 2 38 9" xfId="13022" xr:uid="{00000000-0005-0000-0000-0000B3320000}"/>
    <cellStyle name="Normal 2 2 2 2 2 39" xfId="13023" xr:uid="{00000000-0005-0000-0000-0000B4320000}"/>
    <cellStyle name="Normal 2 2 2 2 2 4" xfId="13024" xr:uid="{00000000-0005-0000-0000-0000B5320000}"/>
    <cellStyle name="Normal 2 2 2 2 2 4 10" xfId="13025" xr:uid="{00000000-0005-0000-0000-0000B6320000}"/>
    <cellStyle name="Normal 2 2 2 2 2 4 11" xfId="13026" xr:uid="{00000000-0005-0000-0000-0000B7320000}"/>
    <cellStyle name="Normal 2 2 2 2 2 4 12" xfId="13027" xr:uid="{00000000-0005-0000-0000-0000B8320000}"/>
    <cellStyle name="Normal 2 2 2 2 2 4 13" xfId="13028" xr:uid="{00000000-0005-0000-0000-0000B9320000}"/>
    <cellStyle name="Normal 2 2 2 2 2 4 14" xfId="13029" xr:uid="{00000000-0005-0000-0000-0000BA320000}"/>
    <cellStyle name="Normal 2 2 2 2 2 4 15" xfId="13030" xr:uid="{00000000-0005-0000-0000-0000BB320000}"/>
    <cellStyle name="Normal 2 2 2 2 2 4 16" xfId="13031" xr:uid="{00000000-0005-0000-0000-0000BC320000}"/>
    <cellStyle name="Normal 2 2 2 2 2 4 2" xfId="13032" xr:uid="{00000000-0005-0000-0000-0000BD320000}"/>
    <cellStyle name="Normal 2 2 2 2 2 4 2 10" xfId="13033" xr:uid="{00000000-0005-0000-0000-0000BE320000}"/>
    <cellStyle name="Normal 2 2 2 2 2 4 2 2" xfId="13034" xr:uid="{00000000-0005-0000-0000-0000BF320000}"/>
    <cellStyle name="Normal 2 2 2 2 2 4 2 3" xfId="13035" xr:uid="{00000000-0005-0000-0000-0000C0320000}"/>
    <cellStyle name="Normal 2 2 2 2 2 4 2 4" xfId="13036" xr:uid="{00000000-0005-0000-0000-0000C1320000}"/>
    <cellStyle name="Normal 2 2 2 2 2 4 2 5" xfId="13037" xr:uid="{00000000-0005-0000-0000-0000C2320000}"/>
    <cellStyle name="Normal 2 2 2 2 2 4 2 6" xfId="13038" xr:uid="{00000000-0005-0000-0000-0000C3320000}"/>
    <cellStyle name="Normal 2 2 2 2 2 4 2 7" xfId="13039" xr:uid="{00000000-0005-0000-0000-0000C4320000}"/>
    <cellStyle name="Normal 2 2 2 2 2 4 2 8" xfId="13040" xr:uid="{00000000-0005-0000-0000-0000C5320000}"/>
    <cellStyle name="Normal 2 2 2 2 2 4 2 9" xfId="13041" xr:uid="{00000000-0005-0000-0000-0000C6320000}"/>
    <cellStyle name="Normal 2 2 2 2 2 4 3" xfId="13042" xr:uid="{00000000-0005-0000-0000-0000C7320000}"/>
    <cellStyle name="Normal 2 2 2 2 2 4 3 10" xfId="13043" xr:uid="{00000000-0005-0000-0000-0000C8320000}"/>
    <cellStyle name="Normal 2 2 2 2 2 4 3 2" xfId="13044" xr:uid="{00000000-0005-0000-0000-0000C9320000}"/>
    <cellStyle name="Normal 2 2 2 2 2 4 3 3" xfId="13045" xr:uid="{00000000-0005-0000-0000-0000CA320000}"/>
    <cellStyle name="Normal 2 2 2 2 2 4 3 4" xfId="13046" xr:uid="{00000000-0005-0000-0000-0000CB320000}"/>
    <cellStyle name="Normal 2 2 2 2 2 4 3 5" xfId="13047" xr:uid="{00000000-0005-0000-0000-0000CC320000}"/>
    <cellStyle name="Normal 2 2 2 2 2 4 3 6" xfId="13048" xr:uid="{00000000-0005-0000-0000-0000CD320000}"/>
    <cellStyle name="Normal 2 2 2 2 2 4 3 7" xfId="13049" xr:uid="{00000000-0005-0000-0000-0000CE320000}"/>
    <cellStyle name="Normal 2 2 2 2 2 4 3 8" xfId="13050" xr:uid="{00000000-0005-0000-0000-0000CF320000}"/>
    <cellStyle name="Normal 2 2 2 2 2 4 3 9" xfId="13051" xr:uid="{00000000-0005-0000-0000-0000D0320000}"/>
    <cellStyle name="Normal 2 2 2 2 2 4 4" xfId="13052" xr:uid="{00000000-0005-0000-0000-0000D1320000}"/>
    <cellStyle name="Normal 2 2 2 2 2 4 4 10" xfId="13053" xr:uid="{00000000-0005-0000-0000-0000D2320000}"/>
    <cellStyle name="Normal 2 2 2 2 2 4 4 2" xfId="13054" xr:uid="{00000000-0005-0000-0000-0000D3320000}"/>
    <cellStyle name="Normal 2 2 2 2 2 4 4 3" xfId="13055" xr:uid="{00000000-0005-0000-0000-0000D4320000}"/>
    <cellStyle name="Normal 2 2 2 2 2 4 4 4" xfId="13056" xr:uid="{00000000-0005-0000-0000-0000D5320000}"/>
    <cellStyle name="Normal 2 2 2 2 2 4 4 5" xfId="13057" xr:uid="{00000000-0005-0000-0000-0000D6320000}"/>
    <cellStyle name="Normal 2 2 2 2 2 4 4 6" xfId="13058" xr:uid="{00000000-0005-0000-0000-0000D7320000}"/>
    <cellStyle name="Normal 2 2 2 2 2 4 4 7" xfId="13059" xr:uid="{00000000-0005-0000-0000-0000D8320000}"/>
    <cellStyle name="Normal 2 2 2 2 2 4 4 8" xfId="13060" xr:uid="{00000000-0005-0000-0000-0000D9320000}"/>
    <cellStyle name="Normal 2 2 2 2 2 4 4 9" xfId="13061" xr:uid="{00000000-0005-0000-0000-0000DA320000}"/>
    <cellStyle name="Normal 2 2 2 2 2 4 5" xfId="13062" xr:uid="{00000000-0005-0000-0000-0000DB320000}"/>
    <cellStyle name="Normal 2 2 2 2 2 4 5 10" xfId="13063" xr:uid="{00000000-0005-0000-0000-0000DC320000}"/>
    <cellStyle name="Normal 2 2 2 2 2 4 5 2" xfId="13064" xr:uid="{00000000-0005-0000-0000-0000DD320000}"/>
    <cellStyle name="Normal 2 2 2 2 2 4 5 3" xfId="13065" xr:uid="{00000000-0005-0000-0000-0000DE320000}"/>
    <cellStyle name="Normal 2 2 2 2 2 4 5 4" xfId="13066" xr:uid="{00000000-0005-0000-0000-0000DF320000}"/>
    <cellStyle name="Normal 2 2 2 2 2 4 5 5" xfId="13067" xr:uid="{00000000-0005-0000-0000-0000E0320000}"/>
    <cellStyle name="Normal 2 2 2 2 2 4 5 6" xfId="13068" xr:uid="{00000000-0005-0000-0000-0000E1320000}"/>
    <cellStyle name="Normal 2 2 2 2 2 4 5 7" xfId="13069" xr:uid="{00000000-0005-0000-0000-0000E2320000}"/>
    <cellStyle name="Normal 2 2 2 2 2 4 5 8" xfId="13070" xr:uid="{00000000-0005-0000-0000-0000E3320000}"/>
    <cellStyle name="Normal 2 2 2 2 2 4 5 9" xfId="13071" xr:uid="{00000000-0005-0000-0000-0000E4320000}"/>
    <cellStyle name="Normal 2 2 2 2 2 4 6" xfId="13072" xr:uid="{00000000-0005-0000-0000-0000E5320000}"/>
    <cellStyle name="Normal 2 2 2 2 2 4 7" xfId="13073" xr:uid="{00000000-0005-0000-0000-0000E6320000}"/>
    <cellStyle name="Normal 2 2 2 2 2 4 8" xfId="13074" xr:uid="{00000000-0005-0000-0000-0000E7320000}"/>
    <cellStyle name="Normal 2 2 2 2 2 4 9" xfId="13075" xr:uid="{00000000-0005-0000-0000-0000E8320000}"/>
    <cellStyle name="Normal 2 2 2 2 2 40" xfId="13076" xr:uid="{00000000-0005-0000-0000-0000E9320000}"/>
    <cellStyle name="Normal 2 2 2 2 2 41" xfId="13077" xr:uid="{00000000-0005-0000-0000-0000EA320000}"/>
    <cellStyle name="Normal 2 2 2 2 2 42" xfId="13078" xr:uid="{00000000-0005-0000-0000-0000EB320000}"/>
    <cellStyle name="Normal 2 2 2 2 2 43" xfId="13079" xr:uid="{00000000-0005-0000-0000-0000EC320000}"/>
    <cellStyle name="Normal 2 2 2 2 2 44" xfId="13080" xr:uid="{00000000-0005-0000-0000-0000ED320000}"/>
    <cellStyle name="Normal 2 2 2 2 2 45" xfId="13081" xr:uid="{00000000-0005-0000-0000-0000EE320000}"/>
    <cellStyle name="Normal 2 2 2 2 2 46" xfId="13082" xr:uid="{00000000-0005-0000-0000-0000EF320000}"/>
    <cellStyle name="Normal 2 2 2 2 2 47" xfId="13083" xr:uid="{00000000-0005-0000-0000-0000F0320000}"/>
    <cellStyle name="Normal 2 2 2 2 2 48" xfId="13084" xr:uid="{00000000-0005-0000-0000-0000F1320000}"/>
    <cellStyle name="Normal 2 2 2 2 2 49" xfId="13085" xr:uid="{00000000-0005-0000-0000-0000F2320000}"/>
    <cellStyle name="Normal 2 2 2 2 2 5" xfId="13086" xr:uid="{00000000-0005-0000-0000-0000F3320000}"/>
    <cellStyle name="Normal 2 2 2 2 2 5 10" xfId="13087" xr:uid="{00000000-0005-0000-0000-0000F4320000}"/>
    <cellStyle name="Normal 2 2 2 2 2 5 11" xfId="13088" xr:uid="{00000000-0005-0000-0000-0000F5320000}"/>
    <cellStyle name="Normal 2 2 2 2 2 5 12" xfId="13089" xr:uid="{00000000-0005-0000-0000-0000F6320000}"/>
    <cellStyle name="Normal 2 2 2 2 2 5 13" xfId="13090" xr:uid="{00000000-0005-0000-0000-0000F7320000}"/>
    <cellStyle name="Normal 2 2 2 2 2 5 14" xfId="13091" xr:uid="{00000000-0005-0000-0000-0000F8320000}"/>
    <cellStyle name="Normal 2 2 2 2 2 5 2" xfId="13092" xr:uid="{00000000-0005-0000-0000-0000F9320000}"/>
    <cellStyle name="Normal 2 2 2 2 2 5 2 10" xfId="13093" xr:uid="{00000000-0005-0000-0000-0000FA320000}"/>
    <cellStyle name="Normal 2 2 2 2 2 5 2 2" xfId="13094" xr:uid="{00000000-0005-0000-0000-0000FB320000}"/>
    <cellStyle name="Normal 2 2 2 2 2 5 2 3" xfId="13095" xr:uid="{00000000-0005-0000-0000-0000FC320000}"/>
    <cellStyle name="Normal 2 2 2 2 2 5 2 4" xfId="13096" xr:uid="{00000000-0005-0000-0000-0000FD320000}"/>
    <cellStyle name="Normal 2 2 2 2 2 5 2 5" xfId="13097" xr:uid="{00000000-0005-0000-0000-0000FE320000}"/>
    <cellStyle name="Normal 2 2 2 2 2 5 2 6" xfId="13098" xr:uid="{00000000-0005-0000-0000-0000FF320000}"/>
    <cellStyle name="Normal 2 2 2 2 2 5 2 7" xfId="13099" xr:uid="{00000000-0005-0000-0000-000000330000}"/>
    <cellStyle name="Normal 2 2 2 2 2 5 2 8" xfId="13100" xr:uid="{00000000-0005-0000-0000-000001330000}"/>
    <cellStyle name="Normal 2 2 2 2 2 5 2 9" xfId="13101" xr:uid="{00000000-0005-0000-0000-000002330000}"/>
    <cellStyle name="Normal 2 2 2 2 2 5 3" xfId="13102" xr:uid="{00000000-0005-0000-0000-000003330000}"/>
    <cellStyle name="Normal 2 2 2 2 2 5 3 10" xfId="13103" xr:uid="{00000000-0005-0000-0000-000004330000}"/>
    <cellStyle name="Normal 2 2 2 2 2 5 3 2" xfId="13104" xr:uid="{00000000-0005-0000-0000-000005330000}"/>
    <cellStyle name="Normal 2 2 2 2 2 5 3 3" xfId="13105" xr:uid="{00000000-0005-0000-0000-000006330000}"/>
    <cellStyle name="Normal 2 2 2 2 2 5 3 4" xfId="13106" xr:uid="{00000000-0005-0000-0000-000007330000}"/>
    <cellStyle name="Normal 2 2 2 2 2 5 3 5" xfId="13107" xr:uid="{00000000-0005-0000-0000-000008330000}"/>
    <cellStyle name="Normal 2 2 2 2 2 5 3 6" xfId="13108" xr:uid="{00000000-0005-0000-0000-000009330000}"/>
    <cellStyle name="Normal 2 2 2 2 2 5 3 7" xfId="13109" xr:uid="{00000000-0005-0000-0000-00000A330000}"/>
    <cellStyle name="Normal 2 2 2 2 2 5 3 8" xfId="13110" xr:uid="{00000000-0005-0000-0000-00000B330000}"/>
    <cellStyle name="Normal 2 2 2 2 2 5 3 9" xfId="13111" xr:uid="{00000000-0005-0000-0000-00000C330000}"/>
    <cellStyle name="Normal 2 2 2 2 2 5 4" xfId="13112" xr:uid="{00000000-0005-0000-0000-00000D330000}"/>
    <cellStyle name="Normal 2 2 2 2 2 5 4 10" xfId="13113" xr:uid="{00000000-0005-0000-0000-00000E330000}"/>
    <cellStyle name="Normal 2 2 2 2 2 5 4 2" xfId="13114" xr:uid="{00000000-0005-0000-0000-00000F330000}"/>
    <cellStyle name="Normal 2 2 2 2 2 5 4 3" xfId="13115" xr:uid="{00000000-0005-0000-0000-000010330000}"/>
    <cellStyle name="Normal 2 2 2 2 2 5 4 4" xfId="13116" xr:uid="{00000000-0005-0000-0000-000011330000}"/>
    <cellStyle name="Normal 2 2 2 2 2 5 4 5" xfId="13117" xr:uid="{00000000-0005-0000-0000-000012330000}"/>
    <cellStyle name="Normal 2 2 2 2 2 5 4 6" xfId="13118" xr:uid="{00000000-0005-0000-0000-000013330000}"/>
    <cellStyle name="Normal 2 2 2 2 2 5 4 7" xfId="13119" xr:uid="{00000000-0005-0000-0000-000014330000}"/>
    <cellStyle name="Normal 2 2 2 2 2 5 4 8" xfId="13120" xr:uid="{00000000-0005-0000-0000-000015330000}"/>
    <cellStyle name="Normal 2 2 2 2 2 5 4 9" xfId="13121" xr:uid="{00000000-0005-0000-0000-000016330000}"/>
    <cellStyle name="Normal 2 2 2 2 2 5 5" xfId="13122" xr:uid="{00000000-0005-0000-0000-000017330000}"/>
    <cellStyle name="Normal 2 2 2 2 2 5 5 10" xfId="13123" xr:uid="{00000000-0005-0000-0000-000018330000}"/>
    <cellStyle name="Normal 2 2 2 2 2 5 5 2" xfId="13124" xr:uid="{00000000-0005-0000-0000-000019330000}"/>
    <cellStyle name="Normal 2 2 2 2 2 5 5 3" xfId="13125" xr:uid="{00000000-0005-0000-0000-00001A330000}"/>
    <cellStyle name="Normal 2 2 2 2 2 5 5 4" xfId="13126" xr:uid="{00000000-0005-0000-0000-00001B330000}"/>
    <cellStyle name="Normal 2 2 2 2 2 5 5 5" xfId="13127" xr:uid="{00000000-0005-0000-0000-00001C330000}"/>
    <cellStyle name="Normal 2 2 2 2 2 5 5 6" xfId="13128" xr:uid="{00000000-0005-0000-0000-00001D330000}"/>
    <cellStyle name="Normal 2 2 2 2 2 5 5 7" xfId="13129" xr:uid="{00000000-0005-0000-0000-00001E330000}"/>
    <cellStyle name="Normal 2 2 2 2 2 5 5 8" xfId="13130" xr:uid="{00000000-0005-0000-0000-00001F330000}"/>
    <cellStyle name="Normal 2 2 2 2 2 5 5 9" xfId="13131" xr:uid="{00000000-0005-0000-0000-000020330000}"/>
    <cellStyle name="Normal 2 2 2 2 2 5 6" xfId="13132" xr:uid="{00000000-0005-0000-0000-000021330000}"/>
    <cellStyle name="Normal 2 2 2 2 2 5 7" xfId="13133" xr:uid="{00000000-0005-0000-0000-000022330000}"/>
    <cellStyle name="Normal 2 2 2 2 2 5 8" xfId="13134" xr:uid="{00000000-0005-0000-0000-000023330000}"/>
    <cellStyle name="Normal 2 2 2 2 2 5 9" xfId="13135" xr:uid="{00000000-0005-0000-0000-000024330000}"/>
    <cellStyle name="Normal 2 2 2 2 2 6" xfId="13136" xr:uid="{00000000-0005-0000-0000-000025330000}"/>
    <cellStyle name="Normal 2 2 2 2 2 6 10" xfId="13137" xr:uid="{00000000-0005-0000-0000-000026330000}"/>
    <cellStyle name="Normal 2 2 2 2 2 6 11" xfId="13138" xr:uid="{00000000-0005-0000-0000-000027330000}"/>
    <cellStyle name="Normal 2 2 2 2 2 6 12" xfId="13139" xr:uid="{00000000-0005-0000-0000-000028330000}"/>
    <cellStyle name="Normal 2 2 2 2 2 6 13" xfId="13140" xr:uid="{00000000-0005-0000-0000-000029330000}"/>
    <cellStyle name="Normal 2 2 2 2 2 6 14" xfId="13141" xr:uid="{00000000-0005-0000-0000-00002A330000}"/>
    <cellStyle name="Normal 2 2 2 2 2 6 2" xfId="13142" xr:uid="{00000000-0005-0000-0000-00002B330000}"/>
    <cellStyle name="Normal 2 2 2 2 2 6 2 10" xfId="13143" xr:uid="{00000000-0005-0000-0000-00002C330000}"/>
    <cellStyle name="Normal 2 2 2 2 2 6 2 2" xfId="13144" xr:uid="{00000000-0005-0000-0000-00002D330000}"/>
    <cellStyle name="Normal 2 2 2 2 2 6 2 3" xfId="13145" xr:uid="{00000000-0005-0000-0000-00002E330000}"/>
    <cellStyle name="Normal 2 2 2 2 2 6 2 4" xfId="13146" xr:uid="{00000000-0005-0000-0000-00002F330000}"/>
    <cellStyle name="Normal 2 2 2 2 2 6 2 5" xfId="13147" xr:uid="{00000000-0005-0000-0000-000030330000}"/>
    <cellStyle name="Normal 2 2 2 2 2 6 2 6" xfId="13148" xr:uid="{00000000-0005-0000-0000-000031330000}"/>
    <cellStyle name="Normal 2 2 2 2 2 6 2 7" xfId="13149" xr:uid="{00000000-0005-0000-0000-000032330000}"/>
    <cellStyle name="Normal 2 2 2 2 2 6 2 8" xfId="13150" xr:uid="{00000000-0005-0000-0000-000033330000}"/>
    <cellStyle name="Normal 2 2 2 2 2 6 2 9" xfId="13151" xr:uid="{00000000-0005-0000-0000-000034330000}"/>
    <cellStyle name="Normal 2 2 2 2 2 6 3" xfId="13152" xr:uid="{00000000-0005-0000-0000-000035330000}"/>
    <cellStyle name="Normal 2 2 2 2 2 6 3 10" xfId="13153" xr:uid="{00000000-0005-0000-0000-000036330000}"/>
    <cellStyle name="Normal 2 2 2 2 2 6 3 2" xfId="13154" xr:uid="{00000000-0005-0000-0000-000037330000}"/>
    <cellStyle name="Normal 2 2 2 2 2 6 3 3" xfId="13155" xr:uid="{00000000-0005-0000-0000-000038330000}"/>
    <cellStyle name="Normal 2 2 2 2 2 6 3 4" xfId="13156" xr:uid="{00000000-0005-0000-0000-000039330000}"/>
    <cellStyle name="Normal 2 2 2 2 2 6 3 5" xfId="13157" xr:uid="{00000000-0005-0000-0000-00003A330000}"/>
    <cellStyle name="Normal 2 2 2 2 2 6 3 6" xfId="13158" xr:uid="{00000000-0005-0000-0000-00003B330000}"/>
    <cellStyle name="Normal 2 2 2 2 2 6 3 7" xfId="13159" xr:uid="{00000000-0005-0000-0000-00003C330000}"/>
    <cellStyle name="Normal 2 2 2 2 2 6 3 8" xfId="13160" xr:uid="{00000000-0005-0000-0000-00003D330000}"/>
    <cellStyle name="Normal 2 2 2 2 2 6 3 9" xfId="13161" xr:uid="{00000000-0005-0000-0000-00003E330000}"/>
    <cellStyle name="Normal 2 2 2 2 2 6 4" xfId="13162" xr:uid="{00000000-0005-0000-0000-00003F330000}"/>
    <cellStyle name="Normal 2 2 2 2 2 6 4 10" xfId="13163" xr:uid="{00000000-0005-0000-0000-000040330000}"/>
    <cellStyle name="Normal 2 2 2 2 2 6 4 2" xfId="13164" xr:uid="{00000000-0005-0000-0000-000041330000}"/>
    <cellStyle name="Normal 2 2 2 2 2 6 4 3" xfId="13165" xr:uid="{00000000-0005-0000-0000-000042330000}"/>
    <cellStyle name="Normal 2 2 2 2 2 6 4 4" xfId="13166" xr:uid="{00000000-0005-0000-0000-000043330000}"/>
    <cellStyle name="Normal 2 2 2 2 2 6 4 5" xfId="13167" xr:uid="{00000000-0005-0000-0000-000044330000}"/>
    <cellStyle name="Normal 2 2 2 2 2 6 4 6" xfId="13168" xr:uid="{00000000-0005-0000-0000-000045330000}"/>
    <cellStyle name="Normal 2 2 2 2 2 6 4 7" xfId="13169" xr:uid="{00000000-0005-0000-0000-000046330000}"/>
    <cellStyle name="Normal 2 2 2 2 2 6 4 8" xfId="13170" xr:uid="{00000000-0005-0000-0000-000047330000}"/>
    <cellStyle name="Normal 2 2 2 2 2 6 4 9" xfId="13171" xr:uid="{00000000-0005-0000-0000-000048330000}"/>
    <cellStyle name="Normal 2 2 2 2 2 6 5" xfId="13172" xr:uid="{00000000-0005-0000-0000-000049330000}"/>
    <cellStyle name="Normal 2 2 2 2 2 6 5 10" xfId="13173" xr:uid="{00000000-0005-0000-0000-00004A330000}"/>
    <cellStyle name="Normal 2 2 2 2 2 6 5 2" xfId="13174" xr:uid="{00000000-0005-0000-0000-00004B330000}"/>
    <cellStyle name="Normal 2 2 2 2 2 6 5 3" xfId="13175" xr:uid="{00000000-0005-0000-0000-00004C330000}"/>
    <cellStyle name="Normal 2 2 2 2 2 6 5 4" xfId="13176" xr:uid="{00000000-0005-0000-0000-00004D330000}"/>
    <cellStyle name="Normal 2 2 2 2 2 6 5 5" xfId="13177" xr:uid="{00000000-0005-0000-0000-00004E330000}"/>
    <cellStyle name="Normal 2 2 2 2 2 6 5 6" xfId="13178" xr:uid="{00000000-0005-0000-0000-00004F330000}"/>
    <cellStyle name="Normal 2 2 2 2 2 6 5 7" xfId="13179" xr:uid="{00000000-0005-0000-0000-000050330000}"/>
    <cellStyle name="Normal 2 2 2 2 2 6 5 8" xfId="13180" xr:uid="{00000000-0005-0000-0000-000051330000}"/>
    <cellStyle name="Normal 2 2 2 2 2 6 5 9" xfId="13181" xr:uid="{00000000-0005-0000-0000-000052330000}"/>
    <cellStyle name="Normal 2 2 2 2 2 6 6" xfId="13182" xr:uid="{00000000-0005-0000-0000-000053330000}"/>
    <cellStyle name="Normal 2 2 2 2 2 6 7" xfId="13183" xr:uid="{00000000-0005-0000-0000-000054330000}"/>
    <cellStyle name="Normal 2 2 2 2 2 6 8" xfId="13184" xr:uid="{00000000-0005-0000-0000-000055330000}"/>
    <cellStyle name="Normal 2 2 2 2 2 6 9" xfId="13185" xr:uid="{00000000-0005-0000-0000-000056330000}"/>
    <cellStyle name="Normal 2 2 2 2 2 7" xfId="13186" xr:uid="{00000000-0005-0000-0000-000057330000}"/>
    <cellStyle name="Normal 2 2 2 2 2 7 10" xfId="13187" xr:uid="{00000000-0005-0000-0000-000058330000}"/>
    <cellStyle name="Normal 2 2 2 2 2 7 11" xfId="13188" xr:uid="{00000000-0005-0000-0000-000059330000}"/>
    <cellStyle name="Normal 2 2 2 2 2 7 12" xfId="13189" xr:uid="{00000000-0005-0000-0000-00005A330000}"/>
    <cellStyle name="Normal 2 2 2 2 2 7 13" xfId="13190" xr:uid="{00000000-0005-0000-0000-00005B330000}"/>
    <cellStyle name="Normal 2 2 2 2 2 7 14" xfId="13191" xr:uid="{00000000-0005-0000-0000-00005C330000}"/>
    <cellStyle name="Normal 2 2 2 2 2 7 2" xfId="13192" xr:uid="{00000000-0005-0000-0000-00005D330000}"/>
    <cellStyle name="Normal 2 2 2 2 2 7 2 10" xfId="13193" xr:uid="{00000000-0005-0000-0000-00005E330000}"/>
    <cellStyle name="Normal 2 2 2 2 2 7 2 2" xfId="13194" xr:uid="{00000000-0005-0000-0000-00005F330000}"/>
    <cellStyle name="Normal 2 2 2 2 2 7 2 3" xfId="13195" xr:uid="{00000000-0005-0000-0000-000060330000}"/>
    <cellStyle name="Normal 2 2 2 2 2 7 2 4" xfId="13196" xr:uid="{00000000-0005-0000-0000-000061330000}"/>
    <cellStyle name="Normal 2 2 2 2 2 7 2 5" xfId="13197" xr:uid="{00000000-0005-0000-0000-000062330000}"/>
    <cellStyle name="Normal 2 2 2 2 2 7 2 6" xfId="13198" xr:uid="{00000000-0005-0000-0000-000063330000}"/>
    <cellStyle name="Normal 2 2 2 2 2 7 2 7" xfId="13199" xr:uid="{00000000-0005-0000-0000-000064330000}"/>
    <cellStyle name="Normal 2 2 2 2 2 7 2 8" xfId="13200" xr:uid="{00000000-0005-0000-0000-000065330000}"/>
    <cellStyle name="Normal 2 2 2 2 2 7 2 9" xfId="13201" xr:uid="{00000000-0005-0000-0000-000066330000}"/>
    <cellStyle name="Normal 2 2 2 2 2 7 3" xfId="13202" xr:uid="{00000000-0005-0000-0000-000067330000}"/>
    <cellStyle name="Normal 2 2 2 2 2 7 3 10" xfId="13203" xr:uid="{00000000-0005-0000-0000-000068330000}"/>
    <cellStyle name="Normal 2 2 2 2 2 7 3 2" xfId="13204" xr:uid="{00000000-0005-0000-0000-000069330000}"/>
    <cellStyle name="Normal 2 2 2 2 2 7 3 3" xfId="13205" xr:uid="{00000000-0005-0000-0000-00006A330000}"/>
    <cellStyle name="Normal 2 2 2 2 2 7 3 4" xfId="13206" xr:uid="{00000000-0005-0000-0000-00006B330000}"/>
    <cellStyle name="Normal 2 2 2 2 2 7 3 5" xfId="13207" xr:uid="{00000000-0005-0000-0000-00006C330000}"/>
    <cellStyle name="Normal 2 2 2 2 2 7 3 6" xfId="13208" xr:uid="{00000000-0005-0000-0000-00006D330000}"/>
    <cellStyle name="Normal 2 2 2 2 2 7 3 7" xfId="13209" xr:uid="{00000000-0005-0000-0000-00006E330000}"/>
    <cellStyle name="Normal 2 2 2 2 2 7 3 8" xfId="13210" xr:uid="{00000000-0005-0000-0000-00006F330000}"/>
    <cellStyle name="Normal 2 2 2 2 2 7 3 9" xfId="13211" xr:uid="{00000000-0005-0000-0000-000070330000}"/>
    <cellStyle name="Normal 2 2 2 2 2 7 4" xfId="13212" xr:uid="{00000000-0005-0000-0000-000071330000}"/>
    <cellStyle name="Normal 2 2 2 2 2 7 4 10" xfId="13213" xr:uid="{00000000-0005-0000-0000-000072330000}"/>
    <cellStyle name="Normal 2 2 2 2 2 7 4 2" xfId="13214" xr:uid="{00000000-0005-0000-0000-000073330000}"/>
    <cellStyle name="Normal 2 2 2 2 2 7 4 3" xfId="13215" xr:uid="{00000000-0005-0000-0000-000074330000}"/>
    <cellStyle name="Normal 2 2 2 2 2 7 4 4" xfId="13216" xr:uid="{00000000-0005-0000-0000-000075330000}"/>
    <cellStyle name="Normal 2 2 2 2 2 7 4 5" xfId="13217" xr:uid="{00000000-0005-0000-0000-000076330000}"/>
    <cellStyle name="Normal 2 2 2 2 2 7 4 6" xfId="13218" xr:uid="{00000000-0005-0000-0000-000077330000}"/>
    <cellStyle name="Normal 2 2 2 2 2 7 4 7" xfId="13219" xr:uid="{00000000-0005-0000-0000-000078330000}"/>
    <cellStyle name="Normal 2 2 2 2 2 7 4 8" xfId="13220" xr:uid="{00000000-0005-0000-0000-000079330000}"/>
    <cellStyle name="Normal 2 2 2 2 2 7 4 9" xfId="13221" xr:uid="{00000000-0005-0000-0000-00007A330000}"/>
    <cellStyle name="Normal 2 2 2 2 2 7 5" xfId="13222" xr:uid="{00000000-0005-0000-0000-00007B330000}"/>
    <cellStyle name="Normal 2 2 2 2 2 7 5 10" xfId="13223" xr:uid="{00000000-0005-0000-0000-00007C330000}"/>
    <cellStyle name="Normal 2 2 2 2 2 7 5 2" xfId="13224" xr:uid="{00000000-0005-0000-0000-00007D330000}"/>
    <cellStyle name="Normal 2 2 2 2 2 7 5 3" xfId="13225" xr:uid="{00000000-0005-0000-0000-00007E330000}"/>
    <cellStyle name="Normal 2 2 2 2 2 7 5 4" xfId="13226" xr:uid="{00000000-0005-0000-0000-00007F330000}"/>
    <cellStyle name="Normal 2 2 2 2 2 7 5 5" xfId="13227" xr:uid="{00000000-0005-0000-0000-000080330000}"/>
    <cellStyle name="Normal 2 2 2 2 2 7 5 6" xfId="13228" xr:uid="{00000000-0005-0000-0000-000081330000}"/>
    <cellStyle name="Normal 2 2 2 2 2 7 5 7" xfId="13229" xr:uid="{00000000-0005-0000-0000-000082330000}"/>
    <cellStyle name="Normal 2 2 2 2 2 7 5 8" xfId="13230" xr:uid="{00000000-0005-0000-0000-000083330000}"/>
    <cellStyle name="Normal 2 2 2 2 2 7 5 9" xfId="13231" xr:uid="{00000000-0005-0000-0000-000084330000}"/>
    <cellStyle name="Normal 2 2 2 2 2 7 6" xfId="13232" xr:uid="{00000000-0005-0000-0000-000085330000}"/>
    <cellStyle name="Normal 2 2 2 2 2 7 7" xfId="13233" xr:uid="{00000000-0005-0000-0000-000086330000}"/>
    <cellStyle name="Normal 2 2 2 2 2 7 8" xfId="13234" xr:uid="{00000000-0005-0000-0000-000087330000}"/>
    <cellStyle name="Normal 2 2 2 2 2 7 9" xfId="13235" xr:uid="{00000000-0005-0000-0000-000088330000}"/>
    <cellStyle name="Normal 2 2 2 2 2 8" xfId="13236" xr:uid="{00000000-0005-0000-0000-000089330000}"/>
    <cellStyle name="Normal 2 2 2 2 2 8 10" xfId="13237" xr:uid="{00000000-0005-0000-0000-00008A330000}"/>
    <cellStyle name="Normal 2 2 2 2 2 8 11" xfId="13238" xr:uid="{00000000-0005-0000-0000-00008B330000}"/>
    <cellStyle name="Normal 2 2 2 2 2 8 12" xfId="13239" xr:uid="{00000000-0005-0000-0000-00008C330000}"/>
    <cellStyle name="Normal 2 2 2 2 2 8 13" xfId="13240" xr:uid="{00000000-0005-0000-0000-00008D330000}"/>
    <cellStyle name="Normal 2 2 2 2 2 8 14" xfId="13241" xr:uid="{00000000-0005-0000-0000-00008E330000}"/>
    <cellStyle name="Normal 2 2 2 2 2 8 2" xfId="13242" xr:uid="{00000000-0005-0000-0000-00008F330000}"/>
    <cellStyle name="Normal 2 2 2 2 2 8 2 10" xfId="13243" xr:uid="{00000000-0005-0000-0000-000090330000}"/>
    <cellStyle name="Normal 2 2 2 2 2 8 2 2" xfId="13244" xr:uid="{00000000-0005-0000-0000-000091330000}"/>
    <cellStyle name="Normal 2 2 2 2 2 8 2 3" xfId="13245" xr:uid="{00000000-0005-0000-0000-000092330000}"/>
    <cellStyle name="Normal 2 2 2 2 2 8 2 4" xfId="13246" xr:uid="{00000000-0005-0000-0000-000093330000}"/>
    <cellStyle name="Normal 2 2 2 2 2 8 2 5" xfId="13247" xr:uid="{00000000-0005-0000-0000-000094330000}"/>
    <cellStyle name="Normal 2 2 2 2 2 8 2 6" xfId="13248" xr:uid="{00000000-0005-0000-0000-000095330000}"/>
    <cellStyle name="Normal 2 2 2 2 2 8 2 7" xfId="13249" xr:uid="{00000000-0005-0000-0000-000096330000}"/>
    <cellStyle name="Normal 2 2 2 2 2 8 2 8" xfId="13250" xr:uid="{00000000-0005-0000-0000-000097330000}"/>
    <cellStyle name="Normal 2 2 2 2 2 8 2 9" xfId="13251" xr:uid="{00000000-0005-0000-0000-000098330000}"/>
    <cellStyle name="Normal 2 2 2 2 2 8 3" xfId="13252" xr:uid="{00000000-0005-0000-0000-000099330000}"/>
    <cellStyle name="Normal 2 2 2 2 2 8 3 10" xfId="13253" xr:uid="{00000000-0005-0000-0000-00009A330000}"/>
    <cellStyle name="Normal 2 2 2 2 2 8 3 2" xfId="13254" xr:uid="{00000000-0005-0000-0000-00009B330000}"/>
    <cellStyle name="Normal 2 2 2 2 2 8 3 3" xfId="13255" xr:uid="{00000000-0005-0000-0000-00009C330000}"/>
    <cellStyle name="Normal 2 2 2 2 2 8 3 4" xfId="13256" xr:uid="{00000000-0005-0000-0000-00009D330000}"/>
    <cellStyle name="Normal 2 2 2 2 2 8 3 5" xfId="13257" xr:uid="{00000000-0005-0000-0000-00009E330000}"/>
    <cellStyle name="Normal 2 2 2 2 2 8 3 6" xfId="13258" xr:uid="{00000000-0005-0000-0000-00009F330000}"/>
    <cellStyle name="Normal 2 2 2 2 2 8 3 7" xfId="13259" xr:uid="{00000000-0005-0000-0000-0000A0330000}"/>
    <cellStyle name="Normal 2 2 2 2 2 8 3 8" xfId="13260" xr:uid="{00000000-0005-0000-0000-0000A1330000}"/>
    <cellStyle name="Normal 2 2 2 2 2 8 3 9" xfId="13261" xr:uid="{00000000-0005-0000-0000-0000A2330000}"/>
    <cellStyle name="Normal 2 2 2 2 2 8 4" xfId="13262" xr:uid="{00000000-0005-0000-0000-0000A3330000}"/>
    <cellStyle name="Normal 2 2 2 2 2 8 4 10" xfId="13263" xr:uid="{00000000-0005-0000-0000-0000A4330000}"/>
    <cellStyle name="Normal 2 2 2 2 2 8 4 2" xfId="13264" xr:uid="{00000000-0005-0000-0000-0000A5330000}"/>
    <cellStyle name="Normal 2 2 2 2 2 8 4 3" xfId="13265" xr:uid="{00000000-0005-0000-0000-0000A6330000}"/>
    <cellStyle name="Normal 2 2 2 2 2 8 4 4" xfId="13266" xr:uid="{00000000-0005-0000-0000-0000A7330000}"/>
    <cellStyle name="Normal 2 2 2 2 2 8 4 5" xfId="13267" xr:uid="{00000000-0005-0000-0000-0000A8330000}"/>
    <cellStyle name="Normal 2 2 2 2 2 8 4 6" xfId="13268" xr:uid="{00000000-0005-0000-0000-0000A9330000}"/>
    <cellStyle name="Normal 2 2 2 2 2 8 4 7" xfId="13269" xr:uid="{00000000-0005-0000-0000-0000AA330000}"/>
    <cellStyle name="Normal 2 2 2 2 2 8 4 8" xfId="13270" xr:uid="{00000000-0005-0000-0000-0000AB330000}"/>
    <cellStyle name="Normal 2 2 2 2 2 8 4 9" xfId="13271" xr:uid="{00000000-0005-0000-0000-0000AC330000}"/>
    <cellStyle name="Normal 2 2 2 2 2 8 5" xfId="13272" xr:uid="{00000000-0005-0000-0000-0000AD330000}"/>
    <cellStyle name="Normal 2 2 2 2 2 8 5 10" xfId="13273" xr:uid="{00000000-0005-0000-0000-0000AE330000}"/>
    <cellStyle name="Normal 2 2 2 2 2 8 5 2" xfId="13274" xr:uid="{00000000-0005-0000-0000-0000AF330000}"/>
    <cellStyle name="Normal 2 2 2 2 2 8 5 3" xfId="13275" xr:uid="{00000000-0005-0000-0000-0000B0330000}"/>
    <cellStyle name="Normal 2 2 2 2 2 8 5 4" xfId="13276" xr:uid="{00000000-0005-0000-0000-0000B1330000}"/>
    <cellStyle name="Normal 2 2 2 2 2 8 5 5" xfId="13277" xr:uid="{00000000-0005-0000-0000-0000B2330000}"/>
    <cellStyle name="Normal 2 2 2 2 2 8 5 6" xfId="13278" xr:uid="{00000000-0005-0000-0000-0000B3330000}"/>
    <cellStyle name="Normal 2 2 2 2 2 8 5 7" xfId="13279" xr:uid="{00000000-0005-0000-0000-0000B4330000}"/>
    <cellStyle name="Normal 2 2 2 2 2 8 5 8" xfId="13280" xr:uid="{00000000-0005-0000-0000-0000B5330000}"/>
    <cellStyle name="Normal 2 2 2 2 2 8 5 9" xfId="13281" xr:uid="{00000000-0005-0000-0000-0000B6330000}"/>
    <cellStyle name="Normal 2 2 2 2 2 8 6" xfId="13282" xr:uid="{00000000-0005-0000-0000-0000B7330000}"/>
    <cellStyle name="Normal 2 2 2 2 2 8 7" xfId="13283" xr:uid="{00000000-0005-0000-0000-0000B8330000}"/>
    <cellStyle name="Normal 2 2 2 2 2 8 8" xfId="13284" xr:uid="{00000000-0005-0000-0000-0000B9330000}"/>
    <cellStyle name="Normal 2 2 2 2 2 8 9" xfId="13285" xr:uid="{00000000-0005-0000-0000-0000BA330000}"/>
    <cellStyle name="Normal 2 2 2 2 2 9" xfId="13286" xr:uid="{00000000-0005-0000-0000-0000BB330000}"/>
    <cellStyle name="Normal 2 2 2 2 2 9 10" xfId="13287" xr:uid="{00000000-0005-0000-0000-0000BC330000}"/>
    <cellStyle name="Normal 2 2 2 2 2 9 11" xfId="13288" xr:uid="{00000000-0005-0000-0000-0000BD330000}"/>
    <cellStyle name="Normal 2 2 2 2 2 9 12" xfId="13289" xr:uid="{00000000-0005-0000-0000-0000BE330000}"/>
    <cellStyle name="Normal 2 2 2 2 2 9 13" xfId="13290" xr:uid="{00000000-0005-0000-0000-0000BF330000}"/>
    <cellStyle name="Normal 2 2 2 2 2 9 14" xfId="13291" xr:uid="{00000000-0005-0000-0000-0000C0330000}"/>
    <cellStyle name="Normal 2 2 2 2 2 9 2" xfId="13292" xr:uid="{00000000-0005-0000-0000-0000C1330000}"/>
    <cellStyle name="Normal 2 2 2 2 2 9 2 10" xfId="13293" xr:uid="{00000000-0005-0000-0000-0000C2330000}"/>
    <cellStyle name="Normal 2 2 2 2 2 9 2 2" xfId="13294" xr:uid="{00000000-0005-0000-0000-0000C3330000}"/>
    <cellStyle name="Normal 2 2 2 2 2 9 2 3" xfId="13295" xr:uid="{00000000-0005-0000-0000-0000C4330000}"/>
    <cellStyle name="Normal 2 2 2 2 2 9 2 4" xfId="13296" xr:uid="{00000000-0005-0000-0000-0000C5330000}"/>
    <cellStyle name="Normal 2 2 2 2 2 9 2 5" xfId="13297" xr:uid="{00000000-0005-0000-0000-0000C6330000}"/>
    <cellStyle name="Normal 2 2 2 2 2 9 2 6" xfId="13298" xr:uid="{00000000-0005-0000-0000-0000C7330000}"/>
    <cellStyle name="Normal 2 2 2 2 2 9 2 7" xfId="13299" xr:uid="{00000000-0005-0000-0000-0000C8330000}"/>
    <cellStyle name="Normal 2 2 2 2 2 9 2 8" xfId="13300" xr:uid="{00000000-0005-0000-0000-0000C9330000}"/>
    <cellStyle name="Normal 2 2 2 2 2 9 2 9" xfId="13301" xr:uid="{00000000-0005-0000-0000-0000CA330000}"/>
    <cellStyle name="Normal 2 2 2 2 2 9 3" xfId="13302" xr:uid="{00000000-0005-0000-0000-0000CB330000}"/>
    <cellStyle name="Normal 2 2 2 2 2 9 3 10" xfId="13303" xr:uid="{00000000-0005-0000-0000-0000CC330000}"/>
    <cellStyle name="Normal 2 2 2 2 2 9 3 2" xfId="13304" xr:uid="{00000000-0005-0000-0000-0000CD330000}"/>
    <cellStyle name="Normal 2 2 2 2 2 9 3 3" xfId="13305" xr:uid="{00000000-0005-0000-0000-0000CE330000}"/>
    <cellStyle name="Normal 2 2 2 2 2 9 3 4" xfId="13306" xr:uid="{00000000-0005-0000-0000-0000CF330000}"/>
    <cellStyle name="Normal 2 2 2 2 2 9 3 5" xfId="13307" xr:uid="{00000000-0005-0000-0000-0000D0330000}"/>
    <cellStyle name="Normal 2 2 2 2 2 9 3 6" xfId="13308" xr:uid="{00000000-0005-0000-0000-0000D1330000}"/>
    <cellStyle name="Normal 2 2 2 2 2 9 3 7" xfId="13309" xr:uid="{00000000-0005-0000-0000-0000D2330000}"/>
    <cellStyle name="Normal 2 2 2 2 2 9 3 8" xfId="13310" xr:uid="{00000000-0005-0000-0000-0000D3330000}"/>
    <cellStyle name="Normal 2 2 2 2 2 9 3 9" xfId="13311" xr:uid="{00000000-0005-0000-0000-0000D4330000}"/>
    <cellStyle name="Normal 2 2 2 2 2 9 4" xfId="13312" xr:uid="{00000000-0005-0000-0000-0000D5330000}"/>
    <cellStyle name="Normal 2 2 2 2 2 9 4 10" xfId="13313" xr:uid="{00000000-0005-0000-0000-0000D6330000}"/>
    <cellStyle name="Normal 2 2 2 2 2 9 4 2" xfId="13314" xr:uid="{00000000-0005-0000-0000-0000D7330000}"/>
    <cellStyle name="Normal 2 2 2 2 2 9 4 3" xfId="13315" xr:uid="{00000000-0005-0000-0000-0000D8330000}"/>
    <cellStyle name="Normal 2 2 2 2 2 9 4 4" xfId="13316" xr:uid="{00000000-0005-0000-0000-0000D9330000}"/>
    <cellStyle name="Normal 2 2 2 2 2 9 4 5" xfId="13317" xr:uid="{00000000-0005-0000-0000-0000DA330000}"/>
    <cellStyle name="Normal 2 2 2 2 2 9 4 6" xfId="13318" xr:uid="{00000000-0005-0000-0000-0000DB330000}"/>
    <cellStyle name="Normal 2 2 2 2 2 9 4 7" xfId="13319" xr:uid="{00000000-0005-0000-0000-0000DC330000}"/>
    <cellStyle name="Normal 2 2 2 2 2 9 4 8" xfId="13320" xr:uid="{00000000-0005-0000-0000-0000DD330000}"/>
    <cellStyle name="Normal 2 2 2 2 2 9 4 9" xfId="13321" xr:uid="{00000000-0005-0000-0000-0000DE330000}"/>
    <cellStyle name="Normal 2 2 2 2 2 9 5" xfId="13322" xr:uid="{00000000-0005-0000-0000-0000DF330000}"/>
    <cellStyle name="Normal 2 2 2 2 2 9 5 10" xfId="13323" xr:uid="{00000000-0005-0000-0000-0000E0330000}"/>
    <cellStyle name="Normal 2 2 2 2 2 9 5 2" xfId="13324" xr:uid="{00000000-0005-0000-0000-0000E1330000}"/>
    <cellStyle name="Normal 2 2 2 2 2 9 5 3" xfId="13325" xr:uid="{00000000-0005-0000-0000-0000E2330000}"/>
    <cellStyle name="Normal 2 2 2 2 2 9 5 4" xfId="13326" xr:uid="{00000000-0005-0000-0000-0000E3330000}"/>
    <cellStyle name="Normal 2 2 2 2 2 9 5 5" xfId="13327" xr:uid="{00000000-0005-0000-0000-0000E4330000}"/>
    <cellStyle name="Normal 2 2 2 2 2 9 5 6" xfId="13328" xr:uid="{00000000-0005-0000-0000-0000E5330000}"/>
    <cellStyle name="Normal 2 2 2 2 2 9 5 7" xfId="13329" xr:uid="{00000000-0005-0000-0000-0000E6330000}"/>
    <cellStyle name="Normal 2 2 2 2 2 9 5 8" xfId="13330" xr:uid="{00000000-0005-0000-0000-0000E7330000}"/>
    <cellStyle name="Normal 2 2 2 2 2 9 5 9" xfId="13331" xr:uid="{00000000-0005-0000-0000-0000E8330000}"/>
    <cellStyle name="Normal 2 2 2 2 2 9 6" xfId="13332" xr:uid="{00000000-0005-0000-0000-0000E9330000}"/>
    <cellStyle name="Normal 2 2 2 2 2 9 7" xfId="13333" xr:uid="{00000000-0005-0000-0000-0000EA330000}"/>
    <cellStyle name="Normal 2 2 2 2 2 9 8" xfId="13334" xr:uid="{00000000-0005-0000-0000-0000EB330000}"/>
    <cellStyle name="Normal 2 2 2 2 2 9 9" xfId="13335" xr:uid="{00000000-0005-0000-0000-0000EC330000}"/>
    <cellStyle name="Normal 2 2 2 2 20" xfId="13336" xr:uid="{00000000-0005-0000-0000-0000ED330000}"/>
    <cellStyle name="Normal 2 2 2 2 21" xfId="13337" xr:uid="{00000000-0005-0000-0000-0000EE330000}"/>
    <cellStyle name="Normal 2 2 2 2 22" xfId="13338" xr:uid="{00000000-0005-0000-0000-0000EF330000}"/>
    <cellStyle name="Normal 2 2 2 2 23" xfId="13339" xr:uid="{00000000-0005-0000-0000-0000F0330000}"/>
    <cellStyle name="Normal 2 2 2 2 24" xfId="13340" xr:uid="{00000000-0005-0000-0000-0000F1330000}"/>
    <cellStyle name="Normal 2 2 2 2 25" xfId="13341" xr:uid="{00000000-0005-0000-0000-0000F2330000}"/>
    <cellStyle name="Normal 2 2 2 2 26" xfId="13342" xr:uid="{00000000-0005-0000-0000-0000F3330000}"/>
    <cellStyle name="Normal 2 2 2 2 27" xfId="13343" xr:uid="{00000000-0005-0000-0000-0000F4330000}"/>
    <cellStyle name="Normal 2 2 2 2 28" xfId="13344" xr:uid="{00000000-0005-0000-0000-0000F5330000}"/>
    <cellStyle name="Normal 2 2 2 2 29" xfId="13345" xr:uid="{00000000-0005-0000-0000-0000F6330000}"/>
    <cellStyle name="Normal 2 2 2 2 3" xfId="52" xr:uid="{00000000-0005-0000-0000-0000F7330000}"/>
    <cellStyle name="Normal 2 2 2 2 3 2" xfId="13347" xr:uid="{00000000-0005-0000-0000-0000F8330000}"/>
    <cellStyle name="Normal 2 2 2 2 3 2 2" xfId="13348" xr:uid="{00000000-0005-0000-0000-0000F9330000}"/>
    <cellStyle name="Normal 2 2 2 2 3 3" xfId="13349" xr:uid="{00000000-0005-0000-0000-0000FA330000}"/>
    <cellStyle name="Normal 2 2 2 2 3 4" xfId="13350" xr:uid="{00000000-0005-0000-0000-0000FB330000}"/>
    <cellStyle name="Normal 2 2 2 2 3 5" xfId="13351" xr:uid="{00000000-0005-0000-0000-0000FC330000}"/>
    <cellStyle name="Normal 2 2 2 2 3 6" xfId="13346" xr:uid="{00000000-0005-0000-0000-0000FD330000}"/>
    <cellStyle name="Normal 2 2 2 2 30" xfId="13352" xr:uid="{00000000-0005-0000-0000-0000FE330000}"/>
    <cellStyle name="Normal 2 2 2 2 31" xfId="13353" xr:uid="{00000000-0005-0000-0000-0000FF330000}"/>
    <cellStyle name="Normal 2 2 2 2 32" xfId="13354" xr:uid="{00000000-0005-0000-0000-000000340000}"/>
    <cellStyle name="Normal 2 2 2 2 33" xfId="13355" xr:uid="{00000000-0005-0000-0000-000001340000}"/>
    <cellStyle name="Normal 2 2 2 2 34" xfId="13356" xr:uid="{00000000-0005-0000-0000-000002340000}"/>
    <cellStyle name="Normal 2 2 2 2 35" xfId="13357" xr:uid="{00000000-0005-0000-0000-000003340000}"/>
    <cellStyle name="Normal 2 2 2 2 36" xfId="13358" xr:uid="{00000000-0005-0000-0000-000004340000}"/>
    <cellStyle name="Normal 2 2 2 2 37" xfId="13359" xr:uid="{00000000-0005-0000-0000-000005340000}"/>
    <cellStyle name="Normal 2 2 2 2 38" xfId="13360" xr:uid="{00000000-0005-0000-0000-000006340000}"/>
    <cellStyle name="Normal 2 2 2 2 39" xfId="13361" xr:uid="{00000000-0005-0000-0000-000007340000}"/>
    <cellStyle name="Normal 2 2 2 2 4" xfId="13362" xr:uid="{00000000-0005-0000-0000-000008340000}"/>
    <cellStyle name="Normal 2 2 2 2 4 10" xfId="13363" xr:uid="{00000000-0005-0000-0000-000009340000}"/>
    <cellStyle name="Normal 2 2 2 2 4 10 10" xfId="13364" xr:uid="{00000000-0005-0000-0000-00000A340000}"/>
    <cellStyle name="Normal 2 2 2 2 4 10 11" xfId="13365" xr:uid="{00000000-0005-0000-0000-00000B340000}"/>
    <cellStyle name="Normal 2 2 2 2 4 10 12" xfId="13366" xr:uid="{00000000-0005-0000-0000-00000C340000}"/>
    <cellStyle name="Normal 2 2 2 2 4 10 13" xfId="13367" xr:uid="{00000000-0005-0000-0000-00000D340000}"/>
    <cellStyle name="Normal 2 2 2 2 4 10 14" xfId="13368" xr:uid="{00000000-0005-0000-0000-00000E340000}"/>
    <cellStyle name="Normal 2 2 2 2 4 10 2" xfId="13369" xr:uid="{00000000-0005-0000-0000-00000F340000}"/>
    <cellStyle name="Normal 2 2 2 2 4 10 2 10" xfId="13370" xr:uid="{00000000-0005-0000-0000-000010340000}"/>
    <cellStyle name="Normal 2 2 2 2 4 10 2 2" xfId="13371" xr:uid="{00000000-0005-0000-0000-000011340000}"/>
    <cellStyle name="Normal 2 2 2 2 4 10 2 3" xfId="13372" xr:uid="{00000000-0005-0000-0000-000012340000}"/>
    <cellStyle name="Normal 2 2 2 2 4 10 2 4" xfId="13373" xr:uid="{00000000-0005-0000-0000-000013340000}"/>
    <cellStyle name="Normal 2 2 2 2 4 10 2 5" xfId="13374" xr:uid="{00000000-0005-0000-0000-000014340000}"/>
    <cellStyle name="Normal 2 2 2 2 4 10 2 6" xfId="13375" xr:uid="{00000000-0005-0000-0000-000015340000}"/>
    <cellStyle name="Normal 2 2 2 2 4 10 2 7" xfId="13376" xr:uid="{00000000-0005-0000-0000-000016340000}"/>
    <cellStyle name="Normal 2 2 2 2 4 10 2 8" xfId="13377" xr:uid="{00000000-0005-0000-0000-000017340000}"/>
    <cellStyle name="Normal 2 2 2 2 4 10 2 9" xfId="13378" xr:uid="{00000000-0005-0000-0000-000018340000}"/>
    <cellStyle name="Normal 2 2 2 2 4 10 3" xfId="13379" xr:uid="{00000000-0005-0000-0000-000019340000}"/>
    <cellStyle name="Normal 2 2 2 2 4 10 3 10" xfId="13380" xr:uid="{00000000-0005-0000-0000-00001A340000}"/>
    <cellStyle name="Normal 2 2 2 2 4 10 3 2" xfId="13381" xr:uid="{00000000-0005-0000-0000-00001B340000}"/>
    <cellStyle name="Normal 2 2 2 2 4 10 3 3" xfId="13382" xr:uid="{00000000-0005-0000-0000-00001C340000}"/>
    <cellStyle name="Normal 2 2 2 2 4 10 3 4" xfId="13383" xr:uid="{00000000-0005-0000-0000-00001D340000}"/>
    <cellStyle name="Normal 2 2 2 2 4 10 3 5" xfId="13384" xr:uid="{00000000-0005-0000-0000-00001E340000}"/>
    <cellStyle name="Normal 2 2 2 2 4 10 3 6" xfId="13385" xr:uid="{00000000-0005-0000-0000-00001F340000}"/>
    <cellStyle name="Normal 2 2 2 2 4 10 3 7" xfId="13386" xr:uid="{00000000-0005-0000-0000-000020340000}"/>
    <cellStyle name="Normal 2 2 2 2 4 10 3 8" xfId="13387" xr:uid="{00000000-0005-0000-0000-000021340000}"/>
    <cellStyle name="Normal 2 2 2 2 4 10 3 9" xfId="13388" xr:uid="{00000000-0005-0000-0000-000022340000}"/>
    <cellStyle name="Normal 2 2 2 2 4 10 4" xfId="13389" xr:uid="{00000000-0005-0000-0000-000023340000}"/>
    <cellStyle name="Normal 2 2 2 2 4 10 4 10" xfId="13390" xr:uid="{00000000-0005-0000-0000-000024340000}"/>
    <cellStyle name="Normal 2 2 2 2 4 10 4 2" xfId="13391" xr:uid="{00000000-0005-0000-0000-000025340000}"/>
    <cellStyle name="Normal 2 2 2 2 4 10 4 3" xfId="13392" xr:uid="{00000000-0005-0000-0000-000026340000}"/>
    <cellStyle name="Normal 2 2 2 2 4 10 4 4" xfId="13393" xr:uid="{00000000-0005-0000-0000-000027340000}"/>
    <cellStyle name="Normal 2 2 2 2 4 10 4 5" xfId="13394" xr:uid="{00000000-0005-0000-0000-000028340000}"/>
    <cellStyle name="Normal 2 2 2 2 4 10 4 6" xfId="13395" xr:uid="{00000000-0005-0000-0000-000029340000}"/>
    <cellStyle name="Normal 2 2 2 2 4 10 4 7" xfId="13396" xr:uid="{00000000-0005-0000-0000-00002A340000}"/>
    <cellStyle name="Normal 2 2 2 2 4 10 4 8" xfId="13397" xr:uid="{00000000-0005-0000-0000-00002B340000}"/>
    <cellStyle name="Normal 2 2 2 2 4 10 4 9" xfId="13398" xr:uid="{00000000-0005-0000-0000-00002C340000}"/>
    <cellStyle name="Normal 2 2 2 2 4 10 5" xfId="13399" xr:uid="{00000000-0005-0000-0000-00002D340000}"/>
    <cellStyle name="Normal 2 2 2 2 4 10 5 10" xfId="13400" xr:uid="{00000000-0005-0000-0000-00002E340000}"/>
    <cellStyle name="Normal 2 2 2 2 4 10 5 2" xfId="13401" xr:uid="{00000000-0005-0000-0000-00002F340000}"/>
    <cellStyle name="Normal 2 2 2 2 4 10 5 3" xfId="13402" xr:uid="{00000000-0005-0000-0000-000030340000}"/>
    <cellStyle name="Normal 2 2 2 2 4 10 5 4" xfId="13403" xr:uid="{00000000-0005-0000-0000-000031340000}"/>
    <cellStyle name="Normal 2 2 2 2 4 10 5 5" xfId="13404" xr:uid="{00000000-0005-0000-0000-000032340000}"/>
    <cellStyle name="Normal 2 2 2 2 4 10 5 6" xfId="13405" xr:uid="{00000000-0005-0000-0000-000033340000}"/>
    <cellStyle name="Normal 2 2 2 2 4 10 5 7" xfId="13406" xr:uid="{00000000-0005-0000-0000-000034340000}"/>
    <cellStyle name="Normal 2 2 2 2 4 10 5 8" xfId="13407" xr:uid="{00000000-0005-0000-0000-000035340000}"/>
    <cellStyle name="Normal 2 2 2 2 4 10 5 9" xfId="13408" xr:uid="{00000000-0005-0000-0000-000036340000}"/>
    <cellStyle name="Normal 2 2 2 2 4 10 6" xfId="13409" xr:uid="{00000000-0005-0000-0000-000037340000}"/>
    <cellStyle name="Normal 2 2 2 2 4 10 7" xfId="13410" xr:uid="{00000000-0005-0000-0000-000038340000}"/>
    <cellStyle name="Normal 2 2 2 2 4 10 8" xfId="13411" xr:uid="{00000000-0005-0000-0000-000039340000}"/>
    <cellStyle name="Normal 2 2 2 2 4 10 9" xfId="13412" xr:uid="{00000000-0005-0000-0000-00003A340000}"/>
    <cellStyle name="Normal 2 2 2 2 4 11" xfId="13413" xr:uid="{00000000-0005-0000-0000-00003B340000}"/>
    <cellStyle name="Normal 2 2 2 2 4 11 10" xfId="13414" xr:uid="{00000000-0005-0000-0000-00003C340000}"/>
    <cellStyle name="Normal 2 2 2 2 4 11 11" xfId="13415" xr:uid="{00000000-0005-0000-0000-00003D340000}"/>
    <cellStyle name="Normal 2 2 2 2 4 11 12" xfId="13416" xr:uid="{00000000-0005-0000-0000-00003E340000}"/>
    <cellStyle name="Normal 2 2 2 2 4 11 13" xfId="13417" xr:uid="{00000000-0005-0000-0000-00003F340000}"/>
    <cellStyle name="Normal 2 2 2 2 4 11 14" xfId="13418" xr:uid="{00000000-0005-0000-0000-000040340000}"/>
    <cellStyle name="Normal 2 2 2 2 4 11 2" xfId="13419" xr:uid="{00000000-0005-0000-0000-000041340000}"/>
    <cellStyle name="Normal 2 2 2 2 4 11 2 10" xfId="13420" xr:uid="{00000000-0005-0000-0000-000042340000}"/>
    <cellStyle name="Normal 2 2 2 2 4 11 2 2" xfId="13421" xr:uid="{00000000-0005-0000-0000-000043340000}"/>
    <cellStyle name="Normal 2 2 2 2 4 11 2 3" xfId="13422" xr:uid="{00000000-0005-0000-0000-000044340000}"/>
    <cellStyle name="Normal 2 2 2 2 4 11 2 4" xfId="13423" xr:uid="{00000000-0005-0000-0000-000045340000}"/>
    <cellStyle name="Normal 2 2 2 2 4 11 2 5" xfId="13424" xr:uid="{00000000-0005-0000-0000-000046340000}"/>
    <cellStyle name="Normal 2 2 2 2 4 11 2 6" xfId="13425" xr:uid="{00000000-0005-0000-0000-000047340000}"/>
    <cellStyle name="Normal 2 2 2 2 4 11 2 7" xfId="13426" xr:uid="{00000000-0005-0000-0000-000048340000}"/>
    <cellStyle name="Normal 2 2 2 2 4 11 2 8" xfId="13427" xr:uid="{00000000-0005-0000-0000-000049340000}"/>
    <cellStyle name="Normal 2 2 2 2 4 11 2 9" xfId="13428" xr:uid="{00000000-0005-0000-0000-00004A340000}"/>
    <cellStyle name="Normal 2 2 2 2 4 11 3" xfId="13429" xr:uid="{00000000-0005-0000-0000-00004B340000}"/>
    <cellStyle name="Normal 2 2 2 2 4 11 3 10" xfId="13430" xr:uid="{00000000-0005-0000-0000-00004C340000}"/>
    <cellStyle name="Normal 2 2 2 2 4 11 3 2" xfId="13431" xr:uid="{00000000-0005-0000-0000-00004D340000}"/>
    <cellStyle name="Normal 2 2 2 2 4 11 3 3" xfId="13432" xr:uid="{00000000-0005-0000-0000-00004E340000}"/>
    <cellStyle name="Normal 2 2 2 2 4 11 3 4" xfId="13433" xr:uid="{00000000-0005-0000-0000-00004F340000}"/>
    <cellStyle name="Normal 2 2 2 2 4 11 3 5" xfId="13434" xr:uid="{00000000-0005-0000-0000-000050340000}"/>
    <cellStyle name="Normal 2 2 2 2 4 11 3 6" xfId="13435" xr:uid="{00000000-0005-0000-0000-000051340000}"/>
    <cellStyle name="Normal 2 2 2 2 4 11 3 7" xfId="13436" xr:uid="{00000000-0005-0000-0000-000052340000}"/>
    <cellStyle name="Normal 2 2 2 2 4 11 3 8" xfId="13437" xr:uid="{00000000-0005-0000-0000-000053340000}"/>
    <cellStyle name="Normal 2 2 2 2 4 11 3 9" xfId="13438" xr:uid="{00000000-0005-0000-0000-000054340000}"/>
    <cellStyle name="Normal 2 2 2 2 4 11 4" xfId="13439" xr:uid="{00000000-0005-0000-0000-000055340000}"/>
    <cellStyle name="Normal 2 2 2 2 4 11 4 10" xfId="13440" xr:uid="{00000000-0005-0000-0000-000056340000}"/>
    <cellStyle name="Normal 2 2 2 2 4 11 4 2" xfId="13441" xr:uid="{00000000-0005-0000-0000-000057340000}"/>
    <cellStyle name="Normal 2 2 2 2 4 11 4 3" xfId="13442" xr:uid="{00000000-0005-0000-0000-000058340000}"/>
    <cellStyle name="Normal 2 2 2 2 4 11 4 4" xfId="13443" xr:uid="{00000000-0005-0000-0000-000059340000}"/>
    <cellStyle name="Normal 2 2 2 2 4 11 4 5" xfId="13444" xr:uid="{00000000-0005-0000-0000-00005A340000}"/>
    <cellStyle name="Normal 2 2 2 2 4 11 4 6" xfId="13445" xr:uid="{00000000-0005-0000-0000-00005B340000}"/>
    <cellStyle name="Normal 2 2 2 2 4 11 4 7" xfId="13446" xr:uid="{00000000-0005-0000-0000-00005C340000}"/>
    <cellStyle name="Normal 2 2 2 2 4 11 4 8" xfId="13447" xr:uid="{00000000-0005-0000-0000-00005D340000}"/>
    <cellStyle name="Normal 2 2 2 2 4 11 4 9" xfId="13448" xr:uid="{00000000-0005-0000-0000-00005E340000}"/>
    <cellStyle name="Normal 2 2 2 2 4 11 5" xfId="13449" xr:uid="{00000000-0005-0000-0000-00005F340000}"/>
    <cellStyle name="Normal 2 2 2 2 4 11 5 10" xfId="13450" xr:uid="{00000000-0005-0000-0000-000060340000}"/>
    <cellStyle name="Normal 2 2 2 2 4 11 5 2" xfId="13451" xr:uid="{00000000-0005-0000-0000-000061340000}"/>
    <cellStyle name="Normal 2 2 2 2 4 11 5 3" xfId="13452" xr:uid="{00000000-0005-0000-0000-000062340000}"/>
    <cellStyle name="Normal 2 2 2 2 4 11 5 4" xfId="13453" xr:uid="{00000000-0005-0000-0000-000063340000}"/>
    <cellStyle name="Normal 2 2 2 2 4 11 5 5" xfId="13454" xr:uid="{00000000-0005-0000-0000-000064340000}"/>
    <cellStyle name="Normal 2 2 2 2 4 11 5 6" xfId="13455" xr:uid="{00000000-0005-0000-0000-000065340000}"/>
    <cellStyle name="Normal 2 2 2 2 4 11 5 7" xfId="13456" xr:uid="{00000000-0005-0000-0000-000066340000}"/>
    <cellStyle name="Normal 2 2 2 2 4 11 5 8" xfId="13457" xr:uid="{00000000-0005-0000-0000-000067340000}"/>
    <cellStyle name="Normal 2 2 2 2 4 11 5 9" xfId="13458" xr:uid="{00000000-0005-0000-0000-000068340000}"/>
    <cellStyle name="Normal 2 2 2 2 4 11 6" xfId="13459" xr:uid="{00000000-0005-0000-0000-000069340000}"/>
    <cellStyle name="Normal 2 2 2 2 4 11 7" xfId="13460" xr:uid="{00000000-0005-0000-0000-00006A340000}"/>
    <cellStyle name="Normal 2 2 2 2 4 11 8" xfId="13461" xr:uid="{00000000-0005-0000-0000-00006B340000}"/>
    <cellStyle name="Normal 2 2 2 2 4 11 9" xfId="13462" xr:uid="{00000000-0005-0000-0000-00006C340000}"/>
    <cellStyle name="Normal 2 2 2 2 4 12" xfId="13463" xr:uid="{00000000-0005-0000-0000-00006D340000}"/>
    <cellStyle name="Normal 2 2 2 2 4 12 10" xfId="13464" xr:uid="{00000000-0005-0000-0000-00006E340000}"/>
    <cellStyle name="Normal 2 2 2 2 4 12 11" xfId="13465" xr:uid="{00000000-0005-0000-0000-00006F340000}"/>
    <cellStyle name="Normal 2 2 2 2 4 12 12" xfId="13466" xr:uid="{00000000-0005-0000-0000-000070340000}"/>
    <cellStyle name="Normal 2 2 2 2 4 12 13" xfId="13467" xr:uid="{00000000-0005-0000-0000-000071340000}"/>
    <cellStyle name="Normal 2 2 2 2 4 12 14" xfId="13468" xr:uid="{00000000-0005-0000-0000-000072340000}"/>
    <cellStyle name="Normal 2 2 2 2 4 12 2" xfId="13469" xr:uid="{00000000-0005-0000-0000-000073340000}"/>
    <cellStyle name="Normal 2 2 2 2 4 12 2 10" xfId="13470" xr:uid="{00000000-0005-0000-0000-000074340000}"/>
    <cellStyle name="Normal 2 2 2 2 4 12 2 2" xfId="13471" xr:uid="{00000000-0005-0000-0000-000075340000}"/>
    <cellStyle name="Normal 2 2 2 2 4 12 2 3" xfId="13472" xr:uid="{00000000-0005-0000-0000-000076340000}"/>
    <cellStyle name="Normal 2 2 2 2 4 12 2 4" xfId="13473" xr:uid="{00000000-0005-0000-0000-000077340000}"/>
    <cellStyle name="Normal 2 2 2 2 4 12 2 5" xfId="13474" xr:uid="{00000000-0005-0000-0000-000078340000}"/>
    <cellStyle name="Normal 2 2 2 2 4 12 2 6" xfId="13475" xr:uid="{00000000-0005-0000-0000-000079340000}"/>
    <cellStyle name="Normal 2 2 2 2 4 12 2 7" xfId="13476" xr:uid="{00000000-0005-0000-0000-00007A340000}"/>
    <cellStyle name="Normal 2 2 2 2 4 12 2 8" xfId="13477" xr:uid="{00000000-0005-0000-0000-00007B340000}"/>
    <cellStyle name="Normal 2 2 2 2 4 12 2 9" xfId="13478" xr:uid="{00000000-0005-0000-0000-00007C340000}"/>
    <cellStyle name="Normal 2 2 2 2 4 12 3" xfId="13479" xr:uid="{00000000-0005-0000-0000-00007D340000}"/>
    <cellStyle name="Normal 2 2 2 2 4 12 3 10" xfId="13480" xr:uid="{00000000-0005-0000-0000-00007E340000}"/>
    <cellStyle name="Normal 2 2 2 2 4 12 3 2" xfId="13481" xr:uid="{00000000-0005-0000-0000-00007F340000}"/>
    <cellStyle name="Normal 2 2 2 2 4 12 3 3" xfId="13482" xr:uid="{00000000-0005-0000-0000-000080340000}"/>
    <cellStyle name="Normal 2 2 2 2 4 12 3 4" xfId="13483" xr:uid="{00000000-0005-0000-0000-000081340000}"/>
    <cellStyle name="Normal 2 2 2 2 4 12 3 5" xfId="13484" xr:uid="{00000000-0005-0000-0000-000082340000}"/>
    <cellStyle name="Normal 2 2 2 2 4 12 3 6" xfId="13485" xr:uid="{00000000-0005-0000-0000-000083340000}"/>
    <cellStyle name="Normal 2 2 2 2 4 12 3 7" xfId="13486" xr:uid="{00000000-0005-0000-0000-000084340000}"/>
    <cellStyle name="Normal 2 2 2 2 4 12 3 8" xfId="13487" xr:uid="{00000000-0005-0000-0000-000085340000}"/>
    <cellStyle name="Normal 2 2 2 2 4 12 3 9" xfId="13488" xr:uid="{00000000-0005-0000-0000-000086340000}"/>
    <cellStyle name="Normal 2 2 2 2 4 12 4" xfId="13489" xr:uid="{00000000-0005-0000-0000-000087340000}"/>
    <cellStyle name="Normal 2 2 2 2 4 12 4 10" xfId="13490" xr:uid="{00000000-0005-0000-0000-000088340000}"/>
    <cellStyle name="Normal 2 2 2 2 4 12 4 2" xfId="13491" xr:uid="{00000000-0005-0000-0000-000089340000}"/>
    <cellStyle name="Normal 2 2 2 2 4 12 4 3" xfId="13492" xr:uid="{00000000-0005-0000-0000-00008A340000}"/>
    <cellStyle name="Normal 2 2 2 2 4 12 4 4" xfId="13493" xr:uid="{00000000-0005-0000-0000-00008B340000}"/>
    <cellStyle name="Normal 2 2 2 2 4 12 4 5" xfId="13494" xr:uid="{00000000-0005-0000-0000-00008C340000}"/>
    <cellStyle name="Normal 2 2 2 2 4 12 4 6" xfId="13495" xr:uid="{00000000-0005-0000-0000-00008D340000}"/>
    <cellStyle name="Normal 2 2 2 2 4 12 4 7" xfId="13496" xr:uid="{00000000-0005-0000-0000-00008E340000}"/>
    <cellStyle name="Normal 2 2 2 2 4 12 4 8" xfId="13497" xr:uid="{00000000-0005-0000-0000-00008F340000}"/>
    <cellStyle name="Normal 2 2 2 2 4 12 4 9" xfId="13498" xr:uid="{00000000-0005-0000-0000-000090340000}"/>
    <cellStyle name="Normal 2 2 2 2 4 12 5" xfId="13499" xr:uid="{00000000-0005-0000-0000-000091340000}"/>
    <cellStyle name="Normal 2 2 2 2 4 12 5 10" xfId="13500" xr:uid="{00000000-0005-0000-0000-000092340000}"/>
    <cellStyle name="Normal 2 2 2 2 4 12 5 2" xfId="13501" xr:uid="{00000000-0005-0000-0000-000093340000}"/>
    <cellStyle name="Normal 2 2 2 2 4 12 5 3" xfId="13502" xr:uid="{00000000-0005-0000-0000-000094340000}"/>
    <cellStyle name="Normal 2 2 2 2 4 12 5 4" xfId="13503" xr:uid="{00000000-0005-0000-0000-000095340000}"/>
    <cellStyle name="Normal 2 2 2 2 4 12 5 5" xfId="13504" xr:uid="{00000000-0005-0000-0000-000096340000}"/>
    <cellStyle name="Normal 2 2 2 2 4 12 5 6" xfId="13505" xr:uid="{00000000-0005-0000-0000-000097340000}"/>
    <cellStyle name="Normal 2 2 2 2 4 12 5 7" xfId="13506" xr:uid="{00000000-0005-0000-0000-000098340000}"/>
    <cellStyle name="Normal 2 2 2 2 4 12 5 8" xfId="13507" xr:uid="{00000000-0005-0000-0000-000099340000}"/>
    <cellStyle name="Normal 2 2 2 2 4 12 5 9" xfId="13508" xr:uid="{00000000-0005-0000-0000-00009A340000}"/>
    <cellStyle name="Normal 2 2 2 2 4 12 6" xfId="13509" xr:uid="{00000000-0005-0000-0000-00009B340000}"/>
    <cellStyle name="Normal 2 2 2 2 4 12 7" xfId="13510" xr:uid="{00000000-0005-0000-0000-00009C340000}"/>
    <cellStyle name="Normal 2 2 2 2 4 12 8" xfId="13511" xr:uid="{00000000-0005-0000-0000-00009D340000}"/>
    <cellStyle name="Normal 2 2 2 2 4 12 9" xfId="13512" xr:uid="{00000000-0005-0000-0000-00009E340000}"/>
    <cellStyle name="Normal 2 2 2 2 4 13" xfId="13513" xr:uid="{00000000-0005-0000-0000-00009F340000}"/>
    <cellStyle name="Normal 2 2 2 2 4 13 10" xfId="13514" xr:uid="{00000000-0005-0000-0000-0000A0340000}"/>
    <cellStyle name="Normal 2 2 2 2 4 13 11" xfId="13515" xr:uid="{00000000-0005-0000-0000-0000A1340000}"/>
    <cellStyle name="Normal 2 2 2 2 4 13 12" xfId="13516" xr:uid="{00000000-0005-0000-0000-0000A2340000}"/>
    <cellStyle name="Normal 2 2 2 2 4 13 13" xfId="13517" xr:uid="{00000000-0005-0000-0000-0000A3340000}"/>
    <cellStyle name="Normal 2 2 2 2 4 13 14" xfId="13518" xr:uid="{00000000-0005-0000-0000-0000A4340000}"/>
    <cellStyle name="Normal 2 2 2 2 4 13 2" xfId="13519" xr:uid="{00000000-0005-0000-0000-0000A5340000}"/>
    <cellStyle name="Normal 2 2 2 2 4 13 2 10" xfId="13520" xr:uid="{00000000-0005-0000-0000-0000A6340000}"/>
    <cellStyle name="Normal 2 2 2 2 4 13 2 2" xfId="13521" xr:uid="{00000000-0005-0000-0000-0000A7340000}"/>
    <cellStyle name="Normal 2 2 2 2 4 13 2 3" xfId="13522" xr:uid="{00000000-0005-0000-0000-0000A8340000}"/>
    <cellStyle name="Normal 2 2 2 2 4 13 2 4" xfId="13523" xr:uid="{00000000-0005-0000-0000-0000A9340000}"/>
    <cellStyle name="Normal 2 2 2 2 4 13 2 5" xfId="13524" xr:uid="{00000000-0005-0000-0000-0000AA340000}"/>
    <cellStyle name="Normal 2 2 2 2 4 13 2 6" xfId="13525" xr:uid="{00000000-0005-0000-0000-0000AB340000}"/>
    <cellStyle name="Normal 2 2 2 2 4 13 2 7" xfId="13526" xr:uid="{00000000-0005-0000-0000-0000AC340000}"/>
    <cellStyle name="Normal 2 2 2 2 4 13 2 8" xfId="13527" xr:uid="{00000000-0005-0000-0000-0000AD340000}"/>
    <cellStyle name="Normal 2 2 2 2 4 13 2 9" xfId="13528" xr:uid="{00000000-0005-0000-0000-0000AE340000}"/>
    <cellStyle name="Normal 2 2 2 2 4 13 3" xfId="13529" xr:uid="{00000000-0005-0000-0000-0000AF340000}"/>
    <cellStyle name="Normal 2 2 2 2 4 13 3 10" xfId="13530" xr:uid="{00000000-0005-0000-0000-0000B0340000}"/>
    <cellStyle name="Normal 2 2 2 2 4 13 3 2" xfId="13531" xr:uid="{00000000-0005-0000-0000-0000B1340000}"/>
    <cellStyle name="Normal 2 2 2 2 4 13 3 3" xfId="13532" xr:uid="{00000000-0005-0000-0000-0000B2340000}"/>
    <cellStyle name="Normal 2 2 2 2 4 13 3 4" xfId="13533" xr:uid="{00000000-0005-0000-0000-0000B3340000}"/>
    <cellStyle name="Normal 2 2 2 2 4 13 3 5" xfId="13534" xr:uid="{00000000-0005-0000-0000-0000B4340000}"/>
    <cellStyle name="Normal 2 2 2 2 4 13 3 6" xfId="13535" xr:uid="{00000000-0005-0000-0000-0000B5340000}"/>
    <cellStyle name="Normal 2 2 2 2 4 13 3 7" xfId="13536" xr:uid="{00000000-0005-0000-0000-0000B6340000}"/>
    <cellStyle name="Normal 2 2 2 2 4 13 3 8" xfId="13537" xr:uid="{00000000-0005-0000-0000-0000B7340000}"/>
    <cellStyle name="Normal 2 2 2 2 4 13 3 9" xfId="13538" xr:uid="{00000000-0005-0000-0000-0000B8340000}"/>
    <cellStyle name="Normal 2 2 2 2 4 13 4" xfId="13539" xr:uid="{00000000-0005-0000-0000-0000B9340000}"/>
    <cellStyle name="Normal 2 2 2 2 4 13 4 10" xfId="13540" xr:uid="{00000000-0005-0000-0000-0000BA340000}"/>
    <cellStyle name="Normal 2 2 2 2 4 13 4 2" xfId="13541" xr:uid="{00000000-0005-0000-0000-0000BB340000}"/>
    <cellStyle name="Normal 2 2 2 2 4 13 4 3" xfId="13542" xr:uid="{00000000-0005-0000-0000-0000BC340000}"/>
    <cellStyle name="Normal 2 2 2 2 4 13 4 4" xfId="13543" xr:uid="{00000000-0005-0000-0000-0000BD340000}"/>
    <cellStyle name="Normal 2 2 2 2 4 13 4 5" xfId="13544" xr:uid="{00000000-0005-0000-0000-0000BE340000}"/>
    <cellStyle name="Normal 2 2 2 2 4 13 4 6" xfId="13545" xr:uid="{00000000-0005-0000-0000-0000BF340000}"/>
    <cellStyle name="Normal 2 2 2 2 4 13 4 7" xfId="13546" xr:uid="{00000000-0005-0000-0000-0000C0340000}"/>
    <cellStyle name="Normal 2 2 2 2 4 13 4 8" xfId="13547" xr:uid="{00000000-0005-0000-0000-0000C1340000}"/>
    <cellStyle name="Normal 2 2 2 2 4 13 4 9" xfId="13548" xr:uid="{00000000-0005-0000-0000-0000C2340000}"/>
    <cellStyle name="Normal 2 2 2 2 4 13 5" xfId="13549" xr:uid="{00000000-0005-0000-0000-0000C3340000}"/>
    <cellStyle name="Normal 2 2 2 2 4 13 5 10" xfId="13550" xr:uid="{00000000-0005-0000-0000-0000C4340000}"/>
    <cellStyle name="Normal 2 2 2 2 4 13 5 2" xfId="13551" xr:uid="{00000000-0005-0000-0000-0000C5340000}"/>
    <cellStyle name="Normal 2 2 2 2 4 13 5 3" xfId="13552" xr:uid="{00000000-0005-0000-0000-0000C6340000}"/>
    <cellStyle name="Normal 2 2 2 2 4 13 5 4" xfId="13553" xr:uid="{00000000-0005-0000-0000-0000C7340000}"/>
    <cellStyle name="Normal 2 2 2 2 4 13 5 5" xfId="13554" xr:uid="{00000000-0005-0000-0000-0000C8340000}"/>
    <cellStyle name="Normal 2 2 2 2 4 13 5 6" xfId="13555" xr:uid="{00000000-0005-0000-0000-0000C9340000}"/>
    <cellStyle name="Normal 2 2 2 2 4 13 5 7" xfId="13556" xr:uid="{00000000-0005-0000-0000-0000CA340000}"/>
    <cellStyle name="Normal 2 2 2 2 4 13 5 8" xfId="13557" xr:uid="{00000000-0005-0000-0000-0000CB340000}"/>
    <cellStyle name="Normal 2 2 2 2 4 13 5 9" xfId="13558" xr:uid="{00000000-0005-0000-0000-0000CC340000}"/>
    <cellStyle name="Normal 2 2 2 2 4 13 6" xfId="13559" xr:uid="{00000000-0005-0000-0000-0000CD340000}"/>
    <cellStyle name="Normal 2 2 2 2 4 13 7" xfId="13560" xr:uid="{00000000-0005-0000-0000-0000CE340000}"/>
    <cellStyle name="Normal 2 2 2 2 4 13 8" xfId="13561" xr:uid="{00000000-0005-0000-0000-0000CF340000}"/>
    <cellStyle name="Normal 2 2 2 2 4 13 9" xfId="13562" xr:uid="{00000000-0005-0000-0000-0000D0340000}"/>
    <cellStyle name="Normal 2 2 2 2 4 14" xfId="13563" xr:uid="{00000000-0005-0000-0000-0000D1340000}"/>
    <cellStyle name="Normal 2 2 2 2 4 14 10" xfId="13564" xr:uid="{00000000-0005-0000-0000-0000D2340000}"/>
    <cellStyle name="Normal 2 2 2 2 4 14 11" xfId="13565" xr:uid="{00000000-0005-0000-0000-0000D3340000}"/>
    <cellStyle name="Normal 2 2 2 2 4 14 12" xfId="13566" xr:uid="{00000000-0005-0000-0000-0000D4340000}"/>
    <cellStyle name="Normal 2 2 2 2 4 14 13" xfId="13567" xr:uid="{00000000-0005-0000-0000-0000D5340000}"/>
    <cellStyle name="Normal 2 2 2 2 4 14 14" xfId="13568" xr:uid="{00000000-0005-0000-0000-0000D6340000}"/>
    <cellStyle name="Normal 2 2 2 2 4 14 2" xfId="13569" xr:uid="{00000000-0005-0000-0000-0000D7340000}"/>
    <cellStyle name="Normal 2 2 2 2 4 14 2 10" xfId="13570" xr:uid="{00000000-0005-0000-0000-0000D8340000}"/>
    <cellStyle name="Normal 2 2 2 2 4 14 2 2" xfId="13571" xr:uid="{00000000-0005-0000-0000-0000D9340000}"/>
    <cellStyle name="Normal 2 2 2 2 4 14 2 3" xfId="13572" xr:uid="{00000000-0005-0000-0000-0000DA340000}"/>
    <cellStyle name="Normal 2 2 2 2 4 14 2 4" xfId="13573" xr:uid="{00000000-0005-0000-0000-0000DB340000}"/>
    <cellStyle name="Normal 2 2 2 2 4 14 2 5" xfId="13574" xr:uid="{00000000-0005-0000-0000-0000DC340000}"/>
    <cellStyle name="Normal 2 2 2 2 4 14 2 6" xfId="13575" xr:uid="{00000000-0005-0000-0000-0000DD340000}"/>
    <cellStyle name="Normal 2 2 2 2 4 14 2 7" xfId="13576" xr:uid="{00000000-0005-0000-0000-0000DE340000}"/>
    <cellStyle name="Normal 2 2 2 2 4 14 2 8" xfId="13577" xr:uid="{00000000-0005-0000-0000-0000DF340000}"/>
    <cellStyle name="Normal 2 2 2 2 4 14 2 9" xfId="13578" xr:uid="{00000000-0005-0000-0000-0000E0340000}"/>
    <cellStyle name="Normal 2 2 2 2 4 14 3" xfId="13579" xr:uid="{00000000-0005-0000-0000-0000E1340000}"/>
    <cellStyle name="Normal 2 2 2 2 4 14 3 10" xfId="13580" xr:uid="{00000000-0005-0000-0000-0000E2340000}"/>
    <cellStyle name="Normal 2 2 2 2 4 14 3 2" xfId="13581" xr:uid="{00000000-0005-0000-0000-0000E3340000}"/>
    <cellStyle name="Normal 2 2 2 2 4 14 3 3" xfId="13582" xr:uid="{00000000-0005-0000-0000-0000E4340000}"/>
    <cellStyle name="Normal 2 2 2 2 4 14 3 4" xfId="13583" xr:uid="{00000000-0005-0000-0000-0000E5340000}"/>
    <cellStyle name="Normal 2 2 2 2 4 14 3 5" xfId="13584" xr:uid="{00000000-0005-0000-0000-0000E6340000}"/>
    <cellStyle name="Normal 2 2 2 2 4 14 3 6" xfId="13585" xr:uid="{00000000-0005-0000-0000-0000E7340000}"/>
    <cellStyle name="Normal 2 2 2 2 4 14 3 7" xfId="13586" xr:uid="{00000000-0005-0000-0000-0000E8340000}"/>
    <cellStyle name="Normal 2 2 2 2 4 14 3 8" xfId="13587" xr:uid="{00000000-0005-0000-0000-0000E9340000}"/>
    <cellStyle name="Normal 2 2 2 2 4 14 3 9" xfId="13588" xr:uid="{00000000-0005-0000-0000-0000EA340000}"/>
    <cellStyle name="Normal 2 2 2 2 4 14 4" xfId="13589" xr:uid="{00000000-0005-0000-0000-0000EB340000}"/>
    <cellStyle name="Normal 2 2 2 2 4 14 4 10" xfId="13590" xr:uid="{00000000-0005-0000-0000-0000EC340000}"/>
    <cellStyle name="Normal 2 2 2 2 4 14 4 2" xfId="13591" xr:uid="{00000000-0005-0000-0000-0000ED340000}"/>
    <cellStyle name="Normal 2 2 2 2 4 14 4 3" xfId="13592" xr:uid="{00000000-0005-0000-0000-0000EE340000}"/>
    <cellStyle name="Normal 2 2 2 2 4 14 4 4" xfId="13593" xr:uid="{00000000-0005-0000-0000-0000EF340000}"/>
    <cellStyle name="Normal 2 2 2 2 4 14 4 5" xfId="13594" xr:uid="{00000000-0005-0000-0000-0000F0340000}"/>
    <cellStyle name="Normal 2 2 2 2 4 14 4 6" xfId="13595" xr:uid="{00000000-0005-0000-0000-0000F1340000}"/>
    <cellStyle name="Normal 2 2 2 2 4 14 4 7" xfId="13596" xr:uid="{00000000-0005-0000-0000-0000F2340000}"/>
    <cellStyle name="Normal 2 2 2 2 4 14 4 8" xfId="13597" xr:uid="{00000000-0005-0000-0000-0000F3340000}"/>
    <cellStyle name="Normal 2 2 2 2 4 14 4 9" xfId="13598" xr:uid="{00000000-0005-0000-0000-0000F4340000}"/>
    <cellStyle name="Normal 2 2 2 2 4 14 5" xfId="13599" xr:uid="{00000000-0005-0000-0000-0000F5340000}"/>
    <cellStyle name="Normal 2 2 2 2 4 14 5 10" xfId="13600" xr:uid="{00000000-0005-0000-0000-0000F6340000}"/>
    <cellStyle name="Normal 2 2 2 2 4 14 5 2" xfId="13601" xr:uid="{00000000-0005-0000-0000-0000F7340000}"/>
    <cellStyle name="Normal 2 2 2 2 4 14 5 3" xfId="13602" xr:uid="{00000000-0005-0000-0000-0000F8340000}"/>
    <cellStyle name="Normal 2 2 2 2 4 14 5 4" xfId="13603" xr:uid="{00000000-0005-0000-0000-0000F9340000}"/>
    <cellStyle name="Normal 2 2 2 2 4 14 5 5" xfId="13604" xr:uid="{00000000-0005-0000-0000-0000FA340000}"/>
    <cellStyle name="Normal 2 2 2 2 4 14 5 6" xfId="13605" xr:uid="{00000000-0005-0000-0000-0000FB340000}"/>
    <cellStyle name="Normal 2 2 2 2 4 14 5 7" xfId="13606" xr:uid="{00000000-0005-0000-0000-0000FC340000}"/>
    <cellStyle name="Normal 2 2 2 2 4 14 5 8" xfId="13607" xr:uid="{00000000-0005-0000-0000-0000FD340000}"/>
    <cellStyle name="Normal 2 2 2 2 4 14 5 9" xfId="13608" xr:uid="{00000000-0005-0000-0000-0000FE340000}"/>
    <cellStyle name="Normal 2 2 2 2 4 14 6" xfId="13609" xr:uid="{00000000-0005-0000-0000-0000FF340000}"/>
    <cellStyle name="Normal 2 2 2 2 4 14 7" xfId="13610" xr:uid="{00000000-0005-0000-0000-000000350000}"/>
    <cellStyle name="Normal 2 2 2 2 4 14 8" xfId="13611" xr:uid="{00000000-0005-0000-0000-000001350000}"/>
    <cellStyle name="Normal 2 2 2 2 4 14 9" xfId="13612" xr:uid="{00000000-0005-0000-0000-000002350000}"/>
    <cellStyle name="Normal 2 2 2 2 4 15" xfId="13613" xr:uid="{00000000-0005-0000-0000-000003350000}"/>
    <cellStyle name="Normal 2 2 2 2 4 15 10" xfId="13614" xr:uid="{00000000-0005-0000-0000-000004350000}"/>
    <cellStyle name="Normal 2 2 2 2 4 15 11" xfId="13615" xr:uid="{00000000-0005-0000-0000-000005350000}"/>
    <cellStyle name="Normal 2 2 2 2 4 15 12" xfId="13616" xr:uid="{00000000-0005-0000-0000-000006350000}"/>
    <cellStyle name="Normal 2 2 2 2 4 15 13" xfId="13617" xr:uid="{00000000-0005-0000-0000-000007350000}"/>
    <cellStyle name="Normal 2 2 2 2 4 15 14" xfId="13618" xr:uid="{00000000-0005-0000-0000-000008350000}"/>
    <cellStyle name="Normal 2 2 2 2 4 15 2" xfId="13619" xr:uid="{00000000-0005-0000-0000-000009350000}"/>
    <cellStyle name="Normal 2 2 2 2 4 15 2 10" xfId="13620" xr:uid="{00000000-0005-0000-0000-00000A350000}"/>
    <cellStyle name="Normal 2 2 2 2 4 15 2 2" xfId="13621" xr:uid="{00000000-0005-0000-0000-00000B350000}"/>
    <cellStyle name="Normal 2 2 2 2 4 15 2 3" xfId="13622" xr:uid="{00000000-0005-0000-0000-00000C350000}"/>
    <cellStyle name="Normal 2 2 2 2 4 15 2 4" xfId="13623" xr:uid="{00000000-0005-0000-0000-00000D350000}"/>
    <cellStyle name="Normal 2 2 2 2 4 15 2 5" xfId="13624" xr:uid="{00000000-0005-0000-0000-00000E350000}"/>
    <cellStyle name="Normal 2 2 2 2 4 15 2 6" xfId="13625" xr:uid="{00000000-0005-0000-0000-00000F350000}"/>
    <cellStyle name="Normal 2 2 2 2 4 15 2 7" xfId="13626" xr:uid="{00000000-0005-0000-0000-000010350000}"/>
    <cellStyle name="Normal 2 2 2 2 4 15 2 8" xfId="13627" xr:uid="{00000000-0005-0000-0000-000011350000}"/>
    <cellStyle name="Normal 2 2 2 2 4 15 2 9" xfId="13628" xr:uid="{00000000-0005-0000-0000-000012350000}"/>
    <cellStyle name="Normal 2 2 2 2 4 15 3" xfId="13629" xr:uid="{00000000-0005-0000-0000-000013350000}"/>
    <cellStyle name="Normal 2 2 2 2 4 15 3 10" xfId="13630" xr:uid="{00000000-0005-0000-0000-000014350000}"/>
    <cellStyle name="Normal 2 2 2 2 4 15 3 2" xfId="13631" xr:uid="{00000000-0005-0000-0000-000015350000}"/>
    <cellStyle name="Normal 2 2 2 2 4 15 3 3" xfId="13632" xr:uid="{00000000-0005-0000-0000-000016350000}"/>
    <cellStyle name="Normal 2 2 2 2 4 15 3 4" xfId="13633" xr:uid="{00000000-0005-0000-0000-000017350000}"/>
    <cellStyle name="Normal 2 2 2 2 4 15 3 5" xfId="13634" xr:uid="{00000000-0005-0000-0000-000018350000}"/>
    <cellStyle name="Normal 2 2 2 2 4 15 3 6" xfId="13635" xr:uid="{00000000-0005-0000-0000-000019350000}"/>
    <cellStyle name="Normal 2 2 2 2 4 15 3 7" xfId="13636" xr:uid="{00000000-0005-0000-0000-00001A350000}"/>
    <cellStyle name="Normal 2 2 2 2 4 15 3 8" xfId="13637" xr:uid="{00000000-0005-0000-0000-00001B350000}"/>
    <cellStyle name="Normal 2 2 2 2 4 15 3 9" xfId="13638" xr:uid="{00000000-0005-0000-0000-00001C350000}"/>
    <cellStyle name="Normal 2 2 2 2 4 15 4" xfId="13639" xr:uid="{00000000-0005-0000-0000-00001D350000}"/>
    <cellStyle name="Normal 2 2 2 2 4 15 4 10" xfId="13640" xr:uid="{00000000-0005-0000-0000-00001E350000}"/>
    <cellStyle name="Normal 2 2 2 2 4 15 4 2" xfId="13641" xr:uid="{00000000-0005-0000-0000-00001F350000}"/>
    <cellStyle name="Normal 2 2 2 2 4 15 4 3" xfId="13642" xr:uid="{00000000-0005-0000-0000-000020350000}"/>
    <cellStyle name="Normal 2 2 2 2 4 15 4 4" xfId="13643" xr:uid="{00000000-0005-0000-0000-000021350000}"/>
    <cellStyle name="Normal 2 2 2 2 4 15 4 5" xfId="13644" xr:uid="{00000000-0005-0000-0000-000022350000}"/>
    <cellStyle name="Normal 2 2 2 2 4 15 4 6" xfId="13645" xr:uid="{00000000-0005-0000-0000-000023350000}"/>
    <cellStyle name="Normal 2 2 2 2 4 15 4 7" xfId="13646" xr:uid="{00000000-0005-0000-0000-000024350000}"/>
    <cellStyle name="Normal 2 2 2 2 4 15 4 8" xfId="13647" xr:uid="{00000000-0005-0000-0000-000025350000}"/>
    <cellStyle name="Normal 2 2 2 2 4 15 4 9" xfId="13648" xr:uid="{00000000-0005-0000-0000-000026350000}"/>
    <cellStyle name="Normal 2 2 2 2 4 15 5" xfId="13649" xr:uid="{00000000-0005-0000-0000-000027350000}"/>
    <cellStyle name="Normal 2 2 2 2 4 15 5 10" xfId="13650" xr:uid="{00000000-0005-0000-0000-000028350000}"/>
    <cellStyle name="Normal 2 2 2 2 4 15 5 2" xfId="13651" xr:uid="{00000000-0005-0000-0000-000029350000}"/>
    <cellStyle name="Normal 2 2 2 2 4 15 5 3" xfId="13652" xr:uid="{00000000-0005-0000-0000-00002A350000}"/>
    <cellStyle name="Normal 2 2 2 2 4 15 5 4" xfId="13653" xr:uid="{00000000-0005-0000-0000-00002B350000}"/>
    <cellStyle name="Normal 2 2 2 2 4 15 5 5" xfId="13654" xr:uid="{00000000-0005-0000-0000-00002C350000}"/>
    <cellStyle name="Normal 2 2 2 2 4 15 5 6" xfId="13655" xr:uid="{00000000-0005-0000-0000-00002D350000}"/>
    <cellStyle name="Normal 2 2 2 2 4 15 5 7" xfId="13656" xr:uid="{00000000-0005-0000-0000-00002E350000}"/>
    <cellStyle name="Normal 2 2 2 2 4 15 5 8" xfId="13657" xr:uid="{00000000-0005-0000-0000-00002F350000}"/>
    <cellStyle name="Normal 2 2 2 2 4 15 5 9" xfId="13658" xr:uid="{00000000-0005-0000-0000-000030350000}"/>
    <cellStyle name="Normal 2 2 2 2 4 15 6" xfId="13659" xr:uid="{00000000-0005-0000-0000-000031350000}"/>
    <cellStyle name="Normal 2 2 2 2 4 15 7" xfId="13660" xr:uid="{00000000-0005-0000-0000-000032350000}"/>
    <cellStyle name="Normal 2 2 2 2 4 15 8" xfId="13661" xr:uid="{00000000-0005-0000-0000-000033350000}"/>
    <cellStyle name="Normal 2 2 2 2 4 15 9" xfId="13662" xr:uid="{00000000-0005-0000-0000-000034350000}"/>
    <cellStyle name="Normal 2 2 2 2 4 16" xfId="13663" xr:uid="{00000000-0005-0000-0000-000035350000}"/>
    <cellStyle name="Normal 2 2 2 2 4 16 10" xfId="13664" xr:uid="{00000000-0005-0000-0000-000036350000}"/>
    <cellStyle name="Normal 2 2 2 2 4 16 11" xfId="13665" xr:uid="{00000000-0005-0000-0000-000037350000}"/>
    <cellStyle name="Normal 2 2 2 2 4 16 12" xfId="13666" xr:uid="{00000000-0005-0000-0000-000038350000}"/>
    <cellStyle name="Normal 2 2 2 2 4 16 13" xfId="13667" xr:uid="{00000000-0005-0000-0000-000039350000}"/>
    <cellStyle name="Normal 2 2 2 2 4 16 14" xfId="13668" xr:uid="{00000000-0005-0000-0000-00003A350000}"/>
    <cellStyle name="Normal 2 2 2 2 4 16 2" xfId="13669" xr:uid="{00000000-0005-0000-0000-00003B350000}"/>
    <cellStyle name="Normal 2 2 2 2 4 16 2 10" xfId="13670" xr:uid="{00000000-0005-0000-0000-00003C350000}"/>
    <cellStyle name="Normal 2 2 2 2 4 16 2 2" xfId="13671" xr:uid="{00000000-0005-0000-0000-00003D350000}"/>
    <cellStyle name="Normal 2 2 2 2 4 16 2 3" xfId="13672" xr:uid="{00000000-0005-0000-0000-00003E350000}"/>
    <cellStyle name="Normal 2 2 2 2 4 16 2 4" xfId="13673" xr:uid="{00000000-0005-0000-0000-00003F350000}"/>
    <cellStyle name="Normal 2 2 2 2 4 16 2 5" xfId="13674" xr:uid="{00000000-0005-0000-0000-000040350000}"/>
    <cellStyle name="Normal 2 2 2 2 4 16 2 6" xfId="13675" xr:uid="{00000000-0005-0000-0000-000041350000}"/>
    <cellStyle name="Normal 2 2 2 2 4 16 2 7" xfId="13676" xr:uid="{00000000-0005-0000-0000-000042350000}"/>
    <cellStyle name="Normal 2 2 2 2 4 16 2 8" xfId="13677" xr:uid="{00000000-0005-0000-0000-000043350000}"/>
    <cellStyle name="Normal 2 2 2 2 4 16 2 9" xfId="13678" xr:uid="{00000000-0005-0000-0000-000044350000}"/>
    <cellStyle name="Normal 2 2 2 2 4 16 3" xfId="13679" xr:uid="{00000000-0005-0000-0000-000045350000}"/>
    <cellStyle name="Normal 2 2 2 2 4 16 3 10" xfId="13680" xr:uid="{00000000-0005-0000-0000-000046350000}"/>
    <cellStyle name="Normal 2 2 2 2 4 16 3 2" xfId="13681" xr:uid="{00000000-0005-0000-0000-000047350000}"/>
    <cellStyle name="Normal 2 2 2 2 4 16 3 3" xfId="13682" xr:uid="{00000000-0005-0000-0000-000048350000}"/>
    <cellStyle name="Normal 2 2 2 2 4 16 3 4" xfId="13683" xr:uid="{00000000-0005-0000-0000-000049350000}"/>
    <cellStyle name="Normal 2 2 2 2 4 16 3 5" xfId="13684" xr:uid="{00000000-0005-0000-0000-00004A350000}"/>
    <cellStyle name="Normal 2 2 2 2 4 16 3 6" xfId="13685" xr:uid="{00000000-0005-0000-0000-00004B350000}"/>
    <cellStyle name="Normal 2 2 2 2 4 16 3 7" xfId="13686" xr:uid="{00000000-0005-0000-0000-00004C350000}"/>
    <cellStyle name="Normal 2 2 2 2 4 16 3 8" xfId="13687" xr:uid="{00000000-0005-0000-0000-00004D350000}"/>
    <cellStyle name="Normal 2 2 2 2 4 16 3 9" xfId="13688" xr:uid="{00000000-0005-0000-0000-00004E350000}"/>
    <cellStyle name="Normal 2 2 2 2 4 16 4" xfId="13689" xr:uid="{00000000-0005-0000-0000-00004F350000}"/>
    <cellStyle name="Normal 2 2 2 2 4 16 4 10" xfId="13690" xr:uid="{00000000-0005-0000-0000-000050350000}"/>
    <cellStyle name="Normal 2 2 2 2 4 16 4 2" xfId="13691" xr:uid="{00000000-0005-0000-0000-000051350000}"/>
    <cellStyle name="Normal 2 2 2 2 4 16 4 3" xfId="13692" xr:uid="{00000000-0005-0000-0000-000052350000}"/>
    <cellStyle name="Normal 2 2 2 2 4 16 4 4" xfId="13693" xr:uid="{00000000-0005-0000-0000-000053350000}"/>
    <cellStyle name="Normal 2 2 2 2 4 16 4 5" xfId="13694" xr:uid="{00000000-0005-0000-0000-000054350000}"/>
    <cellStyle name="Normal 2 2 2 2 4 16 4 6" xfId="13695" xr:uid="{00000000-0005-0000-0000-000055350000}"/>
    <cellStyle name="Normal 2 2 2 2 4 16 4 7" xfId="13696" xr:uid="{00000000-0005-0000-0000-000056350000}"/>
    <cellStyle name="Normal 2 2 2 2 4 16 4 8" xfId="13697" xr:uid="{00000000-0005-0000-0000-000057350000}"/>
    <cellStyle name="Normal 2 2 2 2 4 16 4 9" xfId="13698" xr:uid="{00000000-0005-0000-0000-000058350000}"/>
    <cellStyle name="Normal 2 2 2 2 4 16 5" xfId="13699" xr:uid="{00000000-0005-0000-0000-000059350000}"/>
    <cellStyle name="Normal 2 2 2 2 4 16 5 10" xfId="13700" xr:uid="{00000000-0005-0000-0000-00005A350000}"/>
    <cellStyle name="Normal 2 2 2 2 4 16 5 2" xfId="13701" xr:uid="{00000000-0005-0000-0000-00005B350000}"/>
    <cellStyle name="Normal 2 2 2 2 4 16 5 3" xfId="13702" xr:uid="{00000000-0005-0000-0000-00005C350000}"/>
    <cellStyle name="Normal 2 2 2 2 4 16 5 4" xfId="13703" xr:uid="{00000000-0005-0000-0000-00005D350000}"/>
    <cellStyle name="Normal 2 2 2 2 4 16 5 5" xfId="13704" xr:uid="{00000000-0005-0000-0000-00005E350000}"/>
    <cellStyle name="Normal 2 2 2 2 4 16 5 6" xfId="13705" xr:uid="{00000000-0005-0000-0000-00005F350000}"/>
    <cellStyle name="Normal 2 2 2 2 4 16 5 7" xfId="13706" xr:uid="{00000000-0005-0000-0000-000060350000}"/>
    <cellStyle name="Normal 2 2 2 2 4 16 5 8" xfId="13707" xr:uid="{00000000-0005-0000-0000-000061350000}"/>
    <cellStyle name="Normal 2 2 2 2 4 16 5 9" xfId="13708" xr:uid="{00000000-0005-0000-0000-000062350000}"/>
    <cellStyle name="Normal 2 2 2 2 4 16 6" xfId="13709" xr:uid="{00000000-0005-0000-0000-000063350000}"/>
    <cellStyle name="Normal 2 2 2 2 4 16 7" xfId="13710" xr:uid="{00000000-0005-0000-0000-000064350000}"/>
    <cellStyle name="Normal 2 2 2 2 4 16 8" xfId="13711" xr:uid="{00000000-0005-0000-0000-000065350000}"/>
    <cellStyle name="Normal 2 2 2 2 4 16 9" xfId="13712" xr:uid="{00000000-0005-0000-0000-000066350000}"/>
    <cellStyle name="Normal 2 2 2 2 4 17" xfId="13713" xr:uid="{00000000-0005-0000-0000-000067350000}"/>
    <cellStyle name="Normal 2 2 2 2 4 17 10" xfId="13714" xr:uid="{00000000-0005-0000-0000-000068350000}"/>
    <cellStyle name="Normal 2 2 2 2 4 17 11" xfId="13715" xr:uid="{00000000-0005-0000-0000-000069350000}"/>
    <cellStyle name="Normal 2 2 2 2 4 17 12" xfId="13716" xr:uid="{00000000-0005-0000-0000-00006A350000}"/>
    <cellStyle name="Normal 2 2 2 2 4 17 13" xfId="13717" xr:uid="{00000000-0005-0000-0000-00006B350000}"/>
    <cellStyle name="Normal 2 2 2 2 4 17 14" xfId="13718" xr:uid="{00000000-0005-0000-0000-00006C350000}"/>
    <cellStyle name="Normal 2 2 2 2 4 17 2" xfId="13719" xr:uid="{00000000-0005-0000-0000-00006D350000}"/>
    <cellStyle name="Normal 2 2 2 2 4 17 2 10" xfId="13720" xr:uid="{00000000-0005-0000-0000-00006E350000}"/>
    <cellStyle name="Normal 2 2 2 2 4 17 2 2" xfId="13721" xr:uid="{00000000-0005-0000-0000-00006F350000}"/>
    <cellStyle name="Normal 2 2 2 2 4 17 2 3" xfId="13722" xr:uid="{00000000-0005-0000-0000-000070350000}"/>
    <cellStyle name="Normal 2 2 2 2 4 17 2 4" xfId="13723" xr:uid="{00000000-0005-0000-0000-000071350000}"/>
    <cellStyle name="Normal 2 2 2 2 4 17 2 5" xfId="13724" xr:uid="{00000000-0005-0000-0000-000072350000}"/>
    <cellStyle name="Normal 2 2 2 2 4 17 2 6" xfId="13725" xr:uid="{00000000-0005-0000-0000-000073350000}"/>
    <cellStyle name="Normal 2 2 2 2 4 17 2 7" xfId="13726" xr:uid="{00000000-0005-0000-0000-000074350000}"/>
    <cellStyle name="Normal 2 2 2 2 4 17 2 8" xfId="13727" xr:uid="{00000000-0005-0000-0000-000075350000}"/>
    <cellStyle name="Normal 2 2 2 2 4 17 2 9" xfId="13728" xr:uid="{00000000-0005-0000-0000-000076350000}"/>
    <cellStyle name="Normal 2 2 2 2 4 17 3" xfId="13729" xr:uid="{00000000-0005-0000-0000-000077350000}"/>
    <cellStyle name="Normal 2 2 2 2 4 17 3 10" xfId="13730" xr:uid="{00000000-0005-0000-0000-000078350000}"/>
    <cellStyle name="Normal 2 2 2 2 4 17 3 2" xfId="13731" xr:uid="{00000000-0005-0000-0000-000079350000}"/>
    <cellStyle name="Normal 2 2 2 2 4 17 3 3" xfId="13732" xr:uid="{00000000-0005-0000-0000-00007A350000}"/>
    <cellStyle name="Normal 2 2 2 2 4 17 3 4" xfId="13733" xr:uid="{00000000-0005-0000-0000-00007B350000}"/>
    <cellStyle name="Normal 2 2 2 2 4 17 3 5" xfId="13734" xr:uid="{00000000-0005-0000-0000-00007C350000}"/>
    <cellStyle name="Normal 2 2 2 2 4 17 3 6" xfId="13735" xr:uid="{00000000-0005-0000-0000-00007D350000}"/>
    <cellStyle name="Normal 2 2 2 2 4 17 3 7" xfId="13736" xr:uid="{00000000-0005-0000-0000-00007E350000}"/>
    <cellStyle name="Normal 2 2 2 2 4 17 3 8" xfId="13737" xr:uid="{00000000-0005-0000-0000-00007F350000}"/>
    <cellStyle name="Normal 2 2 2 2 4 17 3 9" xfId="13738" xr:uid="{00000000-0005-0000-0000-000080350000}"/>
    <cellStyle name="Normal 2 2 2 2 4 17 4" xfId="13739" xr:uid="{00000000-0005-0000-0000-000081350000}"/>
    <cellStyle name="Normal 2 2 2 2 4 17 4 10" xfId="13740" xr:uid="{00000000-0005-0000-0000-000082350000}"/>
    <cellStyle name="Normal 2 2 2 2 4 17 4 2" xfId="13741" xr:uid="{00000000-0005-0000-0000-000083350000}"/>
    <cellStyle name="Normal 2 2 2 2 4 17 4 3" xfId="13742" xr:uid="{00000000-0005-0000-0000-000084350000}"/>
    <cellStyle name="Normal 2 2 2 2 4 17 4 4" xfId="13743" xr:uid="{00000000-0005-0000-0000-000085350000}"/>
    <cellStyle name="Normal 2 2 2 2 4 17 4 5" xfId="13744" xr:uid="{00000000-0005-0000-0000-000086350000}"/>
    <cellStyle name="Normal 2 2 2 2 4 17 4 6" xfId="13745" xr:uid="{00000000-0005-0000-0000-000087350000}"/>
    <cellStyle name="Normal 2 2 2 2 4 17 4 7" xfId="13746" xr:uid="{00000000-0005-0000-0000-000088350000}"/>
    <cellStyle name="Normal 2 2 2 2 4 17 4 8" xfId="13747" xr:uid="{00000000-0005-0000-0000-000089350000}"/>
    <cellStyle name="Normal 2 2 2 2 4 17 4 9" xfId="13748" xr:uid="{00000000-0005-0000-0000-00008A350000}"/>
    <cellStyle name="Normal 2 2 2 2 4 17 5" xfId="13749" xr:uid="{00000000-0005-0000-0000-00008B350000}"/>
    <cellStyle name="Normal 2 2 2 2 4 17 5 10" xfId="13750" xr:uid="{00000000-0005-0000-0000-00008C350000}"/>
    <cellStyle name="Normal 2 2 2 2 4 17 5 2" xfId="13751" xr:uid="{00000000-0005-0000-0000-00008D350000}"/>
    <cellStyle name="Normal 2 2 2 2 4 17 5 3" xfId="13752" xr:uid="{00000000-0005-0000-0000-00008E350000}"/>
    <cellStyle name="Normal 2 2 2 2 4 17 5 4" xfId="13753" xr:uid="{00000000-0005-0000-0000-00008F350000}"/>
    <cellStyle name="Normal 2 2 2 2 4 17 5 5" xfId="13754" xr:uid="{00000000-0005-0000-0000-000090350000}"/>
    <cellStyle name="Normal 2 2 2 2 4 17 5 6" xfId="13755" xr:uid="{00000000-0005-0000-0000-000091350000}"/>
    <cellStyle name="Normal 2 2 2 2 4 17 5 7" xfId="13756" xr:uid="{00000000-0005-0000-0000-000092350000}"/>
    <cellStyle name="Normal 2 2 2 2 4 17 5 8" xfId="13757" xr:uid="{00000000-0005-0000-0000-000093350000}"/>
    <cellStyle name="Normal 2 2 2 2 4 17 5 9" xfId="13758" xr:uid="{00000000-0005-0000-0000-000094350000}"/>
    <cellStyle name="Normal 2 2 2 2 4 17 6" xfId="13759" xr:uid="{00000000-0005-0000-0000-000095350000}"/>
    <cellStyle name="Normal 2 2 2 2 4 17 7" xfId="13760" xr:uid="{00000000-0005-0000-0000-000096350000}"/>
    <cellStyle name="Normal 2 2 2 2 4 17 8" xfId="13761" xr:uid="{00000000-0005-0000-0000-000097350000}"/>
    <cellStyle name="Normal 2 2 2 2 4 17 9" xfId="13762" xr:uid="{00000000-0005-0000-0000-000098350000}"/>
    <cellStyle name="Normal 2 2 2 2 4 18" xfId="13763" xr:uid="{00000000-0005-0000-0000-000099350000}"/>
    <cellStyle name="Normal 2 2 2 2 4 18 10" xfId="13764" xr:uid="{00000000-0005-0000-0000-00009A350000}"/>
    <cellStyle name="Normal 2 2 2 2 4 18 11" xfId="13765" xr:uid="{00000000-0005-0000-0000-00009B350000}"/>
    <cellStyle name="Normal 2 2 2 2 4 18 12" xfId="13766" xr:uid="{00000000-0005-0000-0000-00009C350000}"/>
    <cellStyle name="Normal 2 2 2 2 4 18 13" xfId="13767" xr:uid="{00000000-0005-0000-0000-00009D350000}"/>
    <cellStyle name="Normal 2 2 2 2 4 18 14" xfId="13768" xr:uid="{00000000-0005-0000-0000-00009E350000}"/>
    <cellStyle name="Normal 2 2 2 2 4 18 2" xfId="13769" xr:uid="{00000000-0005-0000-0000-00009F350000}"/>
    <cellStyle name="Normal 2 2 2 2 4 18 2 10" xfId="13770" xr:uid="{00000000-0005-0000-0000-0000A0350000}"/>
    <cellStyle name="Normal 2 2 2 2 4 18 2 2" xfId="13771" xr:uid="{00000000-0005-0000-0000-0000A1350000}"/>
    <cellStyle name="Normal 2 2 2 2 4 18 2 3" xfId="13772" xr:uid="{00000000-0005-0000-0000-0000A2350000}"/>
    <cellStyle name="Normal 2 2 2 2 4 18 2 4" xfId="13773" xr:uid="{00000000-0005-0000-0000-0000A3350000}"/>
    <cellStyle name="Normal 2 2 2 2 4 18 2 5" xfId="13774" xr:uid="{00000000-0005-0000-0000-0000A4350000}"/>
    <cellStyle name="Normal 2 2 2 2 4 18 2 6" xfId="13775" xr:uid="{00000000-0005-0000-0000-0000A5350000}"/>
    <cellStyle name="Normal 2 2 2 2 4 18 2 7" xfId="13776" xr:uid="{00000000-0005-0000-0000-0000A6350000}"/>
    <cellStyle name="Normal 2 2 2 2 4 18 2 8" xfId="13777" xr:uid="{00000000-0005-0000-0000-0000A7350000}"/>
    <cellStyle name="Normal 2 2 2 2 4 18 2 9" xfId="13778" xr:uid="{00000000-0005-0000-0000-0000A8350000}"/>
    <cellStyle name="Normal 2 2 2 2 4 18 3" xfId="13779" xr:uid="{00000000-0005-0000-0000-0000A9350000}"/>
    <cellStyle name="Normal 2 2 2 2 4 18 3 10" xfId="13780" xr:uid="{00000000-0005-0000-0000-0000AA350000}"/>
    <cellStyle name="Normal 2 2 2 2 4 18 3 2" xfId="13781" xr:uid="{00000000-0005-0000-0000-0000AB350000}"/>
    <cellStyle name="Normal 2 2 2 2 4 18 3 3" xfId="13782" xr:uid="{00000000-0005-0000-0000-0000AC350000}"/>
    <cellStyle name="Normal 2 2 2 2 4 18 3 4" xfId="13783" xr:uid="{00000000-0005-0000-0000-0000AD350000}"/>
    <cellStyle name="Normal 2 2 2 2 4 18 3 5" xfId="13784" xr:uid="{00000000-0005-0000-0000-0000AE350000}"/>
    <cellStyle name="Normal 2 2 2 2 4 18 3 6" xfId="13785" xr:uid="{00000000-0005-0000-0000-0000AF350000}"/>
    <cellStyle name="Normal 2 2 2 2 4 18 3 7" xfId="13786" xr:uid="{00000000-0005-0000-0000-0000B0350000}"/>
    <cellStyle name="Normal 2 2 2 2 4 18 3 8" xfId="13787" xr:uid="{00000000-0005-0000-0000-0000B1350000}"/>
    <cellStyle name="Normal 2 2 2 2 4 18 3 9" xfId="13788" xr:uid="{00000000-0005-0000-0000-0000B2350000}"/>
    <cellStyle name="Normal 2 2 2 2 4 18 4" xfId="13789" xr:uid="{00000000-0005-0000-0000-0000B3350000}"/>
    <cellStyle name="Normal 2 2 2 2 4 18 4 10" xfId="13790" xr:uid="{00000000-0005-0000-0000-0000B4350000}"/>
    <cellStyle name="Normal 2 2 2 2 4 18 4 2" xfId="13791" xr:uid="{00000000-0005-0000-0000-0000B5350000}"/>
    <cellStyle name="Normal 2 2 2 2 4 18 4 3" xfId="13792" xr:uid="{00000000-0005-0000-0000-0000B6350000}"/>
    <cellStyle name="Normal 2 2 2 2 4 18 4 4" xfId="13793" xr:uid="{00000000-0005-0000-0000-0000B7350000}"/>
    <cellStyle name="Normal 2 2 2 2 4 18 4 5" xfId="13794" xr:uid="{00000000-0005-0000-0000-0000B8350000}"/>
    <cellStyle name="Normal 2 2 2 2 4 18 4 6" xfId="13795" xr:uid="{00000000-0005-0000-0000-0000B9350000}"/>
    <cellStyle name="Normal 2 2 2 2 4 18 4 7" xfId="13796" xr:uid="{00000000-0005-0000-0000-0000BA350000}"/>
    <cellStyle name="Normal 2 2 2 2 4 18 4 8" xfId="13797" xr:uid="{00000000-0005-0000-0000-0000BB350000}"/>
    <cellStyle name="Normal 2 2 2 2 4 18 4 9" xfId="13798" xr:uid="{00000000-0005-0000-0000-0000BC350000}"/>
    <cellStyle name="Normal 2 2 2 2 4 18 5" xfId="13799" xr:uid="{00000000-0005-0000-0000-0000BD350000}"/>
    <cellStyle name="Normal 2 2 2 2 4 18 5 10" xfId="13800" xr:uid="{00000000-0005-0000-0000-0000BE350000}"/>
    <cellStyle name="Normal 2 2 2 2 4 18 5 2" xfId="13801" xr:uid="{00000000-0005-0000-0000-0000BF350000}"/>
    <cellStyle name="Normal 2 2 2 2 4 18 5 3" xfId="13802" xr:uid="{00000000-0005-0000-0000-0000C0350000}"/>
    <cellStyle name="Normal 2 2 2 2 4 18 5 4" xfId="13803" xr:uid="{00000000-0005-0000-0000-0000C1350000}"/>
    <cellStyle name="Normal 2 2 2 2 4 18 5 5" xfId="13804" xr:uid="{00000000-0005-0000-0000-0000C2350000}"/>
    <cellStyle name="Normal 2 2 2 2 4 18 5 6" xfId="13805" xr:uid="{00000000-0005-0000-0000-0000C3350000}"/>
    <cellStyle name="Normal 2 2 2 2 4 18 5 7" xfId="13806" xr:uid="{00000000-0005-0000-0000-0000C4350000}"/>
    <cellStyle name="Normal 2 2 2 2 4 18 5 8" xfId="13807" xr:uid="{00000000-0005-0000-0000-0000C5350000}"/>
    <cellStyle name="Normal 2 2 2 2 4 18 5 9" xfId="13808" xr:uid="{00000000-0005-0000-0000-0000C6350000}"/>
    <cellStyle name="Normal 2 2 2 2 4 18 6" xfId="13809" xr:uid="{00000000-0005-0000-0000-0000C7350000}"/>
    <cellStyle name="Normal 2 2 2 2 4 18 7" xfId="13810" xr:uid="{00000000-0005-0000-0000-0000C8350000}"/>
    <cellStyle name="Normal 2 2 2 2 4 18 8" xfId="13811" xr:uid="{00000000-0005-0000-0000-0000C9350000}"/>
    <cellStyle name="Normal 2 2 2 2 4 18 9" xfId="13812" xr:uid="{00000000-0005-0000-0000-0000CA350000}"/>
    <cellStyle name="Normal 2 2 2 2 4 19" xfId="13813" xr:uid="{00000000-0005-0000-0000-0000CB350000}"/>
    <cellStyle name="Normal 2 2 2 2 4 19 10" xfId="13814" xr:uid="{00000000-0005-0000-0000-0000CC350000}"/>
    <cellStyle name="Normal 2 2 2 2 4 19 11" xfId="13815" xr:uid="{00000000-0005-0000-0000-0000CD350000}"/>
    <cellStyle name="Normal 2 2 2 2 4 19 12" xfId="13816" xr:uid="{00000000-0005-0000-0000-0000CE350000}"/>
    <cellStyle name="Normal 2 2 2 2 4 19 13" xfId="13817" xr:uid="{00000000-0005-0000-0000-0000CF350000}"/>
    <cellStyle name="Normal 2 2 2 2 4 19 14" xfId="13818" xr:uid="{00000000-0005-0000-0000-0000D0350000}"/>
    <cellStyle name="Normal 2 2 2 2 4 19 2" xfId="13819" xr:uid="{00000000-0005-0000-0000-0000D1350000}"/>
    <cellStyle name="Normal 2 2 2 2 4 19 2 10" xfId="13820" xr:uid="{00000000-0005-0000-0000-0000D2350000}"/>
    <cellStyle name="Normal 2 2 2 2 4 19 2 2" xfId="13821" xr:uid="{00000000-0005-0000-0000-0000D3350000}"/>
    <cellStyle name="Normal 2 2 2 2 4 19 2 3" xfId="13822" xr:uid="{00000000-0005-0000-0000-0000D4350000}"/>
    <cellStyle name="Normal 2 2 2 2 4 19 2 4" xfId="13823" xr:uid="{00000000-0005-0000-0000-0000D5350000}"/>
    <cellStyle name="Normal 2 2 2 2 4 19 2 5" xfId="13824" xr:uid="{00000000-0005-0000-0000-0000D6350000}"/>
    <cellStyle name="Normal 2 2 2 2 4 19 2 6" xfId="13825" xr:uid="{00000000-0005-0000-0000-0000D7350000}"/>
    <cellStyle name="Normal 2 2 2 2 4 19 2 7" xfId="13826" xr:uid="{00000000-0005-0000-0000-0000D8350000}"/>
    <cellStyle name="Normal 2 2 2 2 4 19 2 8" xfId="13827" xr:uid="{00000000-0005-0000-0000-0000D9350000}"/>
    <cellStyle name="Normal 2 2 2 2 4 19 2 9" xfId="13828" xr:uid="{00000000-0005-0000-0000-0000DA350000}"/>
    <cellStyle name="Normal 2 2 2 2 4 19 3" xfId="13829" xr:uid="{00000000-0005-0000-0000-0000DB350000}"/>
    <cellStyle name="Normal 2 2 2 2 4 19 3 10" xfId="13830" xr:uid="{00000000-0005-0000-0000-0000DC350000}"/>
    <cellStyle name="Normal 2 2 2 2 4 19 3 2" xfId="13831" xr:uid="{00000000-0005-0000-0000-0000DD350000}"/>
    <cellStyle name="Normal 2 2 2 2 4 19 3 3" xfId="13832" xr:uid="{00000000-0005-0000-0000-0000DE350000}"/>
    <cellStyle name="Normal 2 2 2 2 4 19 3 4" xfId="13833" xr:uid="{00000000-0005-0000-0000-0000DF350000}"/>
    <cellStyle name="Normal 2 2 2 2 4 19 3 5" xfId="13834" xr:uid="{00000000-0005-0000-0000-0000E0350000}"/>
    <cellStyle name="Normal 2 2 2 2 4 19 3 6" xfId="13835" xr:uid="{00000000-0005-0000-0000-0000E1350000}"/>
    <cellStyle name="Normal 2 2 2 2 4 19 3 7" xfId="13836" xr:uid="{00000000-0005-0000-0000-0000E2350000}"/>
    <cellStyle name="Normal 2 2 2 2 4 19 3 8" xfId="13837" xr:uid="{00000000-0005-0000-0000-0000E3350000}"/>
    <cellStyle name="Normal 2 2 2 2 4 19 3 9" xfId="13838" xr:uid="{00000000-0005-0000-0000-0000E4350000}"/>
    <cellStyle name="Normal 2 2 2 2 4 19 4" xfId="13839" xr:uid="{00000000-0005-0000-0000-0000E5350000}"/>
    <cellStyle name="Normal 2 2 2 2 4 19 4 10" xfId="13840" xr:uid="{00000000-0005-0000-0000-0000E6350000}"/>
    <cellStyle name="Normal 2 2 2 2 4 19 4 2" xfId="13841" xr:uid="{00000000-0005-0000-0000-0000E7350000}"/>
    <cellStyle name="Normal 2 2 2 2 4 19 4 3" xfId="13842" xr:uid="{00000000-0005-0000-0000-0000E8350000}"/>
    <cellStyle name="Normal 2 2 2 2 4 19 4 4" xfId="13843" xr:uid="{00000000-0005-0000-0000-0000E9350000}"/>
    <cellStyle name="Normal 2 2 2 2 4 19 4 5" xfId="13844" xr:uid="{00000000-0005-0000-0000-0000EA350000}"/>
    <cellStyle name="Normal 2 2 2 2 4 19 4 6" xfId="13845" xr:uid="{00000000-0005-0000-0000-0000EB350000}"/>
    <cellStyle name="Normal 2 2 2 2 4 19 4 7" xfId="13846" xr:uid="{00000000-0005-0000-0000-0000EC350000}"/>
    <cellStyle name="Normal 2 2 2 2 4 19 4 8" xfId="13847" xr:uid="{00000000-0005-0000-0000-0000ED350000}"/>
    <cellStyle name="Normal 2 2 2 2 4 19 4 9" xfId="13848" xr:uid="{00000000-0005-0000-0000-0000EE350000}"/>
    <cellStyle name="Normal 2 2 2 2 4 19 5" xfId="13849" xr:uid="{00000000-0005-0000-0000-0000EF350000}"/>
    <cellStyle name="Normal 2 2 2 2 4 19 5 10" xfId="13850" xr:uid="{00000000-0005-0000-0000-0000F0350000}"/>
    <cellStyle name="Normal 2 2 2 2 4 19 5 2" xfId="13851" xr:uid="{00000000-0005-0000-0000-0000F1350000}"/>
    <cellStyle name="Normal 2 2 2 2 4 19 5 3" xfId="13852" xr:uid="{00000000-0005-0000-0000-0000F2350000}"/>
    <cellStyle name="Normal 2 2 2 2 4 19 5 4" xfId="13853" xr:uid="{00000000-0005-0000-0000-0000F3350000}"/>
    <cellStyle name="Normal 2 2 2 2 4 19 5 5" xfId="13854" xr:uid="{00000000-0005-0000-0000-0000F4350000}"/>
    <cellStyle name="Normal 2 2 2 2 4 19 5 6" xfId="13855" xr:uid="{00000000-0005-0000-0000-0000F5350000}"/>
    <cellStyle name="Normal 2 2 2 2 4 19 5 7" xfId="13856" xr:uid="{00000000-0005-0000-0000-0000F6350000}"/>
    <cellStyle name="Normal 2 2 2 2 4 19 5 8" xfId="13857" xr:uid="{00000000-0005-0000-0000-0000F7350000}"/>
    <cellStyle name="Normal 2 2 2 2 4 19 5 9" xfId="13858" xr:uid="{00000000-0005-0000-0000-0000F8350000}"/>
    <cellStyle name="Normal 2 2 2 2 4 19 6" xfId="13859" xr:uid="{00000000-0005-0000-0000-0000F9350000}"/>
    <cellStyle name="Normal 2 2 2 2 4 19 7" xfId="13860" xr:uid="{00000000-0005-0000-0000-0000FA350000}"/>
    <cellStyle name="Normal 2 2 2 2 4 19 8" xfId="13861" xr:uid="{00000000-0005-0000-0000-0000FB350000}"/>
    <cellStyle name="Normal 2 2 2 2 4 19 9" xfId="13862" xr:uid="{00000000-0005-0000-0000-0000FC350000}"/>
    <cellStyle name="Normal 2 2 2 2 4 2" xfId="13863" xr:uid="{00000000-0005-0000-0000-0000FD350000}"/>
    <cellStyle name="Normal 2 2 2 2 4 2 10" xfId="13864" xr:uid="{00000000-0005-0000-0000-0000FE350000}"/>
    <cellStyle name="Normal 2 2 2 2 4 2 11" xfId="13865" xr:uid="{00000000-0005-0000-0000-0000FF350000}"/>
    <cellStyle name="Normal 2 2 2 2 4 2 12" xfId="13866" xr:uid="{00000000-0005-0000-0000-000000360000}"/>
    <cellStyle name="Normal 2 2 2 2 4 2 13" xfId="13867" xr:uid="{00000000-0005-0000-0000-000001360000}"/>
    <cellStyle name="Normal 2 2 2 2 4 2 14" xfId="13868" xr:uid="{00000000-0005-0000-0000-000002360000}"/>
    <cellStyle name="Normal 2 2 2 2 4 2 15" xfId="13869" xr:uid="{00000000-0005-0000-0000-000003360000}"/>
    <cellStyle name="Normal 2 2 2 2 4 2 16" xfId="13870" xr:uid="{00000000-0005-0000-0000-000004360000}"/>
    <cellStyle name="Normal 2 2 2 2 4 2 17" xfId="13871" xr:uid="{00000000-0005-0000-0000-000005360000}"/>
    <cellStyle name="Normal 2 2 2 2 4 2 18" xfId="13872" xr:uid="{00000000-0005-0000-0000-000006360000}"/>
    <cellStyle name="Normal 2 2 2 2 4 2 19" xfId="13873" xr:uid="{00000000-0005-0000-0000-000007360000}"/>
    <cellStyle name="Normal 2 2 2 2 4 2 2" xfId="13874" xr:uid="{00000000-0005-0000-0000-000008360000}"/>
    <cellStyle name="Normal 2 2 2 2 4 2 2 10" xfId="13875" xr:uid="{00000000-0005-0000-0000-000009360000}"/>
    <cellStyle name="Normal 2 2 2 2 4 2 2 10 10" xfId="13876" xr:uid="{00000000-0005-0000-0000-00000A360000}"/>
    <cellStyle name="Normal 2 2 2 2 4 2 2 10 11" xfId="13877" xr:uid="{00000000-0005-0000-0000-00000B360000}"/>
    <cellStyle name="Normal 2 2 2 2 4 2 2 10 12" xfId="13878" xr:uid="{00000000-0005-0000-0000-00000C360000}"/>
    <cellStyle name="Normal 2 2 2 2 4 2 2 10 13" xfId="13879" xr:uid="{00000000-0005-0000-0000-00000D360000}"/>
    <cellStyle name="Normal 2 2 2 2 4 2 2 10 14" xfId="13880" xr:uid="{00000000-0005-0000-0000-00000E360000}"/>
    <cellStyle name="Normal 2 2 2 2 4 2 2 10 2" xfId="13881" xr:uid="{00000000-0005-0000-0000-00000F360000}"/>
    <cellStyle name="Normal 2 2 2 2 4 2 2 10 2 10" xfId="13882" xr:uid="{00000000-0005-0000-0000-000010360000}"/>
    <cellStyle name="Normal 2 2 2 2 4 2 2 10 2 2" xfId="13883" xr:uid="{00000000-0005-0000-0000-000011360000}"/>
    <cellStyle name="Normal 2 2 2 2 4 2 2 10 2 3" xfId="13884" xr:uid="{00000000-0005-0000-0000-000012360000}"/>
    <cellStyle name="Normal 2 2 2 2 4 2 2 10 2 4" xfId="13885" xr:uid="{00000000-0005-0000-0000-000013360000}"/>
    <cellStyle name="Normal 2 2 2 2 4 2 2 10 2 5" xfId="13886" xr:uid="{00000000-0005-0000-0000-000014360000}"/>
    <cellStyle name="Normal 2 2 2 2 4 2 2 10 2 6" xfId="13887" xr:uid="{00000000-0005-0000-0000-000015360000}"/>
    <cellStyle name="Normal 2 2 2 2 4 2 2 10 2 7" xfId="13888" xr:uid="{00000000-0005-0000-0000-000016360000}"/>
    <cellStyle name="Normal 2 2 2 2 4 2 2 10 2 8" xfId="13889" xr:uid="{00000000-0005-0000-0000-000017360000}"/>
    <cellStyle name="Normal 2 2 2 2 4 2 2 10 2 9" xfId="13890" xr:uid="{00000000-0005-0000-0000-000018360000}"/>
    <cellStyle name="Normal 2 2 2 2 4 2 2 10 3" xfId="13891" xr:uid="{00000000-0005-0000-0000-000019360000}"/>
    <cellStyle name="Normal 2 2 2 2 4 2 2 10 3 10" xfId="13892" xr:uid="{00000000-0005-0000-0000-00001A360000}"/>
    <cellStyle name="Normal 2 2 2 2 4 2 2 10 3 2" xfId="13893" xr:uid="{00000000-0005-0000-0000-00001B360000}"/>
    <cellStyle name="Normal 2 2 2 2 4 2 2 10 3 3" xfId="13894" xr:uid="{00000000-0005-0000-0000-00001C360000}"/>
    <cellStyle name="Normal 2 2 2 2 4 2 2 10 3 4" xfId="13895" xr:uid="{00000000-0005-0000-0000-00001D360000}"/>
    <cellStyle name="Normal 2 2 2 2 4 2 2 10 3 5" xfId="13896" xr:uid="{00000000-0005-0000-0000-00001E360000}"/>
    <cellStyle name="Normal 2 2 2 2 4 2 2 10 3 6" xfId="13897" xr:uid="{00000000-0005-0000-0000-00001F360000}"/>
    <cellStyle name="Normal 2 2 2 2 4 2 2 10 3 7" xfId="13898" xr:uid="{00000000-0005-0000-0000-000020360000}"/>
    <cellStyle name="Normal 2 2 2 2 4 2 2 10 3 8" xfId="13899" xr:uid="{00000000-0005-0000-0000-000021360000}"/>
    <cellStyle name="Normal 2 2 2 2 4 2 2 10 3 9" xfId="13900" xr:uid="{00000000-0005-0000-0000-000022360000}"/>
    <cellStyle name="Normal 2 2 2 2 4 2 2 10 4" xfId="13901" xr:uid="{00000000-0005-0000-0000-000023360000}"/>
    <cellStyle name="Normal 2 2 2 2 4 2 2 10 4 10" xfId="13902" xr:uid="{00000000-0005-0000-0000-000024360000}"/>
    <cellStyle name="Normal 2 2 2 2 4 2 2 10 4 2" xfId="13903" xr:uid="{00000000-0005-0000-0000-000025360000}"/>
    <cellStyle name="Normal 2 2 2 2 4 2 2 10 4 3" xfId="13904" xr:uid="{00000000-0005-0000-0000-000026360000}"/>
    <cellStyle name="Normal 2 2 2 2 4 2 2 10 4 4" xfId="13905" xr:uid="{00000000-0005-0000-0000-000027360000}"/>
    <cellStyle name="Normal 2 2 2 2 4 2 2 10 4 5" xfId="13906" xr:uid="{00000000-0005-0000-0000-000028360000}"/>
    <cellStyle name="Normal 2 2 2 2 4 2 2 10 4 6" xfId="13907" xr:uid="{00000000-0005-0000-0000-000029360000}"/>
    <cellStyle name="Normal 2 2 2 2 4 2 2 10 4 7" xfId="13908" xr:uid="{00000000-0005-0000-0000-00002A360000}"/>
    <cellStyle name="Normal 2 2 2 2 4 2 2 10 4 8" xfId="13909" xr:uid="{00000000-0005-0000-0000-00002B360000}"/>
    <cellStyle name="Normal 2 2 2 2 4 2 2 10 4 9" xfId="13910" xr:uid="{00000000-0005-0000-0000-00002C360000}"/>
    <cellStyle name="Normal 2 2 2 2 4 2 2 10 5" xfId="13911" xr:uid="{00000000-0005-0000-0000-00002D360000}"/>
    <cellStyle name="Normal 2 2 2 2 4 2 2 10 5 10" xfId="13912" xr:uid="{00000000-0005-0000-0000-00002E360000}"/>
    <cellStyle name="Normal 2 2 2 2 4 2 2 10 5 2" xfId="13913" xr:uid="{00000000-0005-0000-0000-00002F360000}"/>
    <cellStyle name="Normal 2 2 2 2 4 2 2 10 5 3" xfId="13914" xr:uid="{00000000-0005-0000-0000-000030360000}"/>
    <cellStyle name="Normal 2 2 2 2 4 2 2 10 5 4" xfId="13915" xr:uid="{00000000-0005-0000-0000-000031360000}"/>
    <cellStyle name="Normal 2 2 2 2 4 2 2 10 5 5" xfId="13916" xr:uid="{00000000-0005-0000-0000-000032360000}"/>
    <cellStyle name="Normal 2 2 2 2 4 2 2 10 5 6" xfId="13917" xr:uid="{00000000-0005-0000-0000-000033360000}"/>
    <cellStyle name="Normal 2 2 2 2 4 2 2 10 5 7" xfId="13918" xr:uid="{00000000-0005-0000-0000-000034360000}"/>
    <cellStyle name="Normal 2 2 2 2 4 2 2 10 5 8" xfId="13919" xr:uid="{00000000-0005-0000-0000-000035360000}"/>
    <cellStyle name="Normal 2 2 2 2 4 2 2 10 5 9" xfId="13920" xr:uid="{00000000-0005-0000-0000-000036360000}"/>
    <cellStyle name="Normal 2 2 2 2 4 2 2 10 6" xfId="13921" xr:uid="{00000000-0005-0000-0000-000037360000}"/>
    <cellStyle name="Normal 2 2 2 2 4 2 2 10 7" xfId="13922" xr:uid="{00000000-0005-0000-0000-000038360000}"/>
    <cellStyle name="Normal 2 2 2 2 4 2 2 10 8" xfId="13923" xr:uid="{00000000-0005-0000-0000-000039360000}"/>
    <cellStyle name="Normal 2 2 2 2 4 2 2 10 9" xfId="13924" xr:uid="{00000000-0005-0000-0000-00003A360000}"/>
    <cellStyle name="Normal 2 2 2 2 4 2 2 11" xfId="13925" xr:uid="{00000000-0005-0000-0000-00003B360000}"/>
    <cellStyle name="Normal 2 2 2 2 4 2 2 11 10" xfId="13926" xr:uid="{00000000-0005-0000-0000-00003C360000}"/>
    <cellStyle name="Normal 2 2 2 2 4 2 2 11 11" xfId="13927" xr:uid="{00000000-0005-0000-0000-00003D360000}"/>
    <cellStyle name="Normal 2 2 2 2 4 2 2 11 12" xfId="13928" xr:uid="{00000000-0005-0000-0000-00003E360000}"/>
    <cellStyle name="Normal 2 2 2 2 4 2 2 11 13" xfId="13929" xr:uid="{00000000-0005-0000-0000-00003F360000}"/>
    <cellStyle name="Normal 2 2 2 2 4 2 2 11 14" xfId="13930" xr:uid="{00000000-0005-0000-0000-000040360000}"/>
    <cellStyle name="Normal 2 2 2 2 4 2 2 11 2" xfId="13931" xr:uid="{00000000-0005-0000-0000-000041360000}"/>
    <cellStyle name="Normal 2 2 2 2 4 2 2 11 2 10" xfId="13932" xr:uid="{00000000-0005-0000-0000-000042360000}"/>
    <cellStyle name="Normal 2 2 2 2 4 2 2 11 2 2" xfId="13933" xr:uid="{00000000-0005-0000-0000-000043360000}"/>
    <cellStyle name="Normal 2 2 2 2 4 2 2 11 2 3" xfId="13934" xr:uid="{00000000-0005-0000-0000-000044360000}"/>
    <cellStyle name="Normal 2 2 2 2 4 2 2 11 2 4" xfId="13935" xr:uid="{00000000-0005-0000-0000-000045360000}"/>
    <cellStyle name="Normal 2 2 2 2 4 2 2 11 2 5" xfId="13936" xr:uid="{00000000-0005-0000-0000-000046360000}"/>
    <cellStyle name="Normal 2 2 2 2 4 2 2 11 2 6" xfId="13937" xr:uid="{00000000-0005-0000-0000-000047360000}"/>
    <cellStyle name="Normal 2 2 2 2 4 2 2 11 2 7" xfId="13938" xr:uid="{00000000-0005-0000-0000-000048360000}"/>
    <cellStyle name="Normal 2 2 2 2 4 2 2 11 2 8" xfId="13939" xr:uid="{00000000-0005-0000-0000-000049360000}"/>
    <cellStyle name="Normal 2 2 2 2 4 2 2 11 2 9" xfId="13940" xr:uid="{00000000-0005-0000-0000-00004A360000}"/>
    <cellStyle name="Normal 2 2 2 2 4 2 2 11 3" xfId="13941" xr:uid="{00000000-0005-0000-0000-00004B360000}"/>
    <cellStyle name="Normal 2 2 2 2 4 2 2 11 3 10" xfId="13942" xr:uid="{00000000-0005-0000-0000-00004C360000}"/>
    <cellStyle name="Normal 2 2 2 2 4 2 2 11 3 2" xfId="13943" xr:uid="{00000000-0005-0000-0000-00004D360000}"/>
    <cellStyle name="Normal 2 2 2 2 4 2 2 11 3 3" xfId="13944" xr:uid="{00000000-0005-0000-0000-00004E360000}"/>
    <cellStyle name="Normal 2 2 2 2 4 2 2 11 3 4" xfId="13945" xr:uid="{00000000-0005-0000-0000-00004F360000}"/>
    <cellStyle name="Normal 2 2 2 2 4 2 2 11 3 5" xfId="13946" xr:uid="{00000000-0005-0000-0000-000050360000}"/>
    <cellStyle name="Normal 2 2 2 2 4 2 2 11 3 6" xfId="13947" xr:uid="{00000000-0005-0000-0000-000051360000}"/>
    <cellStyle name="Normal 2 2 2 2 4 2 2 11 3 7" xfId="13948" xr:uid="{00000000-0005-0000-0000-000052360000}"/>
    <cellStyle name="Normal 2 2 2 2 4 2 2 11 3 8" xfId="13949" xr:uid="{00000000-0005-0000-0000-000053360000}"/>
    <cellStyle name="Normal 2 2 2 2 4 2 2 11 3 9" xfId="13950" xr:uid="{00000000-0005-0000-0000-000054360000}"/>
    <cellStyle name="Normal 2 2 2 2 4 2 2 11 4" xfId="13951" xr:uid="{00000000-0005-0000-0000-000055360000}"/>
    <cellStyle name="Normal 2 2 2 2 4 2 2 11 4 10" xfId="13952" xr:uid="{00000000-0005-0000-0000-000056360000}"/>
    <cellStyle name="Normal 2 2 2 2 4 2 2 11 4 2" xfId="13953" xr:uid="{00000000-0005-0000-0000-000057360000}"/>
    <cellStyle name="Normal 2 2 2 2 4 2 2 11 4 3" xfId="13954" xr:uid="{00000000-0005-0000-0000-000058360000}"/>
    <cellStyle name="Normal 2 2 2 2 4 2 2 11 4 4" xfId="13955" xr:uid="{00000000-0005-0000-0000-000059360000}"/>
    <cellStyle name="Normal 2 2 2 2 4 2 2 11 4 5" xfId="13956" xr:uid="{00000000-0005-0000-0000-00005A360000}"/>
    <cellStyle name="Normal 2 2 2 2 4 2 2 11 4 6" xfId="13957" xr:uid="{00000000-0005-0000-0000-00005B360000}"/>
    <cellStyle name="Normal 2 2 2 2 4 2 2 11 4 7" xfId="13958" xr:uid="{00000000-0005-0000-0000-00005C360000}"/>
    <cellStyle name="Normal 2 2 2 2 4 2 2 11 4 8" xfId="13959" xr:uid="{00000000-0005-0000-0000-00005D360000}"/>
    <cellStyle name="Normal 2 2 2 2 4 2 2 11 4 9" xfId="13960" xr:uid="{00000000-0005-0000-0000-00005E360000}"/>
    <cellStyle name="Normal 2 2 2 2 4 2 2 11 5" xfId="13961" xr:uid="{00000000-0005-0000-0000-00005F360000}"/>
    <cellStyle name="Normal 2 2 2 2 4 2 2 11 5 10" xfId="13962" xr:uid="{00000000-0005-0000-0000-000060360000}"/>
    <cellStyle name="Normal 2 2 2 2 4 2 2 11 5 2" xfId="13963" xr:uid="{00000000-0005-0000-0000-000061360000}"/>
    <cellStyle name="Normal 2 2 2 2 4 2 2 11 5 3" xfId="13964" xr:uid="{00000000-0005-0000-0000-000062360000}"/>
    <cellStyle name="Normal 2 2 2 2 4 2 2 11 5 4" xfId="13965" xr:uid="{00000000-0005-0000-0000-000063360000}"/>
    <cellStyle name="Normal 2 2 2 2 4 2 2 11 5 5" xfId="13966" xr:uid="{00000000-0005-0000-0000-000064360000}"/>
    <cellStyle name="Normal 2 2 2 2 4 2 2 11 5 6" xfId="13967" xr:uid="{00000000-0005-0000-0000-000065360000}"/>
    <cellStyle name="Normal 2 2 2 2 4 2 2 11 5 7" xfId="13968" xr:uid="{00000000-0005-0000-0000-000066360000}"/>
    <cellStyle name="Normal 2 2 2 2 4 2 2 11 5 8" xfId="13969" xr:uid="{00000000-0005-0000-0000-000067360000}"/>
    <cellStyle name="Normal 2 2 2 2 4 2 2 11 5 9" xfId="13970" xr:uid="{00000000-0005-0000-0000-000068360000}"/>
    <cellStyle name="Normal 2 2 2 2 4 2 2 11 6" xfId="13971" xr:uid="{00000000-0005-0000-0000-000069360000}"/>
    <cellStyle name="Normal 2 2 2 2 4 2 2 11 7" xfId="13972" xr:uid="{00000000-0005-0000-0000-00006A360000}"/>
    <cellStyle name="Normal 2 2 2 2 4 2 2 11 8" xfId="13973" xr:uid="{00000000-0005-0000-0000-00006B360000}"/>
    <cellStyle name="Normal 2 2 2 2 4 2 2 11 9" xfId="13974" xr:uid="{00000000-0005-0000-0000-00006C360000}"/>
    <cellStyle name="Normal 2 2 2 2 4 2 2 12" xfId="13975" xr:uid="{00000000-0005-0000-0000-00006D360000}"/>
    <cellStyle name="Normal 2 2 2 2 4 2 2 12 10" xfId="13976" xr:uid="{00000000-0005-0000-0000-00006E360000}"/>
    <cellStyle name="Normal 2 2 2 2 4 2 2 12 11" xfId="13977" xr:uid="{00000000-0005-0000-0000-00006F360000}"/>
    <cellStyle name="Normal 2 2 2 2 4 2 2 12 12" xfId="13978" xr:uid="{00000000-0005-0000-0000-000070360000}"/>
    <cellStyle name="Normal 2 2 2 2 4 2 2 12 13" xfId="13979" xr:uid="{00000000-0005-0000-0000-000071360000}"/>
    <cellStyle name="Normal 2 2 2 2 4 2 2 12 14" xfId="13980" xr:uid="{00000000-0005-0000-0000-000072360000}"/>
    <cellStyle name="Normal 2 2 2 2 4 2 2 12 2" xfId="13981" xr:uid="{00000000-0005-0000-0000-000073360000}"/>
    <cellStyle name="Normal 2 2 2 2 4 2 2 12 2 10" xfId="13982" xr:uid="{00000000-0005-0000-0000-000074360000}"/>
    <cellStyle name="Normal 2 2 2 2 4 2 2 12 2 2" xfId="13983" xr:uid="{00000000-0005-0000-0000-000075360000}"/>
    <cellStyle name="Normal 2 2 2 2 4 2 2 12 2 3" xfId="13984" xr:uid="{00000000-0005-0000-0000-000076360000}"/>
    <cellStyle name="Normal 2 2 2 2 4 2 2 12 2 4" xfId="13985" xr:uid="{00000000-0005-0000-0000-000077360000}"/>
    <cellStyle name="Normal 2 2 2 2 4 2 2 12 2 5" xfId="13986" xr:uid="{00000000-0005-0000-0000-000078360000}"/>
    <cellStyle name="Normal 2 2 2 2 4 2 2 12 2 6" xfId="13987" xr:uid="{00000000-0005-0000-0000-000079360000}"/>
    <cellStyle name="Normal 2 2 2 2 4 2 2 12 2 7" xfId="13988" xr:uid="{00000000-0005-0000-0000-00007A360000}"/>
    <cellStyle name="Normal 2 2 2 2 4 2 2 12 2 8" xfId="13989" xr:uid="{00000000-0005-0000-0000-00007B360000}"/>
    <cellStyle name="Normal 2 2 2 2 4 2 2 12 2 9" xfId="13990" xr:uid="{00000000-0005-0000-0000-00007C360000}"/>
    <cellStyle name="Normal 2 2 2 2 4 2 2 12 3" xfId="13991" xr:uid="{00000000-0005-0000-0000-00007D360000}"/>
    <cellStyle name="Normal 2 2 2 2 4 2 2 12 3 10" xfId="13992" xr:uid="{00000000-0005-0000-0000-00007E360000}"/>
    <cellStyle name="Normal 2 2 2 2 4 2 2 12 3 2" xfId="13993" xr:uid="{00000000-0005-0000-0000-00007F360000}"/>
    <cellStyle name="Normal 2 2 2 2 4 2 2 12 3 3" xfId="13994" xr:uid="{00000000-0005-0000-0000-000080360000}"/>
    <cellStyle name="Normal 2 2 2 2 4 2 2 12 3 4" xfId="13995" xr:uid="{00000000-0005-0000-0000-000081360000}"/>
    <cellStyle name="Normal 2 2 2 2 4 2 2 12 3 5" xfId="13996" xr:uid="{00000000-0005-0000-0000-000082360000}"/>
    <cellStyle name="Normal 2 2 2 2 4 2 2 12 3 6" xfId="13997" xr:uid="{00000000-0005-0000-0000-000083360000}"/>
    <cellStyle name="Normal 2 2 2 2 4 2 2 12 3 7" xfId="13998" xr:uid="{00000000-0005-0000-0000-000084360000}"/>
    <cellStyle name="Normal 2 2 2 2 4 2 2 12 3 8" xfId="13999" xr:uid="{00000000-0005-0000-0000-000085360000}"/>
    <cellStyle name="Normal 2 2 2 2 4 2 2 12 3 9" xfId="14000" xr:uid="{00000000-0005-0000-0000-000086360000}"/>
    <cellStyle name="Normal 2 2 2 2 4 2 2 12 4" xfId="14001" xr:uid="{00000000-0005-0000-0000-000087360000}"/>
    <cellStyle name="Normal 2 2 2 2 4 2 2 12 4 10" xfId="14002" xr:uid="{00000000-0005-0000-0000-000088360000}"/>
    <cellStyle name="Normal 2 2 2 2 4 2 2 12 4 2" xfId="14003" xr:uid="{00000000-0005-0000-0000-000089360000}"/>
    <cellStyle name="Normal 2 2 2 2 4 2 2 12 4 3" xfId="14004" xr:uid="{00000000-0005-0000-0000-00008A360000}"/>
    <cellStyle name="Normal 2 2 2 2 4 2 2 12 4 4" xfId="14005" xr:uid="{00000000-0005-0000-0000-00008B360000}"/>
    <cellStyle name="Normal 2 2 2 2 4 2 2 12 4 5" xfId="14006" xr:uid="{00000000-0005-0000-0000-00008C360000}"/>
    <cellStyle name="Normal 2 2 2 2 4 2 2 12 4 6" xfId="14007" xr:uid="{00000000-0005-0000-0000-00008D360000}"/>
    <cellStyle name="Normal 2 2 2 2 4 2 2 12 4 7" xfId="14008" xr:uid="{00000000-0005-0000-0000-00008E360000}"/>
    <cellStyle name="Normal 2 2 2 2 4 2 2 12 4 8" xfId="14009" xr:uid="{00000000-0005-0000-0000-00008F360000}"/>
    <cellStyle name="Normal 2 2 2 2 4 2 2 12 4 9" xfId="14010" xr:uid="{00000000-0005-0000-0000-000090360000}"/>
    <cellStyle name="Normal 2 2 2 2 4 2 2 12 5" xfId="14011" xr:uid="{00000000-0005-0000-0000-000091360000}"/>
    <cellStyle name="Normal 2 2 2 2 4 2 2 12 5 10" xfId="14012" xr:uid="{00000000-0005-0000-0000-000092360000}"/>
    <cellStyle name="Normal 2 2 2 2 4 2 2 12 5 2" xfId="14013" xr:uid="{00000000-0005-0000-0000-000093360000}"/>
    <cellStyle name="Normal 2 2 2 2 4 2 2 12 5 3" xfId="14014" xr:uid="{00000000-0005-0000-0000-000094360000}"/>
    <cellStyle name="Normal 2 2 2 2 4 2 2 12 5 4" xfId="14015" xr:uid="{00000000-0005-0000-0000-000095360000}"/>
    <cellStyle name="Normal 2 2 2 2 4 2 2 12 5 5" xfId="14016" xr:uid="{00000000-0005-0000-0000-000096360000}"/>
    <cellStyle name="Normal 2 2 2 2 4 2 2 12 5 6" xfId="14017" xr:uid="{00000000-0005-0000-0000-000097360000}"/>
    <cellStyle name="Normal 2 2 2 2 4 2 2 12 5 7" xfId="14018" xr:uid="{00000000-0005-0000-0000-000098360000}"/>
    <cellStyle name="Normal 2 2 2 2 4 2 2 12 5 8" xfId="14019" xr:uid="{00000000-0005-0000-0000-000099360000}"/>
    <cellStyle name="Normal 2 2 2 2 4 2 2 12 5 9" xfId="14020" xr:uid="{00000000-0005-0000-0000-00009A360000}"/>
    <cellStyle name="Normal 2 2 2 2 4 2 2 12 6" xfId="14021" xr:uid="{00000000-0005-0000-0000-00009B360000}"/>
    <cellStyle name="Normal 2 2 2 2 4 2 2 12 7" xfId="14022" xr:uid="{00000000-0005-0000-0000-00009C360000}"/>
    <cellStyle name="Normal 2 2 2 2 4 2 2 12 8" xfId="14023" xr:uid="{00000000-0005-0000-0000-00009D360000}"/>
    <cellStyle name="Normal 2 2 2 2 4 2 2 12 9" xfId="14024" xr:uid="{00000000-0005-0000-0000-00009E360000}"/>
    <cellStyle name="Normal 2 2 2 2 4 2 2 13" xfId="14025" xr:uid="{00000000-0005-0000-0000-00009F360000}"/>
    <cellStyle name="Normal 2 2 2 2 4 2 2 13 10" xfId="14026" xr:uid="{00000000-0005-0000-0000-0000A0360000}"/>
    <cellStyle name="Normal 2 2 2 2 4 2 2 13 11" xfId="14027" xr:uid="{00000000-0005-0000-0000-0000A1360000}"/>
    <cellStyle name="Normal 2 2 2 2 4 2 2 13 12" xfId="14028" xr:uid="{00000000-0005-0000-0000-0000A2360000}"/>
    <cellStyle name="Normal 2 2 2 2 4 2 2 13 13" xfId="14029" xr:uid="{00000000-0005-0000-0000-0000A3360000}"/>
    <cellStyle name="Normal 2 2 2 2 4 2 2 13 14" xfId="14030" xr:uid="{00000000-0005-0000-0000-0000A4360000}"/>
    <cellStyle name="Normal 2 2 2 2 4 2 2 13 2" xfId="14031" xr:uid="{00000000-0005-0000-0000-0000A5360000}"/>
    <cellStyle name="Normal 2 2 2 2 4 2 2 13 2 10" xfId="14032" xr:uid="{00000000-0005-0000-0000-0000A6360000}"/>
    <cellStyle name="Normal 2 2 2 2 4 2 2 13 2 2" xfId="14033" xr:uid="{00000000-0005-0000-0000-0000A7360000}"/>
    <cellStyle name="Normal 2 2 2 2 4 2 2 13 2 3" xfId="14034" xr:uid="{00000000-0005-0000-0000-0000A8360000}"/>
    <cellStyle name="Normal 2 2 2 2 4 2 2 13 2 4" xfId="14035" xr:uid="{00000000-0005-0000-0000-0000A9360000}"/>
    <cellStyle name="Normal 2 2 2 2 4 2 2 13 2 5" xfId="14036" xr:uid="{00000000-0005-0000-0000-0000AA360000}"/>
    <cellStyle name="Normal 2 2 2 2 4 2 2 13 2 6" xfId="14037" xr:uid="{00000000-0005-0000-0000-0000AB360000}"/>
    <cellStyle name="Normal 2 2 2 2 4 2 2 13 2 7" xfId="14038" xr:uid="{00000000-0005-0000-0000-0000AC360000}"/>
    <cellStyle name="Normal 2 2 2 2 4 2 2 13 2 8" xfId="14039" xr:uid="{00000000-0005-0000-0000-0000AD360000}"/>
    <cellStyle name="Normal 2 2 2 2 4 2 2 13 2 9" xfId="14040" xr:uid="{00000000-0005-0000-0000-0000AE360000}"/>
    <cellStyle name="Normal 2 2 2 2 4 2 2 13 3" xfId="14041" xr:uid="{00000000-0005-0000-0000-0000AF360000}"/>
    <cellStyle name="Normal 2 2 2 2 4 2 2 13 3 10" xfId="14042" xr:uid="{00000000-0005-0000-0000-0000B0360000}"/>
    <cellStyle name="Normal 2 2 2 2 4 2 2 13 3 2" xfId="14043" xr:uid="{00000000-0005-0000-0000-0000B1360000}"/>
    <cellStyle name="Normal 2 2 2 2 4 2 2 13 3 3" xfId="14044" xr:uid="{00000000-0005-0000-0000-0000B2360000}"/>
    <cellStyle name="Normal 2 2 2 2 4 2 2 13 3 4" xfId="14045" xr:uid="{00000000-0005-0000-0000-0000B3360000}"/>
    <cellStyle name="Normal 2 2 2 2 4 2 2 13 3 5" xfId="14046" xr:uid="{00000000-0005-0000-0000-0000B4360000}"/>
    <cellStyle name="Normal 2 2 2 2 4 2 2 13 3 6" xfId="14047" xr:uid="{00000000-0005-0000-0000-0000B5360000}"/>
    <cellStyle name="Normal 2 2 2 2 4 2 2 13 3 7" xfId="14048" xr:uid="{00000000-0005-0000-0000-0000B6360000}"/>
    <cellStyle name="Normal 2 2 2 2 4 2 2 13 3 8" xfId="14049" xr:uid="{00000000-0005-0000-0000-0000B7360000}"/>
    <cellStyle name="Normal 2 2 2 2 4 2 2 13 3 9" xfId="14050" xr:uid="{00000000-0005-0000-0000-0000B8360000}"/>
    <cellStyle name="Normal 2 2 2 2 4 2 2 13 4" xfId="14051" xr:uid="{00000000-0005-0000-0000-0000B9360000}"/>
    <cellStyle name="Normal 2 2 2 2 4 2 2 13 4 10" xfId="14052" xr:uid="{00000000-0005-0000-0000-0000BA360000}"/>
    <cellStyle name="Normal 2 2 2 2 4 2 2 13 4 2" xfId="14053" xr:uid="{00000000-0005-0000-0000-0000BB360000}"/>
    <cellStyle name="Normal 2 2 2 2 4 2 2 13 4 3" xfId="14054" xr:uid="{00000000-0005-0000-0000-0000BC360000}"/>
    <cellStyle name="Normal 2 2 2 2 4 2 2 13 4 4" xfId="14055" xr:uid="{00000000-0005-0000-0000-0000BD360000}"/>
    <cellStyle name="Normal 2 2 2 2 4 2 2 13 4 5" xfId="14056" xr:uid="{00000000-0005-0000-0000-0000BE360000}"/>
    <cellStyle name="Normal 2 2 2 2 4 2 2 13 4 6" xfId="14057" xr:uid="{00000000-0005-0000-0000-0000BF360000}"/>
    <cellStyle name="Normal 2 2 2 2 4 2 2 13 4 7" xfId="14058" xr:uid="{00000000-0005-0000-0000-0000C0360000}"/>
    <cellStyle name="Normal 2 2 2 2 4 2 2 13 4 8" xfId="14059" xr:uid="{00000000-0005-0000-0000-0000C1360000}"/>
    <cellStyle name="Normal 2 2 2 2 4 2 2 13 4 9" xfId="14060" xr:uid="{00000000-0005-0000-0000-0000C2360000}"/>
    <cellStyle name="Normal 2 2 2 2 4 2 2 13 5" xfId="14061" xr:uid="{00000000-0005-0000-0000-0000C3360000}"/>
    <cellStyle name="Normal 2 2 2 2 4 2 2 13 5 10" xfId="14062" xr:uid="{00000000-0005-0000-0000-0000C4360000}"/>
    <cellStyle name="Normal 2 2 2 2 4 2 2 13 5 2" xfId="14063" xr:uid="{00000000-0005-0000-0000-0000C5360000}"/>
    <cellStyle name="Normal 2 2 2 2 4 2 2 13 5 3" xfId="14064" xr:uid="{00000000-0005-0000-0000-0000C6360000}"/>
    <cellStyle name="Normal 2 2 2 2 4 2 2 13 5 4" xfId="14065" xr:uid="{00000000-0005-0000-0000-0000C7360000}"/>
    <cellStyle name="Normal 2 2 2 2 4 2 2 13 5 5" xfId="14066" xr:uid="{00000000-0005-0000-0000-0000C8360000}"/>
    <cellStyle name="Normal 2 2 2 2 4 2 2 13 5 6" xfId="14067" xr:uid="{00000000-0005-0000-0000-0000C9360000}"/>
    <cellStyle name="Normal 2 2 2 2 4 2 2 13 5 7" xfId="14068" xr:uid="{00000000-0005-0000-0000-0000CA360000}"/>
    <cellStyle name="Normal 2 2 2 2 4 2 2 13 5 8" xfId="14069" xr:uid="{00000000-0005-0000-0000-0000CB360000}"/>
    <cellStyle name="Normal 2 2 2 2 4 2 2 13 5 9" xfId="14070" xr:uid="{00000000-0005-0000-0000-0000CC360000}"/>
    <cellStyle name="Normal 2 2 2 2 4 2 2 13 6" xfId="14071" xr:uid="{00000000-0005-0000-0000-0000CD360000}"/>
    <cellStyle name="Normal 2 2 2 2 4 2 2 13 7" xfId="14072" xr:uid="{00000000-0005-0000-0000-0000CE360000}"/>
    <cellStyle name="Normal 2 2 2 2 4 2 2 13 8" xfId="14073" xr:uid="{00000000-0005-0000-0000-0000CF360000}"/>
    <cellStyle name="Normal 2 2 2 2 4 2 2 13 9" xfId="14074" xr:uid="{00000000-0005-0000-0000-0000D0360000}"/>
    <cellStyle name="Normal 2 2 2 2 4 2 2 14" xfId="14075" xr:uid="{00000000-0005-0000-0000-0000D1360000}"/>
    <cellStyle name="Normal 2 2 2 2 4 2 2 14 10" xfId="14076" xr:uid="{00000000-0005-0000-0000-0000D2360000}"/>
    <cellStyle name="Normal 2 2 2 2 4 2 2 14 11" xfId="14077" xr:uid="{00000000-0005-0000-0000-0000D3360000}"/>
    <cellStyle name="Normal 2 2 2 2 4 2 2 14 12" xfId="14078" xr:uid="{00000000-0005-0000-0000-0000D4360000}"/>
    <cellStyle name="Normal 2 2 2 2 4 2 2 14 13" xfId="14079" xr:uid="{00000000-0005-0000-0000-0000D5360000}"/>
    <cellStyle name="Normal 2 2 2 2 4 2 2 14 14" xfId="14080" xr:uid="{00000000-0005-0000-0000-0000D6360000}"/>
    <cellStyle name="Normal 2 2 2 2 4 2 2 14 2" xfId="14081" xr:uid="{00000000-0005-0000-0000-0000D7360000}"/>
    <cellStyle name="Normal 2 2 2 2 4 2 2 14 2 10" xfId="14082" xr:uid="{00000000-0005-0000-0000-0000D8360000}"/>
    <cellStyle name="Normal 2 2 2 2 4 2 2 14 2 2" xfId="14083" xr:uid="{00000000-0005-0000-0000-0000D9360000}"/>
    <cellStyle name="Normal 2 2 2 2 4 2 2 14 2 3" xfId="14084" xr:uid="{00000000-0005-0000-0000-0000DA360000}"/>
    <cellStyle name="Normal 2 2 2 2 4 2 2 14 2 4" xfId="14085" xr:uid="{00000000-0005-0000-0000-0000DB360000}"/>
    <cellStyle name="Normal 2 2 2 2 4 2 2 14 2 5" xfId="14086" xr:uid="{00000000-0005-0000-0000-0000DC360000}"/>
    <cellStyle name="Normal 2 2 2 2 4 2 2 14 2 6" xfId="14087" xr:uid="{00000000-0005-0000-0000-0000DD360000}"/>
    <cellStyle name="Normal 2 2 2 2 4 2 2 14 2 7" xfId="14088" xr:uid="{00000000-0005-0000-0000-0000DE360000}"/>
    <cellStyle name="Normal 2 2 2 2 4 2 2 14 2 8" xfId="14089" xr:uid="{00000000-0005-0000-0000-0000DF360000}"/>
    <cellStyle name="Normal 2 2 2 2 4 2 2 14 2 9" xfId="14090" xr:uid="{00000000-0005-0000-0000-0000E0360000}"/>
    <cellStyle name="Normal 2 2 2 2 4 2 2 14 3" xfId="14091" xr:uid="{00000000-0005-0000-0000-0000E1360000}"/>
    <cellStyle name="Normal 2 2 2 2 4 2 2 14 3 10" xfId="14092" xr:uid="{00000000-0005-0000-0000-0000E2360000}"/>
    <cellStyle name="Normal 2 2 2 2 4 2 2 14 3 2" xfId="14093" xr:uid="{00000000-0005-0000-0000-0000E3360000}"/>
    <cellStyle name="Normal 2 2 2 2 4 2 2 14 3 3" xfId="14094" xr:uid="{00000000-0005-0000-0000-0000E4360000}"/>
    <cellStyle name="Normal 2 2 2 2 4 2 2 14 3 4" xfId="14095" xr:uid="{00000000-0005-0000-0000-0000E5360000}"/>
    <cellStyle name="Normal 2 2 2 2 4 2 2 14 3 5" xfId="14096" xr:uid="{00000000-0005-0000-0000-0000E6360000}"/>
    <cellStyle name="Normal 2 2 2 2 4 2 2 14 3 6" xfId="14097" xr:uid="{00000000-0005-0000-0000-0000E7360000}"/>
    <cellStyle name="Normal 2 2 2 2 4 2 2 14 3 7" xfId="14098" xr:uid="{00000000-0005-0000-0000-0000E8360000}"/>
    <cellStyle name="Normal 2 2 2 2 4 2 2 14 3 8" xfId="14099" xr:uid="{00000000-0005-0000-0000-0000E9360000}"/>
    <cellStyle name="Normal 2 2 2 2 4 2 2 14 3 9" xfId="14100" xr:uid="{00000000-0005-0000-0000-0000EA360000}"/>
    <cellStyle name="Normal 2 2 2 2 4 2 2 14 4" xfId="14101" xr:uid="{00000000-0005-0000-0000-0000EB360000}"/>
    <cellStyle name="Normal 2 2 2 2 4 2 2 14 4 10" xfId="14102" xr:uid="{00000000-0005-0000-0000-0000EC360000}"/>
    <cellStyle name="Normal 2 2 2 2 4 2 2 14 4 2" xfId="14103" xr:uid="{00000000-0005-0000-0000-0000ED360000}"/>
    <cellStyle name="Normal 2 2 2 2 4 2 2 14 4 3" xfId="14104" xr:uid="{00000000-0005-0000-0000-0000EE360000}"/>
    <cellStyle name="Normal 2 2 2 2 4 2 2 14 4 4" xfId="14105" xr:uid="{00000000-0005-0000-0000-0000EF360000}"/>
    <cellStyle name="Normal 2 2 2 2 4 2 2 14 4 5" xfId="14106" xr:uid="{00000000-0005-0000-0000-0000F0360000}"/>
    <cellStyle name="Normal 2 2 2 2 4 2 2 14 4 6" xfId="14107" xr:uid="{00000000-0005-0000-0000-0000F1360000}"/>
    <cellStyle name="Normal 2 2 2 2 4 2 2 14 4 7" xfId="14108" xr:uid="{00000000-0005-0000-0000-0000F2360000}"/>
    <cellStyle name="Normal 2 2 2 2 4 2 2 14 4 8" xfId="14109" xr:uid="{00000000-0005-0000-0000-0000F3360000}"/>
    <cellStyle name="Normal 2 2 2 2 4 2 2 14 4 9" xfId="14110" xr:uid="{00000000-0005-0000-0000-0000F4360000}"/>
    <cellStyle name="Normal 2 2 2 2 4 2 2 14 5" xfId="14111" xr:uid="{00000000-0005-0000-0000-0000F5360000}"/>
    <cellStyle name="Normal 2 2 2 2 4 2 2 14 5 10" xfId="14112" xr:uid="{00000000-0005-0000-0000-0000F6360000}"/>
    <cellStyle name="Normal 2 2 2 2 4 2 2 14 5 2" xfId="14113" xr:uid="{00000000-0005-0000-0000-0000F7360000}"/>
    <cellStyle name="Normal 2 2 2 2 4 2 2 14 5 3" xfId="14114" xr:uid="{00000000-0005-0000-0000-0000F8360000}"/>
    <cellStyle name="Normal 2 2 2 2 4 2 2 14 5 4" xfId="14115" xr:uid="{00000000-0005-0000-0000-0000F9360000}"/>
    <cellStyle name="Normal 2 2 2 2 4 2 2 14 5 5" xfId="14116" xr:uid="{00000000-0005-0000-0000-0000FA360000}"/>
    <cellStyle name="Normal 2 2 2 2 4 2 2 14 5 6" xfId="14117" xr:uid="{00000000-0005-0000-0000-0000FB360000}"/>
    <cellStyle name="Normal 2 2 2 2 4 2 2 14 5 7" xfId="14118" xr:uid="{00000000-0005-0000-0000-0000FC360000}"/>
    <cellStyle name="Normal 2 2 2 2 4 2 2 14 5 8" xfId="14119" xr:uid="{00000000-0005-0000-0000-0000FD360000}"/>
    <cellStyle name="Normal 2 2 2 2 4 2 2 14 5 9" xfId="14120" xr:uid="{00000000-0005-0000-0000-0000FE360000}"/>
    <cellStyle name="Normal 2 2 2 2 4 2 2 14 6" xfId="14121" xr:uid="{00000000-0005-0000-0000-0000FF360000}"/>
    <cellStyle name="Normal 2 2 2 2 4 2 2 14 7" xfId="14122" xr:uid="{00000000-0005-0000-0000-000000370000}"/>
    <cellStyle name="Normal 2 2 2 2 4 2 2 14 8" xfId="14123" xr:uid="{00000000-0005-0000-0000-000001370000}"/>
    <cellStyle name="Normal 2 2 2 2 4 2 2 14 9" xfId="14124" xr:uid="{00000000-0005-0000-0000-000002370000}"/>
    <cellStyle name="Normal 2 2 2 2 4 2 2 15" xfId="14125" xr:uid="{00000000-0005-0000-0000-000003370000}"/>
    <cellStyle name="Normal 2 2 2 2 4 2 2 15 10" xfId="14126" xr:uid="{00000000-0005-0000-0000-000004370000}"/>
    <cellStyle name="Normal 2 2 2 2 4 2 2 15 11" xfId="14127" xr:uid="{00000000-0005-0000-0000-000005370000}"/>
    <cellStyle name="Normal 2 2 2 2 4 2 2 15 12" xfId="14128" xr:uid="{00000000-0005-0000-0000-000006370000}"/>
    <cellStyle name="Normal 2 2 2 2 4 2 2 15 13" xfId="14129" xr:uid="{00000000-0005-0000-0000-000007370000}"/>
    <cellStyle name="Normal 2 2 2 2 4 2 2 15 14" xfId="14130" xr:uid="{00000000-0005-0000-0000-000008370000}"/>
    <cellStyle name="Normal 2 2 2 2 4 2 2 15 2" xfId="14131" xr:uid="{00000000-0005-0000-0000-000009370000}"/>
    <cellStyle name="Normal 2 2 2 2 4 2 2 15 2 10" xfId="14132" xr:uid="{00000000-0005-0000-0000-00000A370000}"/>
    <cellStyle name="Normal 2 2 2 2 4 2 2 15 2 2" xfId="14133" xr:uid="{00000000-0005-0000-0000-00000B370000}"/>
    <cellStyle name="Normal 2 2 2 2 4 2 2 15 2 3" xfId="14134" xr:uid="{00000000-0005-0000-0000-00000C370000}"/>
    <cellStyle name="Normal 2 2 2 2 4 2 2 15 2 4" xfId="14135" xr:uid="{00000000-0005-0000-0000-00000D370000}"/>
    <cellStyle name="Normal 2 2 2 2 4 2 2 15 2 5" xfId="14136" xr:uid="{00000000-0005-0000-0000-00000E370000}"/>
    <cellStyle name="Normal 2 2 2 2 4 2 2 15 2 6" xfId="14137" xr:uid="{00000000-0005-0000-0000-00000F370000}"/>
    <cellStyle name="Normal 2 2 2 2 4 2 2 15 2 7" xfId="14138" xr:uid="{00000000-0005-0000-0000-000010370000}"/>
    <cellStyle name="Normal 2 2 2 2 4 2 2 15 2 8" xfId="14139" xr:uid="{00000000-0005-0000-0000-000011370000}"/>
    <cellStyle name="Normal 2 2 2 2 4 2 2 15 2 9" xfId="14140" xr:uid="{00000000-0005-0000-0000-000012370000}"/>
    <cellStyle name="Normal 2 2 2 2 4 2 2 15 3" xfId="14141" xr:uid="{00000000-0005-0000-0000-000013370000}"/>
    <cellStyle name="Normal 2 2 2 2 4 2 2 15 3 10" xfId="14142" xr:uid="{00000000-0005-0000-0000-000014370000}"/>
    <cellStyle name="Normal 2 2 2 2 4 2 2 15 3 2" xfId="14143" xr:uid="{00000000-0005-0000-0000-000015370000}"/>
    <cellStyle name="Normal 2 2 2 2 4 2 2 15 3 3" xfId="14144" xr:uid="{00000000-0005-0000-0000-000016370000}"/>
    <cellStyle name="Normal 2 2 2 2 4 2 2 15 3 4" xfId="14145" xr:uid="{00000000-0005-0000-0000-000017370000}"/>
    <cellStyle name="Normal 2 2 2 2 4 2 2 15 3 5" xfId="14146" xr:uid="{00000000-0005-0000-0000-000018370000}"/>
    <cellStyle name="Normal 2 2 2 2 4 2 2 15 3 6" xfId="14147" xr:uid="{00000000-0005-0000-0000-000019370000}"/>
    <cellStyle name="Normal 2 2 2 2 4 2 2 15 3 7" xfId="14148" xr:uid="{00000000-0005-0000-0000-00001A370000}"/>
    <cellStyle name="Normal 2 2 2 2 4 2 2 15 3 8" xfId="14149" xr:uid="{00000000-0005-0000-0000-00001B370000}"/>
    <cellStyle name="Normal 2 2 2 2 4 2 2 15 3 9" xfId="14150" xr:uid="{00000000-0005-0000-0000-00001C370000}"/>
    <cellStyle name="Normal 2 2 2 2 4 2 2 15 4" xfId="14151" xr:uid="{00000000-0005-0000-0000-00001D370000}"/>
    <cellStyle name="Normal 2 2 2 2 4 2 2 15 4 10" xfId="14152" xr:uid="{00000000-0005-0000-0000-00001E370000}"/>
    <cellStyle name="Normal 2 2 2 2 4 2 2 15 4 2" xfId="14153" xr:uid="{00000000-0005-0000-0000-00001F370000}"/>
    <cellStyle name="Normal 2 2 2 2 4 2 2 15 4 3" xfId="14154" xr:uid="{00000000-0005-0000-0000-000020370000}"/>
    <cellStyle name="Normal 2 2 2 2 4 2 2 15 4 4" xfId="14155" xr:uid="{00000000-0005-0000-0000-000021370000}"/>
    <cellStyle name="Normal 2 2 2 2 4 2 2 15 4 5" xfId="14156" xr:uid="{00000000-0005-0000-0000-000022370000}"/>
    <cellStyle name="Normal 2 2 2 2 4 2 2 15 4 6" xfId="14157" xr:uid="{00000000-0005-0000-0000-000023370000}"/>
    <cellStyle name="Normal 2 2 2 2 4 2 2 15 4 7" xfId="14158" xr:uid="{00000000-0005-0000-0000-000024370000}"/>
    <cellStyle name="Normal 2 2 2 2 4 2 2 15 4 8" xfId="14159" xr:uid="{00000000-0005-0000-0000-000025370000}"/>
    <cellStyle name="Normal 2 2 2 2 4 2 2 15 4 9" xfId="14160" xr:uid="{00000000-0005-0000-0000-000026370000}"/>
    <cellStyle name="Normal 2 2 2 2 4 2 2 15 5" xfId="14161" xr:uid="{00000000-0005-0000-0000-000027370000}"/>
    <cellStyle name="Normal 2 2 2 2 4 2 2 15 5 10" xfId="14162" xr:uid="{00000000-0005-0000-0000-000028370000}"/>
    <cellStyle name="Normal 2 2 2 2 4 2 2 15 5 2" xfId="14163" xr:uid="{00000000-0005-0000-0000-000029370000}"/>
    <cellStyle name="Normal 2 2 2 2 4 2 2 15 5 3" xfId="14164" xr:uid="{00000000-0005-0000-0000-00002A370000}"/>
    <cellStyle name="Normal 2 2 2 2 4 2 2 15 5 4" xfId="14165" xr:uid="{00000000-0005-0000-0000-00002B370000}"/>
    <cellStyle name="Normal 2 2 2 2 4 2 2 15 5 5" xfId="14166" xr:uid="{00000000-0005-0000-0000-00002C370000}"/>
    <cellStyle name="Normal 2 2 2 2 4 2 2 15 5 6" xfId="14167" xr:uid="{00000000-0005-0000-0000-00002D370000}"/>
    <cellStyle name="Normal 2 2 2 2 4 2 2 15 5 7" xfId="14168" xr:uid="{00000000-0005-0000-0000-00002E370000}"/>
    <cellStyle name="Normal 2 2 2 2 4 2 2 15 5 8" xfId="14169" xr:uid="{00000000-0005-0000-0000-00002F370000}"/>
    <cellStyle name="Normal 2 2 2 2 4 2 2 15 5 9" xfId="14170" xr:uid="{00000000-0005-0000-0000-000030370000}"/>
    <cellStyle name="Normal 2 2 2 2 4 2 2 15 6" xfId="14171" xr:uid="{00000000-0005-0000-0000-000031370000}"/>
    <cellStyle name="Normal 2 2 2 2 4 2 2 15 7" xfId="14172" xr:uid="{00000000-0005-0000-0000-000032370000}"/>
    <cellStyle name="Normal 2 2 2 2 4 2 2 15 8" xfId="14173" xr:uid="{00000000-0005-0000-0000-000033370000}"/>
    <cellStyle name="Normal 2 2 2 2 4 2 2 15 9" xfId="14174" xr:uid="{00000000-0005-0000-0000-000034370000}"/>
    <cellStyle name="Normal 2 2 2 2 4 2 2 16" xfId="14175" xr:uid="{00000000-0005-0000-0000-000035370000}"/>
    <cellStyle name="Normal 2 2 2 2 4 2 2 16 10" xfId="14176" xr:uid="{00000000-0005-0000-0000-000036370000}"/>
    <cellStyle name="Normal 2 2 2 2 4 2 2 16 11" xfId="14177" xr:uid="{00000000-0005-0000-0000-000037370000}"/>
    <cellStyle name="Normal 2 2 2 2 4 2 2 16 12" xfId="14178" xr:uid="{00000000-0005-0000-0000-000038370000}"/>
    <cellStyle name="Normal 2 2 2 2 4 2 2 16 13" xfId="14179" xr:uid="{00000000-0005-0000-0000-000039370000}"/>
    <cellStyle name="Normal 2 2 2 2 4 2 2 16 14" xfId="14180" xr:uid="{00000000-0005-0000-0000-00003A370000}"/>
    <cellStyle name="Normal 2 2 2 2 4 2 2 16 2" xfId="14181" xr:uid="{00000000-0005-0000-0000-00003B370000}"/>
    <cellStyle name="Normal 2 2 2 2 4 2 2 16 2 10" xfId="14182" xr:uid="{00000000-0005-0000-0000-00003C370000}"/>
    <cellStyle name="Normal 2 2 2 2 4 2 2 16 2 2" xfId="14183" xr:uid="{00000000-0005-0000-0000-00003D370000}"/>
    <cellStyle name="Normal 2 2 2 2 4 2 2 16 2 3" xfId="14184" xr:uid="{00000000-0005-0000-0000-00003E370000}"/>
    <cellStyle name="Normal 2 2 2 2 4 2 2 16 2 4" xfId="14185" xr:uid="{00000000-0005-0000-0000-00003F370000}"/>
    <cellStyle name="Normal 2 2 2 2 4 2 2 16 2 5" xfId="14186" xr:uid="{00000000-0005-0000-0000-000040370000}"/>
    <cellStyle name="Normal 2 2 2 2 4 2 2 16 2 6" xfId="14187" xr:uid="{00000000-0005-0000-0000-000041370000}"/>
    <cellStyle name="Normal 2 2 2 2 4 2 2 16 2 7" xfId="14188" xr:uid="{00000000-0005-0000-0000-000042370000}"/>
    <cellStyle name="Normal 2 2 2 2 4 2 2 16 2 8" xfId="14189" xr:uid="{00000000-0005-0000-0000-000043370000}"/>
    <cellStyle name="Normal 2 2 2 2 4 2 2 16 2 9" xfId="14190" xr:uid="{00000000-0005-0000-0000-000044370000}"/>
    <cellStyle name="Normal 2 2 2 2 4 2 2 16 3" xfId="14191" xr:uid="{00000000-0005-0000-0000-000045370000}"/>
    <cellStyle name="Normal 2 2 2 2 4 2 2 16 3 10" xfId="14192" xr:uid="{00000000-0005-0000-0000-000046370000}"/>
    <cellStyle name="Normal 2 2 2 2 4 2 2 16 3 2" xfId="14193" xr:uid="{00000000-0005-0000-0000-000047370000}"/>
    <cellStyle name="Normal 2 2 2 2 4 2 2 16 3 3" xfId="14194" xr:uid="{00000000-0005-0000-0000-000048370000}"/>
    <cellStyle name="Normal 2 2 2 2 4 2 2 16 3 4" xfId="14195" xr:uid="{00000000-0005-0000-0000-000049370000}"/>
    <cellStyle name="Normal 2 2 2 2 4 2 2 16 3 5" xfId="14196" xr:uid="{00000000-0005-0000-0000-00004A370000}"/>
    <cellStyle name="Normal 2 2 2 2 4 2 2 16 3 6" xfId="14197" xr:uid="{00000000-0005-0000-0000-00004B370000}"/>
    <cellStyle name="Normal 2 2 2 2 4 2 2 16 3 7" xfId="14198" xr:uid="{00000000-0005-0000-0000-00004C370000}"/>
    <cellStyle name="Normal 2 2 2 2 4 2 2 16 3 8" xfId="14199" xr:uid="{00000000-0005-0000-0000-00004D370000}"/>
    <cellStyle name="Normal 2 2 2 2 4 2 2 16 3 9" xfId="14200" xr:uid="{00000000-0005-0000-0000-00004E370000}"/>
    <cellStyle name="Normal 2 2 2 2 4 2 2 16 4" xfId="14201" xr:uid="{00000000-0005-0000-0000-00004F370000}"/>
    <cellStyle name="Normal 2 2 2 2 4 2 2 16 4 10" xfId="14202" xr:uid="{00000000-0005-0000-0000-000050370000}"/>
    <cellStyle name="Normal 2 2 2 2 4 2 2 16 4 2" xfId="14203" xr:uid="{00000000-0005-0000-0000-000051370000}"/>
    <cellStyle name="Normal 2 2 2 2 4 2 2 16 4 3" xfId="14204" xr:uid="{00000000-0005-0000-0000-000052370000}"/>
    <cellStyle name="Normal 2 2 2 2 4 2 2 16 4 4" xfId="14205" xr:uid="{00000000-0005-0000-0000-000053370000}"/>
    <cellStyle name="Normal 2 2 2 2 4 2 2 16 4 5" xfId="14206" xr:uid="{00000000-0005-0000-0000-000054370000}"/>
    <cellStyle name="Normal 2 2 2 2 4 2 2 16 4 6" xfId="14207" xr:uid="{00000000-0005-0000-0000-000055370000}"/>
    <cellStyle name="Normal 2 2 2 2 4 2 2 16 4 7" xfId="14208" xr:uid="{00000000-0005-0000-0000-000056370000}"/>
    <cellStyle name="Normal 2 2 2 2 4 2 2 16 4 8" xfId="14209" xr:uid="{00000000-0005-0000-0000-000057370000}"/>
    <cellStyle name="Normal 2 2 2 2 4 2 2 16 4 9" xfId="14210" xr:uid="{00000000-0005-0000-0000-000058370000}"/>
    <cellStyle name="Normal 2 2 2 2 4 2 2 16 5" xfId="14211" xr:uid="{00000000-0005-0000-0000-000059370000}"/>
    <cellStyle name="Normal 2 2 2 2 4 2 2 16 5 10" xfId="14212" xr:uid="{00000000-0005-0000-0000-00005A370000}"/>
    <cellStyle name="Normal 2 2 2 2 4 2 2 16 5 2" xfId="14213" xr:uid="{00000000-0005-0000-0000-00005B370000}"/>
    <cellStyle name="Normal 2 2 2 2 4 2 2 16 5 3" xfId="14214" xr:uid="{00000000-0005-0000-0000-00005C370000}"/>
    <cellStyle name="Normal 2 2 2 2 4 2 2 16 5 4" xfId="14215" xr:uid="{00000000-0005-0000-0000-00005D370000}"/>
    <cellStyle name="Normal 2 2 2 2 4 2 2 16 5 5" xfId="14216" xr:uid="{00000000-0005-0000-0000-00005E370000}"/>
    <cellStyle name="Normal 2 2 2 2 4 2 2 16 5 6" xfId="14217" xr:uid="{00000000-0005-0000-0000-00005F370000}"/>
    <cellStyle name="Normal 2 2 2 2 4 2 2 16 5 7" xfId="14218" xr:uid="{00000000-0005-0000-0000-000060370000}"/>
    <cellStyle name="Normal 2 2 2 2 4 2 2 16 5 8" xfId="14219" xr:uid="{00000000-0005-0000-0000-000061370000}"/>
    <cellStyle name="Normal 2 2 2 2 4 2 2 16 5 9" xfId="14220" xr:uid="{00000000-0005-0000-0000-000062370000}"/>
    <cellStyle name="Normal 2 2 2 2 4 2 2 16 6" xfId="14221" xr:uid="{00000000-0005-0000-0000-000063370000}"/>
    <cellStyle name="Normal 2 2 2 2 4 2 2 16 7" xfId="14222" xr:uid="{00000000-0005-0000-0000-000064370000}"/>
    <cellStyle name="Normal 2 2 2 2 4 2 2 16 8" xfId="14223" xr:uid="{00000000-0005-0000-0000-000065370000}"/>
    <cellStyle name="Normal 2 2 2 2 4 2 2 16 9" xfId="14224" xr:uid="{00000000-0005-0000-0000-000066370000}"/>
    <cellStyle name="Normal 2 2 2 2 4 2 2 17" xfId="14225" xr:uid="{00000000-0005-0000-0000-000067370000}"/>
    <cellStyle name="Normal 2 2 2 2 4 2 2 17 10" xfId="14226" xr:uid="{00000000-0005-0000-0000-000068370000}"/>
    <cellStyle name="Normal 2 2 2 2 4 2 2 17 11" xfId="14227" xr:uid="{00000000-0005-0000-0000-000069370000}"/>
    <cellStyle name="Normal 2 2 2 2 4 2 2 17 12" xfId="14228" xr:uid="{00000000-0005-0000-0000-00006A370000}"/>
    <cellStyle name="Normal 2 2 2 2 4 2 2 17 13" xfId="14229" xr:uid="{00000000-0005-0000-0000-00006B370000}"/>
    <cellStyle name="Normal 2 2 2 2 4 2 2 17 14" xfId="14230" xr:uid="{00000000-0005-0000-0000-00006C370000}"/>
    <cellStyle name="Normal 2 2 2 2 4 2 2 17 2" xfId="14231" xr:uid="{00000000-0005-0000-0000-00006D370000}"/>
    <cellStyle name="Normal 2 2 2 2 4 2 2 17 2 10" xfId="14232" xr:uid="{00000000-0005-0000-0000-00006E370000}"/>
    <cellStyle name="Normal 2 2 2 2 4 2 2 17 2 2" xfId="14233" xr:uid="{00000000-0005-0000-0000-00006F370000}"/>
    <cellStyle name="Normal 2 2 2 2 4 2 2 17 2 3" xfId="14234" xr:uid="{00000000-0005-0000-0000-000070370000}"/>
    <cellStyle name="Normal 2 2 2 2 4 2 2 17 2 4" xfId="14235" xr:uid="{00000000-0005-0000-0000-000071370000}"/>
    <cellStyle name="Normal 2 2 2 2 4 2 2 17 2 5" xfId="14236" xr:uid="{00000000-0005-0000-0000-000072370000}"/>
    <cellStyle name="Normal 2 2 2 2 4 2 2 17 2 6" xfId="14237" xr:uid="{00000000-0005-0000-0000-000073370000}"/>
    <cellStyle name="Normal 2 2 2 2 4 2 2 17 2 7" xfId="14238" xr:uid="{00000000-0005-0000-0000-000074370000}"/>
    <cellStyle name="Normal 2 2 2 2 4 2 2 17 2 8" xfId="14239" xr:uid="{00000000-0005-0000-0000-000075370000}"/>
    <cellStyle name="Normal 2 2 2 2 4 2 2 17 2 9" xfId="14240" xr:uid="{00000000-0005-0000-0000-000076370000}"/>
    <cellStyle name="Normal 2 2 2 2 4 2 2 17 3" xfId="14241" xr:uid="{00000000-0005-0000-0000-000077370000}"/>
    <cellStyle name="Normal 2 2 2 2 4 2 2 17 3 10" xfId="14242" xr:uid="{00000000-0005-0000-0000-000078370000}"/>
    <cellStyle name="Normal 2 2 2 2 4 2 2 17 3 2" xfId="14243" xr:uid="{00000000-0005-0000-0000-000079370000}"/>
    <cellStyle name="Normal 2 2 2 2 4 2 2 17 3 3" xfId="14244" xr:uid="{00000000-0005-0000-0000-00007A370000}"/>
    <cellStyle name="Normal 2 2 2 2 4 2 2 17 3 4" xfId="14245" xr:uid="{00000000-0005-0000-0000-00007B370000}"/>
    <cellStyle name="Normal 2 2 2 2 4 2 2 17 3 5" xfId="14246" xr:uid="{00000000-0005-0000-0000-00007C370000}"/>
    <cellStyle name="Normal 2 2 2 2 4 2 2 17 3 6" xfId="14247" xr:uid="{00000000-0005-0000-0000-00007D370000}"/>
    <cellStyle name="Normal 2 2 2 2 4 2 2 17 3 7" xfId="14248" xr:uid="{00000000-0005-0000-0000-00007E370000}"/>
    <cellStyle name="Normal 2 2 2 2 4 2 2 17 3 8" xfId="14249" xr:uid="{00000000-0005-0000-0000-00007F370000}"/>
    <cellStyle name="Normal 2 2 2 2 4 2 2 17 3 9" xfId="14250" xr:uid="{00000000-0005-0000-0000-000080370000}"/>
    <cellStyle name="Normal 2 2 2 2 4 2 2 17 4" xfId="14251" xr:uid="{00000000-0005-0000-0000-000081370000}"/>
    <cellStyle name="Normal 2 2 2 2 4 2 2 17 4 10" xfId="14252" xr:uid="{00000000-0005-0000-0000-000082370000}"/>
    <cellStyle name="Normal 2 2 2 2 4 2 2 17 4 2" xfId="14253" xr:uid="{00000000-0005-0000-0000-000083370000}"/>
    <cellStyle name="Normal 2 2 2 2 4 2 2 17 4 3" xfId="14254" xr:uid="{00000000-0005-0000-0000-000084370000}"/>
    <cellStyle name="Normal 2 2 2 2 4 2 2 17 4 4" xfId="14255" xr:uid="{00000000-0005-0000-0000-000085370000}"/>
    <cellStyle name="Normal 2 2 2 2 4 2 2 17 4 5" xfId="14256" xr:uid="{00000000-0005-0000-0000-000086370000}"/>
    <cellStyle name="Normal 2 2 2 2 4 2 2 17 4 6" xfId="14257" xr:uid="{00000000-0005-0000-0000-000087370000}"/>
    <cellStyle name="Normal 2 2 2 2 4 2 2 17 4 7" xfId="14258" xr:uid="{00000000-0005-0000-0000-000088370000}"/>
    <cellStyle name="Normal 2 2 2 2 4 2 2 17 4 8" xfId="14259" xr:uid="{00000000-0005-0000-0000-000089370000}"/>
    <cellStyle name="Normal 2 2 2 2 4 2 2 17 4 9" xfId="14260" xr:uid="{00000000-0005-0000-0000-00008A370000}"/>
    <cellStyle name="Normal 2 2 2 2 4 2 2 17 5" xfId="14261" xr:uid="{00000000-0005-0000-0000-00008B370000}"/>
    <cellStyle name="Normal 2 2 2 2 4 2 2 17 5 10" xfId="14262" xr:uid="{00000000-0005-0000-0000-00008C370000}"/>
    <cellStyle name="Normal 2 2 2 2 4 2 2 17 5 2" xfId="14263" xr:uid="{00000000-0005-0000-0000-00008D370000}"/>
    <cellStyle name="Normal 2 2 2 2 4 2 2 17 5 3" xfId="14264" xr:uid="{00000000-0005-0000-0000-00008E370000}"/>
    <cellStyle name="Normal 2 2 2 2 4 2 2 17 5 4" xfId="14265" xr:uid="{00000000-0005-0000-0000-00008F370000}"/>
    <cellStyle name="Normal 2 2 2 2 4 2 2 17 5 5" xfId="14266" xr:uid="{00000000-0005-0000-0000-000090370000}"/>
    <cellStyle name="Normal 2 2 2 2 4 2 2 17 5 6" xfId="14267" xr:uid="{00000000-0005-0000-0000-000091370000}"/>
    <cellStyle name="Normal 2 2 2 2 4 2 2 17 5 7" xfId="14268" xr:uid="{00000000-0005-0000-0000-000092370000}"/>
    <cellStyle name="Normal 2 2 2 2 4 2 2 17 5 8" xfId="14269" xr:uid="{00000000-0005-0000-0000-000093370000}"/>
    <cellStyle name="Normal 2 2 2 2 4 2 2 17 5 9" xfId="14270" xr:uid="{00000000-0005-0000-0000-000094370000}"/>
    <cellStyle name="Normal 2 2 2 2 4 2 2 17 6" xfId="14271" xr:uid="{00000000-0005-0000-0000-000095370000}"/>
    <cellStyle name="Normal 2 2 2 2 4 2 2 17 7" xfId="14272" xr:uid="{00000000-0005-0000-0000-000096370000}"/>
    <cellStyle name="Normal 2 2 2 2 4 2 2 17 8" xfId="14273" xr:uid="{00000000-0005-0000-0000-000097370000}"/>
    <cellStyle name="Normal 2 2 2 2 4 2 2 17 9" xfId="14274" xr:uid="{00000000-0005-0000-0000-000098370000}"/>
    <cellStyle name="Normal 2 2 2 2 4 2 2 18" xfId="14275" xr:uid="{00000000-0005-0000-0000-000099370000}"/>
    <cellStyle name="Normal 2 2 2 2 4 2 2 18 10" xfId="14276" xr:uid="{00000000-0005-0000-0000-00009A370000}"/>
    <cellStyle name="Normal 2 2 2 2 4 2 2 18 11" xfId="14277" xr:uid="{00000000-0005-0000-0000-00009B370000}"/>
    <cellStyle name="Normal 2 2 2 2 4 2 2 18 12" xfId="14278" xr:uid="{00000000-0005-0000-0000-00009C370000}"/>
    <cellStyle name="Normal 2 2 2 2 4 2 2 18 13" xfId="14279" xr:uid="{00000000-0005-0000-0000-00009D370000}"/>
    <cellStyle name="Normal 2 2 2 2 4 2 2 18 14" xfId="14280" xr:uid="{00000000-0005-0000-0000-00009E370000}"/>
    <cellStyle name="Normal 2 2 2 2 4 2 2 18 2" xfId="14281" xr:uid="{00000000-0005-0000-0000-00009F370000}"/>
    <cellStyle name="Normal 2 2 2 2 4 2 2 18 2 10" xfId="14282" xr:uid="{00000000-0005-0000-0000-0000A0370000}"/>
    <cellStyle name="Normal 2 2 2 2 4 2 2 18 2 2" xfId="14283" xr:uid="{00000000-0005-0000-0000-0000A1370000}"/>
    <cellStyle name="Normal 2 2 2 2 4 2 2 18 2 3" xfId="14284" xr:uid="{00000000-0005-0000-0000-0000A2370000}"/>
    <cellStyle name="Normal 2 2 2 2 4 2 2 18 2 4" xfId="14285" xr:uid="{00000000-0005-0000-0000-0000A3370000}"/>
    <cellStyle name="Normal 2 2 2 2 4 2 2 18 2 5" xfId="14286" xr:uid="{00000000-0005-0000-0000-0000A4370000}"/>
    <cellStyle name="Normal 2 2 2 2 4 2 2 18 2 6" xfId="14287" xr:uid="{00000000-0005-0000-0000-0000A5370000}"/>
    <cellStyle name="Normal 2 2 2 2 4 2 2 18 2 7" xfId="14288" xr:uid="{00000000-0005-0000-0000-0000A6370000}"/>
    <cellStyle name="Normal 2 2 2 2 4 2 2 18 2 8" xfId="14289" xr:uid="{00000000-0005-0000-0000-0000A7370000}"/>
    <cellStyle name="Normal 2 2 2 2 4 2 2 18 2 9" xfId="14290" xr:uid="{00000000-0005-0000-0000-0000A8370000}"/>
    <cellStyle name="Normal 2 2 2 2 4 2 2 18 3" xfId="14291" xr:uid="{00000000-0005-0000-0000-0000A9370000}"/>
    <cellStyle name="Normal 2 2 2 2 4 2 2 18 3 10" xfId="14292" xr:uid="{00000000-0005-0000-0000-0000AA370000}"/>
    <cellStyle name="Normal 2 2 2 2 4 2 2 18 3 2" xfId="14293" xr:uid="{00000000-0005-0000-0000-0000AB370000}"/>
    <cellStyle name="Normal 2 2 2 2 4 2 2 18 3 3" xfId="14294" xr:uid="{00000000-0005-0000-0000-0000AC370000}"/>
    <cellStyle name="Normal 2 2 2 2 4 2 2 18 3 4" xfId="14295" xr:uid="{00000000-0005-0000-0000-0000AD370000}"/>
    <cellStyle name="Normal 2 2 2 2 4 2 2 18 3 5" xfId="14296" xr:uid="{00000000-0005-0000-0000-0000AE370000}"/>
    <cellStyle name="Normal 2 2 2 2 4 2 2 18 3 6" xfId="14297" xr:uid="{00000000-0005-0000-0000-0000AF370000}"/>
    <cellStyle name="Normal 2 2 2 2 4 2 2 18 3 7" xfId="14298" xr:uid="{00000000-0005-0000-0000-0000B0370000}"/>
    <cellStyle name="Normal 2 2 2 2 4 2 2 18 3 8" xfId="14299" xr:uid="{00000000-0005-0000-0000-0000B1370000}"/>
    <cellStyle name="Normal 2 2 2 2 4 2 2 18 3 9" xfId="14300" xr:uid="{00000000-0005-0000-0000-0000B2370000}"/>
    <cellStyle name="Normal 2 2 2 2 4 2 2 18 4" xfId="14301" xr:uid="{00000000-0005-0000-0000-0000B3370000}"/>
    <cellStyle name="Normal 2 2 2 2 4 2 2 18 4 10" xfId="14302" xr:uid="{00000000-0005-0000-0000-0000B4370000}"/>
    <cellStyle name="Normal 2 2 2 2 4 2 2 18 4 2" xfId="14303" xr:uid="{00000000-0005-0000-0000-0000B5370000}"/>
    <cellStyle name="Normal 2 2 2 2 4 2 2 18 4 3" xfId="14304" xr:uid="{00000000-0005-0000-0000-0000B6370000}"/>
    <cellStyle name="Normal 2 2 2 2 4 2 2 18 4 4" xfId="14305" xr:uid="{00000000-0005-0000-0000-0000B7370000}"/>
    <cellStyle name="Normal 2 2 2 2 4 2 2 18 4 5" xfId="14306" xr:uid="{00000000-0005-0000-0000-0000B8370000}"/>
    <cellStyle name="Normal 2 2 2 2 4 2 2 18 4 6" xfId="14307" xr:uid="{00000000-0005-0000-0000-0000B9370000}"/>
    <cellStyle name="Normal 2 2 2 2 4 2 2 18 4 7" xfId="14308" xr:uid="{00000000-0005-0000-0000-0000BA370000}"/>
    <cellStyle name="Normal 2 2 2 2 4 2 2 18 4 8" xfId="14309" xr:uid="{00000000-0005-0000-0000-0000BB370000}"/>
    <cellStyle name="Normal 2 2 2 2 4 2 2 18 4 9" xfId="14310" xr:uid="{00000000-0005-0000-0000-0000BC370000}"/>
    <cellStyle name="Normal 2 2 2 2 4 2 2 18 5" xfId="14311" xr:uid="{00000000-0005-0000-0000-0000BD370000}"/>
    <cellStyle name="Normal 2 2 2 2 4 2 2 18 5 10" xfId="14312" xr:uid="{00000000-0005-0000-0000-0000BE370000}"/>
    <cellStyle name="Normal 2 2 2 2 4 2 2 18 5 2" xfId="14313" xr:uid="{00000000-0005-0000-0000-0000BF370000}"/>
    <cellStyle name="Normal 2 2 2 2 4 2 2 18 5 3" xfId="14314" xr:uid="{00000000-0005-0000-0000-0000C0370000}"/>
    <cellStyle name="Normal 2 2 2 2 4 2 2 18 5 4" xfId="14315" xr:uid="{00000000-0005-0000-0000-0000C1370000}"/>
    <cellStyle name="Normal 2 2 2 2 4 2 2 18 5 5" xfId="14316" xr:uid="{00000000-0005-0000-0000-0000C2370000}"/>
    <cellStyle name="Normal 2 2 2 2 4 2 2 18 5 6" xfId="14317" xr:uid="{00000000-0005-0000-0000-0000C3370000}"/>
    <cellStyle name="Normal 2 2 2 2 4 2 2 18 5 7" xfId="14318" xr:uid="{00000000-0005-0000-0000-0000C4370000}"/>
    <cellStyle name="Normal 2 2 2 2 4 2 2 18 5 8" xfId="14319" xr:uid="{00000000-0005-0000-0000-0000C5370000}"/>
    <cellStyle name="Normal 2 2 2 2 4 2 2 18 5 9" xfId="14320" xr:uid="{00000000-0005-0000-0000-0000C6370000}"/>
    <cellStyle name="Normal 2 2 2 2 4 2 2 18 6" xfId="14321" xr:uid="{00000000-0005-0000-0000-0000C7370000}"/>
    <cellStyle name="Normal 2 2 2 2 4 2 2 18 7" xfId="14322" xr:uid="{00000000-0005-0000-0000-0000C8370000}"/>
    <cellStyle name="Normal 2 2 2 2 4 2 2 18 8" xfId="14323" xr:uid="{00000000-0005-0000-0000-0000C9370000}"/>
    <cellStyle name="Normal 2 2 2 2 4 2 2 18 9" xfId="14324" xr:uid="{00000000-0005-0000-0000-0000CA370000}"/>
    <cellStyle name="Normal 2 2 2 2 4 2 2 19" xfId="14325" xr:uid="{00000000-0005-0000-0000-0000CB370000}"/>
    <cellStyle name="Normal 2 2 2 2 4 2 2 19 10" xfId="14326" xr:uid="{00000000-0005-0000-0000-0000CC370000}"/>
    <cellStyle name="Normal 2 2 2 2 4 2 2 19 11" xfId="14327" xr:uid="{00000000-0005-0000-0000-0000CD370000}"/>
    <cellStyle name="Normal 2 2 2 2 4 2 2 19 12" xfId="14328" xr:uid="{00000000-0005-0000-0000-0000CE370000}"/>
    <cellStyle name="Normal 2 2 2 2 4 2 2 19 13" xfId="14329" xr:uid="{00000000-0005-0000-0000-0000CF370000}"/>
    <cellStyle name="Normal 2 2 2 2 4 2 2 19 14" xfId="14330" xr:uid="{00000000-0005-0000-0000-0000D0370000}"/>
    <cellStyle name="Normal 2 2 2 2 4 2 2 19 2" xfId="14331" xr:uid="{00000000-0005-0000-0000-0000D1370000}"/>
    <cellStyle name="Normal 2 2 2 2 4 2 2 19 2 10" xfId="14332" xr:uid="{00000000-0005-0000-0000-0000D2370000}"/>
    <cellStyle name="Normal 2 2 2 2 4 2 2 19 2 2" xfId="14333" xr:uid="{00000000-0005-0000-0000-0000D3370000}"/>
    <cellStyle name="Normal 2 2 2 2 4 2 2 19 2 3" xfId="14334" xr:uid="{00000000-0005-0000-0000-0000D4370000}"/>
    <cellStyle name="Normal 2 2 2 2 4 2 2 19 2 4" xfId="14335" xr:uid="{00000000-0005-0000-0000-0000D5370000}"/>
    <cellStyle name="Normal 2 2 2 2 4 2 2 19 2 5" xfId="14336" xr:uid="{00000000-0005-0000-0000-0000D6370000}"/>
    <cellStyle name="Normal 2 2 2 2 4 2 2 19 2 6" xfId="14337" xr:uid="{00000000-0005-0000-0000-0000D7370000}"/>
    <cellStyle name="Normal 2 2 2 2 4 2 2 19 2 7" xfId="14338" xr:uid="{00000000-0005-0000-0000-0000D8370000}"/>
    <cellStyle name="Normal 2 2 2 2 4 2 2 19 2 8" xfId="14339" xr:uid="{00000000-0005-0000-0000-0000D9370000}"/>
    <cellStyle name="Normal 2 2 2 2 4 2 2 19 2 9" xfId="14340" xr:uid="{00000000-0005-0000-0000-0000DA370000}"/>
    <cellStyle name="Normal 2 2 2 2 4 2 2 19 3" xfId="14341" xr:uid="{00000000-0005-0000-0000-0000DB370000}"/>
    <cellStyle name="Normal 2 2 2 2 4 2 2 19 3 10" xfId="14342" xr:uid="{00000000-0005-0000-0000-0000DC370000}"/>
    <cellStyle name="Normal 2 2 2 2 4 2 2 19 3 2" xfId="14343" xr:uid="{00000000-0005-0000-0000-0000DD370000}"/>
    <cellStyle name="Normal 2 2 2 2 4 2 2 19 3 3" xfId="14344" xr:uid="{00000000-0005-0000-0000-0000DE370000}"/>
    <cellStyle name="Normal 2 2 2 2 4 2 2 19 3 4" xfId="14345" xr:uid="{00000000-0005-0000-0000-0000DF370000}"/>
    <cellStyle name="Normal 2 2 2 2 4 2 2 19 3 5" xfId="14346" xr:uid="{00000000-0005-0000-0000-0000E0370000}"/>
    <cellStyle name="Normal 2 2 2 2 4 2 2 19 3 6" xfId="14347" xr:uid="{00000000-0005-0000-0000-0000E1370000}"/>
    <cellStyle name="Normal 2 2 2 2 4 2 2 19 3 7" xfId="14348" xr:uid="{00000000-0005-0000-0000-0000E2370000}"/>
    <cellStyle name="Normal 2 2 2 2 4 2 2 19 3 8" xfId="14349" xr:uid="{00000000-0005-0000-0000-0000E3370000}"/>
    <cellStyle name="Normal 2 2 2 2 4 2 2 19 3 9" xfId="14350" xr:uid="{00000000-0005-0000-0000-0000E4370000}"/>
    <cellStyle name="Normal 2 2 2 2 4 2 2 19 4" xfId="14351" xr:uid="{00000000-0005-0000-0000-0000E5370000}"/>
    <cellStyle name="Normal 2 2 2 2 4 2 2 19 4 10" xfId="14352" xr:uid="{00000000-0005-0000-0000-0000E6370000}"/>
    <cellStyle name="Normal 2 2 2 2 4 2 2 19 4 2" xfId="14353" xr:uid="{00000000-0005-0000-0000-0000E7370000}"/>
    <cellStyle name="Normal 2 2 2 2 4 2 2 19 4 3" xfId="14354" xr:uid="{00000000-0005-0000-0000-0000E8370000}"/>
    <cellStyle name="Normal 2 2 2 2 4 2 2 19 4 4" xfId="14355" xr:uid="{00000000-0005-0000-0000-0000E9370000}"/>
    <cellStyle name="Normal 2 2 2 2 4 2 2 19 4 5" xfId="14356" xr:uid="{00000000-0005-0000-0000-0000EA370000}"/>
    <cellStyle name="Normal 2 2 2 2 4 2 2 19 4 6" xfId="14357" xr:uid="{00000000-0005-0000-0000-0000EB370000}"/>
    <cellStyle name="Normal 2 2 2 2 4 2 2 19 4 7" xfId="14358" xr:uid="{00000000-0005-0000-0000-0000EC370000}"/>
    <cellStyle name="Normal 2 2 2 2 4 2 2 19 4 8" xfId="14359" xr:uid="{00000000-0005-0000-0000-0000ED370000}"/>
    <cellStyle name="Normal 2 2 2 2 4 2 2 19 4 9" xfId="14360" xr:uid="{00000000-0005-0000-0000-0000EE370000}"/>
    <cellStyle name="Normal 2 2 2 2 4 2 2 19 5" xfId="14361" xr:uid="{00000000-0005-0000-0000-0000EF370000}"/>
    <cellStyle name="Normal 2 2 2 2 4 2 2 19 5 10" xfId="14362" xr:uid="{00000000-0005-0000-0000-0000F0370000}"/>
    <cellStyle name="Normal 2 2 2 2 4 2 2 19 5 2" xfId="14363" xr:uid="{00000000-0005-0000-0000-0000F1370000}"/>
    <cellStyle name="Normal 2 2 2 2 4 2 2 19 5 3" xfId="14364" xr:uid="{00000000-0005-0000-0000-0000F2370000}"/>
    <cellStyle name="Normal 2 2 2 2 4 2 2 19 5 4" xfId="14365" xr:uid="{00000000-0005-0000-0000-0000F3370000}"/>
    <cellStyle name="Normal 2 2 2 2 4 2 2 19 5 5" xfId="14366" xr:uid="{00000000-0005-0000-0000-0000F4370000}"/>
    <cellStyle name="Normal 2 2 2 2 4 2 2 19 5 6" xfId="14367" xr:uid="{00000000-0005-0000-0000-0000F5370000}"/>
    <cellStyle name="Normal 2 2 2 2 4 2 2 19 5 7" xfId="14368" xr:uid="{00000000-0005-0000-0000-0000F6370000}"/>
    <cellStyle name="Normal 2 2 2 2 4 2 2 19 5 8" xfId="14369" xr:uid="{00000000-0005-0000-0000-0000F7370000}"/>
    <cellStyle name="Normal 2 2 2 2 4 2 2 19 5 9" xfId="14370" xr:uid="{00000000-0005-0000-0000-0000F8370000}"/>
    <cellStyle name="Normal 2 2 2 2 4 2 2 19 6" xfId="14371" xr:uid="{00000000-0005-0000-0000-0000F9370000}"/>
    <cellStyle name="Normal 2 2 2 2 4 2 2 19 7" xfId="14372" xr:uid="{00000000-0005-0000-0000-0000FA370000}"/>
    <cellStyle name="Normal 2 2 2 2 4 2 2 19 8" xfId="14373" xr:uid="{00000000-0005-0000-0000-0000FB370000}"/>
    <cellStyle name="Normal 2 2 2 2 4 2 2 19 9" xfId="14374" xr:uid="{00000000-0005-0000-0000-0000FC370000}"/>
    <cellStyle name="Normal 2 2 2 2 4 2 2 2" xfId="14375" xr:uid="{00000000-0005-0000-0000-0000FD370000}"/>
    <cellStyle name="Normal 2 2 2 2 4 2 2 2 10" xfId="14376" xr:uid="{00000000-0005-0000-0000-0000FE370000}"/>
    <cellStyle name="Normal 2 2 2 2 4 2 2 2 11" xfId="14377" xr:uid="{00000000-0005-0000-0000-0000FF370000}"/>
    <cellStyle name="Normal 2 2 2 2 4 2 2 2 12" xfId="14378" xr:uid="{00000000-0005-0000-0000-000000380000}"/>
    <cellStyle name="Normal 2 2 2 2 4 2 2 2 13" xfId="14379" xr:uid="{00000000-0005-0000-0000-000001380000}"/>
    <cellStyle name="Normal 2 2 2 2 4 2 2 2 14" xfId="14380" xr:uid="{00000000-0005-0000-0000-000002380000}"/>
    <cellStyle name="Normal 2 2 2 2 4 2 2 2 2" xfId="14381" xr:uid="{00000000-0005-0000-0000-000003380000}"/>
    <cellStyle name="Normal 2 2 2 2 4 2 2 2 2 10" xfId="14382" xr:uid="{00000000-0005-0000-0000-000004380000}"/>
    <cellStyle name="Normal 2 2 2 2 4 2 2 2 2 2" xfId="14383" xr:uid="{00000000-0005-0000-0000-000005380000}"/>
    <cellStyle name="Normal 2 2 2 2 4 2 2 2 2 3" xfId="14384" xr:uid="{00000000-0005-0000-0000-000006380000}"/>
    <cellStyle name="Normal 2 2 2 2 4 2 2 2 2 4" xfId="14385" xr:uid="{00000000-0005-0000-0000-000007380000}"/>
    <cellStyle name="Normal 2 2 2 2 4 2 2 2 2 5" xfId="14386" xr:uid="{00000000-0005-0000-0000-000008380000}"/>
    <cellStyle name="Normal 2 2 2 2 4 2 2 2 2 6" xfId="14387" xr:uid="{00000000-0005-0000-0000-000009380000}"/>
    <cellStyle name="Normal 2 2 2 2 4 2 2 2 2 7" xfId="14388" xr:uid="{00000000-0005-0000-0000-00000A380000}"/>
    <cellStyle name="Normal 2 2 2 2 4 2 2 2 2 8" xfId="14389" xr:uid="{00000000-0005-0000-0000-00000B380000}"/>
    <cellStyle name="Normal 2 2 2 2 4 2 2 2 2 9" xfId="14390" xr:uid="{00000000-0005-0000-0000-00000C380000}"/>
    <cellStyle name="Normal 2 2 2 2 4 2 2 2 3" xfId="14391" xr:uid="{00000000-0005-0000-0000-00000D380000}"/>
    <cellStyle name="Normal 2 2 2 2 4 2 2 2 3 10" xfId="14392" xr:uid="{00000000-0005-0000-0000-00000E380000}"/>
    <cellStyle name="Normal 2 2 2 2 4 2 2 2 3 2" xfId="14393" xr:uid="{00000000-0005-0000-0000-00000F380000}"/>
    <cellStyle name="Normal 2 2 2 2 4 2 2 2 3 3" xfId="14394" xr:uid="{00000000-0005-0000-0000-000010380000}"/>
    <cellStyle name="Normal 2 2 2 2 4 2 2 2 3 4" xfId="14395" xr:uid="{00000000-0005-0000-0000-000011380000}"/>
    <cellStyle name="Normal 2 2 2 2 4 2 2 2 3 5" xfId="14396" xr:uid="{00000000-0005-0000-0000-000012380000}"/>
    <cellStyle name="Normal 2 2 2 2 4 2 2 2 3 6" xfId="14397" xr:uid="{00000000-0005-0000-0000-000013380000}"/>
    <cellStyle name="Normal 2 2 2 2 4 2 2 2 3 7" xfId="14398" xr:uid="{00000000-0005-0000-0000-000014380000}"/>
    <cellStyle name="Normal 2 2 2 2 4 2 2 2 3 8" xfId="14399" xr:uid="{00000000-0005-0000-0000-000015380000}"/>
    <cellStyle name="Normal 2 2 2 2 4 2 2 2 3 9" xfId="14400" xr:uid="{00000000-0005-0000-0000-000016380000}"/>
    <cellStyle name="Normal 2 2 2 2 4 2 2 2 4" xfId="14401" xr:uid="{00000000-0005-0000-0000-000017380000}"/>
    <cellStyle name="Normal 2 2 2 2 4 2 2 2 4 10" xfId="14402" xr:uid="{00000000-0005-0000-0000-000018380000}"/>
    <cellStyle name="Normal 2 2 2 2 4 2 2 2 4 2" xfId="14403" xr:uid="{00000000-0005-0000-0000-000019380000}"/>
    <cellStyle name="Normal 2 2 2 2 4 2 2 2 4 3" xfId="14404" xr:uid="{00000000-0005-0000-0000-00001A380000}"/>
    <cellStyle name="Normal 2 2 2 2 4 2 2 2 4 4" xfId="14405" xr:uid="{00000000-0005-0000-0000-00001B380000}"/>
    <cellStyle name="Normal 2 2 2 2 4 2 2 2 4 5" xfId="14406" xr:uid="{00000000-0005-0000-0000-00001C380000}"/>
    <cellStyle name="Normal 2 2 2 2 4 2 2 2 4 6" xfId="14407" xr:uid="{00000000-0005-0000-0000-00001D380000}"/>
    <cellStyle name="Normal 2 2 2 2 4 2 2 2 4 7" xfId="14408" xr:uid="{00000000-0005-0000-0000-00001E380000}"/>
    <cellStyle name="Normal 2 2 2 2 4 2 2 2 4 8" xfId="14409" xr:uid="{00000000-0005-0000-0000-00001F380000}"/>
    <cellStyle name="Normal 2 2 2 2 4 2 2 2 4 9" xfId="14410" xr:uid="{00000000-0005-0000-0000-000020380000}"/>
    <cellStyle name="Normal 2 2 2 2 4 2 2 2 5" xfId="14411" xr:uid="{00000000-0005-0000-0000-000021380000}"/>
    <cellStyle name="Normal 2 2 2 2 4 2 2 2 5 10" xfId="14412" xr:uid="{00000000-0005-0000-0000-000022380000}"/>
    <cellStyle name="Normal 2 2 2 2 4 2 2 2 5 2" xfId="14413" xr:uid="{00000000-0005-0000-0000-000023380000}"/>
    <cellStyle name="Normal 2 2 2 2 4 2 2 2 5 3" xfId="14414" xr:uid="{00000000-0005-0000-0000-000024380000}"/>
    <cellStyle name="Normal 2 2 2 2 4 2 2 2 5 4" xfId="14415" xr:uid="{00000000-0005-0000-0000-000025380000}"/>
    <cellStyle name="Normal 2 2 2 2 4 2 2 2 5 5" xfId="14416" xr:uid="{00000000-0005-0000-0000-000026380000}"/>
    <cellStyle name="Normal 2 2 2 2 4 2 2 2 5 6" xfId="14417" xr:uid="{00000000-0005-0000-0000-000027380000}"/>
    <cellStyle name="Normal 2 2 2 2 4 2 2 2 5 7" xfId="14418" xr:uid="{00000000-0005-0000-0000-000028380000}"/>
    <cellStyle name="Normal 2 2 2 2 4 2 2 2 5 8" xfId="14419" xr:uid="{00000000-0005-0000-0000-000029380000}"/>
    <cellStyle name="Normal 2 2 2 2 4 2 2 2 5 9" xfId="14420" xr:uid="{00000000-0005-0000-0000-00002A380000}"/>
    <cellStyle name="Normal 2 2 2 2 4 2 2 2 6" xfId="14421" xr:uid="{00000000-0005-0000-0000-00002B380000}"/>
    <cellStyle name="Normal 2 2 2 2 4 2 2 2 7" xfId="14422" xr:uid="{00000000-0005-0000-0000-00002C380000}"/>
    <cellStyle name="Normal 2 2 2 2 4 2 2 2 8" xfId="14423" xr:uid="{00000000-0005-0000-0000-00002D380000}"/>
    <cellStyle name="Normal 2 2 2 2 4 2 2 2 9" xfId="14424" xr:uid="{00000000-0005-0000-0000-00002E380000}"/>
    <cellStyle name="Normal 2 2 2 2 4 2 2 20" xfId="14425" xr:uid="{00000000-0005-0000-0000-00002F380000}"/>
    <cellStyle name="Normal 2 2 2 2 4 2 2 20 10" xfId="14426" xr:uid="{00000000-0005-0000-0000-000030380000}"/>
    <cellStyle name="Normal 2 2 2 2 4 2 2 20 11" xfId="14427" xr:uid="{00000000-0005-0000-0000-000031380000}"/>
    <cellStyle name="Normal 2 2 2 2 4 2 2 20 12" xfId="14428" xr:uid="{00000000-0005-0000-0000-000032380000}"/>
    <cellStyle name="Normal 2 2 2 2 4 2 2 20 13" xfId="14429" xr:uid="{00000000-0005-0000-0000-000033380000}"/>
    <cellStyle name="Normal 2 2 2 2 4 2 2 20 14" xfId="14430" xr:uid="{00000000-0005-0000-0000-000034380000}"/>
    <cellStyle name="Normal 2 2 2 2 4 2 2 20 2" xfId="14431" xr:uid="{00000000-0005-0000-0000-000035380000}"/>
    <cellStyle name="Normal 2 2 2 2 4 2 2 20 2 10" xfId="14432" xr:uid="{00000000-0005-0000-0000-000036380000}"/>
    <cellStyle name="Normal 2 2 2 2 4 2 2 20 2 2" xfId="14433" xr:uid="{00000000-0005-0000-0000-000037380000}"/>
    <cellStyle name="Normal 2 2 2 2 4 2 2 20 2 3" xfId="14434" xr:uid="{00000000-0005-0000-0000-000038380000}"/>
    <cellStyle name="Normal 2 2 2 2 4 2 2 20 2 4" xfId="14435" xr:uid="{00000000-0005-0000-0000-000039380000}"/>
    <cellStyle name="Normal 2 2 2 2 4 2 2 20 2 5" xfId="14436" xr:uid="{00000000-0005-0000-0000-00003A380000}"/>
    <cellStyle name="Normal 2 2 2 2 4 2 2 20 2 6" xfId="14437" xr:uid="{00000000-0005-0000-0000-00003B380000}"/>
    <cellStyle name="Normal 2 2 2 2 4 2 2 20 2 7" xfId="14438" xr:uid="{00000000-0005-0000-0000-00003C380000}"/>
    <cellStyle name="Normal 2 2 2 2 4 2 2 20 2 8" xfId="14439" xr:uid="{00000000-0005-0000-0000-00003D380000}"/>
    <cellStyle name="Normal 2 2 2 2 4 2 2 20 2 9" xfId="14440" xr:uid="{00000000-0005-0000-0000-00003E380000}"/>
    <cellStyle name="Normal 2 2 2 2 4 2 2 20 3" xfId="14441" xr:uid="{00000000-0005-0000-0000-00003F380000}"/>
    <cellStyle name="Normal 2 2 2 2 4 2 2 20 3 10" xfId="14442" xr:uid="{00000000-0005-0000-0000-000040380000}"/>
    <cellStyle name="Normal 2 2 2 2 4 2 2 20 3 2" xfId="14443" xr:uid="{00000000-0005-0000-0000-000041380000}"/>
    <cellStyle name="Normal 2 2 2 2 4 2 2 20 3 3" xfId="14444" xr:uid="{00000000-0005-0000-0000-000042380000}"/>
    <cellStyle name="Normal 2 2 2 2 4 2 2 20 3 4" xfId="14445" xr:uid="{00000000-0005-0000-0000-000043380000}"/>
    <cellStyle name="Normal 2 2 2 2 4 2 2 20 3 5" xfId="14446" xr:uid="{00000000-0005-0000-0000-000044380000}"/>
    <cellStyle name="Normal 2 2 2 2 4 2 2 20 3 6" xfId="14447" xr:uid="{00000000-0005-0000-0000-000045380000}"/>
    <cellStyle name="Normal 2 2 2 2 4 2 2 20 3 7" xfId="14448" xr:uid="{00000000-0005-0000-0000-000046380000}"/>
    <cellStyle name="Normal 2 2 2 2 4 2 2 20 3 8" xfId="14449" xr:uid="{00000000-0005-0000-0000-000047380000}"/>
    <cellStyle name="Normal 2 2 2 2 4 2 2 20 3 9" xfId="14450" xr:uid="{00000000-0005-0000-0000-000048380000}"/>
    <cellStyle name="Normal 2 2 2 2 4 2 2 20 4" xfId="14451" xr:uid="{00000000-0005-0000-0000-000049380000}"/>
    <cellStyle name="Normal 2 2 2 2 4 2 2 20 4 10" xfId="14452" xr:uid="{00000000-0005-0000-0000-00004A380000}"/>
    <cellStyle name="Normal 2 2 2 2 4 2 2 20 4 2" xfId="14453" xr:uid="{00000000-0005-0000-0000-00004B380000}"/>
    <cellStyle name="Normal 2 2 2 2 4 2 2 20 4 3" xfId="14454" xr:uid="{00000000-0005-0000-0000-00004C380000}"/>
    <cellStyle name="Normal 2 2 2 2 4 2 2 20 4 4" xfId="14455" xr:uid="{00000000-0005-0000-0000-00004D380000}"/>
    <cellStyle name="Normal 2 2 2 2 4 2 2 20 4 5" xfId="14456" xr:uid="{00000000-0005-0000-0000-00004E380000}"/>
    <cellStyle name="Normal 2 2 2 2 4 2 2 20 4 6" xfId="14457" xr:uid="{00000000-0005-0000-0000-00004F380000}"/>
    <cellStyle name="Normal 2 2 2 2 4 2 2 20 4 7" xfId="14458" xr:uid="{00000000-0005-0000-0000-000050380000}"/>
    <cellStyle name="Normal 2 2 2 2 4 2 2 20 4 8" xfId="14459" xr:uid="{00000000-0005-0000-0000-000051380000}"/>
    <cellStyle name="Normal 2 2 2 2 4 2 2 20 4 9" xfId="14460" xr:uid="{00000000-0005-0000-0000-000052380000}"/>
    <cellStyle name="Normal 2 2 2 2 4 2 2 20 5" xfId="14461" xr:uid="{00000000-0005-0000-0000-000053380000}"/>
    <cellStyle name="Normal 2 2 2 2 4 2 2 20 5 10" xfId="14462" xr:uid="{00000000-0005-0000-0000-000054380000}"/>
    <cellStyle name="Normal 2 2 2 2 4 2 2 20 5 2" xfId="14463" xr:uid="{00000000-0005-0000-0000-000055380000}"/>
    <cellStyle name="Normal 2 2 2 2 4 2 2 20 5 3" xfId="14464" xr:uid="{00000000-0005-0000-0000-000056380000}"/>
    <cellStyle name="Normal 2 2 2 2 4 2 2 20 5 4" xfId="14465" xr:uid="{00000000-0005-0000-0000-000057380000}"/>
    <cellStyle name="Normal 2 2 2 2 4 2 2 20 5 5" xfId="14466" xr:uid="{00000000-0005-0000-0000-000058380000}"/>
    <cellStyle name="Normal 2 2 2 2 4 2 2 20 5 6" xfId="14467" xr:uid="{00000000-0005-0000-0000-000059380000}"/>
    <cellStyle name="Normal 2 2 2 2 4 2 2 20 5 7" xfId="14468" xr:uid="{00000000-0005-0000-0000-00005A380000}"/>
    <cellStyle name="Normal 2 2 2 2 4 2 2 20 5 8" xfId="14469" xr:uid="{00000000-0005-0000-0000-00005B380000}"/>
    <cellStyle name="Normal 2 2 2 2 4 2 2 20 5 9" xfId="14470" xr:uid="{00000000-0005-0000-0000-00005C380000}"/>
    <cellStyle name="Normal 2 2 2 2 4 2 2 20 6" xfId="14471" xr:uid="{00000000-0005-0000-0000-00005D380000}"/>
    <cellStyle name="Normal 2 2 2 2 4 2 2 20 7" xfId="14472" xr:uid="{00000000-0005-0000-0000-00005E380000}"/>
    <cellStyle name="Normal 2 2 2 2 4 2 2 20 8" xfId="14473" xr:uid="{00000000-0005-0000-0000-00005F380000}"/>
    <cellStyle name="Normal 2 2 2 2 4 2 2 20 9" xfId="14474" xr:uid="{00000000-0005-0000-0000-000060380000}"/>
    <cellStyle name="Normal 2 2 2 2 4 2 2 3" xfId="14475" xr:uid="{00000000-0005-0000-0000-000061380000}"/>
    <cellStyle name="Normal 2 2 2 2 4 2 2 3 10" xfId="14476" xr:uid="{00000000-0005-0000-0000-000062380000}"/>
    <cellStyle name="Normal 2 2 2 2 4 2 2 3 11" xfId="14477" xr:uid="{00000000-0005-0000-0000-000063380000}"/>
    <cellStyle name="Normal 2 2 2 2 4 2 2 3 12" xfId="14478" xr:uid="{00000000-0005-0000-0000-000064380000}"/>
    <cellStyle name="Normal 2 2 2 2 4 2 2 3 13" xfId="14479" xr:uid="{00000000-0005-0000-0000-000065380000}"/>
    <cellStyle name="Normal 2 2 2 2 4 2 2 3 14" xfId="14480" xr:uid="{00000000-0005-0000-0000-000066380000}"/>
    <cellStyle name="Normal 2 2 2 2 4 2 2 3 2" xfId="14481" xr:uid="{00000000-0005-0000-0000-000067380000}"/>
    <cellStyle name="Normal 2 2 2 2 4 2 2 3 2 10" xfId="14482" xr:uid="{00000000-0005-0000-0000-000068380000}"/>
    <cellStyle name="Normal 2 2 2 2 4 2 2 3 2 2" xfId="14483" xr:uid="{00000000-0005-0000-0000-000069380000}"/>
    <cellStyle name="Normal 2 2 2 2 4 2 2 3 2 3" xfId="14484" xr:uid="{00000000-0005-0000-0000-00006A380000}"/>
    <cellStyle name="Normal 2 2 2 2 4 2 2 3 2 4" xfId="14485" xr:uid="{00000000-0005-0000-0000-00006B380000}"/>
    <cellStyle name="Normal 2 2 2 2 4 2 2 3 2 5" xfId="14486" xr:uid="{00000000-0005-0000-0000-00006C380000}"/>
    <cellStyle name="Normal 2 2 2 2 4 2 2 3 2 6" xfId="14487" xr:uid="{00000000-0005-0000-0000-00006D380000}"/>
    <cellStyle name="Normal 2 2 2 2 4 2 2 3 2 7" xfId="14488" xr:uid="{00000000-0005-0000-0000-00006E380000}"/>
    <cellStyle name="Normal 2 2 2 2 4 2 2 3 2 8" xfId="14489" xr:uid="{00000000-0005-0000-0000-00006F380000}"/>
    <cellStyle name="Normal 2 2 2 2 4 2 2 3 2 9" xfId="14490" xr:uid="{00000000-0005-0000-0000-000070380000}"/>
    <cellStyle name="Normal 2 2 2 2 4 2 2 3 3" xfId="14491" xr:uid="{00000000-0005-0000-0000-000071380000}"/>
    <cellStyle name="Normal 2 2 2 2 4 2 2 3 3 10" xfId="14492" xr:uid="{00000000-0005-0000-0000-000072380000}"/>
    <cellStyle name="Normal 2 2 2 2 4 2 2 3 3 2" xfId="14493" xr:uid="{00000000-0005-0000-0000-000073380000}"/>
    <cellStyle name="Normal 2 2 2 2 4 2 2 3 3 3" xfId="14494" xr:uid="{00000000-0005-0000-0000-000074380000}"/>
    <cellStyle name="Normal 2 2 2 2 4 2 2 3 3 4" xfId="14495" xr:uid="{00000000-0005-0000-0000-000075380000}"/>
    <cellStyle name="Normal 2 2 2 2 4 2 2 3 3 5" xfId="14496" xr:uid="{00000000-0005-0000-0000-000076380000}"/>
    <cellStyle name="Normal 2 2 2 2 4 2 2 3 3 6" xfId="14497" xr:uid="{00000000-0005-0000-0000-000077380000}"/>
    <cellStyle name="Normal 2 2 2 2 4 2 2 3 3 7" xfId="14498" xr:uid="{00000000-0005-0000-0000-000078380000}"/>
    <cellStyle name="Normal 2 2 2 2 4 2 2 3 3 8" xfId="14499" xr:uid="{00000000-0005-0000-0000-000079380000}"/>
    <cellStyle name="Normal 2 2 2 2 4 2 2 3 3 9" xfId="14500" xr:uid="{00000000-0005-0000-0000-00007A380000}"/>
    <cellStyle name="Normal 2 2 2 2 4 2 2 3 4" xfId="14501" xr:uid="{00000000-0005-0000-0000-00007B380000}"/>
    <cellStyle name="Normal 2 2 2 2 4 2 2 3 4 10" xfId="14502" xr:uid="{00000000-0005-0000-0000-00007C380000}"/>
    <cellStyle name="Normal 2 2 2 2 4 2 2 3 4 2" xfId="14503" xr:uid="{00000000-0005-0000-0000-00007D380000}"/>
    <cellStyle name="Normal 2 2 2 2 4 2 2 3 4 3" xfId="14504" xr:uid="{00000000-0005-0000-0000-00007E380000}"/>
    <cellStyle name="Normal 2 2 2 2 4 2 2 3 4 4" xfId="14505" xr:uid="{00000000-0005-0000-0000-00007F380000}"/>
    <cellStyle name="Normal 2 2 2 2 4 2 2 3 4 5" xfId="14506" xr:uid="{00000000-0005-0000-0000-000080380000}"/>
    <cellStyle name="Normal 2 2 2 2 4 2 2 3 4 6" xfId="14507" xr:uid="{00000000-0005-0000-0000-000081380000}"/>
    <cellStyle name="Normal 2 2 2 2 4 2 2 3 4 7" xfId="14508" xr:uid="{00000000-0005-0000-0000-000082380000}"/>
    <cellStyle name="Normal 2 2 2 2 4 2 2 3 4 8" xfId="14509" xr:uid="{00000000-0005-0000-0000-000083380000}"/>
    <cellStyle name="Normal 2 2 2 2 4 2 2 3 4 9" xfId="14510" xr:uid="{00000000-0005-0000-0000-000084380000}"/>
    <cellStyle name="Normal 2 2 2 2 4 2 2 3 5" xfId="14511" xr:uid="{00000000-0005-0000-0000-000085380000}"/>
    <cellStyle name="Normal 2 2 2 2 4 2 2 3 5 10" xfId="14512" xr:uid="{00000000-0005-0000-0000-000086380000}"/>
    <cellStyle name="Normal 2 2 2 2 4 2 2 3 5 2" xfId="14513" xr:uid="{00000000-0005-0000-0000-000087380000}"/>
    <cellStyle name="Normal 2 2 2 2 4 2 2 3 5 3" xfId="14514" xr:uid="{00000000-0005-0000-0000-000088380000}"/>
    <cellStyle name="Normal 2 2 2 2 4 2 2 3 5 4" xfId="14515" xr:uid="{00000000-0005-0000-0000-000089380000}"/>
    <cellStyle name="Normal 2 2 2 2 4 2 2 3 5 5" xfId="14516" xr:uid="{00000000-0005-0000-0000-00008A380000}"/>
    <cellStyle name="Normal 2 2 2 2 4 2 2 3 5 6" xfId="14517" xr:uid="{00000000-0005-0000-0000-00008B380000}"/>
    <cellStyle name="Normal 2 2 2 2 4 2 2 3 5 7" xfId="14518" xr:uid="{00000000-0005-0000-0000-00008C380000}"/>
    <cellStyle name="Normal 2 2 2 2 4 2 2 3 5 8" xfId="14519" xr:uid="{00000000-0005-0000-0000-00008D380000}"/>
    <cellStyle name="Normal 2 2 2 2 4 2 2 3 5 9" xfId="14520" xr:uid="{00000000-0005-0000-0000-00008E380000}"/>
    <cellStyle name="Normal 2 2 2 2 4 2 2 3 6" xfId="14521" xr:uid="{00000000-0005-0000-0000-00008F380000}"/>
    <cellStyle name="Normal 2 2 2 2 4 2 2 3 7" xfId="14522" xr:uid="{00000000-0005-0000-0000-000090380000}"/>
    <cellStyle name="Normal 2 2 2 2 4 2 2 3 8" xfId="14523" xr:uid="{00000000-0005-0000-0000-000091380000}"/>
    <cellStyle name="Normal 2 2 2 2 4 2 2 3 9" xfId="14524" xr:uid="{00000000-0005-0000-0000-000092380000}"/>
    <cellStyle name="Normal 2 2 2 2 4 2 2 4" xfId="14525" xr:uid="{00000000-0005-0000-0000-000093380000}"/>
    <cellStyle name="Normal 2 2 2 2 4 2 2 4 10" xfId="14526" xr:uid="{00000000-0005-0000-0000-000094380000}"/>
    <cellStyle name="Normal 2 2 2 2 4 2 2 4 11" xfId="14527" xr:uid="{00000000-0005-0000-0000-000095380000}"/>
    <cellStyle name="Normal 2 2 2 2 4 2 2 4 12" xfId="14528" xr:uid="{00000000-0005-0000-0000-000096380000}"/>
    <cellStyle name="Normal 2 2 2 2 4 2 2 4 13" xfId="14529" xr:uid="{00000000-0005-0000-0000-000097380000}"/>
    <cellStyle name="Normal 2 2 2 2 4 2 2 4 14" xfId="14530" xr:uid="{00000000-0005-0000-0000-000098380000}"/>
    <cellStyle name="Normal 2 2 2 2 4 2 2 4 2" xfId="14531" xr:uid="{00000000-0005-0000-0000-000099380000}"/>
    <cellStyle name="Normal 2 2 2 2 4 2 2 4 2 10" xfId="14532" xr:uid="{00000000-0005-0000-0000-00009A380000}"/>
    <cellStyle name="Normal 2 2 2 2 4 2 2 4 2 2" xfId="14533" xr:uid="{00000000-0005-0000-0000-00009B380000}"/>
    <cellStyle name="Normal 2 2 2 2 4 2 2 4 2 3" xfId="14534" xr:uid="{00000000-0005-0000-0000-00009C380000}"/>
    <cellStyle name="Normal 2 2 2 2 4 2 2 4 2 4" xfId="14535" xr:uid="{00000000-0005-0000-0000-00009D380000}"/>
    <cellStyle name="Normal 2 2 2 2 4 2 2 4 2 5" xfId="14536" xr:uid="{00000000-0005-0000-0000-00009E380000}"/>
    <cellStyle name="Normal 2 2 2 2 4 2 2 4 2 6" xfId="14537" xr:uid="{00000000-0005-0000-0000-00009F380000}"/>
    <cellStyle name="Normal 2 2 2 2 4 2 2 4 2 7" xfId="14538" xr:uid="{00000000-0005-0000-0000-0000A0380000}"/>
    <cellStyle name="Normal 2 2 2 2 4 2 2 4 2 8" xfId="14539" xr:uid="{00000000-0005-0000-0000-0000A1380000}"/>
    <cellStyle name="Normal 2 2 2 2 4 2 2 4 2 9" xfId="14540" xr:uid="{00000000-0005-0000-0000-0000A2380000}"/>
    <cellStyle name="Normal 2 2 2 2 4 2 2 4 3" xfId="14541" xr:uid="{00000000-0005-0000-0000-0000A3380000}"/>
    <cellStyle name="Normal 2 2 2 2 4 2 2 4 3 10" xfId="14542" xr:uid="{00000000-0005-0000-0000-0000A4380000}"/>
    <cellStyle name="Normal 2 2 2 2 4 2 2 4 3 2" xfId="14543" xr:uid="{00000000-0005-0000-0000-0000A5380000}"/>
    <cellStyle name="Normal 2 2 2 2 4 2 2 4 3 3" xfId="14544" xr:uid="{00000000-0005-0000-0000-0000A6380000}"/>
    <cellStyle name="Normal 2 2 2 2 4 2 2 4 3 4" xfId="14545" xr:uid="{00000000-0005-0000-0000-0000A7380000}"/>
    <cellStyle name="Normal 2 2 2 2 4 2 2 4 3 5" xfId="14546" xr:uid="{00000000-0005-0000-0000-0000A8380000}"/>
    <cellStyle name="Normal 2 2 2 2 4 2 2 4 3 6" xfId="14547" xr:uid="{00000000-0005-0000-0000-0000A9380000}"/>
    <cellStyle name="Normal 2 2 2 2 4 2 2 4 3 7" xfId="14548" xr:uid="{00000000-0005-0000-0000-0000AA380000}"/>
    <cellStyle name="Normal 2 2 2 2 4 2 2 4 3 8" xfId="14549" xr:uid="{00000000-0005-0000-0000-0000AB380000}"/>
    <cellStyle name="Normal 2 2 2 2 4 2 2 4 3 9" xfId="14550" xr:uid="{00000000-0005-0000-0000-0000AC380000}"/>
    <cellStyle name="Normal 2 2 2 2 4 2 2 4 4" xfId="14551" xr:uid="{00000000-0005-0000-0000-0000AD380000}"/>
    <cellStyle name="Normal 2 2 2 2 4 2 2 4 4 10" xfId="14552" xr:uid="{00000000-0005-0000-0000-0000AE380000}"/>
    <cellStyle name="Normal 2 2 2 2 4 2 2 4 4 2" xfId="14553" xr:uid="{00000000-0005-0000-0000-0000AF380000}"/>
    <cellStyle name="Normal 2 2 2 2 4 2 2 4 4 3" xfId="14554" xr:uid="{00000000-0005-0000-0000-0000B0380000}"/>
    <cellStyle name="Normal 2 2 2 2 4 2 2 4 4 4" xfId="14555" xr:uid="{00000000-0005-0000-0000-0000B1380000}"/>
    <cellStyle name="Normal 2 2 2 2 4 2 2 4 4 5" xfId="14556" xr:uid="{00000000-0005-0000-0000-0000B2380000}"/>
    <cellStyle name="Normal 2 2 2 2 4 2 2 4 4 6" xfId="14557" xr:uid="{00000000-0005-0000-0000-0000B3380000}"/>
    <cellStyle name="Normal 2 2 2 2 4 2 2 4 4 7" xfId="14558" xr:uid="{00000000-0005-0000-0000-0000B4380000}"/>
    <cellStyle name="Normal 2 2 2 2 4 2 2 4 4 8" xfId="14559" xr:uid="{00000000-0005-0000-0000-0000B5380000}"/>
    <cellStyle name="Normal 2 2 2 2 4 2 2 4 4 9" xfId="14560" xr:uid="{00000000-0005-0000-0000-0000B6380000}"/>
    <cellStyle name="Normal 2 2 2 2 4 2 2 4 5" xfId="14561" xr:uid="{00000000-0005-0000-0000-0000B7380000}"/>
    <cellStyle name="Normal 2 2 2 2 4 2 2 4 5 10" xfId="14562" xr:uid="{00000000-0005-0000-0000-0000B8380000}"/>
    <cellStyle name="Normal 2 2 2 2 4 2 2 4 5 2" xfId="14563" xr:uid="{00000000-0005-0000-0000-0000B9380000}"/>
    <cellStyle name="Normal 2 2 2 2 4 2 2 4 5 3" xfId="14564" xr:uid="{00000000-0005-0000-0000-0000BA380000}"/>
    <cellStyle name="Normal 2 2 2 2 4 2 2 4 5 4" xfId="14565" xr:uid="{00000000-0005-0000-0000-0000BB380000}"/>
    <cellStyle name="Normal 2 2 2 2 4 2 2 4 5 5" xfId="14566" xr:uid="{00000000-0005-0000-0000-0000BC380000}"/>
    <cellStyle name="Normal 2 2 2 2 4 2 2 4 5 6" xfId="14567" xr:uid="{00000000-0005-0000-0000-0000BD380000}"/>
    <cellStyle name="Normal 2 2 2 2 4 2 2 4 5 7" xfId="14568" xr:uid="{00000000-0005-0000-0000-0000BE380000}"/>
    <cellStyle name="Normal 2 2 2 2 4 2 2 4 5 8" xfId="14569" xr:uid="{00000000-0005-0000-0000-0000BF380000}"/>
    <cellStyle name="Normal 2 2 2 2 4 2 2 4 5 9" xfId="14570" xr:uid="{00000000-0005-0000-0000-0000C0380000}"/>
    <cellStyle name="Normal 2 2 2 2 4 2 2 4 6" xfId="14571" xr:uid="{00000000-0005-0000-0000-0000C1380000}"/>
    <cellStyle name="Normal 2 2 2 2 4 2 2 4 7" xfId="14572" xr:uid="{00000000-0005-0000-0000-0000C2380000}"/>
    <cellStyle name="Normal 2 2 2 2 4 2 2 4 8" xfId="14573" xr:uid="{00000000-0005-0000-0000-0000C3380000}"/>
    <cellStyle name="Normal 2 2 2 2 4 2 2 4 9" xfId="14574" xr:uid="{00000000-0005-0000-0000-0000C4380000}"/>
    <cellStyle name="Normal 2 2 2 2 4 2 2 5" xfId="14575" xr:uid="{00000000-0005-0000-0000-0000C5380000}"/>
    <cellStyle name="Normal 2 2 2 2 4 2 2 5 10" xfId="14576" xr:uid="{00000000-0005-0000-0000-0000C6380000}"/>
    <cellStyle name="Normal 2 2 2 2 4 2 2 5 11" xfId="14577" xr:uid="{00000000-0005-0000-0000-0000C7380000}"/>
    <cellStyle name="Normal 2 2 2 2 4 2 2 5 12" xfId="14578" xr:uid="{00000000-0005-0000-0000-0000C8380000}"/>
    <cellStyle name="Normal 2 2 2 2 4 2 2 5 13" xfId="14579" xr:uid="{00000000-0005-0000-0000-0000C9380000}"/>
    <cellStyle name="Normal 2 2 2 2 4 2 2 5 14" xfId="14580" xr:uid="{00000000-0005-0000-0000-0000CA380000}"/>
    <cellStyle name="Normal 2 2 2 2 4 2 2 5 2" xfId="14581" xr:uid="{00000000-0005-0000-0000-0000CB380000}"/>
    <cellStyle name="Normal 2 2 2 2 4 2 2 5 2 10" xfId="14582" xr:uid="{00000000-0005-0000-0000-0000CC380000}"/>
    <cellStyle name="Normal 2 2 2 2 4 2 2 5 2 2" xfId="14583" xr:uid="{00000000-0005-0000-0000-0000CD380000}"/>
    <cellStyle name="Normal 2 2 2 2 4 2 2 5 2 3" xfId="14584" xr:uid="{00000000-0005-0000-0000-0000CE380000}"/>
    <cellStyle name="Normal 2 2 2 2 4 2 2 5 2 4" xfId="14585" xr:uid="{00000000-0005-0000-0000-0000CF380000}"/>
    <cellStyle name="Normal 2 2 2 2 4 2 2 5 2 5" xfId="14586" xr:uid="{00000000-0005-0000-0000-0000D0380000}"/>
    <cellStyle name="Normal 2 2 2 2 4 2 2 5 2 6" xfId="14587" xr:uid="{00000000-0005-0000-0000-0000D1380000}"/>
    <cellStyle name="Normal 2 2 2 2 4 2 2 5 2 7" xfId="14588" xr:uid="{00000000-0005-0000-0000-0000D2380000}"/>
    <cellStyle name="Normal 2 2 2 2 4 2 2 5 2 8" xfId="14589" xr:uid="{00000000-0005-0000-0000-0000D3380000}"/>
    <cellStyle name="Normal 2 2 2 2 4 2 2 5 2 9" xfId="14590" xr:uid="{00000000-0005-0000-0000-0000D4380000}"/>
    <cellStyle name="Normal 2 2 2 2 4 2 2 5 3" xfId="14591" xr:uid="{00000000-0005-0000-0000-0000D5380000}"/>
    <cellStyle name="Normal 2 2 2 2 4 2 2 5 3 10" xfId="14592" xr:uid="{00000000-0005-0000-0000-0000D6380000}"/>
    <cellStyle name="Normal 2 2 2 2 4 2 2 5 3 2" xfId="14593" xr:uid="{00000000-0005-0000-0000-0000D7380000}"/>
    <cellStyle name="Normal 2 2 2 2 4 2 2 5 3 3" xfId="14594" xr:uid="{00000000-0005-0000-0000-0000D8380000}"/>
    <cellStyle name="Normal 2 2 2 2 4 2 2 5 3 4" xfId="14595" xr:uid="{00000000-0005-0000-0000-0000D9380000}"/>
    <cellStyle name="Normal 2 2 2 2 4 2 2 5 3 5" xfId="14596" xr:uid="{00000000-0005-0000-0000-0000DA380000}"/>
    <cellStyle name="Normal 2 2 2 2 4 2 2 5 3 6" xfId="14597" xr:uid="{00000000-0005-0000-0000-0000DB380000}"/>
    <cellStyle name="Normal 2 2 2 2 4 2 2 5 3 7" xfId="14598" xr:uid="{00000000-0005-0000-0000-0000DC380000}"/>
    <cellStyle name="Normal 2 2 2 2 4 2 2 5 3 8" xfId="14599" xr:uid="{00000000-0005-0000-0000-0000DD380000}"/>
    <cellStyle name="Normal 2 2 2 2 4 2 2 5 3 9" xfId="14600" xr:uid="{00000000-0005-0000-0000-0000DE380000}"/>
    <cellStyle name="Normal 2 2 2 2 4 2 2 5 4" xfId="14601" xr:uid="{00000000-0005-0000-0000-0000DF380000}"/>
    <cellStyle name="Normal 2 2 2 2 4 2 2 5 4 10" xfId="14602" xr:uid="{00000000-0005-0000-0000-0000E0380000}"/>
    <cellStyle name="Normal 2 2 2 2 4 2 2 5 4 2" xfId="14603" xr:uid="{00000000-0005-0000-0000-0000E1380000}"/>
    <cellStyle name="Normal 2 2 2 2 4 2 2 5 4 3" xfId="14604" xr:uid="{00000000-0005-0000-0000-0000E2380000}"/>
    <cellStyle name="Normal 2 2 2 2 4 2 2 5 4 4" xfId="14605" xr:uid="{00000000-0005-0000-0000-0000E3380000}"/>
    <cellStyle name="Normal 2 2 2 2 4 2 2 5 4 5" xfId="14606" xr:uid="{00000000-0005-0000-0000-0000E4380000}"/>
    <cellStyle name="Normal 2 2 2 2 4 2 2 5 4 6" xfId="14607" xr:uid="{00000000-0005-0000-0000-0000E5380000}"/>
    <cellStyle name="Normal 2 2 2 2 4 2 2 5 4 7" xfId="14608" xr:uid="{00000000-0005-0000-0000-0000E6380000}"/>
    <cellStyle name="Normal 2 2 2 2 4 2 2 5 4 8" xfId="14609" xr:uid="{00000000-0005-0000-0000-0000E7380000}"/>
    <cellStyle name="Normal 2 2 2 2 4 2 2 5 4 9" xfId="14610" xr:uid="{00000000-0005-0000-0000-0000E8380000}"/>
    <cellStyle name="Normal 2 2 2 2 4 2 2 5 5" xfId="14611" xr:uid="{00000000-0005-0000-0000-0000E9380000}"/>
    <cellStyle name="Normal 2 2 2 2 4 2 2 5 5 10" xfId="14612" xr:uid="{00000000-0005-0000-0000-0000EA380000}"/>
    <cellStyle name="Normal 2 2 2 2 4 2 2 5 5 2" xfId="14613" xr:uid="{00000000-0005-0000-0000-0000EB380000}"/>
    <cellStyle name="Normal 2 2 2 2 4 2 2 5 5 3" xfId="14614" xr:uid="{00000000-0005-0000-0000-0000EC380000}"/>
    <cellStyle name="Normal 2 2 2 2 4 2 2 5 5 4" xfId="14615" xr:uid="{00000000-0005-0000-0000-0000ED380000}"/>
    <cellStyle name="Normal 2 2 2 2 4 2 2 5 5 5" xfId="14616" xr:uid="{00000000-0005-0000-0000-0000EE380000}"/>
    <cellStyle name="Normal 2 2 2 2 4 2 2 5 5 6" xfId="14617" xr:uid="{00000000-0005-0000-0000-0000EF380000}"/>
    <cellStyle name="Normal 2 2 2 2 4 2 2 5 5 7" xfId="14618" xr:uid="{00000000-0005-0000-0000-0000F0380000}"/>
    <cellStyle name="Normal 2 2 2 2 4 2 2 5 5 8" xfId="14619" xr:uid="{00000000-0005-0000-0000-0000F1380000}"/>
    <cellStyle name="Normal 2 2 2 2 4 2 2 5 5 9" xfId="14620" xr:uid="{00000000-0005-0000-0000-0000F2380000}"/>
    <cellStyle name="Normal 2 2 2 2 4 2 2 5 6" xfId="14621" xr:uid="{00000000-0005-0000-0000-0000F3380000}"/>
    <cellStyle name="Normal 2 2 2 2 4 2 2 5 7" xfId="14622" xr:uid="{00000000-0005-0000-0000-0000F4380000}"/>
    <cellStyle name="Normal 2 2 2 2 4 2 2 5 8" xfId="14623" xr:uid="{00000000-0005-0000-0000-0000F5380000}"/>
    <cellStyle name="Normal 2 2 2 2 4 2 2 5 9" xfId="14624" xr:uid="{00000000-0005-0000-0000-0000F6380000}"/>
    <cellStyle name="Normal 2 2 2 2 4 2 2 6" xfId="14625" xr:uid="{00000000-0005-0000-0000-0000F7380000}"/>
    <cellStyle name="Normal 2 2 2 2 4 2 2 6 10" xfId="14626" xr:uid="{00000000-0005-0000-0000-0000F8380000}"/>
    <cellStyle name="Normal 2 2 2 2 4 2 2 6 11" xfId="14627" xr:uid="{00000000-0005-0000-0000-0000F9380000}"/>
    <cellStyle name="Normal 2 2 2 2 4 2 2 6 12" xfId="14628" xr:uid="{00000000-0005-0000-0000-0000FA380000}"/>
    <cellStyle name="Normal 2 2 2 2 4 2 2 6 13" xfId="14629" xr:uid="{00000000-0005-0000-0000-0000FB380000}"/>
    <cellStyle name="Normal 2 2 2 2 4 2 2 6 14" xfId="14630" xr:uid="{00000000-0005-0000-0000-0000FC380000}"/>
    <cellStyle name="Normal 2 2 2 2 4 2 2 6 2" xfId="14631" xr:uid="{00000000-0005-0000-0000-0000FD380000}"/>
    <cellStyle name="Normal 2 2 2 2 4 2 2 6 2 10" xfId="14632" xr:uid="{00000000-0005-0000-0000-0000FE380000}"/>
    <cellStyle name="Normal 2 2 2 2 4 2 2 6 2 2" xfId="14633" xr:uid="{00000000-0005-0000-0000-0000FF380000}"/>
    <cellStyle name="Normal 2 2 2 2 4 2 2 6 2 3" xfId="14634" xr:uid="{00000000-0005-0000-0000-000000390000}"/>
    <cellStyle name="Normal 2 2 2 2 4 2 2 6 2 4" xfId="14635" xr:uid="{00000000-0005-0000-0000-000001390000}"/>
    <cellStyle name="Normal 2 2 2 2 4 2 2 6 2 5" xfId="14636" xr:uid="{00000000-0005-0000-0000-000002390000}"/>
    <cellStyle name="Normal 2 2 2 2 4 2 2 6 2 6" xfId="14637" xr:uid="{00000000-0005-0000-0000-000003390000}"/>
    <cellStyle name="Normal 2 2 2 2 4 2 2 6 2 7" xfId="14638" xr:uid="{00000000-0005-0000-0000-000004390000}"/>
    <cellStyle name="Normal 2 2 2 2 4 2 2 6 2 8" xfId="14639" xr:uid="{00000000-0005-0000-0000-000005390000}"/>
    <cellStyle name="Normal 2 2 2 2 4 2 2 6 2 9" xfId="14640" xr:uid="{00000000-0005-0000-0000-000006390000}"/>
    <cellStyle name="Normal 2 2 2 2 4 2 2 6 3" xfId="14641" xr:uid="{00000000-0005-0000-0000-000007390000}"/>
    <cellStyle name="Normal 2 2 2 2 4 2 2 6 3 10" xfId="14642" xr:uid="{00000000-0005-0000-0000-000008390000}"/>
    <cellStyle name="Normal 2 2 2 2 4 2 2 6 3 2" xfId="14643" xr:uid="{00000000-0005-0000-0000-000009390000}"/>
    <cellStyle name="Normal 2 2 2 2 4 2 2 6 3 3" xfId="14644" xr:uid="{00000000-0005-0000-0000-00000A390000}"/>
    <cellStyle name="Normal 2 2 2 2 4 2 2 6 3 4" xfId="14645" xr:uid="{00000000-0005-0000-0000-00000B390000}"/>
    <cellStyle name="Normal 2 2 2 2 4 2 2 6 3 5" xfId="14646" xr:uid="{00000000-0005-0000-0000-00000C390000}"/>
    <cellStyle name="Normal 2 2 2 2 4 2 2 6 3 6" xfId="14647" xr:uid="{00000000-0005-0000-0000-00000D390000}"/>
    <cellStyle name="Normal 2 2 2 2 4 2 2 6 3 7" xfId="14648" xr:uid="{00000000-0005-0000-0000-00000E390000}"/>
    <cellStyle name="Normal 2 2 2 2 4 2 2 6 3 8" xfId="14649" xr:uid="{00000000-0005-0000-0000-00000F390000}"/>
    <cellStyle name="Normal 2 2 2 2 4 2 2 6 3 9" xfId="14650" xr:uid="{00000000-0005-0000-0000-000010390000}"/>
    <cellStyle name="Normal 2 2 2 2 4 2 2 6 4" xfId="14651" xr:uid="{00000000-0005-0000-0000-000011390000}"/>
    <cellStyle name="Normal 2 2 2 2 4 2 2 6 4 10" xfId="14652" xr:uid="{00000000-0005-0000-0000-000012390000}"/>
    <cellStyle name="Normal 2 2 2 2 4 2 2 6 4 2" xfId="14653" xr:uid="{00000000-0005-0000-0000-000013390000}"/>
    <cellStyle name="Normal 2 2 2 2 4 2 2 6 4 3" xfId="14654" xr:uid="{00000000-0005-0000-0000-000014390000}"/>
    <cellStyle name="Normal 2 2 2 2 4 2 2 6 4 4" xfId="14655" xr:uid="{00000000-0005-0000-0000-000015390000}"/>
    <cellStyle name="Normal 2 2 2 2 4 2 2 6 4 5" xfId="14656" xr:uid="{00000000-0005-0000-0000-000016390000}"/>
    <cellStyle name="Normal 2 2 2 2 4 2 2 6 4 6" xfId="14657" xr:uid="{00000000-0005-0000-0000-000017390000}"/>
    <cellStyle name="Normal 2 2 2 2 4 2 2 6 4 7" xfId="14658" xr:uid="{00000000-0005-0000-0000-000018390000}"/>
    <cellStyle name="Normal 2 2 2 2 4 2 2 6 4 8" xfId="14659" xr:uid="{00000000-0005-0000-0000-000019390000}"/>
    <cellStyle name="Normal 2 2 2 2 4 2 2 6 4 9" xfId="14660" xr:uid="{00000000-0005-0000-0000-00001A390000}"/>
    <cellStyle name="Normal 2 2 2 2 4 2 2 6 5" xfId="14661" xr:uid="{00000000-0005-0000-0000-00001B390000}"/>
    <cellStyle name="Normal 2 2 2 2 4 2 2 6 5 10" xfId="14662" xr:uid="{00000000-0005-0000-0000-00001C390000}"/>
    <cellStyle name="Normal 2 2 2 2 4 2 2 6 5 2" xfId="14663" xr:uid="{00000000-0005-0000-0000-00001D390000}"/>
    <cellStyle name="Normal 2 2 2 2 4 2 2 6 5 3" xfId="14664" xr:uid="{00000000-0005-0000-0000-00001E390000}"/>
    <cellStyle name="Normal 2 2 2 2 4 2 2 6 5 4" xfId="14665" xr:uid="{00000000-0005-0000-0000-00001F390000}"/>
    <cellStyle name="Normal 2 2 2 2 4 2 2 6 5 5" xfId="14666" xr:uid="{00000000-0005-0000-0000-000020390000}"/>
    <cellStyle name="Normal 2 2 2 2 4 2 2 6 5 6" xfId="14667" xr:uid="{00000000-0005-0000-0000-000021390000}"/>
    <cellStyle name="Normal 2 2 2 2 4 2 2 6 5 7" xfId="14668" xr:uid="{00000000-0005-0000-0000-000022390000}"/>
    <cellStyle name="Normal 2 2 2 2 4 2 2 6 5 8" xfId="14669" xr:uid="{00000000-0005-0000-0000-000023390000}"/>
    <cellStyle name="Normal 2 2 2 2 4 2 2 6 5 9" xfId="14670" xr:uid="{00000000-0005-0000-0000-000024390000}"/>
    <cellStyle name="Normal 2 2 2 2 4 2 2 6 6" xfId="14671" xr:uid="{00000000-0005-0000-0000-000025390000}"/>
    <cellStyle name="Normal 2 2 2 2 4 2 2 6 7" xfId="14672" xr:uid="{00000000-0005-0000-0000-000026390000}"/>
    <cellStyle name="Normal 2 2 2 2 4 2 2 6 8" xfId="14673" xr:uid="{00000000-0005-0000-0000-000027390000}"/>
    <cellStyle name="Normal 2 2 2 2 4 2 2 6 9" xfId="14674" xr:uid="{00000000-0005-0000-0000-000028390000}"/>
    <cellStyle name="Normal 2 2 2 2 4 2 2 7" xfId="14675" xr:uid="{00000000-0005-0000-0000-000029390000}"/>
    <cellStyle name="Normal 2 2 2 2 4 2 2 7 10" xfId="14676" xr:uid="{00000000-0005-0000-0000-00002A390000}"/>
    <cellStyle name="Normal 2 2 2 2 4 2 2 7 11" xfId="14677" xr:uid="{00000000-0005-0000-0000-00002B390000}"/>
    <cellStyle name="Normal 2 2 2 2 4 2 2 7 12" xfId="14678" xr:uid="{00000000-0005-0000-0000-00002C390000}"/>
    <cellStyle name="Normal 2 2 2 2 4 2 2 7 13" xfId="14679" xr:uid="{00000000-0005-0000-0000-00002D390000}"/>
    <cellStyle name="Normal 2 2 2 2 4 2 2 7 14" xfId="14680" xr:uid="{00000000-0005-0000-0000-00002E390000}"/>
    <cellStyle name="Normal 2 2 2 2 4 2 2 7 2" xfId="14681" xr:uid="{00000000-0005-0000-0000-00002F390000}"/>
    <cellStyle name="Normal 2 2 2 2 4 2 2 7 2 10" xfId="14682" xr:uid="{00000000-0005-0000-0000-000030390000}"/>
    <cellStyle name="Normal 2 2 2 2 4 2 2 7 2 2" xfId="14683" xr:uid="{00000000-0005-0000-0000-000031390000}"/>
    <cellStyle name="Normal 2 2 2 2 4 2 2 7 2 3" xfId="14684" xr:uid="{00000000-0005-0000-0000-000032390000}"/>
    <cellStyle name="Normal 2 2 2 2 4 2 2 7 2 4" xfId="14685" xr:uid="{00000000-0005-0000-0000-000033390000}"/>
    <cellStyle name="Normal 2 2 2 2 4 2 2 7 2 5" xfId="14686" xr:uid="{00000000-0005-0000-0000-000034390000}"/>
    <cellStyle name="Normal 2 2 2 2 4 2 2 7 2 6" xfId="14687" xr:uid="{00000000-0005-0000-0000-000035390000}"/>
    <cellStyle name="Normal 2 2 2 2 4 2 2 7 2 7" xfId="14688" xr:uid="{00000000-0005-0000-0000-000036390000}"/>
    <cellStyle name="Normal 2 2 2 2 4 2 2 7 2 8" xfId="14689" xr:uid="{00000000-0005-0000-0000-000037390000}"/>
    <cellStyle name="Normal 2 2 2 2 4 2 2 7 2 9" xfId="14690" xr:uid="{00000000-0005-0000-0000-000038390000}"/>
    <cellStyle name="Normal 2 2 2 2 4 2 2 7 3" xfId="14691" xr:uid="{00000000-0005-0000-0000-000039390000}"/>
    <cellStyle name="Normal 2 2 2 2 4 2 2 7 3 10" xfId="14692" xr:uid="{00000000-0005-0000-0000-00003A390000}"/>
    <cellStyle name="Normal 2 2 2 2 4 2 2 7 3 2" xfId="14693" xr:uid="{00000000-0005-0000-0000-00003B390000}"/>
    <cellStyle name="Normal 2 2 2 2 4 2 2 7 3 3" xfId="14694" xr:uid="{00000000-0005-0000-0000-00003C390000}"/>
    <cellStyle name="Normal 2 2 2 2 4 2 2 7 3 4" xfId="14695" xr:uid="{00000000-0005-0000-0000-00003D390000}"/>
    <cellStyle name="Normal 2 2 2 2 4 2 2 7 3 5" xfId="14696" xr:uid="{00000000-0005-0000-0000-00003E390000}"/>
    <cellStyle name="Normal 2 2 2 2 4 2 2 7 3 6" xfId="14697" xr:uid="{00000000-0005-0000-0000-00003F390000}"/>
    <cellStyle name="Normal 2 2 2 2 4 2 2 7 3 7" xfId="14698" xr:uid="{00000000-0005-0000-0000-000040390000}"/>
    <cellStyle name="Normal 2 2 2 2 4 2 2 7 3 8" xfId="14699" xr:uid="{00000000-0005-0000-0000-000041390000}"/>
    <cellStyle name="Normal 2 2 2 2 4 2 2 7 3 9" xfId="14700" xr:uid="{00000000-0005-0000-0000-000042390000}"/>
    <cellStyle name="Normal 2 2 2 2 4 2 2 7 4" xfId="14701" xr:uid="{00000000-0005-0000-0000-000043390000}"/>
    <cellStyle name="Normal 2 2 2 2 4 2 2 7 4 10" xfId="14702" xr:uid="{00000000-0005-0000-0000-000044390000}"/>
    <cellStyle name="Normal 2 2 2 2 4 2 2 7 4 2" xfId="14703" xr:uid="{00000000-0005-0000-0000-000045390000}"/>
    <cellStyle name="Normal 2 2 2 2 4 2 2 7 4 3" xfId="14704" xr:uid="{00000000-0005-0000-0000-000046390000}"/>
    <cellStyle name="Normal 2 2 2 2 4 2 2 7 4 4" xfId="14705" xr:uid="{00000000-0005-0000-0000-000047390000}"/>
    <cellStyle name="Normal 2 2 2 2 4 2 2 7 4 5" xfId="14706" xr:uid="{00000000-0005-0000-0000-000048390000}"/>
    <cellStyle name="Normal 2 2 2 2 4 2 2 7 4 6" xfId="14707" xr:uid="{00000000-0005-0000-0000-000049390000}"/>
    <cellStyle name="Normal 2 2 2 2 4 2 2 7 4 7" xfId="14708" xr:uid="{00000000-0005-0000-0000-00004A390000}"/>
    <cellStyle name="Normal 2 2 2 2 4 2 2 7 4 8" xfId="14709" xr:uid="{00000000-0005-0000-0000-00004B390000}"/>
    <cellStyle name="Normal 2 2 2 2 4 2 2 7 4 9" xfId="14710" xr:uid="{00000000-0005-0000-0000-00004C390000}"/>
    <cellStyle name="Normal 2 2 2 2 4 2 2 7 5" xfId="14711" xr:uid="{00000000-0005-0000-0000-00004D390000}"/>
    <cellStyle name="Normal 2 2 2 2 4 2 2 7 5 10" xfId="14712" xr:uid="{00000000-0005-0000-0000-00004E390000}"/>
    <cellStyle name="Normal 2 2 2 2 4 2 2 7 5 2" xfId="14713" xr:uid="{00000000-0005-0000-0000-00004F390000}"/>
    <cellStyle name="Normal 2 2 2 2 4 2 2 7 5 3" xfId="14714" xr:uid="{00000000-0005-0000-0000-000050390000}"/>
    <cellStyle name="Normal 2 2 2 2 4 2 2 7 5 4" xfId="14715" xr:uid="{00000000-0005-0000-0000-000051390000}"/>
    <cellStyle name="Normal 2 2 2 2 4 2 2 7 5 5" xfId="14716" xr:uid="{00000000-0005-0000-0000-000052390000}"/>
    <cellStyle name="Normal 2 2 2 2 4 2 2 7 5 6" xfId="14717" xr:uid="{00000000-0005-0000-0000-000053390000}"/>
    <cellStyle name="Normal 2 2 2 2 4 2 2 7 5 7" xfId="14718" xr:uid="{00000000-0005-0000-0000-000054390000}"/>
    <cellStyle name="Normal 2 2 2 2 4 2 2 7 5 8" xfId="14719" xr:uid="{00000000-0005-0000-0000-000055390000}"/>
    <cellStyle name="Normal 2 2 2 2 4 2 2 7 5 9" xfId="14720" xr:uid="{00000000-0005-0000-0000-000056390000}"/>
    <cellStyle name="Normal 2 2 2 2 4 2 2 7 6" xfId="14721" xr:uid="{00000000-0005-0000-0000-000057390000}"/>
    <cellStyle name="Normal 2 2 2 2 4 2 2 7 7" xfId="14722" xr:uid="{00000000-0005-0000-0000-000058390000}"/>
    <cellStyle name="Normal 2 2 2 2 4 2 2 7 8" xfId="14723" xr:uid="{00000000-0005-0000-0000-000059390000}"/>
    <cellStyle name="Normal 2 2 2 2 4 2 2 7 9" xfId="14724" xr:uid="{00000000-0005-0000-0000-00005A390000}"/>
    <cellStyle name="Normal 2 2 2 2 4 2 2 8" xfId="14725" xr:uid="{00000000-0005-0000-0000-00005B390000}"/>
    <cellStyle name="Normal 2 2 2 2 4 2 2 8 10" xfId="14726" xr:uid="{00000000-0005-0000-0000-00005C390000}"/>
    <cellStyle name="Normal 2 2 2 2 4 2 2 8 11" xfId="14727" xr:uid="{00000000-0005-0000-0000-00005D390000}"/>
    <cellStyle name="Normal 2 2 2 2 4 2 2 8 12" xfId="14728" xr:uid="{00000000-0005-0000-0000-00005E390000}"/>
    <cellStyle name="Normal 2 2 2 2 4 2 2 8 13" xfId="14729" xr:uid="{00000000-0005-0000-0000-00005F390000}"/>
    <cellStyle name="Normal 2 2 2 2 4 2 2 8 14" xfId="14730" xr:uid="{00000000-0005-0000-0000-000060390000}"/>
    <cellStyle name="Normal 2 2 2 2 4 2 2 8 2" xfId="14731" xr:uid="{00000000-0005-0000-0000-000061390000}"/>
    <cellStyle name="Normal 2 2 2 2 4 2 2 8 2 10" xfId="14732" xr:uid="{00000000-0005-0000-0000-000062390000}"/>
    <cellStyle name="Normal 2 2 2 2 4 2 2 8 2 2" xfId="14733" xr:uid="{00000000-0005-0000-0000-000063390000}"/>
    <cellStyle name="Normal 2 2 2 2 4 2 2 8 2 3" xfId="14734" xr:uid="{00000000-0005-0000-0000-000064390000}"/>
    <cellStyle name="Normal 2 2 2 2 4 2 2 8 2 4" xfId="14735" xr:uid="{00000000-0005-0000-0000-000065390000}"/>
    <cellStyle name="Normal 2 2 2 2 4 2 2 8 2 5" xfId="14736" xr:uid="{00000000-0005-0000-0000-000066390000}"/>
    <cellStyle name="Normal 2 2 2 2 4 2 2 8 2 6" xfId="14737" xr:uid="{00000000-0005-0000-0000-000067390000}"/>
    <cellStyle name="Normal 2 2 2 2 4 2 2 8 2 7" xfId="14738" xr:uid="{00000000-0005-0000-0000-000068390000}"/>
    <cellStyle name="Normal 2 2 2 2 4 2 2 8 2 8" xfId="14739" xr:uid="{00000000-0005-0000-0000-000069390000}"/>
    <cellStyle name="Normal 2 2 2 2 4 2 2 8 2 9" xfId="14740" xr:uid="{00000000-0005-0000-0000-00006A390000}"/>
    <cellStyle name="Normal 2 2 2 2 4 2 2 8 3" xfId="14741" xr:uid="{00000000-0005-0000-0000-00006B390000}"/>
    <cellStyle name="Normal 2 2 2 2 4 2 2 8 3 10" xfId="14742" xr:uid="{00000000-0005-0000-0000-00006C390000}"/>
    <cellStyle name="Normal 2 2 2 2 4 2 2 8 3 2" xfId="14743" xr:uid="{00000000-0005-0000-0000-00006D390000}"/>
    <cellStyle name="Normal 2 2 2 2 4 2 2 8 3 3" xfId="14744" xr:uid="{00000000-0005-0000-0000-00006E390000}"/>
    <cellStyle name="Normal 2 2 2 2 4 2 2 8 3 4" xfId="14745" xr:uid="{00000000-0005-0000-0000-00006F390000}"/>
    <cellStyle name="Normal 2 2 2 2 4 2 2 8 3 5" xfId="14746" xr:uid="{00000000-0005-0000-0000-000070390000}"/>
    <cellStyle name="Normal 2 2 2 2 4 2 2 8 3 6" xfId="14747" xr:uid="{00000000-0005-0000-0000-000071390000}"/>
    <cellStyle name="Normal 2 2 2 2 4 2 2 8 3 7" xfId="14748" xr:uid="{00000000-0005-0000-0000-000072390000}"/>
    <cellStyle name="Normal 2 2 2 2 4 2 2 8 3 8" xfId="14749" xr:uid="{00000000-0005-0000-0000-000073390000}"/>
    <cellStyle name="Normal 2 2 2 2 4 2 2 8 3 9" xfId="14750" xr:uid="{00000000-0005-0000-0000-000074390000}"/>
    <cellStyle name="Normal 2 2 2 2 4 2 2 8 4" xfId="14751" xr:uid="{00000000-0005-0000-0000-000075390000}"/>
    <cellStyle name="Normal 2 2 2 2 4 2 2 8 4 10" xfId="14752" xr:uid="{00000000-0005-0000-0000-000076390000}"/>
    <cellStyle name="Normal 2 2 2 2 4 2 2 8 4 2" xfId="14753" xr:uid="{00000000-0005-0000-0000-000077390000}"/>
    <cellStyle name="Normal 2 2 2 2 4 2 2 8 4 3" xfId="14754" xr:uid="{00000000-0005-0000-0000-000078390000}"/>
    <cellStyle name="Normal 2 2 2 2 4 2 2 8 4 4" xfId="14755" xr:uid="{00000000-0005-0000-0000-000079390000}"/>
    <cellStyle name="Normal 2 2 2 2 4 2 2 8 4 5" xfId="14756" xr:uid="{00000000-0005-0000-0000-00007A390000}"/>
    <cellStyle name="Normal 2 2 2 2 4 2 2 8 4 6" xfId="14757" xr:uid="{00000000-0005-0000-0000-00007B390000}"/>
    <cellStyle name="Normal 2 2 2 2 4 2 2 8 4 7" xfId="14758" xr:uid="{00000000-0005-0000-0000-00007C390000}"/>
    <cellStyle name="Normal 2 2 2 2 4 2 2 8 4 8" xfId="14759" xr:uid="{00000000-0005-0000-0000-00007D390000}"/>
    <cellStyle name="Normal 2 2 2 2 4 2 2 8 4 9" xfId="14760" xr:uid="{00000000-0005-0000-0000-00007E390000}"/>
    <cellStyle name="Normal 2 2 2 2 4 2 2 8 5" xfId="14761" xr:uid="{00000000-0005-0000-0000-00007F390000}"/>
    <cellStyle name="Normal 2 2 2 2 4 2 2 8 5 10" xfId="14762" xr:uid="{00000000-0005-0000-0000-000080390000}"/>
    <cellStyle name="Normal 2 2 2 2 4 2 2 8 5 2" xfId="14763" xr:uid="{00000000-0005-0000-0000-000081390000}"/>
    <cellStyle name="Normal 2 2 2 2 4 2 2 8 5 3" xfId="14764" xr:uid="{00000000-0005-0000-0000-000082390000}"/>
    <cellStyle name="Normal 2 2 2 2 4 2 2 8 5 4" xfId="14765" xr:uid="{00000000-0005-0000-0000-000083390000}"/>
    <cellStyle name="Normal 2 2 2 2 4 2 2 8 5 5" xfId="14766" xr:uid="{00000000-0005-0000-0000-000084390000}"/>
    <cellStyle name="Normal 2 2 2 2 4 2 2 8 5 6" xfId="14767" xr:uid="{00000000-0005-0000-0000-000085390000}"/>
    <cellStyle name="Normal 2 2 2 2 4 2 2 8 5 7" xfId="14768" xr:uid="{00000000-0005-0000-0000-000086390000}"/>
    <cellStyle name="Normal 2 2 2 2 4 2 2 8 5 8" xfId="14769" xr:uid="{00000000-0005-0000-0000-000087390000}"/>
    <cellStyle name="Normal 2 2 2 2 4 2 2 8 5 9" xfId="14770" xr:uid="{00000000-0005-0000-0000-000088390000}"/>
    <cellStyle name="Normal 2 2 2 2 4 2 2 8 6" xfId="14771" xr:uid="{00000000-0005-0000-0000-000089390000}"/>
    <cellStyle name="Normal 2 2 2 2 4 2 2 8 7" xfId="14772" xr:uid="{00000000-0005-0000-0000-00008A390000}"/>
    <cellStyle name="Normal 2 2 2 2 4 2 2 8 8" xfId="14773" xr:uid="{00000000-0005-0000-0000-00008B390000}"/>
    <cellStyle name="Normal 2 2 2 2 4 2 2 8 9" xfId="14774" xr:uid="{00000000-0005-0000-0000-00008C390000}"/>
    <cellStyle name="Normal 2 2 2 2 4 2 2 9" xfId="14775" xr:uid="{00000000-0005-0000-0000-00008D390000}"/>
    <cellStyle name="Normal 2 2 2 2 4 2 2 9 10" xfId="14776" xr:uid="{00000000-0005-0000-0000-00008E390000}"/>
    <cellStyle name="Normal 2 2 2 2 4 2 2 9 11" xfId="14777" xr:uid="{00000000-0005-0000-0000-00008F390000}"/>
    <cellStyle name="Normal 2 2 2 2 4 2 2 9 12" xfId="14778" xr:uid="{00000000-0005-0000-0000-000090390000}"/>
    <cellStyle name="Normal 2 2 2 2 4 2 2 9 13" xfId="14779" xr:uid="{00000000-0005-0000-0000-000091390000}"/>
    <cellStyle name="Normal 2 2 2 2 4 2 2 9 14" xfId="14780" xr:uid="{00000000-0005-0000-0000-000092390000}"/>
    <cellStyle name="Normal 2 2 2 2 4 2 2 9 2" xfId="14781" xr:uid="{00000000-0005-0000-0000-000093390000}"/>
    <cellStyle name="Normal 2 2 2 2 4 2 2 9 2 10" xfId="14782" xr:uid="{00000000-0005-0000-0000-000094390000}"/>
    <cellStyle name="Normal 2 2 2 2 4 2 2 9 2 2" xfId="14783" xr:uid="{00000000-0005-0000-0000-000095390000}"/>
    <cellStyle name="Normal 2 2 2 2 4 2 2 9 2 3" xfId="14784" xr:uid="{00000000-0005-0000-0000-000096390000}"/>
    <cellStyle name="Normal 2 2 2 2 4 2 2 9 2 4" xfId="14785" xr:uid="{00000000-0005-0000-0000-000097390000}"/>
    <cellStyle name="Normal 2 2 2 2 4 2 2 9 2 5" xfId="14786" xr:uid="{00000000-0005-0000-0000-000098390000}"/>
    <cellStyle name="Normal 2 2 2 2 4 2 2 9 2 6" xfId="14787" xr:uid="{00000000-0005-0000-0000-000099390000}"/>
    <cellStyle name="Normal 2 2 2 2 4 2 2 9 2 7" xfId="14788" xr:uid="{00000000-0005-0000-0000-00009A390000}"/>
    <cellStyle name="Normal 2 2 2 2 4 2 2 9 2 8" xfId="14789" xr:uid="{00000000-0005-0000-0000-00009B390000}"/>
    <cellStyle name="Normal 2 2 2 2 4 2 2 9 2 9" xfId="14790" xr:uid="{00000000-0005-0000-0000-00009C390000}"/>
    <cellStyle name="Normal 2 2 2 2 4 2 2 9 3" xfId="14791" xr:uid="{00000000-0005-0000-0000-00009D390000}"/>
    <cellStyle name="Normal 2 2 2 2 4 2 2 9 3 10" xfId="14792" xr:uid="{00000000-0005-0000-0000-00009E390000}"/>
    <cellStyle name="Normal 2 2 2 2 4 2 2 9 3 2" xfId="14793" xr:uid="{00000000-0005-0000-0000-00009F390000}"/>
    <cellStyle name="Normal 2 2 2 2 4 2 2 9 3 3" xfId="14794" xr:uid="{00000000-0005-0000-0000-0000A0390000}"/>
    <cellStyle name="Normal 2 2 2 2 4 2 2 9 3 4" xfId="14795" xr:uid="{00000000-0005-0000-0000-0000A1390000}"/>
    <cellStyle name="Normal 2 2 2 2 4 2 2 9 3 5" xfId="14796" xr:uid="{00000000-0005-0000-0000-0000A2390000}"/>
    <cellStyle name="Normal 2 2 2 2 4 2 2 9 3 6" xfId="14797" xr:uid="{00000000-0005-0000-0000-0000A3390000}"/>
    <cellStyle name="Normal 2 2 2 2 4 2 2 9 3 7" xfId="14798" xr:uid="{00000000-0005-0000-0000-0000A4390000}"/>
    <cellStyle name="Normal 2 2 2 2 4 2 2 9 3 8" xfId="14799" xr:uid="{00000000-0005-0000-0000-0000A5390000}"/>
    <cellStyle name="Normal 2 2 2 2 4 2 2 9 3 9" xfId="14800" xr:uid="{00000000-0005-0000-0000-0000A6390000}"/>
    <cellStyle name="Normal 2 2 2 2 4 2 2 9 4" xfId="14801" xr:uid="{00000000-0005-0000-0000-0000A7390000}"/>
    <cellStyle name="Normal 2 2 2 2 4 2 2 9 4 10" xfId="14802" xr:uid="{00000000-0005-0000-0000-0000A8390000}"/>
    <cellStyle name="Normal 2 2 2 2 4 2 2 9 4 2" xfId="14803" xr:uid="{00000000-0005-0000-0000-0000A9390000}"/>
    <cellStyle name="Normal 2 2 2 2 4 2 2 9 4 3" xfId="14804" xr:uid="{00000000-0005-0000-0000-0000AA390000}"/>
    <cellStyle name="Normal 2 2 2 2 4 2 2 9 4 4" xfId="14805" xr:uid="{00000000-0005-0000-0000-0000AB390000}"/>
    <cellStyle name="Normal 2 2 2 2 4 2 2 9 4 5" xfId="14806" xr:uid="{00000000-0005-0000-0000-0000AC390000}"/>
    <cellStyle name="Normal 2 2 2 2 4 2 2 9 4 6" xfId="14807" xr:uid="{00000000-0005-0000-0000-0000AD390000}"/>
    <cellStyle name="Normal 2 2 2 2 4 2 2 9 4 7" xfId="14808" xr:uid="{00000000-0005-0000-0000-0000AE390000}"/>
    <cellStyle name="Normal 2 2 2 2 4 2 2 9 4 8" xfId="14809" xr:uid="{00000000-0005-0000-0000-0000AF390000}"/>
    <cellStyle name="Normal 2 2 2 2 4 2 2 9 4 9" xfId="14810" xr:uid="{00000000-0005-0000-0000-0000B0390000}"/>
    <cellStyle name="Normal 2 2 2 2 4 2 2 9 5" xfId="14811" xr:uid="{00000000-0005-0000-0000-0000B1390000}"/>
    <cellStyle name="Normal 2 2 2 2 4 2 2 9 5 10" xfId="14812" xr:uid="{00000000-0005-0000-0000-0000B2390000}"/>
    <cellStyle name="Normal 2 2 2 2 4 2 2 9 5 2" xfId="14813" xr:uid="{00000000-0005-0000-0000-0000B3390000}"/>
    <cellStyle name="Normal 2 2 2 2 4 2 2 9 5 3" xfId="14814" xr:uid="{00000000-0005-0000-0000-0000B4390000}"/>
    <cellStyle name="Normal 2 2 2 2 4 2 2 9 5 4" xfId="14815" xr:uid="{00000000-0005-0000-0000-0000B5390000}"/>
    <cellStyle name="Normal 2 2 2 2 4 2 2 9 5 5" xfId="14816" xr:uid="{00000000-0005-0000-0000-0000B6390000}"/>
    <cellStyle name="Normal 2 2 2 2 4 2 2 9 5 6" xfId="14817" xr:uid="{00000000-0005-0000-0000-0000B7390000}"/>
    <cellStyle name="Normal 2 2 2 2 4 2 2 9 5 7" xfId="14818" xr:uid="{00000000-0005-0000-0000-0000B8390000}"/>
    <cellStyle name="Normal 2 2 2 2 4 2 2 9 5 8" xfId="14819" xr:uid="{00000000-0005-0000-0000-0000B9390000}"/>
    <cellStyle name="Normal 2 2 2 2 4 2 2 9 5 9" xfId="14820" xr:uid="{00000000-0005-0000-0000-0000BA390000}"/>
    <cellStyle name="Normal 2 2 2 2 4 2 2 9 6" xfId="14821" xr:uid="{00000000-0005-0000-0000-0000BB390000}"/>
    <cellStyle name="Normal 2 2 2 2 4 2 2 9 7" xfId="14822" xr:uid="{00000000-0005-0000-0000-0000BC390000}"/>
    <cellStyle name="Normal 2 2 2 2 4 2 2 9 8" xfId="14823" xr:uid="{00000000-0005-0000-0000-0000BD390000}"/>
    <cellStyle name="Normal 2 2 2 2 4 2 2 9 9" xfId="14824" xr:uid="{00000000-0005-0000-0000-0000BE390000}"/>
    <cellStyle name="Normal 2 2 2 2 4 2 20" xfId="14825" xr:uid="{00000000-0005-0000-0000-0000BF390000}"/>
    <cellStyle name="Normal 2 2 2 2 4 2 21" xfId="14826" xr:uid="{00000000-0005-0000-0000-0000C0390000}"/>
    <cellStyle name="Normal 2 2 2 2 4 2 21 10" xfId="14827" xr:uid="{00000000-0005-0000-0000-0000C1390000}"/>
    <cellStyle name="Normal 2 2 2 2 4 2 21 2" xfId="14828" xr:uid="{00000000-0005-0000-0000-0000C2390000}"/>
    <cellStyle name="Normal 2 2 2 2 4 2 21 3" xfId="14829" xr:uid="{00000000-0005-0000-0000-0000C3390000}"/>
    <cellStyle name="Normal 2 2 2 2 4 2 21 4" xfId="14830" xr:uid="{00000000-0005-0000-0000-0000C4390000}"/>
    <cellStyle name="Normal 2 2 2 2 4 2 21 5" xfId="14831" xr:uid="{00000000-0005-0000-0000-0000C5390000}"/>
    <cellStyle name="Normal 2 2 2 2 4 2 21 6" xfId="14832" xr:uid="{00000000-0005-0000-0000-0000C6390000}"/>
    <cellStyle name="Normal 2 2 2 2 4 2 21 7" xfId="14833" xr:uid="{00000000-0005-0000-0000-0000C7390000}"/>
    <cellStyle name="Normal 2 2 2 2 4 2 21 8" xfId="14834" xr:uid="{00000000-0005-0000-0000-0000C8390000}"/>
    <cellStyle name="Normal 2 2 2 2 4 2 21 9" xfId="14835" xr:uid="{00000000-0005-0000-0000-0000C9390000}"/>
    <cellStyle name="Normal 2 2 2 2 4 2 22" xfId="14836" xr:uid="{00000000-0005-0000-0000-0000CA390000}"/>
    <cellStyle name="Normal 2 2 2 2 4 2 22 10" xfId="14837" xr:uid="{00000000-0005-0000-0000-0000CB390000}"/>
    <cellStyle name="Normal 2 2 2 2 4 2 22 2" xfId="14838" xr:uid="{00000000-0005-0000-0000-0000CC390000}"/>
    <cellStyle name="Normal 2 2 2 2 4 2 22 3" xfId="14839" xr:uid="{00000000-0005-0000-0000-0000CD390000}"/>
    <cellStyle name="Normal 2 2 2 2 4 2 22 4" xfId="14840" xr:uid="{00000000-0005-0000-0000-0000CE390000}"/>
    <cellStyle name="Normal 2 2 2 2 4 2 22 5" xfId="14841" xr:uid="{00000000-0005-0000-0000-0000CF390000}"/>
    <cellStyle name="Normal 2 2 2 2 4 2 22 6" xfId="14842" xr:uid="{00000000-0005-0000-0000-0000D0390000}"/>
    <cellStyle name="Normal 2 2 2 2 4 2 22 7" xfId="14843" xr:uid="{00000000-0005-0000-0000-0000D1390000}"/>
    <cellStyle name="Normal 2 2 2 2 4 2 22 8" xfId="14844" xr:uid="{00000000-0005-0000-0000-0000D2390000}"/>
    <cellStyle name="Normal 2 2 2 2 4 2 22 9" xfId="14845" xr:uid="{00000000-0005-0000-0000-0000D3390000}"/>
    <cellStyle name="Normal 2 2 2 2 4 2 23" xfId="14846" xr:uid="{00000000-0005-0000-0000-0000D4390000}"/>
    <cellStyle name="Normal 2 2 2 2 4 2 23 10" xfId="14847" xr:uid="{00000000-0005-0000-0000-0000D5390000}"/>
    <cellStyle name="Normal 2 2 2 2 4 2 23 2" xfId="14848" xr:uid="{00000000-0005-0000-0000-0000D6390000}"/>
    <cellStyle name="Normal 2 2 2 2 4 2 23 3" xfId="14849" xr:uid="{00000000-0005-0000-0000-0000D7390000}"/>
    <cellStyle name="Normal 2 2 2 2 4 2 23 4" xfId="14850" xr:uid="{00000000-0005-0000-0000-0000D8390000}"/>
    <cellStyle name="Normal 2 2 2 2 4 2 23 5" xfId="14851" xr:uid="{00000000-0005-0000-0000-0000D9390000}"/>
    <cellStyle name="Normal 2 2 2 2 4 2 23 6" xfId="14852" xr:uid="{00000000-0005-0000-0000-0000DA390000}"/>
    <cellStyle name="Normal 2 2 2 2 4 2 23 7" xfId="14853" xr:uid="{00000000-0005-0000-0000-0000DB390000}"/>
    <cellStyle name="Normal 2 2 2 2 4 2 23 8" xfId="14854" xr:uid="{00000000-0005-0000-0000-0000DC390000}"/>
    <cellStyle name="Normal 2 2 2 2 4 2 23 9" xfId="14855" xr:uid="{00000000-0005-0000-0000-0000DD390000}"/>
    <cellStyle name="Normal 2 2 2 2 4 2 24" xfId="14856" xr:uid="{00000000-0005-0000-0000-0000DE390000}"/>
    <cellStyle name="Normal 2 2 2 2 4 2 24 10" xfId="14857" xr:uid="{00000000-0005-0000-0000-0000DF390000}"/>
    <cellStyle name="Normal 2 2 2 2 4 2 24 2" xfId="14858" xr:uid="{00000000-0005-0000-0000-0000E0390000}"/>
    <cellStyle name="Normal 2 2 2 2 4 2 24 3" xfId="14859" xr:uid="{00000000-0005-0000-0000-0000E1390000}"/>
    <cellStyle name="Normal 2 2 2 2 4 2 24 4" xfId="14860" xr:uid="{00000000-0005-0000-0000-0000E2390000}"/>
    <cellStyle name="Normal 2 2 2 2 4 2 24 5" xfId="14861" xr:uid="{00000000-0005-0000-0000-0000E3390000}"/>
    <cellStyle name="Normal 2 2 2 2 4 2 24 6" xfId="14862" xr:uid="{00000000-0005-0000-0000-0000E4390000}"/>
    <cellStyle name="Normal 2 2 2 2 4 2 24 7" xfId="14863" xr:uid="{00000000-0005-0000-0000-0000E5390000}"/>
    <cellStyle name="Normal 2 2 2 2 4 2 24 8" xfId="14864" xr:uid="{00000000-0005-0000-0000-0000E6390000}"/>
    <cellStyle name="Normal 2 2 2 2 4 2 24 9" xfId="14865" xr:uid="{00000000-0005-0000-0000-0000E7390000}"/>
    <cellStyle name="Normal 2 2 2 2 4 2 25" xfId="14866" xr:uid="{00000000-0005-0000-0000-0000E8390000}"/>
    <cellStyle name="Normal 2 2 2 2 4 2 26" xfId="14867" xr:uid="{00000000-0005-0000-0000-0000E9390000}"/>
    <cellStyle name="Normal 2 2 2 2 4 2 27" xfId="14868" xr:uid="{00000000-0005-0000-0000-0000EA390000}"/>
    <cellStyle name="Normal 2 2 2 2 4 2 28" xfId="14869" xr:uid="{00000000-0005-0000-0000-0000EB390000}"/>
    <cellStyle name="Normal 2 2 2 2 4 2 29" xfId="14870" xr:uid="{00000000-0005-0000-0000-0000EC390000}"/>
    <cellStyle name="Normal 2 2 2 2 4 2 3" xfId="14871" xr:uid="{00000000-0005-0000-0000-0000ED390000}"/>
    <cellStyle name="Normal 2 2 2 2 4 2 30" xfId="14872" xr:uid="{00000000-0005-0000-0000-0000EE390000}"/>
    <cellStyle name="Normal 2 2 2 2 4 2 31" xfId="14873" xr:uid="{00000000-0005-0000-0000-0000EF390000}"/>
    <cellStyle name="Normal 2 2 2 2 4 2 32" xfId="14874" xr:uid="{00000000-0005-0000-0000-0000F0390000}"/>
    <cellStyle name="Normal 2 2 2 2 4 2 33" xfId="14875" xr:uid="{00000000-0005-0000-0000-0000F1390000}"/>
    <cellStyle name="Normal 2 2 2 2 4 2 34" xfId="14876" xr:uid="{00000000-0005-0000-0000-0000F2390000}"/>
    <cellStyle name="Normal 2 2 2 2 4 2 35" xfId="14877" xr:uid="{00000000-0005-0000-0000-0000F3390000}"/>
    <cellStyle name="Normal 2 2 2 2 4 2 4" xfId="14878" xr:uid="{00000000-0005-0000-0000-0000F4390000}"/>
    <cellStyle name="Normal 2 2 2 2 4 2 5" xfId="14879" xr:uid="{00000000-0005-0000-0000-0000F5390000}"/>
    <cellStyle name="Normal 2 2 2 2 4 2 6" xfId="14880" xr:uid="{00000000-0005-0000-0000-0000F6390000}"/>
    <cellStyle name="Normal 2 2 2 2 4 2 7" xfId="14881" xr:uid="{00000000-0005-0000-0000-0000F7390000}"/>
    <cellStyle name="Normal 2 2 2 2 4 2 8" xfId="14882" xr:uid="{00000000-0005-0000-0000-0000F8390000}"/>
    <cellStyle name="Normal 2 2 2 2 4 2 9" xfId="14883" xr:uid="{00000000-0005-0000-0000-0000F9390000}"/>
    <cellStyle name="Normal 2 2 2 2 4 20" xfId="14884" xr:uid="{00000000-0005-0000-0000-0000FA390000}"/>
    <cellStyle name="Normal 2 2 2 2 4 20 10" xfId="14885" xr:uid="{00000000-0005-0000-0000-0000FB390000}"/>
    <cellStyle name="Normal 2 2 2 2 4 20 11" xfId="14886" xr:uid="{00000000-0005-0000-0000-0000FC390000}"/>
    <cellStyle name="Normal 2 2 2 2 4 20 12" xfId="14887" xr:uid="{00000000-0005-0000-0000-0000FD390000}"/>
    <cellStyle name="Normal 2 2 2 2 4 20 13" xfId="14888" xr:uid="{00000000-0005-0000-0000-0000FE390000}"/>
    <cellStyle name="Normal 2 2 2 2 4 20 14" xfId="14889" xr:uid="{00000000-0005-0000-0000-0000FF390000}"/>
    <cellStyle name="Normal 2 2 2 2 4 20 2" xfId="14890" xr:uid="{00000000-0005-0000-0000-0000003A0000}"/>
    <cellStyle name="Normal 2 2 2 2 4 20 2 10" xfId="14891" xr:uid="{00000000-0005-0000-0000-0000013A0000}"/>
    <cellStyle name="Normal 2 2 2 2 4 20 2 2" xfId="14892" xr:uid="{00000000-0005-0000-0000-0000023A0000}"/>
    <cellStyle name="Normal 2 2 2 2 4 20 2 3" xfId="14893" xr:uid="{00000000-0005-0000-0000-0000033A0000}"/>
    <cellStyle name="Normal 2 2 2 2 4 20 2 4" xfId="14894" xr:uid="{00000000-0005-0000-0000-0000043A0000}"/>
    <cellStyle name="Normal 2 2 2 2 4 20 2 5" xfId="14895" xr:uid="{00000000-0005-0000-0000-0000053A0000}"/>
    <cellStyle name="Normal 2 2 2 2 4 20 2 6" xfId="14896" xr:uid="{00000000-0005-0000-0000-0000063A0000}"/>
    <cellStyle name="Normal 2 2 2 2 4 20 2 7" xfId="14897" xr:uid="{00000000-0005-0000-0000-0000073A0000}"/>
    <cellStyle name="Normal 2 2 2 2 4 20 2 8" xfId="14898" xr:uid="{00000000-0005-0000-0000-0000083A0000}"/>
    <cellStyle name="Normal 2 2 2 2 4 20 2 9" xfId="14899" xr:uid="{00000000-0005-0000-0000-0000093A0000}"/>
    <cellStyle name="Normal 2 2 2 2 4 20 3" xfId="14900" xr:uid="{00000000-0005-0000-0000-00000A3A0000}"/>
    <cellStyle name="Normal 2 2 2 2 4 20 3 10" xfId="14901" xr:uid="{00000000-0005-0000-0000-00000B3A0000}"/>
    <cellStyle name="Normal 2 2 2 2 4 20 3 2" xfId="14902" xr:uid="{00000000-0005-0000-0000-00000C3A0000}"/>
    <cellStyle name="Normal 2 2 2 2 4 20 3 3" xfId="14903" xr:uid="{00000000-0005-0000-0000-00000D3A0000}"/>
    <cellStyle name="Normal 2 2 2 2 4 20 3 4" xfId="14904" xr:uid="{00000000-0005-0000-0000-00000E3A0000}"/>
    <cellStyle name="Normal 2 2 2 2 4 20 3 5" xfId="14905" xr:uid="{00000000-0005-0000-0000-00000F3A0000}"/>
    <cellStyle name="Normal 2 2 2 2 4 20 3 6" xfId="14906" xr:uid="{00000000-0005-0000-0000-0000103A0000}"/>
    <cellStyle name="Normal 2 2 2 2 4 20 3 7" xfId="14907" xr:uid="{00000000-0005-0000-0000-0000113A0000}"/>
    <cellStyle name="Normal 2 2 2 2 4 20 3 8" xfId="14908" xr:uid="{00000000-0005-0000-0000-0000123A0000}"/>
    <cellStyle name="Normal 2 2 2 2 4 20 3 9" xfId="14909" xr:uid="{00000000-0005-0000-0000-0000133A0000}"/>
    <cellStyle name="Normal 2 2 2 2 4 20 4" xfId="14910" xr:uid="{00000000-0005-0000-0000-0000143A0000}"/>
    <cellStyle name="Normal 2 2 2 2 4 20 4 10" xfId="14911" xr:uid="{00000000-0005-0000-0000-0000153A0000}"/>
    <cellStyle name="Normal 2 2 2 2 4 20 4 2" xfId="14912" xr:uid="{00000000-0005-0000-0000-0000163A0000}"/>
    <cellStyle name="Normal 2 2 2 2 4 20 4 3" xfId="14913" xr:uid="{00000000-0005-0000-0000-0000173A0000}"/>
    <cellStyle name="Normal 2 2 2 2 4 20 4 4" xfId="14914" xr:uid="{00000000-0005-0000-0000-0000183A0000}"/>
    <cellStyle name="Normal 2 2 2 2 4 20 4 5" xfId="14915" xr:uid="{00000000-0005-0000-0000-0000193A0000}"/>
    <cellStyle name="Normal 2 2 2 2 4 20 4 6" xfId="14916" xr:uid="{00000000-0005-0000-0000-00001A3A0000}"/>
    <cellStyle name="Normal 2 2 2 2 4 20 4 7" xfId="14917" xr:uid="{00000000-0005-0000-0000-00001B3A0000}"/>
    <cellStyle name="Normal 2 2 2 2 4 20 4 8" xfId="14918" xr:uid="{00000000-0005-0000-0000-00001C3A0000}"/>
    <cellStyle name="Normal 2 2 2 2 4 20 4 9" xfId="14919" xr:uid="{00000000-0005-0000-0000-00001D3A0000}"/>
    <cellStyle name="Normal 2 2 2 2 4 20 5" xfId="14920" xr:uid="{00000000-0005-0000-0000-00001E3A0000}"/>
    <cellStyle name="Normal 2 2 2 2 4 20 5 10" xfId="14921" xr:uid="{00000000-0005-0000-0000-00001F3A0000}"/>
    <cellStyle name="Normal 2 2 2 2 4 20 5 2" xfId="14922" xr:uid="{00000000-0005-0000-0000-0000203A0000}"/>
    <cellStyle name="Normal 2 2 2 2 4 20 5 3" xfId="14923" xr:uid="{00000000-0005-0000-0000-0000213A0000}"/>
    <cellStyle name="Normal 2 2 2 2 4 20 5 4" xfId="14924" xr:uid="{00000000-0005-0000-0000-0000223A0000}"/>
    <cellStyle name="Normal 2 2 2 2 4 20 5 5" xfId="14925" xr:uid="{00000000-0005-0000-0000-0000233A0000}"/>
    <cellStyle name="Normal 2 2 2 2 4 20 5 6" xfId="14926" xr:uid="{00000000-0005-0000-0000-0000243A0000}"/>
    <cellStyle name="Normal 2 2 2 2 4 20 5 7" xfId="14927" xr:uid="{00000000-0005-0000-0000-0000253A0000}"/>
    <cellStyle name="Normal 2 2 2 2 4 20 5 8" xfId="14928" xr:uid="{00000000-0005-0000-0000-0000263A0000}"/>
    <cellStyle name="Normal 2 2 2 2 4 20 5 9" xfId="14929" xr:uid="{00000000-0005-0000-0000-0000273A0000}"/>
    <cellStyle name="Normal 2 2 2 2 4 20 6" xfId="14930" xr:uid="{00000000-0005-0000-0000-0000283A0000}"/>
    <cellStyle name="Normal 2 2 2 2 4 20 7" xfId="14931" xr:uid="{00000000-0005-0000-0000-0000293A0000}"/>
    <cellStyle name="Normal 2 2 2 2 4 20 8" xfId="14932" xr:uid="{00000000-0005-0000-0000-00002A3A0000}"/>
    <cellStyle name="Normal 2 2 2 2 4 20 9" xfId="14933" xr:uid="{00000000-0005-0000-0000-00002B3A0000}"/>
    <cellStyle name="Normal 2 2 2 2 4 21" xfId="14934" xr:uid="{00000000-0005-0000-0000-00002C3A0000}"/>
    <cellStyle name="Normal 2 2 2 2 4 21 10" xfId="14935" xr:uid="{00000000-0005-0000-0000-00002D3A0000}"/>
    <cellStyle name="Normal 2 2 2 2 4 21 11" xfId="14936" xr:uid="{00000000-0005-0000-0000-00002E3A0000}"/>
    <cellStyle name="Normal 2 2 2 2 4 21 12" xfId="14937" xr:uid="{00000000-0005-0000-0000-00002F3A0000}"/>
    <cellStyle name="Normal 2 2 2 2 4 21 13" xfId="14938" xr:uid="{00000000-0005-0000-0000-0000303A0000}"/>
    <cellStyle name="Normal 2 2 2 2 4 21 14" xfId="14939" xr:uid="{00000000-0005-0000-0000-0000313A0000}"/>
    <cellStyle name="Normal 2 2 2 2 4 21 2" xfId="14940" xr:uid="{00000000-0005-0000-0000-0000323A0000}"/>
    <cellStyle name="Normal 2 2 2 2 4 21 2 10" xfId="14941" xr:uid="{00000000-0005-0000-0000-0000333A0000}"/>
    <cellStyle name="Normal 2 2 2 2 4 21 2 2" xfId="14942" xr:uid="{00000000-0005-0000-0000-0000343A0000}"/>
    <cellStyle name="Normal 2 2 2 2 4 21 2 3" xfId="14943" xr:uid="{00000000-0005-0000-0000-0000353A0000}"/>
    <cellStyle name="Normal 2 2 2 2 4 21 2 4" xfId="14944" xr:uid="{00000000-0005-0000-0000-0000363A0000}"/>
    <cellStyle name="Normal 2 2 2 2 4 21 2 5" xfId="14945" xr:uid="{00000000-0005-0000-0000-0000373A0000}"/>
    <cellStyle name="Normal 2 2 2 2 4 21 2 6" xfId="14946" xr:uid="{00000000-0005-0000-0000-0000383A0000}"/>
    <cellStyle name="Normal 2 2 2 2 4 21 2 7" xfId="14947" xr:uid="{00000000-0005-0000-0000-0000393A0000}"/>
    <cellStyle name="Normal 2 2 2 2 4 21 2 8" xfId="14948" xr:uid="{00000000-0005-0000-0000-00003A3A0000}"/>
    <cellStyle name="Normal 2 2 2 2 4 21 2 9" xfId="14949" xr:uid="{00000000-0005-0000-0000-00003B3A0000}"/>
    <cellStyle name="Normal 2 2 2 2 4 21 3" xfId="14950" xr:uid="{00000000-0005-0000-0000-00003C3A0000}"/>
    <cellStyle name="Normal 2 2 2 2 4 21 3 10" xfId="14951" xr:uid="{00000000-0005-0000-0000-00003D3A0000}"/>
    <cellStyle name="Normal 2 2 2 2 4 21 3 2" xfId="14952" xr:uid="{00000000-0005-0000-0000-00003E3A0000}"/>
    <cellStyle name="Normal 2 2 2 2 4 21 3 3" xfId="14953" xr:uid="{00000000-0005-0000-0000-00003F3A0000}"/>
    <cellStyle name="Normal 2 2 2 2 4 21 3 4" xfId="14954" xr:uid="{00000000-0005-0000-0000-0000403A0000}"/>
    <cellStyle name="Normal 2 2 2 2 4 21 3 5" xfId="14955" xr:uid="{00000000-0005-0000-0000-0000413A0000}"/>
    <cellStyle name="Normal 2 2 2 2 4 21 3 6" xfId="14956" xr:uid="{00000000-0005-0000-0000-0000423A0000}"/>
    <cellStyle name="Normal 2 2 2 2 4 21 3 7" xfId="14957" xr:uid="{00000000-0005-0000-0000-0000433A0000}"/>
    <cellStyle name="Normal 2 2 2 2 4 21 3 8" xfId="14958" xr:uid="{00000000-0005-0000-0000-0000443A0000}"/>
    <cellStyle name="Normal 2 2 2 2 4 21 3 9" xfId="14959" xr:uid="{00000000-0005-0000-0000-0000453A0000}"/>
    <cellStyle name="Normal 2 2 2 2 4 21 4" xfId="14960" xr:uid="{00000000-0005-0000-0000-0000463A0000}"/>
    <cellStyle name="Normal 2 2 2 2 4 21 4 10" xfId="14961" xr:uid="{00000000-0005-0000-0000-0000473A0000}"/>
    <cellStyle name="Normal 2 2 2 2 4 21 4 2" xfId="14962" xr:uid="{00000000-0005-0000-0000-0000483A0000}"/>
    <cellStyle name="Normal 2 2 2 2 4 21 4 3" xfId="14963" xr:uid="{00000000-0005-0000-0000-0000493A0000}"/>
    <cellStyle name="Normal 2 2 2 2 4 21 4 4" xfId="14964" xr:uid="{00000000-0005-0000-0000-00004A3A0000}"/>
    <cellStyle name="Normal 2 2 2 2 4 21 4 5" xfId="14965" xr:uid="{00000000-0005-0000-0000-00004B3A0000}"/>
    <cellStyle name="Normal 2 2 2 2 4 21 4 6" xfId="14966" xr:uid="{00000000-0005-0000-0000-00004C3A0000}"/>
    <cellStyle name="Normal 2 2 2 2 4 21 4 7" xfId="14967" xr:uid="{00000000-0005-0000-0000-00004D3A0000}"/>
    <cellStyle name="Normal 2 2 2 2 4 21 4 8" xfId="14968" xr:uid="{00000000-0005-0000-0000-00004E3A0000}"/>
    <cellStyle name="Normal 2 2 2 2 4 21 4 9" xfId="14969" xr:uid="{00000000-0005-0000-0000-00004F3A0000}"/>
    <cellStyle name="Normal 2 2 2 2 4 21 5" xfId="14970" xr:uid="{00000000-0005-0000-0000-0000503A0000}"/>
    <cellStyle name="Normal 2 2 2 2 4 21 5 10" xfId="14971" xr:uid="{00000000-0005-0000-0000-0000513A0000}"/>
    <cellStyle name="Normal 2 2 2 2 4 21 5 2" xfId="14972" xr:uid="{00000000-0005-0000-0000-0000523A0000}"/>
    <cellStyle name="Normal 2 2 2 2 4 21 5 3" xfId="14973" xr:uid="{00000000-0005-0000-0000-0000533A0000}"/>
    <cellStyle name="Normal 2 2 2 2 4 21 5 4" xfId="14974" xr:uid="{00000000-0005-0000-0000-0000543A0000}"/>
    <cellStyle name="Normal 2 2 2 2 4 21 5 5" xfId="14975" xr:uid="{00000000-0005-0000-0000-0000553A0000}"/>
    <cellStyle name="Normal 2 2 2 2 4 21 5 6" xfId="14976" xr:uid="{00000000-0005-0000-0000-0000563A0000}"/>
    <cellStyle name="Normal 2 2 2 2 4 21 5 7" xfId="14977" xr:uid="{00000000-0005-0000-0000-0000573A0000}"/>
    <cellStyle name="Normal 2 2 2 2 4 21 5 8" xfId="14978" xr:uid="{00000000-0005-0000-0000-0000583A0000}"/>
    <cellStyle name="Normal 2 2 2 2 4 21 5 9" xfId="14979" xr:uid="{00000000-0005-0000-0000-0000593A0000}"/>
    <cellStyle name="Normal 2 2 2 2 4 21 6" xfId="14980" xr:uid="{00000000-0005-0000-0000-00005A3A0000}"/>
    <cellStyle name="Normal 2 2 2 2 4 21 7" xfId="14981" xr:uid="{00000000-0005-0000-0000-00005B3A0000}"/>
    <cellStyle name="Normal 2 2 2 2 4 21 8" xfId="14982" xr:uid="{00000000-0005-0000-0000-00005C3A0000}"/>
    <cellStyle name="Normal 2 2 2 2 4 21 9" xfId="14983" xr:uid="{00000000-0005-0000-0000-00005D3A0000}"/>
    <cellStyle name="Normal 2 2 2 2 4 22" xfId="14984" xr:uid="{00000000-0005-0000-0000-00005E3A0000}"/>
    <cellStyle name="Normal 2 2 2 2 4 22 10" xfId="14985" xr:uid="{00000000-0005-0000-0000-00005F3A0000}"/>
    <cellStyle name="Normal 2 2 2 2 4 22 11" xfId="14986" xr:uid="{00000000-0005-0000-0000-0000603A0000}"/>
    <cellStyle name="Normal 2 2 2 2 4 22 12" xfId="14987" xr:uid="{00000000-0005-0000-0000-0000613A0000}"/>
    <cellStyle name="Normal 2 2 2 2 4 22 13" xfId="14988" xr:uid="{00000000-0005-0000-0000-0000623A0000}"/>
    <cellStyle name="Normal 2 2 2 2 4 22 14" xfId="14989" xr:uid="{00000000-0005-0000-0000-0000633A0000}"/>
    <cellStyle name="Normal 2 2 2 2 4 22 2" xfId="14990" xr:uid="{00000000-0005-0000-0000-0000643A0000}"/>
    <cellStyle name="Normal 2 2 2 2 4 22 2 10" xfId="14991" xr:uid="{00000000-0005-0000-0000-0000653A0000}"/>
    <cellStyle name="Normal 2 2 2 2 4 22 2 2" xfId="14992" xr:uid="{00000000-0005-0000-0000-0000663A0000}"/>
    <cellStyle name="Normal 2 2 2 2 4 22 2 3" xfId="14993" xr:uid="{00000000-0005-0000-0000-0000673A0000}"/>
    <cellStyle name="Normal 2 2 2 2 4 22 2 4" xfId="14994" xr:uid="{00000000-0005-0000-0000-0000683A0000}"/>
    <cellStyle name="Normal 2 2 2 2 4 22 2 5" xfId="14995" xr:uid="{00000000-0005-0000-0000-0000693A0000}"/>
    <cellStyle name="Normal 2 2 2 2 4 22 2 6" xfId="14996" xr:uid="{00000000-0005-0000-0000-00006A3A0000}"/>
    <cellStyle name="Normal 2 2 2 2 4 22 2 7" xfId="14997" xr:uid="{00000000-0005-0000-0000-00006B3A0000}"/>
    <cellStyle name="Normal 2 2 2 2 4 22 2 8" xfId="14998" xr:uid="{00000000-0005-0000-0000-00006C3A0000}"/>
    <cellStyle name="Normal 2 2 2 2 4 22 2 9" xfId="14999" xr:uid="{00000000-0005-0000-0000-00006D3A0000}"/>
    <cellStyle name="Normal 2 2 2 2 4 22 3" xfId="15000" xr:uid="{00000000-0005-0000-0000-00006E3A0000}"/>
    <cellStyle name="Normal 2 2 2 2 4 22 3 10" xfId="15001" xr:uid="{00000000-0005-0000-0000-00006F3A0000}"/>
    <cellStyle name="Normal 2 2 2 2 4 22 3 2" xfId="15002" xr:uid="{00000000-0005-0000-0000-0000703A0000}"/>
    <cellStyle name="Normal 2 2 2 2 4 22 3 3" xfId="15003" xr:uid="{00000000-0005-0000-0000-0000713A0000}"/>
    <cellStyle name="Normal 2 2 2 2 4 22 3 4" xfId="15004" xr:uid="{00000000-0005-0000-0000-0000723A0000}"/>
    <cellStyle name="Normal 2 2 2 2 4 22 3 5" xfId="15005" xr:uid="{00000000-0005-0000-0000-0000733A0000}"/>
    <cellStyle name="Normal 2 2 2 2 4 22 3 6" xfId="15006" xr:uid="{00000000-0005-0000-0000-0000743A0000}"/>
    <cellStyle name="Normal 2 2 2 2 4 22 3 7" xfId="15007" xr:uid="{00000000-0005-0000-0000-0000753A0000}"/>
    <cellStyle name="Normal 2 2 2 2 4 22 3 8" xfId="15008" xr:uid="{00000000-0005-0000-0000-0000763A0000}"/>
    <cellStyle name="Normal 2 2 2 2 4 22 3 9" xfId="15009" xr:uid="{00000000-0005-0000-0000-0000773A0000}"/>
    <cellStyle name="Normal 2 2 2 2 4 22 4" xfId="15010" xr:uid="{00000000-0005-0000-0000-0000783A0000}"/>
    <cellStyle name="Normal 2 2 2 2 4 22 4 10" xfId="15011" xr:uid="{00000000-0005-0000-0000-0000793A0000}"/>
    <cellStyle name="Normal 2 2 2 2 4 22 4 2" xfId="15012" xr:uid="{00000000-0005-0000-0000-00007A3A0000}"/>
    <cellStyle name="Normal 2 2 2 2 4 22 4 3" xfId="15013" xr:uid="{00000000-0005-0000-0000-00007B3A0000}"/>
    <cellStyle name="Normal 2 2 2 2 4 22 4 4" xfId="15014" xr:uid="{00000000-0005-0000-0000-00007C3A0000}"/>
    <cellStyle name="Normal 2 2 2 2 4 22 4 5" xfId="15015" xr:uid="{00000000-0005-0000-0000-00007D3A0000}"/>
    <cellStyle name="Normal 2 2 2 2 4 22 4 6" xfId="15016" xr:uid="{00000000-0005-0000-0000-00007E3A0000}"/>
    <cellStyle name="Normal 2 2 2 2 4 22 4 7" xfId="15017" xr:uid="{00000000-0005-0000-0000-00007F3A0000}"/>
    <cellStyle name="Normal 2 2 2 2 4 22 4 8" xfId="15018" xr:uid="{00000000-0005-0000-0000-0000803A0000}"/>
    <cellStyle name="Normal 2 2 2 2 4 22 4 9" xfId="15019" xr:uid="{00000000-0005-0000-0000-0000813A0000}"/>
    <cellStyle name="Normal 2 2 2 2 4 22 5" xfId="15020" xr:uid="{00000000-0005-0000-0000-0000823A0000}"/>
    <cellStyle name="Normal 2 2 2 2 4 22 5 10" xfId="15021" xr:uid="{00000000-0005-0000-0000-0000833A0000}"/>
    <cellStyle name="Normal 2 2 2 2 4 22 5 2" xfId="15022" xr:uid="{00000000-0005-0000-0000-0000843A0000}"/>
    <cellStyle name="Normal 2 2 2 2 4 22 5 3" xfId="15023" xr:uid="{00000000-0005-0000-0000-0000853A0000}"/>
    <cellStyle name="Normal 2 2 2 2 4 22 5 4" xfId="15024" xr:uid="{00000000-0005-0000-0000-0000863A0000}"/>
    <cellStyle name="Normal 2 2 2 2 4 22 5 5" xfId="15025" xr:uid="{00000000-0005-0000-0000-0000873A0000}"/>
    <cellStyle name="Normal 2 2 2 2 4 22 5 6" xfId="15026" xr:uid="{00000000-0005-0000-0000-0000883A0000}"/>
    <cellStyle name="Normal 2 2 2 2 4 22 5 7" xfId="15027" xr:uid="{00000000-0005-0000-0000-0000893A0000}"/>
    <cellStyle name="Normal 2 2 2 2 4 22 5 8" xfId="15028" xr:uid="{00000000-0005-0000-0000-00008A3A0000}"/>
    <cellStyle name="Normal 2 2 2 2 4 22 5 9" xfId="15029" xr:uid="{00000000-0005-0000-0000-00008B3A0000}"/>
    <cellStyle name="Normal 2 2 2 2 4 22 6" xfId="15030" xr:uid="{00000000-0005-0000-0000-00008C3A0000}"/>
    <cellStyle name="Normal 2 2 2 2 4 22 7" xfId="15031" xr:uid="{00000000-0005-0000-0000-00008D3A0000}"/>
    <cellStyle name="Normal 2 2 2 2 4 22 8" xfId="15032" xr:uid="{00000000-0005-0000-0000-00008E3A0000}"/>
    <cellStyle name="Normal 2 2 2 2 4 22 9" xfId="15033" xr:uid="{00000000-0005-0000-0000-00008F3A0000}"/>
    <cellStyle name="Normal 2 2 2 2 4 23" xfId="15034" xr:uid="{00000000-0005-0000-0000-0000903A0000}"/>
    <cellStyle name="Normal 2 2 2 2 4 23 10" xfId="15035" xr:uid="{00000000-0005-0000-0000-0000913A0000}"/>
    <cellStyle name="Normal 2 2 2 2 4 23 11" xfId="15036" xr:uid="{00000000-0005-0000-0000-0000923A0000}"/>
    <cellStyle name="Normal 2 2 2 2 4 23 12" xfId="15037" xr:uid="{00000000-0005-0000-0000-0000933A0000}"/>
    <cellStyle name="Normal 2 2 2 2 4 23 13" xfId="15038" xr:uid="{00000000-0005-0000-0000-0000943A0000}"/>
    <cellStyle name="Normal 2 2 2 2 4 23 14" xfId="15039" xr:uid="{00000000-0005-0000-0000-0000953A0000}"/>
    <cellStyle name="Normal 2 2 2 2 4 23 2" xfId="15040" xr:uid="{00000000-0005-0000-0000-0000963A0000}"/>
    <cellStyle name="Normal 2 2 2 2 4 23 2 10" xfId="15041" xr:uid="{00000000-0005-0000-0000-0000973A0000}"/>
    <cellStyle name="Normal 2 2 2 2 4 23 2 2" xfId="15042" xr:uid="{00000000-0005-0000-0000-0000983A0000}"/>
    <cellStyle name="Normal 2 2 2 2 4 23 2 3" xfId="15043" xr:uid="{00000000-0005-0000-0000-0000993A0000}"/>
    <cellStyle name="Normal 2 2 2 2 4 23 2 4" xfId="15044" xr:uid="{00000000-0005-0000-0000-00009A3A0000}"/>
    <cellStyle name="Normal 2 2 2 2 4 23 2 5" xfId="15045" xr:uid="{00000000-0005-0000-0000-00009B3A0000}"/>
    <cellStyle name="Normal 2 2 2 2 4 23 2 6" xfId="15046" xr:uid="{00000000-0005-0000-0000-00009C3A0000}"/>
    <cellStyle name="Normal 2 2 2 2 4 23 2 7" xfId="15047" xr:uid="{00000000-0005-0000-0000-00009D3A0000}"/>
    <cellStyle name="Normal 2 2 2 2 4 23 2 8" xfId="15048" xr:uid="{00000000-0005-0000-0000-00009E3A0000}"/>
    <cellStyle name="Normal 2 2 2 2 4 23 2 9" xfId="15049" xr:uid="{00000000-0005-0000-0000-00009F3A0000}"/>
    <cellStyle name="Normal 2 2 2 2 4 23 3" xfId="15050" xr:uid="{00000000-0005-0000-0000-0000A03A0000}"/>
    <cellStyle name="Normal 2 2 2 2 4 23 3 10" xfId="15051" xr:uid="{00000000-0005-0000-0000-0000A13A0000}"/>
    <cellStyle name="Normal 2 2 2 2 4 23 3 2" xfId="15052" xr:uid="{00000000-0005-0000-0000-0000A23A0000}"/>
    <cellStyle name="Normal 2 2 2 2 4 23 3 3" xfId="15053" xr:uid="{00000000-0005-0000-0000-0000A33A0000}"/>
    <cellStyle name="Normal 2 2 2 2 4 23 3 4" xfId="15054" xr:uid="{00000000-0005-0000-0000-0000A43A0000}"/>
    <cellStyle name="Normal 2 2 2 2 4 23 3 5" xfId="15055" xr:uid="{00000000-0005-0000-0000-0000A53A0000}"/>
    <cellStyle name="Normal 2 2 2 2 4 23 3 6" xfId="15056" xr:uid="{00000000-0005-0000-0000-0000A63A0000}"/>
    <cellStyle name="Normal 2 2 2 2 4 23 3 7" xfId="15057" xr:uid="{00000000-0005-0000-0000-0000A73A0000}"/>
    <cellStyle name="Normal 2 2 2 2 4 23 3 8" xfId="15058" xr:uid="{00000000-0005-0000-0000-0000A83A0000}"/>
    <cellStyle name="Normal 2 2 2 2 4 23 3 9" xfId="15059" xr:uid="{00000000-0005-0000-0000-0000A93A0000}"/>
    <cellStyle name="Normal 2 2 2 2 4 23 4" xfId="15060" xr:uid="{00000000-0005-0000-0000-0000AA3A0000}"/>
    <cellStyle name="Normal 2 2 2 2 4 23 4 10" xfId="15061" xr:uid="{00000000-0005-0000-0000-0000AB3A0000}"/>
    <cellStyle name="Normal 2 2 2 2 4 23 4 2" xfId="15062" xr:uid="{00000000-0005-0000-0000-0000AC3A0000}"/>
    <cellStyle name="Normal 2 2 2 2 4 23 4 3" xfId="15063" xr:uid="{00000000-0005-0000-0000-0000AD3A0000}"/>
    <cellStyle name="Normal 2 2 2 2 4 23 4 4" xfId="15064" xr:uid="{00000000-0005-0000-0000-0000AE3A0000}"/>
    <cellStyle name="Normal 2 2 2 2 4 23 4 5" xfId="15065" xr:uid="{00000000-0005-0000-0000-0000AF3A0000}"/>
    <cellStyle name="Normal 2 2 2 2 4 23 4 6" xfId="15066" xr:uid="{00000000-0005-0000-0000-0000B03A0000}"/>
    <cellStyle name="Normal 2 2 2 2 4 23 4 7" xfId="15067" xr:uid="{00000000-0005-0000-0000-0000B13A0000}"/>
    <cellStyle name="Normal 2 2 2 2 4 23 4 8" xfId="15068" xr:uid="{00000000-0005-0000-0000-0000B23A0000}"/>
    <cellStyle name="Normal 2 2 2 2 4 23 4 9" xfId="15069" xr:uid="{00000000-0005-0000-0000-0000B33A0000}"/>
    <cellStyle name="Normal 2 2 2 2 4 23 5" xfId="15070" xr:uid="{00000000-0005-0000-0000-0000B43A0000}"/>
    <cellStyle name="Normal 2 2 2 2 4 23 5 10" xfId="15071" xr:uid="{00000000-0005-0000-0000-0000B53A0000}"/>
    <cellStyle name="Normal 2 2 2 2 4 23 5 2" xfId="15072" xr:uid="{00000000-0005-0000-0000-0000B63A0000}"/>
    <cellStyle name="Normal 2 2 2 2 4 23 5 3" xfId="15073" xr:uid="{00000000-0005-0000-0000-0000B73A0000}"/>
    <cellStyle name="Normal 2 2 2 2 4 23 5 4" xfId="15074" xr:uid="{00000000-0005-0000-0000-0000B83A0000}"/>
    <cellStyle name="Normal 2 2 2 2 4 23 5 5" xfId="15075" xr:uid="{00000000-0005-0000-0000-0000B93A0000}"/>
    <cellStyle name="Normal 2 2 2 2 4 23 5 6" xfId="15076" xr:uid="{00000000-0005-0000-0000-0000BA3A0000}"/>
    <cellStyle name="Normal 2 2 2 2 4 23 5 7" xfId="15077" xr:uid="{00000000-0005-0000-0000-0000BB3A0000}"/>
    <cellStyle name="Normal 2 2 2 2 4 23 5 8" xfId="15078" xr:uid="{00000000-0005-0000-0000-0000BC3A0000}"/>
    <cellStyle name="Normal 2 2 2 2 4 23 5 9" xfId="15079" xr:uid="{00000000-0005-0000-0000-0000BD3A0000}"/>
    <cellStyle name="Normal 2 2 2 2 4 23 6" xfId="15080" xr:uid="{00000000-0005-0000-0000-0000BE3A0000}"/>
    <cellStyle name="Normal 2 2 2 2 4 23 7" xfId="15081" xr:uid="{00000000-0005-0000-0000-0000BF3A0000}"/>
    <cellStyle name="Normal 2 2 2 2 4 23 8" xfId="15082" xr:uid="{00000000-0005-0000-0000-0000C03A0000}"/>
    <cellStyle name="Normal 2 2 2 2 4 23 9" xfId="15083" xr:uid="{00000000-0005-0000-0000-0000C13A0000}"/>
    <cellStyle name="Normal 2 2 2 2 4 24" xfId="15084" xr:uid="{00000000-0005-0000-0000-0000C23A0000}"/>
    <cellStyle name="Normal 2 2 2 2 4 24 10" xfId="15085" xr:uid="{00000000-0005-0000-0000-0000C33A0000}"/>
    <cellStyle name="Normal 2 2 2 2 4 24 11" xfId="15086" xr:uid="{00000000-0005-0000-0000-0000C43A0000}"/>
    <cellStyle name="Normal 2 2 2 2 4 24 12" xfId="15087" xr:uid="{00000000-0005-0000-0000-0000C53A0000}"/>
    <cellStyle name="Normal 2 2 2 2 4 24 13" xfId="15088" xr:uid="{00000000-0005-0000-0000-0000C63A0000}"/>
    <cellStyle name="Normal 2 2 2 2 4 24 14" xfId="15089" xr:uid="{00000000-0005-0000-0000-0000C73A0000}"/>
    <cellStyle name="Normal 2 2 2 2 4 24 2" xfId="15090" xr:uid="{00000000-0005-0000-0000-0000C83A0000}"/>
    <cellStyle name="Normal 2 2 2 2 4 24 2 10" xfId="15091" xr:uid="{00000000-0005-0000-0000-0000C93A0000}"/>
    <cellStyle name="Normal 2 2 2 2 4 24 2 2" xfId="15092" xr:uid="{00000000-0005-0000-0000-0000CA3A0000}"/>
    <cellStyle name="Normal 2 2 2 2 4 24 2 3" xfId="15093" xr:uid="{00000000-0005-0000-0000-0000CB3A0000}"/>
    <cellStyle name="Normal 2 2 2 2 4 24 2 4" xfId="15094" xr:uid="{00000000-0005-0000-0000-0000CC3A0000}"/>
    <cellStyle name="Normal 2 2 2 2 4 24 2 5" xfId="15095" xr:uid="{00000000-0005-0000-0000-0000CD3A0000}"/>
    <cellStyle name="Normal 2 2 2 2 4 24 2 6" xfId="15096" xr:uid="{00000000-0005-0000-0000-0000CE3A0000}"/>
    <cellStyle name="Normal 2 2 2 2 4 24 2 7" xfId="15097" xr:uid="{00000000-0005-0000-0000-0000CF3A0000}"/>
    <cellStyle name="Normal 2 2 2 2 4 24 2 8" xfId="15098" xr:uid="{00000000-0005-0000-0000-0000D03A0000}"/>
    <cellStyle name="Normal 2 2 2 2 4 24 2 9" xfId="15099" xr:uid="{00000000-0005-0000-0000-0000D13A0000}"/>
    <cellStyle name="Normal 2 2 2 2 4 24 3" xfId="15100" xr:uid="{00000000-0005-0000-0000-0000D23A0000}"/>
    <cellStyle name="Normal 2 2 2 2 4 24 3 10" xfId="15101" xr:uid="{00000000-0005-0000-0000-0000D33A0000}"/>
    <cellStyle name="Normal 2 2 2 2 4 24 3 2" xfId="15102" xr:uid="{00000000-0005-0000-0000-0000D43A0000}"/>
    <cellStyle name="Normal 2 2 2 2 4 24 3 3" xfId="15103" xr:uid="{00000000-0005-0000-0000-0000D53A0000}"/>
    <cellStyle name="Normal 2 2 2 2 4 24 3 4" xfId="15104" xr:uid="{00000000-0005-0000-0000-0000D63A0000}"/>
    <cellStyle name="Normal 2 2 2 2 4 24 3 5" xfId="15105" xr:uid="{00000000-0005-0000-0000-0000D73A0000}"/>
    <cellStyle name="Normal 2 2 2 2 4 24 3 6" xfId="15106" xr:uid="{00000000-0005-0000-0000-0000D83A0000}"/>
    <cellStyle name="Normal 2 2 2 2 4 24 3 7" xfId="15107" xr:uid="{00000000-0005-0000-0000-0000D93A0000}"/>
    <cellStyle name="Normal 2 2 2 2 4 24 3 8" xfId="15108" xr:uid="{00000000-0005-0000-0000-0000DA3A0000}"/>
    <cellStyle name="Normal 2 2 2 2 4 24 3 9" xfId="15109" xr:uid="{00000000-0005-0000-0000-0000DB3A0000}"/>
    <cellStyle name="Normal 2 2 2 2 4 24 4" xfId="15110" xr:uid="{00000000-0005-0000-0000-0000DC3A0000}"/>
    <cellStyle name="Normal 2 2 2 2 4 24 4 10" xfId="15111" xr:uid="{00000000-0005-0000-0000-0000DD3A0000}"/>
    <cellStyle name="Normal 2 2 2 2 4 24 4 2" xfId="15112" xr:uid="{00000000-0005-0000-0000-0000DE3A0000}"/>
    <cellStyle name="Normal 2 2 2 2 4 24 4 3" xfId="15113" xr:uid="{00000000-0005-0000-0000-0000DF3A0000}"/>
    <cellStyle name="Normal 2 2 2 2 4 24 4 4" xfId="15114" xr:uid="{00000000-0005-0000-0000-0000E03A0000}"/>
    <cellStyle name="Normal 2 2 2 2 4 24 4 5" xfId="15115" xr:uid="{00000000-0005-0000-0000-0000E13A0000}"/>
    <cellStyle name="Normal 2 2 2 2 4 24 4 6" xfId="15116" xr:uid="{00000000-0005-0000-0000-0000E23A0000}"/>
    <cellStyle name="Normal 2 2 2 2 4 24 4 7" xfId="15117" xr:uid="{00000000-0005-0000-0000-0000E33A0000}"/>
    <cellStyle name="Normal 2 2 2 2 4 24 4 8" xfId="15118" xr:uid="{00000000-0005-0000-0000-0000E43A0000}"/>
    <cellStyle name="Normal 2 2 2 2 4 24 4 9" xfId="15119" xr:uid="{00000000-0005-0000-0000-0000E53A0000}"/>
    <cellStyle name="Normal 2 2 2 2 4 24 5" xfId="15120" xr:uid="{00000000-0005-0000-0000-0000E63A0000}"/>
    <cellStyle name="Normal 2 2 2 2 4 24 5 10" xfId="15121" xr:uid="{00000000-0005-0000-0000-0000E73A0000}"/>
    <cellStyle name="Normal 2 2 2 2 4 24 5 2" xfId="15122" xr:uid="{00000000-0005-0000-0000-0000E83A0000}"/>
    <cellStyle name="Normal 2 2 2 2 4 24 5 3" xfId="15123" xr:uid="{00000000-0005-0000-0000-0000E93A0000}"/>
    <cellStyle name="Normal 2 2 2 2 4 24 5 4" xfId="15124" xr:uid="{00000000-0005-0000-0000-0000EA3A0000}"/>
    <cellStyle name="Normal 2 2 2 2 4 24 5 5" xfId="15125" xr:uid="{00000000-0005-0000-0000-0000EB3A0000}"/>
    <cellStyle name="Normal 2 2 2 2 4 24 5 6" xfId="15126" xr:uid="{00000000-0005-0000-0000-0000EC3A0000}"/>
    <cellStyle name="Normal 2 2 2 2 4 24 5 7" xfId="15127" xr:uid="{00000000-0005-0000-0000-0000ED3A0000}"/>
    <cellStyle name="Normal 2 2 2 2 4 24 5 8" xfId="15128" xr:uid="{00000000-0005-0000-0000-0000EE3A0000}"/>
    <cellStyle name="Normal 2 2 2 2 4 24 5 9" xfId="15129" xr:uid="{00000000-0005-0000-0000-0000EF3A0000}"/>
    <cellStyle name="Normal 2 2 2 2 4 24 6" xfId="15130" xr:uid="{00000000-0005-0000-0000-0000F03A0000}"/>
    <cellStyle name="Normal 2 2 2 2 4 24 7" xfId="15131" xr:uid="{00000000-0005-0000-0000-0000F13A0000}"/>
    <cellStyle name="Normal 2 2 2 2 4 24 8" xfId="15132" xr:uid="{00000000-0005-0000-0000-0000F23A0000}"/>
    <cellStyle name="Normal 2 2 2 2 4 24 9" xfId="15133" xr:uid="{00000000-0005-0000-0000-0000F33A0000}"/>
    <cellStyle name="Normal 2 2 2 2 4 25" xfId="15134" xr:uid="{00000000-0005-0000-0000-0000F43A0000}"/>
    <cellStyle name="Normal 2 2 2 2 4 25 10" xfId="15135" xr:uid="{00000000-0005-0000-0000-0000F53A0000}"/>
    <cellStyle name="Normal 2 2 2 2 4 25 11" xfId="15136" xr:uid="{00000000-0005-0000-0000-0000F63A0000}"/>
    <cellStyle name="Normal 2 2 2 2 4 25 12" xfId="15137" xr:uid="{00000000-0005-0000-0000-0000F73A0000}"/>
    <cellStyle name="Normal 2 2 2 2 4 25 13" xfId="15138" xr:uid="{00000000-0005-0000-0000-0000F83A0000}"/>
    <cellStyle name="Normal 2 2 2 2 4 25 14" xfId="15139" xr:uid="{00000000-0005-0000-0000-0000F93A0000}"/>
    <cellStyle name="Normal 2 2 2 2 4 25 2" xfId="15140" xr:uid="{00000000-0005-0000-0000-0000FA3A0000}"/>
    <cellStyle name="Normal 2 2 2 2 4 25 2 10" xfId="15141" xr:uid="{00000000-0005-0000-0000-0000FB3A0000}"/>
    <cellStyle name="Normal 2 2 2 2 4 25 2 2" xfId="15142" xr:uid="{00000000-0005-0000-0000-0000FC3A0000}"/>
    <cellStyle name="Normal 2 2 2 2 4 25 2 3" xfId="15143" xr:uid="{00000000-0005-0000-0000-0000FD3A0000}"/>
    <cellStyle name="Normal 2 2 2 2 4 25 2 4" xfId="15144" xr:uid="{00000000-0005-0000-0000-0000FE3A0000}"/>
    <cellStyle name="Normal 2 2 2 2 4 25 2 5" xfId="15145" xr:uid="{00000000-0005-0000-0000-0000FF3A0000}"/>
    <cellStyle name="Normal 2 2 2 2 4 25 2 6" xfId="15146" xr:uid="{00000000-0005-0000-0000-0000003B0000}"/>
    <cellStyle name="Normal 2 2 2 2 4 25 2 7" xfId="15147" xr:uid="{00000000-0005-0000-0000-0000013B0000}"/>
    <cellStyle name="Normal 2 2 2 2 4 25 2 8" xfId="15148" xr:uid="{00000000-0005-0000-0000-0000023B0000}"/>
    <cellStyle name="Normal 2 2 2 2 4 25 2 9" xfId="15149" xr:uid="{00000000-0005-0000-0000-0000033B0000}"/>
    <cellStyle name="Normal 2 2 2 2 4 25 3" xfId="15150" xr:uid="{00000000-0005-0000-0000-0000043B0000}"/>
    <cellStyle name="Normal 2 2 2 2 4 25 3 10" xfId="15151" xr:uid="{00000000-0005-0000-0000-0000053B0000}"/>
    <cellStyle name="Normal 2 2 2 2 4 25 3 2" xfId="15152" xr:uid="{00000000-0005-0000-0000-0000063B0000}"/>
    <cellStyle name="Normal 2 2 2 2 4 25 3 3" xfId="15153" xr:uid="{00000000-0005-0000-0000-0000073B0000}"/>
    <cellStyle name="Normal 2 2 2 2 4 25 3 4" xfId="15154" xr:uid="{00000000-0005-0000-0000-0000083B0000}"/>
    <cellStyle name="Normal 2 2 2 2 4 25 3 5" xfId="15155" xr:uid="{00000000-0005-0000-0000-0000093B0000}"/>
    <cellStyle name="Normal 2 2 2 2 4 25 3 6" xfId="15156" xr:uid="{00000000-0005-0000-0000-00000A3B0000}"/>
    <cellStyle name="Normal 2 2 2 2 4 25 3 7" xfId="15157" xr:uid="{00000000-0005-0000-0000-00000B3B0000}"/>
    <cellStyle name="Normal 2 2 2 2 4 25 3 8" xfId="15158" xr:uid="{00000000-0005-0000-0000-00000C3B0000}"/>
    <cellStyle name="Normal 2 2 2 2 4 25 3 9" xfId="15159" xr:uid="{00000000-0005-0000-0000-00000D3B0000}"/>
    <cellStyle name="Normal 2 2 2 2 4 25 4" xfId="15160" xr:uid="{00000000-0005-0000-0000-00000E3B0000}"/>
    <cellStyle name="Normal 2 2 2 2 4 25 4 10" xfId="15161" xr:uid="{00000000-0005-0000-0000-00000F3B0000}"/>
    <cellStyle name="Normal 2 2 2 2 4 25 4 2" xfId="15162" xr:uid="{00000000-0005-0000-0000-0000103B0000}"/>
    <cellStyle name="Normal 2 2 2 2 4 25 4 3" xfId="15163" xr:uid="{00000000-0005-0000-0000-0000113B0000}"/>
    <cellStyle name="Normal 2 2 2 2 4 25 4 4" xfId="15164" xr:uid="{00000000-0005-0000-0000-0000123B0000}"/>
    <cellStyle name="Normal 2 2 2 2 4 25 4 5" xfId="15165" xr:uid="{00000000-0005-0000-0000-0000133B0000}"/>
    <cellStyle name="Normal 2 2 2 2 4 25 4 6" xfId="15166" xr:uid="{00000000-0005-0000-0000-0000143B0000}"/>
    <cellStyle name="Normal 2 2 2 2 4 25 4 7" xfId="15167" xr:uid="{00000000-0005-0000-0000-0000153B0000}"/>
    <cellStyle name="Normal 2 2 2 2 4 25 4 8" xfId="15168" xr:uid="{00000000-0005-0000-0000-0000163B0000}"/>
    <cellStyle name="Normal 2 2 2 2 4 25 4 9" xfId="15169" xr:uid="{00000000-0005-0000-0000-0000173B0000}"/>
    <cellStyle name="Normal 2 2 2 2 4 25 5" xfId="15170" xr:uid="{00000000-0005-0000-0000-0000183B0000}"/>
    <cellStyle name="Normal 2 2 2 2 4 25 5 10" xfId="15171" xr:uid="{00000000-0005-0000-0000-0000193B0000}"/>
    <cellStyle name="Normal 2 2 2 2 4 25 5 2" xfId="15172" xr:uid="{00000000-0005-0000-0000-00001A3B0000}"/>
    <cellStyle name="Normal 2 2 2 2 4 25 5 3" xfId="15173" xr:uid="{00000000-0005-0000-0000-00001B3B0000}"/>
    <cellStyle name="Normal 2 2 2 2 4 25 5 4" xfId="15174" xr:uid="{00000000-0005-0000-0000-00001C3B0000}"/>
    <cellStyle name="Normal 2 2 2 2 4 25 5 5" xfId="15175" xr:uid="{00000000-0005-0000-0000-00001D3B0000}"/>
    <cellStyle name="Normal 2 2 2 2 4 25 5 6" xfId="15176" xr:uid="{00000000-0005-0000-0000-00001E3B0000}"/>
    <cellStyle name="Normal 2 2 2 2 4 25 5 7" xfId="15177" xr:uid="{00000000-0005-0000-0000-00001F3B0000}"/>
    <cellStyle name="Normal 2 2 2 2 4 25 5 8" xfId="15178" xr:uid="{00000000-0005-0000-0000-0000203B0000}"/>
    <cellStyle name="Normal 2 2 2 2 4 25 5 9" xfId="15179" xr:uid="{00000000-0005-0000-0000-0000213B0000}"/>
    <cellStyle name="Normal 2 2 2 2 4 25 6" xfId="15180" xr:uid="{00000000-0005-0000-0000-0000223B0000}"/>
    <cellStyle name="Normal 2 2 2 2 4 25 7" xfId="15181" xr:uid="{00000000-0005-0000-0000-0000233B0000}"/>
    <cellStyle name="Normal 2 2 2 2 4 25 8" xfId="15182" xr:uid="{00000000-0005-0000-0000-0000243B0000}"/>
    <cellStyle name="Normal 2 2 2 2 4 25 9" xfId="15183" xr:uid="{00000000-0005-0000-0000-0000253B0000}"/>
    <cellStyle name="Normal 2 2 2 2 4 26" xfId="15184" xr:uid="{00000000-0005-0000-0000-0000263B0000}"/>
    <cellStyle name="Normal 2 2 2 2 4 26 10" xfId="15185" xr:uid="{00000000-0005-0000-0000-0000273B0000}"/>
    <cellStyle name="Normal 2 2 2 2 4 26 11" xfId="15186" xr:uid="{00000000-0005-0000-0000-0000283B0000}"/>
    <cellStyle name="Normal 2 2 2 2 4 26 12" xfId="15187" xr:uid="{00000000-0005-0000-0000-0000293B0000}"/>
    <cellStyle name="Normal 2 2 2 2 4 26 13" xfId="15188" xr:uid="{00000000-0005-0000-0000-00002A3B0000}"/>
    <cellStyle name="Normal 2 2 2 2 4 26 14" xfId="15189" xr:uid="{00000000-0005-0000-0000-00002B3B0000}"/>
    <cellStyle name="Normal 2 2 2 2 4 26 2" xfId="15190" xr:uid="{00000000-0005-0000-0000-00002C3B0000}"/>
    <cellStyle name="Normal 2 2 2 2 4 26 2 10" xfId="15191" xr:uid="{00000000-0005-0000-0000-00002D3B0000}"/>
    <cellStyle name="Normal 2 2 2 2 4 26 2 2" xfId="15192" xr:uid="{00000000-0005-0000-0000-00002E3B0000}"/>
    <cellStyle name="Normal 2 2 2 2 4 26 2 3" xfId="15193" xr:uid="{00000000-0005-0000-0000-00002F3B0000}"/>
    <cellStyle name="Normal 2 2 2 2 4 26 2 4" xfId="15194" xr:uid="{00000000-0005-0000-0000-0000303B0000}"/>
    <cellStyle name="Normal 2 2 2 2 4 26 2 5" xfId="15195" xr:uid="{00000000-0005-0000-0000-0000313B0000}"/>
    <cellStyle name="Normal 2 2 2 2 4 26 2 6" xfId="15196" xr:uid="{00000000-0005-0000-0000-0000323B0000}"/>
    <cellStyle name="Normal 2 2 2 2 4 26 2 7" xfId="15197" xr:uid="{00000000-0005-0000-0000-0000333B0000}"/>
    <cellStyle name="Normal 2 2 2 2 4 26 2 8" xfId="15198" xr:uid="{00000000-0005-0000-0000-0000343B0000}"/>
    <cellStyle name="Normal 2 2 2 2 4 26 2 9" xfId="15199" xr:uid="{00000000-0005-0000-0000-0000353B0000}"/>
    <cellStyle name="Normal 2 2 2 2 4 26 3" xfId="15200" xr:uid="{00000000-0005-0000-0000-0000363B0000}"/>
    <cellStyle name="Normal 2 2 2 2 4 26 3 10" xfId="15201" xr:uid="{00000000-0005-0000-0000-0000373B0000}"/>
    <cellStyle name="Normal 2 2 2 2 4 26 3 2" xfId="15202" xr:uid="{00000000-0005-0000-0000-0000383B0000}"/>
    <cellStyle name="Normal 2 2 2 2 4 26 3 3" xfId="15203" xr:uid="{00000000-0005-0000-0000-0000393B0000}"/>
    <cellStyle name="Normal 2 2 2 2 4 26 3 4" xfId="15204" xr:uid="{00000000-0005-0000-0000-00003A3B0000}"/>
    <cellStyle name="Normal 2 2 2 2 4 26 3 5" xfId="15205" xr:uid="{00000000-0005-0000-0000-00003B3B0000}"/>
    <cellStyle name="Normal 2 2 2 2 4 26 3 6" xfId="15206" xr:uid="{00000000-0005-0000-0000-00003C3B0000}"/>
    <cellStyle name="Normal 2 2 2 2 4 26 3 7" xfId="15207" xr:uid="{00000000-0005-0000-0000-00003D3B0000}"/>
    <cellStyle name="Normal 2 2 2 2 4 26 3 8" xfId="15208" xr:uid="{00000000-0005-0000-0000-00003E3B0000}"/>
    <cellStyle name="Normal 2 2 2 2 4 26 3 9" xfId="15209" xr:uid="{00000000-0005-0000-0000-00003F3B0000}"/>
    <cellStyle name="Normal 2 2 2 2 4 26 4" xfId="15210" xr:uid="{00000000-0005-0000-0000-0000403B0000}"/>
    <cellStyle name="Normal 2 2 2 2 4 26 4 10" xfId="15211" xr:uid="{00000000-0005-0000-0000-0000413B0000}"/>
    <cellStyle name="Normal 2 2 2 2 4 26 4 2" xfId="15212" xr:uid="{00000000-0005-0000-0000-0000423B0000}"/>
    <cellStyle name="Normal 2 2 2 2 4 26 4 3" xfId="15213" xr:uid="{00000000-0005-0000-0000-0000433B0000}"/>
    <cellStyle name="Normal 2 2 2 2 4 26 4 4" xfId="15214" xr:uid="{00000000-0005-0000-0000-0000443B0000}"/>
    <cellStyle name="Normal 2 2 2 2 4 26 4 5" xfId="15215" xr:uid="{00000000-0005-0000-0000-0000453B0000}"/>
    <cellStyle name="Normal 2 2 2 2 4 26 4 6" xfId="15216" xr:uid="{00000000-0005-0000-0000-0000463B0000}"/>
    <cellStyle name="Normal 2 2 2 2 4 26 4 7" xfId="15217" xr:uid="{00000000-0005-0000-0000-0000473B0000}"/>
    <cellStyle name="Normal 2 2 2 2 4 26 4 8" xfId="15218" xr:uid="{00000000-0005-0000-0000-0000483B0000}"/>
    <cellStyle name="Normal 2 2 2 2 4 26 4 9" xfId="15219" xr:uid="{00000000-0005-0000-0000-0000493B0000}"/>
    <cellStyle name="Normal 2 2 2 2 4 26 5" xfId="15220" xr:uid="{00000000-0005-0000-0000-00004A3B0000}"/>
    <cellStyle name="Normal 2 2 2 2 4 26 5 10" xfId="15221" xr:uid="{00000000-0005-0000-0000-00004B3B0000}"/>
    <cellStyle name="Normal 2 2 2 2 4 26 5 2" xfId="15222" xr:uid="{00000000-0005-0000-0000-00004C3B0000}"/>
    <cellStyle name="Normal 2 2 2 2 4 26 5 3" xfId="15223" xr:uid="{00000000-0005-0000-0000-00004D3B0000}"/>
    <cellStyle name="Normal 2 2 2 2 4 26 5 4" xfId="15224" xr:uid="{00000000-0005-0000-0000-00004E3B0000}"/>
    <cellStyle name="Normal 2 2 2 2 4 26 5 5" xfId="15225" xr:uid="{00000000-0005-0000-0000-00004F3B0000}"/>
    <cellStyle name="Normal 2 2 2 2 4 26 5 6" xfId="15226" xr:uid="{00000000-0005-0000-0000-0000503B0000}"/>
    <cellStyle name="Normal 2 2 2 2 4 26 5 7" xfId="15227" xr:uid="{00000000-0005-0000-0000-0000513B0000}"/>
    <cellStyle name="Normal 2 2 2 2 4 26 5 8" xfId="15228" xr:uid="{00000000-0005-0000-0000-0000523B0000}"/>
    <cellStyle name="Normal 2 2 2 2 4 26 5 9" xfId="15229" xr:uid="{00000000-0005-0000-0000-0000533B0000}"/>
    <cellStyle name="Normal 2 2 2 2 4 26 6" xfId="15230" xr:uid="{00000000-0005-0000-0000-0000543B0000}"/>
    <cellStyle name="Normal 2 2 2 2 4 26 7" xfId="15231" xr:uid="{00000000-0005-0000-0000-0000553B0000}"/>
    <cellStyle name="Normal 2 2 2 2 4 26 8" xfId="15232" xr:uid="{00000000-0005-0000-0000-0000563B0000}"/>
    <cellStyle name="Normal 2 2 2 2 4 26 9" xfId="15233" xr:uid="{00000000-0005-0000-0000-0000573B0000}"/>
    <cellStyle name="Normal 2 2 2 2 4 27" xfId="15234" xr:uid="{00000000-0005-0000-0000-0000583B0000}"/>
    <cellStyle name="Normal 2 2 2 2 4 27 10" xfId="15235" xr:uid="{00000000-0005-0000-0000-0000593B0000}"/>
    <cellStyle name="Normal 2 2 2 2 4 27 11" xfId="15236" xr:uid="{00000000-0005-0000-0000-00005A3B0000}"/>
    <cellStyle name="Normal 2 2 2 2 4 27 12" xfId="15237" xr:uid="{00000000-0005-0000-0000-00005B3B0000}"/>
    <cellStyle name="Normal 2 2 2 2 4 27 13" xfId="15238" xr:uid="{00000000-0005-0000-0000-00005C3B0000}"/>
    <cellStyle name="Normal 2 2 2 2 4 27 14" xfId="15239" xr:uid="{00000000-0005-0000-0000-00005D3B0000}"/>
    <cellStyle name="Normal 2 2 2 2 4 27 2" xfId="15240" xr:uid="{00000000-0005-0000-0000-00005E3B0000}"/>
    <cellStyle name="Normal 2 2 2 2 4 27 2 10" xfId="15241" xr:uid="{00000000-0005-0000-0000-00005F3B0000}"/>
    <cellStyle name="Normal 2 2 2 2 4 27 2 2" xfId="15242" xr:uid="{00000000-0005-0000-0000-0000603B0000}"/>
    <cellStyle name="Normal 2 2 2 2 4 27 2 3" xfId="15243" xr:uid="{00000000-0005-0000-0000-0000613B0000}"/>
    <cellStyle name="Normal 2 2 2 2 4 27 2 4" xfId="15244" xr:uid="{00000000-0005-0000-0000-0000623B0000}"/>
    <cellStyle name="Normal 2 2 2 2 4 27 2 5" xfId="15245" xr:uid="{00000000-0005-0000-0000-0000633B0000}"/>
    <cellStyle name="Normal 2 2 2 2 4 27 2 6" xfId="15246" xr:uid="{00000000-0005-0000-0000-0000643B0000}"/>
    <cellStyle name="Normal 2 2 2 2 4 27 2 7" xfId="15247" xr:uid="{00000000-0005-0000-0000-0000653B0000}"/>
    <cellStyle name="Normal 2 2 2 2 4 27 2 8" xfId="15248" xr:uid="{00000000-0005-0000-0000-0000663B0000}"/>
    <cellStyle name="Normal 2 2 2 2 4 27 2 9" xfId="15249" xr:uid="{00000000-0005-0000-0000-0000673B0000}"/>
    <cellStyle name="Normal 2 2 2 2 4 27 3" xfId="15250" xr:uid="{00000000-0005-0000-0000-0000683B0000}"/>
    <cellStyle name="Normal 2 2 2 2 4 27 3 10" xfId="15251" xr:uid="{00000000-0005-0000-0000-0000693B0000}"/>
    <cellStyle name="Normal 2 2 2 2 4 27 3 2" xfId="15252" xr:uid="{00000000-0005-0000-0000-00006A3B0000}"/>
    <cellStyle name="Normal 2 2 2 2 4 27 3 3" xfId="15253" xr:uid="{00000000-0005-0000-0000-00006B3B0000}"/>
    <cellStyle name="Normal 2 2 2 2 4 27 3 4" xfId="15254" xr:uid="{00000000-0005-0000-0000-00006C3B0000}"/>
    <cellStyle name="Normal 2 2 2 2 4 27 3 5" xfId="15255" xr:uid="{00000000-0005-0000-0000-00006D3B0000}"/>
    <cellStyle name="Normal 2 2 2 2 4 27 3 6" xfId="15256" xr:uid="{00000000-0005-0000-0000-00006E3B0000}"/>
    <cellStyle name="Normal 2 2 2 2 4 27 3 7" xfId="15257" xr:uid="{00000000-0005-0000-0000-00006F3B0000}"/>
    <cellStyle name="Normal 2 2 2 2 4 27 3 8" xfId="15258" xr:uid="{00000000-0005-0000-0000-0000703B0000}"/>
    <cellStyle name="Normal 2 2 2 2 4 27 3 9" xfId="15259" xr:uid="{00000000-0005-0000-0000-0000713B0000}"/>
    <cellStyle name="Normal 2 2 2 2 4 27 4" xfId="15260" xr:uid="{00000000-0005-0000-0000-0000723B0000}"/>
    <cellStyle name="Normal 2 2 2 2 4 27 4 10" xfId="15261" xr:uid="{00000000-0005-0000-0000-0000733B0000}"/>
    <cellStyle name="Normal 2 2 2 2 4 27 4 2" xfId="15262" xr:uid="{00000000-0005-0000-0000-0000743B0000}"/>
    <cellStyle name="Normal 2 2 2 2 4 27 4 3" xfId="15263" xr:uid="{00000000-0005-0000-0000-0000753B0000}"/>
    <cellStyle name="Normal 2 2 2 2 4 27 4 4" xfId="15264" xr:uid="{00000000-0005-0000-0000-0000763B0000}"/>
    <cellStyle name="Normal 2 2 2 2 4 27 4 5" xfId="15265" xr:uid="{00000000-0005-0000-0000-0000773B0000}"/>
    <cellStyle name="Normal 2 2 2 2 4 27 4 6" xfId="15266" xr:uid="{00000000-0005-0000-0000-0000783B0000}"/>
    <cellStyle name="Normal 2 2 2 2 4 27 4 7" xfId="15267" xr:uid="{00000000-0005-0000-0000-0000793B0000}"/>
    <cellStyle name="Normal 2 2 2 2 4 27 4 8" xfId="15268" xr:uid="{00000000-0005-0000-0000-00007A3B0000}"/>
    <cellStyle name="Normal 2 2 2 2 4 27 4 9" xfId="15269" xr:uid="{00000000-0005-0000-0000-00007B3B0000}"/>
    <cellStyle name="Normal 2 2 2 2 4 27 5" xfId="15270" xr:uid="{00000000-0005-0000-0000-00007C3B0000}"/>
    <cellStyle name="Normal 2 2 2 2 4 27 5 10" xfId="15271" xr:uid="{00000000-0005-0000-0000-00007D3B0000}"/>
    <cellStyle name="Normal 2 2 2 2 4 27 5 2" xfId="15272" xr:uid="{00000000-0005-0000-0000-00007E3B0000}"/>
    <cellStyle name="Normal 2 2 2 2 4 27 5 3" xfId="15273" xr:uid="{00000000-0005-0000-0000-00007F3B0000}"/>
    <cellStyle name="Normal 2 2 2 2 4 27 5 4" xfId="15274" xr:uid="{00000000-0005-0000-0000-0000803B0000}"/>
    <cellStyle name="Normal 2 2 2 2 4 27 5 5" xfId="15275" xr:uid="{00000000-0005-0000-0000-0000813B0000}"/>
    <cellStyle name="Normal 2 2 2 2 4 27 5 6" xfId="15276" xr:uid="{00000000-0005-0000-0000-0000823B0000}"/>
    <cellStyle name="Normal 2 2 2 2 4 27 5 7" xfId="15277" xr:uid="{00000000-0005-0000-0000-0000833B0000}"/>
    <cellStyle name="Normal 2 2 2 2 4 27 5 8" xfId="15278" xr:uid="{00000000-0005-0000-0000-0000843B0000}"/>
    <cellStyle name="Normal 2 2 2 2 4 27 5 9" xfId="15279" xr:uid="{00000000-0005-0000-0000-0000853B0000}"/>
    <cellStyle name="Normal 2 2 2 2 4 27 6" xfId="15280" xr:uid="{00000000-0005-0000-0000-0000863B0000}"/>
    <cellStyle name="Normal 2 2 2 2 4 27 7" xfId="15281" xr:uid="{00000000-0005-0000-0000-0000873B0000}"/>
    <cellStyle name="Normal 2 2 2 2 4 27 8" xfId="15282" xr:uid="{00000000-0005-0000-0000-0000883B0000}"/>
    <cellStyle name="Normal 2 2 2 2 4 27 9" xfId="15283" xr:uid="{00000000-0005-0000-0000-0000893B0000}"/>
    <cellStyle name="Normal 2 2 2 2 4 28" xfId="15284" xr:uid="{00000000-0005-0000-0000-00008A3B0000}"/>
    <cellStyle name="Normal 2 2 2 2 4 28 10" xfId="15285" xr:uid="{00000000-0005-0000-0000-00008B3B0000}"/>
    <cellStyle name="Normal 2 2 2 2 4 28 11" xfId="15286" xr:uid="{00000000-0005-0000-0000-00008C3B0000}"/>
    <cellStyle name="Normal 2 2 2 2 4 28 12" xfId="15287" xr:uid="{00000000-0005-0000-0000-00008D3B0000}"/>
    <cellStyle name="Normal 2 2 2 2 4 28 13" xfId="15288" xr:uid="{00000000-0005-0000-0000-00008E3B0000}"/>
    <cellStyle name="Normal 2 2 2 2 4 28 14" xfId="15289" xr:uid="{00000000-0005-0000-0000-00008F3B0000}"/>
    <cellStyle name="Normal 2 2 2 2 4 28 2" xfId="15290" xr:uid="{00000000-0005-0000-0000-0000903B0000}"/>
    <cellStyle name="Normal 2 2 2 2 4 28 2 10" xfId="15291" xr:uid="{00000000-0005-0000-0000-0000913B0000}"/>
    <cellStyle name="Normal 2 2 2 2 4 28 2 2" xfId="15292" xr:uid="{00000000-0005-0000-0000-0000923B0000}"/>
    <cellStyle name="Normal 2 2 2 2 4 28 2 3" xfId="15293" xr:uid="{00000000-0005-0000-0000-0000933B0000}"/>
    <cellStyle name="Normal 2 2 2 2 4 28 2 4" xfId="15294" xr:uid="{00000000-0005-0000-0000-0000943B0000}"/>
    <cellStyle name="Normal 2 2 2 2 4 28 2 5" xfId="15295" xr:uid="{00000000-0005-0000-0000-0000953B0000}"/>
    <cellStyle name="Normal 2 2 2 2 4 28 2 6" xfId="15296" xr:uid="{00000000-0005-0000-0000-0000963B0000}"/>
    <cellStyle name="Normal 2 2 2 2 4 28 2 7" xfId="15297" xr:uid="{00000000-0005-0000-0000-0000973B0000}"/>
    <cellStyle name="Normal 2 2 2 2 4 28 2 8" xfId="15298" xr:uid="{00000000-0005-0000-0000-0000983B0000}"/>
    <cellStyle name="Normal 2 2 2 2 4 28 2 9" xfId="15299" xr:uid="{00000000-0005-0000-0000-0000993B0000}"/>
    <cellStyle name="Normal 2 2 2 2 4 28 3" xfId="15300" xr:uid="{00000000-0005-0000-0000-00009A3B0000}"/>
    <cellStyle name="Normal 2 2 2 2 4 28 3 10" xfId="15301" xr:uid="{00000000-0005-0000-0000-00009B3B0000}"/>
    <cellStyle name="Normal 2 2 2 2 4 28 3 2" xfId="15302" xr:uid="{00000000-0005-0000-0000-00009C3B0000}"/>
    <cellStyle name="Normal 2 2 2 2 4 28 3 3" xfId="15303" xr:uid="{00000000-0005-0000-0000-00009D3B0000}"/>
    <cellStyle name="Normal 2 2 2 2 4 28 3 4" xfId="15304" xr:uid="{00000000-0005-0000-0000-00009E3B0000}"/>
    <cellStyle name="Normal 2 2 2 2 4 28 3 5" xfId="15305" xr:uid="{00000000-0005-0000-0000-00009F3B0000}"/>
    <cellStyle name="Normal 2 2 2 2 4 28 3 6" xfId="15306" xr:uid="{00000000-0005-0000-0000-0000A03B0000}"/>
    <cellStyle name="Normal 2 2 2 2 4 28 3 7" xfId="15307" xr:uid="{00000000-0005-0000-0000-0000A13B0000}"/>
    <cellStyle name="Normal 2 2 2 2 4 28 3 8" xfId="15308" xr:uid="{00000000-0005-0000-0000-0000A23B0000}"/>
    <cellStyle name="Normal 2 2 2 2 4 28 3 9" xfId="15309" xr:uid="{00000000-0005-0000-0000-0000A33B0000}"/>
    <cellStyle name="Normal 2 2 2 2 4 28 4" xfId="15310" xr:uid="{00000000-0005-0000-0000-0000A43B0000}"/>
    <cellStyle name="Normal 2 2 2 2 4 28 4 10" xfId="15311" xr:uid="{00000000-0005-0000-0000-0000A53B0000}"/>
    <cellStyle name="Normal 2 2 2 2 4 28 4 2" xfId="15312" xr:uid="{00000000-0005-0000-0000-0000A63B0000}"/>
    <cellStyle name="Normal 2 2 2 2 4 28 4 3" xfId="15313" xr:uid="{00000000-0005-0000-0000-0000A73B0000}"/>
    <cellStyle name="Normal 2 2 2 2 4 28 4 4" xfId="15314" xr:uid="{00000000-0005-0000-0000-0000A83B0000}"/>
    <cellStyle name="Normal 2 2 2 2 4 28 4 5" xfId="15315" xr:uid="{00000000-0005-0000-0000-0000A93B0000}"/>
    <cellStyle name="Normal 2 2 2 2 4 28 4 6" xfId="15316" xr:uid="{00000000-0005-0000-0000-0000AA3B0000}"/>
    <cellStyle name="Normal 2 2 2 2 4 28 4 7" xfId="15317" xr:uid="{00000000-0005-0000-0000-0000AB3B0000}"/>
    <cellStyle name="Normal 2 2 2 2 4 28 4 8" xfId="15318" xr:uid="{00000000-0005-0000-0000-0000AC3B0000}"/>
    <cellStyle name="Normal 2 2 2 2 4 28 4 9" xfId="15319" xr:uid="{00000000-0005-0000-0000-0000AD3B0000}"/>
    <cellStyle name="Normal 2 2 2 2 4 28 5" xfId="15320" xr:uid="{00000000-0005-0000-0000-0000AE3B0000}"/>
    <cellStyle name="Normal 2 2 2 2 4 28 5 10" xfId="15321" xr:uid="{00000000-0005-0000-0000-0000AF3B0000}"/>
    <cellStyle name="Normal 2 2 2 2 4 28 5 2" xfId="15322" xr:uid="{00000000-0005-0000-0000-0000B03B0000}"/>
    <cellStyle name="Normal 2 2 2 2 4 28 5 3" xfId="15323" xr:uid="{00000000-0005-0000-0000-0000B13B0000}"/>
    <cellStyle name="Normal 2 2 2 2 4 28 5 4" xfId="15324" xr:uid="{00000000-0005-0000-0000-0000B23B0000}"/>
    <cellStyle name="Normal 2 2 2 2 4 28 5 5" xfId="15325" xr:uid="{00000000-0005-0000-0000-0000B33B0000}"/>
    <cellStyle name="Normal 2 2 2 2 4 28 5 6" xfId="15326" xr:uid="{00000000-0005-0000-0000-0000B43B0000}"/>
    <cellStyle name="Normal 2 2 2 2 4 28 5 7" xfId="15327" xr:uid="{00000000-0005-0000-0000-0000B53B0000}"/>
    <cellStyle name="Normal 2 2 2 2 4 28 5 8" xfId="15328" xr:uid="{00000000-0005-0000-0000-0000B63B0000}"/>
    <cellStyle name="Normal 2 2 2 2 4 28 5 9" xfId="15329" xr:uid="{00000000-0005-0000-0000-0000B73B0000}"/>
    <cellStyle name="Normal 2 2 2 2 4 28 6" xfId="15330" xr:uid="{00000000-0005-0000-0000-0000B83B0000}"/>
    <cellStyle name="Normal 2 2 2 2 4 28 7" xfId="15331" xr:uid="{00000000-0005-0000-0000-0000B93B0000}"/>
    <cellStyle name="Normal 2 2 2 2 4 28 8" xfId="15332" xr:uid="{00000000-0005-0000-0000-0000BA3B0000}"/>
    <cellStyle name="Normal 2 2 2 2 4 28 9" xfId="15333" xr:uid="{00000000-0005-0000-0000-0000BB3B0000}"/>
    <cellStyle name="Normal 2 2 2 2 4 29" xfId="15334" xr:uid="{00000000-0005-0000-0000-0000BC3B0000}"/>
    <cellStyle name="Normal 2 2 2 2 4 29 10" xfId="15335" xr:uid="{00000000-0005-0000-0000-0000BD3B0000}"/>
    <cellStyle name="Normal 2 2 2 2 4 29 11" xfId="15336" xr:uid="{00000000-0005-0000-0000-0000BE3B0000}"/>
    <cellStyle name="Normal 2 2 2 2 4 29 12" xfId="15337" xr:uid="{00000000-0005-0000-0000-0000BF3B0000}"/>
    <cellStyle name="Normal 2 2 2 2 4 29 13" xfId="15338" xr:uid="{00000000-0005-0000-0000-0000C03B0000}"/>
    <cellStyle name="Normal 2 2 2 2 4 29 14" xfId="15339" xr:uid="{00000000-0005-0000-0000-0000C13B0000}"/>
    <cellStyle name="Normal 2 2 2 2 4 29 2" xfId="15340" xr:uid="{00000000-0005-0000-0000-0000C23B0000}"/>
    <cellStyle name="Normal 2 2 2 2 4 29 2 10" xfId="15341" xr:uid="{00000000-0005-0000-0000-0000C33B0000}"/>
    <cellStyle name="Normal 2 2 2 2 4 29 2 2" xfId="15342" xr:uid="{00000000-0005-0000-0000-0000C43B0000}"/>
    <cellStyle name="Normal 2 2 2 2 4 29 2 3" xfId="15343" xr:uid="{00000000-0005-0000-0000-0000C53B0000}"/>
    <cellStyle name="Normal 2 2 2 2 4 29 2 4" xfId="15344" xr:uid="{00000000-0005-0000-0000-0000C63B0000}"/>
    <cellStyle name="Normal 2 2 2 2 4 29 2 5" xfId="15345" xr:uid="{00000000-0005-0000-0000-0000C73B0000}"/>
    <cellStyle name="Normal 2 2 2 2 4 29 2 6" xfId="15346" xr:uid="{00000000-0005-0000-0000-0000C83B0000}"/>
    <cellStyle name="Normal 2 2 2 2 4 29 2 7" xfId="15347" xr:uid="{00000000-0005-0000-0000-0000C93B0000}"/>
    <cellStyle name="Normal 2 2 2 2 4 29 2 8" xfId="15348" xr:uid="{00000000-0005-0000-0000-0000CA3B0000}"/>
    <cellStyle name="Normal 2 2 2 2 4 29 2 9" xfId="15349" xr:uid="{00000000-0005-0000-0000-0000CB3B0000}"/>
    <cellStyle name="Normal 2 2 2 2 4 29 3" xfId="15350" xr:uid="{00000000-0005-0000-0000-0000CC3B0000}"/>
    <cellStyle name="Normal 2 2 2 2 4 29 3 10" xfId="15351" xr:uid="{00000000-0005-0000-0000-0000CD3B0000}"/>
    <cellStyle name="Normal 2 2 2 2 4 29 3 2" xfId="15352" xr:uid="{00000000-0005-0000-0000-0000CE3B0000}"/>
    <cellStyle name="Normal 2 2 2 2 4 29 3 3" xfId="15353" xr:uid="{00000000-0005-0000-0000-0000CF3B0000}"/>
    <cellStyle name="Normal 2 2 2 2 4 29 3 4" xfId="15354" xr:uid="{00000000-0005-0000-0000-0000D03B0000}"/>
    <cellStyle name="Normal 2 2 2 2 4 29 3 5" xfId="15355" xr:uid="{00000000-0005-0000-0000-0000D13B0000}"/>
    <cellStyle name="Normal 2 2 2 2 4 29 3 6" xfId="15356" xr:uid="{00000000-0005-0000-0000-0000D23B0000}"/>
    <cellStyle name="Normal 2 2 2 2 4 29 3 7" xfId="15357" xr:uid="{00000000-0005-0000-0000-0000D33B0000}"/>
    <cellStyle name="Normal 2 2 2 2 4 29 3 8" xfId="15358" xr:uid="{00000000-0005-0000-0000-0000D43B0000}"/>
    <cellStyle name="Normal 2 2 2 2 4 29 3 9" xfId="15359" xr:uid="{00000000-0005-0000-0000-0000D53B0000}"/>
    <cellStyle name="Normal 2 2 2 2 4 29 4" xfId="15360" xr:uid="{00000000-0005-0000-0000-0000D63B0000}"/>
    <cellStyle name="Normal 2 2 2 2 4 29 4 10" xfId="15361" xr:uid="{00000000-0005-0000-0000-0000D73B0000}"/>
    <cellStyle name="Normal 2 2 2 2 4 29 4 2" xfId="15362" xr:uid="{00000000-0005-0000-0000-0000D83B0000}"/>
    <cellStyle name="Normal 2 2 2 2 4 29 4 3" xfId="15363" xr:uid="{00000000-0005-0000-0000-0000D93B0000}"/>
    <cellStyle name="Normal 2 2 2 2 4 29 4 4" xfId="15364" xr:uid="{00000000-0005-0000-0000-0000DA3B0000}"/>
    <cellStyle name="Normal 2 2 2 2 4 29 4 5" xfId="15365" xr:uid="{00000000-0005-0000-0000-0000DB3B0000}"/>
    <cellStyle name="Normal 2 2 2 2 4 29 4 6" xfId="15366" xr:uid="{00000000-0005-0000-0000-0000DC3B0000}"/>
    <cellStyle name="Normal 2 2 2 2 4 29 4 7" xfId="15367" xr:uid="{00000000-0005-0000-0000-0000DD3B0000}"/>
    <cellStyle name="Normal 2 2 2 2 4 29 4 8" xfId="15368" xr:uid="{00000000-0005-0000-0000-0000DE3B0000}"/>
    <cellStyle name="Normal 2 2 2 2 4 29 4 9" xfId="15369" xr:uid="{00000000-0005-0000-0000-0000DF3B0000}"/>
    <cellStyle name="Normal 2 2 2 2 4 29 5" xfId="15370" xr:uid="{00000000-0005-0000-0000-0000E03B0000}"/>
    <cellStyle name="Normal 2 2 2 2 4 29 5 10" xfId="15371" xr:uid="{00000000-0005-0000-0000-0000E13B0000}"/>
    <cellStyle name="Normal 2 2 2 2 4 29 5 2" xfId="15372" xr:uid="{00000000-0005-0000-0000-0000E23B0000}"/>
    <cellStyle name="Normal 2 2 2 2 4 29 5 3" xfId="15373" xr:uid="{00000000-0005-0000-0000-0000E33B0000}"/>
    <cellStyle name="Normal 2 2 2 2 4 29 5 4" xfId="15374" xr:uid="{00000000-0005-0000-0000-0000E43B0000}"/>
    <cellStyle name="Normal 2 2 2 2 4 29 5 5" xfId="15375" xr:uid="{00000000-0005-0000-0000-0000E53B0000}"/>
    <cellStyle name="Normal 2 2 2 2 4 29 5 6" xfId="15376" xr:uid="{00000000-0005-0000-0000-0000E63B0000}"/>
    <cellStyle name="Normal 2 2 2 2 4 29 5 7" xfId="15377" xr:uid="{00000000-0005-0000-0000-0000E73B0000}"/>
    <cellStyle name="Normal 2 2 2 2 4 29 5 8" xfId="15378" xr:uid="{00000000-0005-0000-0000-0000E83B0000}"/>
    <cellStyle name="Normal 2 2 2 2 4 29 5 9" xfId="15379" xr:uid="{00000000-0005-0000-0000-0000E93B0000}"/>
    <cellStyle name="Normal 2 2 2 2 4 29 6" xfId="15380" xr:uid="{00000000-0005-0000-0000-0000EA3B0000}"/>
    <cellStyle name="Normal 2 2 2 2 4 29 7" xfId="15381" xr:uid="{00000000-0005-0000-0000-0000EB3B0000}"/>
    <cellStyle name="Normal 2 2 2 2 4 29 8" xfId="15382" xr:uid="{00000000-0005-0000-0000-0000EC3B0000}"/>
    <cellStyle name="Normal 2 2 2 2 4 29 9" xfId="15383" xr:uid="{00000000-0005-0000-0000-0000ED3B0000}"/>
    <cellStyle name="Normal 2 2 2 2 4 3" xfId="15384" xr:uid="{00000000-0005-0000-0000-0000EE3B0000}"/>
    <cellStyle name="Normal 2 2 2 2 4 3 10" xfId="15385" xr:uid="{00000000-0005-0000-0000-0000EF3B0000}"/>
    <cellStyle name="Normal 2 2 2 2 4 3 11" xfId="15386" xr:uid="{00000000-0005-0000-0000-0000F03B0000}"/>
    <cellStyle name="Normal 2 2 2 2 4 3 12" xfId="15387" xr:uid="{00000000-0005-0000-0000-0000F13B0000}"/>
    <cellStyle name="Normal 2 2 2 2 4 3 13" xfId="15388" xr:uid="{00000000-0005-0000-0000-0000F23B0000}"/>
    <cellStyle name="Normal 2 2 2 2 4 3 14" xfId="15389" xr:uid="{00000000-0005-0000-0000-0000F33B0000}"/>
    <cellStyle name="Normal 2 2 2 2 4 3 2" xfId="15390" xr:uid="{00000000-0005-0000-0000-0000F43B0000}"/>
    <cellStyle name="Normal 2 2 2 2 4 3 2 10" xfId="15391" xr:uid="{00000000-0005-0000-0000-0000F53B0000}"/>
    <cellStyle name="Normal 2 2 2 2 4 3 2 2" xfId="15392" xr:uid="{00000000-0005-0000-0000-0000F63B0000}"/>
    <cellStyle name="Normal 2 2 2 2 4 3 2 3" xfId="15393" xr:uid="{00000000-0005-0000-0000-0000F73B0000}"/>
    <cellStyle name="Normal 2 2 2 2 4 3 2 4" xfId="15394" xr:uid="{00000000-0005-0000-0000-0000F83B0000}"/>
    <cellStyle name="Normal 2 2 2 2 4 3 2 5" xfId="15395" xr:uid="{00000000-0005-0000-0000-0000F93B0000}"/>
    <cellStyle name="Normal 2 2 2 2 4 3 2 6" xfId="15396" xr:uid="{00000000-0005-0000-0000-0000FA3B0000}"/>
    <cellStyle name="Normal 2 2 2 2 4 3 2 7" xfId="15397" xr:uid="{00000000-0005-0000-0000-0000FB3B0000}"/>
    <cellStyle name="Normal 2 2 2 2 4 3 2 8" xfId="15398" xr:uid="{00000000-0005-0000-0000-0000FC3B0000}"/>
    <cellStyle name="Normal 2 2 2 2 4 3 2 9" xfId="15399" xr:uid="{00000000-0005-0000-0000-0000FD3B0000}"/>
    <cellStyle name="Normal 2 2 2 2 4 3 3" xfId="15400" xr:uid="{00000000-0005-0000-0000-0000FE3B0000}"/>
    <cellStyle name="Normal 2 2 2 2 4 3 3 10" xfId="15401" xr:uid="{00000000-0005-0000-0000-0000FF3B0000}"/>
    <cellStyle name="Normal 2 2 2 2 4 3 3 2" xfId="15402" xr:uid="{00000000-0005-0000-0000-0000003C0000}"/>
    <cellStyle name="Normal 2 2 2 2 4 3 3 3" xfId="15403" xr:uid="{00000000-0005-0000-0000-0000013C0000}"/>
    <cellStyle name="Normal 2 2 2 2 4 3 3 4" xfId="15404" xr:uid="{00000000-0005-0000-0000-0000023C0000}"/>
    <cellStyle name="Normal 2 2 2 2 4 3 3 5" xfId="15405" xr:uid="{00000000-0005-0000-0000-0000033C0000}"/>
    <cellStyle name="Normal 2 2 2 2 4 3 3 6" xfId="15406" xr:uid="{00000000-0005-0000-0000-0000043C0000}"/>
    <cellStyle name="Normal 2 2 2 2 4 3 3 7" xfId="15407" xr:uid="{00000000-0005-0000-0000-0000053C0000}"/>
    <cellStyle name="Normal 2 2 2 2 4 3 3 8" xfId="15408" xr:uid="{00000000-0005-0000-0000-0000063C0000}"/>
    <cellStyle name="Normal 2 2 2 2 4 3 3 9" xfId="15409" xr:uid="{00000000-0005-0000-0000-0000073C0000}"/>
    <cellStyle name="Normal 2 2 2 2 4 3 4" xfId="15410" xr:uid="{00000000-0005-0000-0000-0000083C0000}"/>
    <cellStyle name="Normal 2 2 2 2 4 3 4 10" xfId="15411" xr:uid="{00000000-0005-0000-0000-0000093C0000}"/>
    <cellStyle name="Normal 2 2 2 2 4 3 4 2" xfId="15412" xr:uid="{00000000-0005-0000-0000-00000A3C0000}"/>
    <cellStyle name="Normal 2 2 2 2 4 3 4 3" xfId="15413" xr:uid="{00000000-0005-0000-0000-00000B3C0000}"/>
    <cellStyle name="Normal 2 2 2 2 4 3 4 4" xfId="15414" xr:uid="{00000000-0005-0000-0000-00000C3C0000}"/>
    <cellStyle name="Normal 2 2 2 2 4 3 4 5" xfId="15415" xr:uid="{00000000-0005-0000-0000-00000D3C0000}"/>
    <cellStyle name="Normal 2 2 2 2 4 3 4 6" xfId="15416" xr:uid="{00000000-0005-0000-0000-00000E3C0000}"/>
    <cellStyle name="Normal 2 2 2 2 4 3 4 7" xfId="15417" xr:uid="{00000000-0005-0000-0000-00000F3C0000}"/>
    <cellStyle name="Normal 2 2 2 2 4 3 4 8" xfId="15418" xr:uid="{00000000-0005-0000-0000-0000103C0000}"/>
    <cellStyle name="Normal 2 2 2 2 4 3 4 9" xfId="15419" xr:uid="{00000000-0005-0000-0000-0000113C0000}"/>
    <cellStyle name="Normal 2 2 2 2 4 3 5" xfId="15420" xr:uid="{00000000-0005-0000-0000-0000123C0000}"/>
    <cellStyle name="Normal 2 2 2 2 4 3 5 10" xfId="15421" xr:uid="{00000000-0005-0000-0000-0000133C0000}"/>
    <cellStyle name="Normal 2 2 2 2 4 3 5 2" xfId="15422" xr:uid="{00000000-0005-0000-0000-0000143C0000}"/>
    <cellStyle name="Normal 2 2 2 2 4 3 5 3" xfId="15423" xr:uid="{00000000-0005-0000-0000-0000153C0000}"/>
    <cellStyle name="Normal 2 2 2 2 4 3 5 4" xfId="15424" xr:uid="{00000000-0005-0000-0000-0000163C0000}"/>
    <cellStyle name="Normal 2 2 2 2 4 3 5 5" xfId="15425" xr:uid="{00000000-0005-0000-0000-0000173C0000}"/>
    <cellStyle name="Normal 2 2 2 2 4 3 5 6" xfId="15426" xr:uid="{00000000-0005-0000-0000-0000183C0000}"/>
    <cellStyle name="Normal 2 2 2 2 4 3 5 7" xfId="15427" xr:uid="{00000000-0005-0000-0000-0000193C0000}"/>
    <cellStyle name="Normal 2 2 2 2 4 3 5 8" xfId="15428" xr:uid="{00000000-0005-0000-0000-00001A3C0000}"/>
    <cellStyle name="Normal 2 2 2 2 4 3 5 9" xfId="15429" xr:uid="{00000000-0005-0000-0000-00001B3C0000}"/>
    <cellStyle name="Normal 2 2 2 2 4 3 6" xfId="15430" xr:uid="{00000000-0005-0000-0000-00001C3C0000}"/>
    <cellStyle name="Normal 2 2 2 2 4 3 7" xfId="15431" xr:uid="{00000000-0005-0000-0000-00001D3C0000}"/>
    <cellStyle name="Normal 2 2 2 2 4 3 8" xfId="15432" xr:uid="{00000000-0005-0000-0000-00001E3C0000}"/>
    <cellStyle name="Normal 2 2 2 2 4 3 9" xfId="15433" xr:uid="{00000000-0005-0000-0000-00001F3C0000}"/>
    <cellStyle name="Normal 2 2 2 2 4 30" xfId="15434" xr:uid="{00000000-0005-0000-0000-0000203C0000}"/>
    <cellStyle name="Normal 2 2 2 2 4 30 10" xfId="15435" xr:uid="{00000000-0005-0000-0000-0000213C0000}"/>
    <cellStyle name="Normal 2 2 2 2 4 30 11" xfId="15436" xr:uid="{00000000-0005-0000-0000-0000223C0000}"/>
    <cellStyle name="Normal 2 2 2 2 4 30 12" xfId="15437" xr:uid="{00000000-0005-0000-0000-0000233C0000}"/>
    <cellStyle name="Normal 2 2 2 2 4 30 13" xfId="15438" xr:uid="{00000000-0005-0000-0000-0000243C0000}"/>
    <cellStyle name="Normal 2 2 2 2 4 30 14" xfId="15439" xr:uid="{00000000-0005-0000-0000-0000253C0000}"/>
    <cellStyle name="Normal 2 2 2 2 4 30 2" xfId="15440" xr:uid="{00000000-0005-0000-0000-0000263C0000}"/>
    <cellStyle name="Normal 2 2 2 2 4 30 2 10" xfId="15441" xr:uid="{00000000-0005-0000-0000-0000273C0000}"/>
    <cellStyle name="Normal 2 2 2 2 4 30 2 2" xfId="15442" xr:uid="{00000000-0005-0000-0000-0000283C0000}"/>
    <cellStyle name="Normal 2 2 2 2 4 30 2 3" xfId="15443" xr:uid="{00000000-0005-0000-0000-0000293C0000}"/>
    <cellStyle name="Normal 2 2 2 2 4 30 2 4" xfId="15444" xr:uid="{00000000-0005-0000-0000-00002A3C0000}"/>
    <cellStyle name="Normal 2 2 2 2 4 30 2 5" xfId="15445" xr:uid="{00000000-0005-0000-0000-00002B3C0000}"/>
    <cellStyle name="Normal 2 2 2 2 4 30 2 6" xfId="15446" xr:uid="{00000000-0005-0000-0000-00002C3C0000}"/>
    <cellStyle name="Normal 2 2 2 2 4 30 2 7" xfId="15447" xr:uid="{00000000-0005-0000-0000-00002D3C0000}"/>
    <cellStyle name="Normal 2 2 2 2 4 30 2 8" xfId="15448" xr:uid="{00000000-0005-0000-0000-00002E3C0000}"/>
    <cellStyle name="Normal 2 2 2 2 4 30 2 9" xfId="15449" xr:uid="{00000000-0005-0000-0000-00002F3C0000}"/>
    <cellStyle name="Normal 2 2 2 2 4 30 3" xfId="15450" xr:uid="{00000000-0005-0000-0000-0000303C0000}"/>
    <cellStyle name="Normal 2 2 2 2 4 30 3 10" xfId="15451" xr:uid="{00000000-0005-0000-0000-0000313C0000}"/>
    <cellStyle name="Normal 2 2 2 2 4 30 3 2" xfId="15452" xr:uid="{00000000-0005-0000-0000-0000323C0000}"/>
    <cellStyle name="Normal 2 2 2 2 4 30 3 3" xfId="15453" xr:uid="{00000000-0005-0000-0000-0000333C0000}"/>
    <cellStyle name="Normal 2 2 2 2 4 30 3 4" xfId="15454" xr:uid="{00000000-0005-0000-0000-0000343C0000}"/>
    <cellStyle name="Normal 2 2 2 2 4 30 3 5" xfId="15455" xr:uid="{00000000-0005-0000-0000-0000353C0000}"/>
    <cellStyle name="Normal 2 2 2 2 4 30 3 6" xfId="15456" xr:uid="{00000000-0005-0000-0000-0000363C0000}"/>
    <cellStyle name="Normal 2 2 2 2 4 30 3 7" xfId="15457" xr:uid="{00000000-0005-0000-0000-0000373C0000}"/>
    <cellStyle name="Normal 2 2 2 2 4 30 3 8" xfId="15458" xr:uid="{00000000-0005-0000-0000-0000383C0000}"/>
    <cellStyle name="Normal 2 2 2 2 4 30 3 9" xfId="15459" xr:uid="{00000000-0005-0000-0000-0000393C0000}"/>
    <cellStyle name="Normal 2 2 2 2 4 30 4" xfId="15460" xr:uid="{00000000-0005-0000-0000-00003A3C0000}"/>
    <cellStyle name="Normal 2 2 2 2 4 30 4 10" xfId="15461" xr:uid="{00000000-0005-0000-0000-00003B3C0000}"/>
    <cellStyle name="Normal 2 2 2 2 4 30 4 2" xfId="15462" xr:uid="{00000000-0005-0000-0000-00003C3C0000}"/>
    <cellStyle name="Normal 2 2 2 2 4 30 4 3" xfId="15463" xr:uid="{00000000-0005-0000-0000-00003D3C0000}"/>
    <cellStyle name="Normal 2 2 2 2 4 30 4 4" xfId="15464" xr:uid="{00000000-0005-0000-0000-00003E3C0000}"/>
    <cellStyle name="Normal 2 2 2 2 4 30 4 5" xfId="15465" xr:uid="{00000000-0005-0000-0000-00003F3C0000}"/>
    <cellStyle name="Normal 2 2 2 2 4 30 4 6" xfId="15466" xr:uid="{00000000-0005-0000-0000-0000403C0000}"/>
    <cellStyle name="Normal 2 2 2 2 4 30 4 7" xfId="15467" xr:uid="{00000000-0005-0000-0000-0000413C0000}"/>
    <cellStyle name="Normal 2 2 2 2 4 30 4 8" xfId="15468" xr:uid="{00000000-0005-0000-0000-0000423C0000}"/>
    <cellStyle name="Normal 2 2 2 2 4 30 4 9" xfId="15469" xr:uid="{00000000-0005-0000-0000-0000433C0000}"/>
    <cellStyle name="Normal 2 2 2 2 4 30 5" xfId="15470" xr:uid="{00000000-0005-0000-0000-0000443C0000}"/>
    <cellStyle name="Normal 2 2 2 2 4 30 5 10" xfId="15471" xr:uid="{00000000-0005-0000-0000-0000453C0000}"/>
    <cellStyle name="Normal 2 2 2 2 4 30 5 2" xfId="15472" xr:uid="{00000000-0005-0000-0000-0000463C0000}"/>
    <cellStyle name="Normal 2 2 2 2 4 30 5 3" xfId="15473" xr:uid="{00000000-0005-0000-0000-0000473C0000}"/>
    <cellStyle name="Normal 2 2 2 2 4 30 5 4" xfId="15474" xr:uid="{00000000-0005-0000-0000-0000483C0000}"/>
    <cellStyle name="Normal 2 2 2 2 4 30 5 5" xfId="15475" xr:uid="{00000000-0005-0000-0000-0000493C0000}"/>
    <cellStyle name="Normal 2 2 2 2 4 30 5 6" xfId="15476" xr:uid="{00000000-0005-0000-0000-00004A3C0000}"/>
    <cellStyle name="Normal 2 2 2 2 4 30 5 7" xfId="15477" xr:uid="{00000000-0005-0000-0000-00004B3C0000}"/>
    <cellStyle name="Normal 2 2 2 2 4 30 5 8" xfId="15478" xr:uid="{00000000-0005-0000-0000-00004C3C0000}"/>
    <cellStyle name="Normal 2 2 2 2 4 30 5 9" xfId="15479" xr:uid="{00000000-0005-0000-0000-00004D3C0000}"/>
    <cellStyle name="Normal 2 2 2 2 4 30 6" xfId="15480" xr:uid="{00000000-0005-0000-0000-00004E3C0000}"/>
    <cellStyle name="Normal 2 2 2 2 4 30 7" xfId="15481" xr:uid="{00000000-0005-0000-0000-00004F3C0000}"/>
    <cellStyle name="Normal 2 2 2 2 4 30 8" xfId="15482" xr:uid="{00000000-0005-0000-0000-0000503C0000}"/>
    <cellStyle name="Normal 2 2 2 2 4 30 9" xfId="15483" xr:uid="{00000000-0005-0000-0000-0000513C0000}"/>
    <cellStyle name="Normal 2 2 2 2 4 31" xfId="15484" xr:uid="{00000000-0005-0000-0000-0000523C0000}"/>
    <cellStyle name="Normal 2 2 2 2 4 31 10" xfId="15485" xr:uid="{00000000-0005-0000-0000-0000533C0000}"/>
    <cellStyle name="Normal 2 2 2 2 4 31 11" xfId="15486" xr:uid="{00000000-0005-0000-0000-0000543C0000}"/>
    <cellStyle name="Normal 2 2 2 2 4 31 12" xfId="15487" xr:uid="{00000000-0005-0000-0000-0000553C0000}"/>
    <cellStyle name="Normal 2 2 2 2 4 31 13" xfId="15488" xr:uid="{00000000-0005-0000-0000-0000563C0000}"/>
    <cellStyle name="Normal 2 2 2 2 4 31 14" xfId="15489" xr:uid="{00000000-0005-0000-0000-0000573C0000}"/>
    <cellStyle name="Normal 2 2 2 2 4 31 2" xfId="15490" xr:uid="{00000000-0005-0000-0000-0000583C0000}"/>
    <cellStyle name="Normal 2 2 2 2 4 31 2 10" xfId="15491" xr:uid="{00000000-0005-0000-0000-0000593C0000}"/>
    <cellStyle name="Normal 2 2 2 2 4 31 2 2" xfId="15492" xr:uid="{00000000-0005-0000-0000-00005A3C0000}"/>
    <cellStyle name="Normal 2 2 2 2 4 31 2 3" xfId="15493" xr:uid="{00000000-0005-0000-0000-00005B3C0000}"/>
    <cellStyle name="Normal 2 2 2 2 4 31 2 4" xfId="15494" xr:uid="{00000000-0005-0000-0000-00005C3C0000}"/>
    <cellStyle name="Normal 2 2 2 2 4 31 2 5" xfId="15495" xr:uid="{00000000-0005-0000-0000-00005D3C0000}"/>
    <cellStyle name="Normal 2 2 2 2 4 31 2 6" xfId="15496" xr:uid="{00000000-0005-0000-0000-00005E3C0000}"/>
    <cellStyle name="Normal 2 2 2 2 4 31 2 7" xfId="15497" xr:uid="{00000000-0005-0000-0000-00005F3C0000}"/>
    <cellStyle name="Normal 2 2 2 2 4 31 2 8" xfId="15498" xr:uid="{00000000-0005-0000-0000-0000603C0000}"/>
    <cellStyle name="Normal 2 2 2 2 4 31 2 9" xfId="15499" xr:uid="{00000000-0005-0000-0000-0000613C0000}"/>
    <cellStyle name="Normal 2 2 2 2 4 31 3" xfId="15500" xr:uid="{00000000-0005-0000-0000-0000623C0000}"/>
    <cellStyle name="Normal 2 2 2 2 4 31 3 10" xfId="15501" xr:uid="{00000000-0005-0000-0000-0000633C0000}"/>
    <cellStyle name="Normal 2 2 2 2 4 31 3 2" xfId="15502" xr:uid="{00000000-0005-0000-0000-0000643C0000}"/>
    <cellStyle name="Normal 2 2 2 2 4 31 3 3" xfId="15503" xr:uid="{00000000-0005-0000-0000-0000653C0000}"/>
    <cellStyle name="Normal 2 2 2 2 4 31 3 4" xfId="15504" xr:uid="{00000000-0005-0000-0000-0000663C0000}"/>
    <cellStyle name="Normal 2 2 2 2 4 31 3 5" xfId="15505" xr:uid="{00000000-0005-0000-0000-0000673C0000}"/>
    <cellStyle name="Normal 2 2 2 2 4 31 3 6" xfId="15506" xr:uid="{00000000-0005-0000-0000-0000683C0000}"/>
    <cellStyle name="Normal 2 2 2 2 4 31 3 7" xfId="15507" xr:uid="{00000000-0005-0000-0000-0000693C0000}"/>
    <cellStyle name="Normal 2 2 2 2 4 31 3 8" xfId="15508" xr:uid="{00000000-0005-0000-0000-00006A3C0000}"/>
    <cellStyle name="Normal 2 2 2 2 4 31 3 9" xfId="15509" xr:uid="{00000000-0005-0000-0000-00006B3C0000}"/>
    <cellStyle name="Normal 2 2 2 2 4 31 4" xfId="15510" xr:uid="{00000000-0005-0000-0000-00006C3C0000}"/>
    <cellStyle name="Normal 2 2 2 2 4 31 4 10" xfId="15511" xr:uid="{00000000-0005-0000-0000-00006D3C0000}"/>
    <cellStyle name="Normal 2 2 2 2 4 31 4 2" xfId="15512" xr:uid="{00000000-0005-0000-0000-00006E3C0000}"/>
    <cellStyle name="Normal 2 2 2 2 4 31 4 3" xfId="15513" xr:uid="{00000000-0005-0000-0000-00006F3C0000}"/>
    <cellStyle name="Normal 2 2 2 2 4 31 4 4" xfId="15514" xr:uid="{00000000-0005-0000-0000-0000703C0000}"/>
    <cellStyle name="Normal 2 2 2 2 4 31 4 5" xfId="15515" xr:uid="{00000000-0005-0000-0000-0000713C0000}"/>
    <cellStyle name="Normal 2 2 2 2 4 31 4 6" xfId="15516" xr:uid="{00000000-0005-0000-0000-0000723C0000}"/>
    <cellStyle name="Normal 2 2 2 2 4 31 4 7" xfId="15517" xr:uid="{00000000-0005-0000-0000-0000733C0000}"/>
    <cellStyle name="Normal 2 2 2 2 4 31 4 8" xfId="15518" xr:uid="{00000000-0005-0000-0000-0000743C0000}"/>
    <cellStyle name="Normal 2 2 2 2 4 31 4 9" xfId="15519" xr:uid="{00000000-0005-0000-0000-0000753C0000}"/>
    <cellStyle name="Normal 2 2 2 2 4 31 5" xfId="15520" xr:uid="{00000000-0005-0000-0000-0000763C0000}"/>
    <cellStyle name="Normal 2 2 2 2 4 31 5 10" xfId="15521" xr:uid="{00000000-0005-0000-0000-0000773C0000}"/>
    <cellStyle name="Normal 2 2 2 2 4 31 5 2" xfId="15522" xr:uid="{00000000-0005-0000-0000-0000783C0000}"/>
    <cellStyle name="Normal 2 2 2 2 4 31 5 3" xfId="15523" xr:uid="{00000000-0005-0000-0000-0000793C0000}"/>
    <cellStyle name="Normal 2 2 2 2 4 31 5 4" xfId="15524" xr:uid="{00000000-0005-0000-0000-00007A3C0000}"/>
    <cellStyle name="Normal 2 2 2 2 4 31 5 5" xfId="15525" xr:uid="{00000000-0005-0000-0000-00007B3C0000}"/>
    <cellStyle name="Normal 2 2 2 2 4 31 5 6" xfId="15526" xr:uid="{00000000-0005-0000-0000-00007C3C0000}"/>
    <cellStyle name="Normal 2 2 2 2 4 31 5 7" xfId="15527" xr:uid="{00000000-0005-0000-0000-00007D3C0000}"/>
    <cellStyle name="Normal 2 2 2 2 4 31 5 8" xfId="15528" xr:uid="{00000000-0005-0000-0000-00007E3C0000}"/>
    <cellStyle name="Normal 2 2 2 2 4 31 5 9" xfId="15529" xr:uid="{00000000-0005-0000-0000-00007F3C0000}"/>
    <cellStyle name="Normal 2 2 2 2 4 31 6" xfId="15530" xr:uid="{00000000-0005-0000-0000-0000803C0000}"/>
    <cellStyle name="Normal 2 2 2 2 4 31 7" xfId="15531" xr:uid="{00000000-0005-0000-0000-0000813C0000}"/>
    <cellStyle name="Normal 2 2 2 2 4 31 8" xfId="15532" xr:uid="{00000000-0005-0000-0000-0000823C0000}"/>
    <cellStyle name="Normal 2 2 2 2 4 31 9" xfId="15533" xr:uid="{00000000-0005-0000-0000-0000833C0000}"/>
    <cellStyle name="Normal 2 2 2 2 4 32" xfId="15534" xr:uid="{00000000-0005-0000-0000-0000843C0000}"/>
    <cellStyle name="Normal 2 2 2 2 4 32 10" xfId="15535" xr:uid="{00000000-0005-0000-0000-0000853C0000}"/>
    <cellStyle name="Normal 2 2 2 2 4 32 11" xfId="15536" xr:uid="{00000000-0005-0000-0000-0000863C0000}"/>
    <cellStyle name="Normal 2 2 2 2 4 32 12" xfId="15537" xr:uid="{00000000-0005-0000-0000-0000873C0000}"/>
    <cellStyle name="Normal 2 2 2 2 4 32 13" xfId="15538" xr:uid="{00000000-0005-0000-0000-0000883C0000}"/>
    <cellStyle name="Normal 2 2 2 2 4 32 14" xfId="15539" xr:uid="{00000000-0005-0000-0000-0000893C0000}"/>
    <cellStyle name="Normal 2 2 2 2 4 32 2" xfId="15540" xr:uid="{00000000-0005-0000-0000-00008A3C0000}"/>
    <cellStyle name="Normal 2 2 2 2 4 32 2 10" xfId="15541" xr:uid="{00000000-0005-0000-0000-00008B3C0000}"/>
    <cellStyle name="Normal 2 2 2 2 4 32 2 2" xfId="15542" xr:uid="{00000000-0005-0000-0000-00008C3C0000}"/>
    <cellStyle name="Normal 2 2 2 2 4 32 2 3" xfId="15543" xr:uid="{00000000-0005-0000-0000-00008D3C0000}"/>
    <cellStyle name="Normal 2 2 2 2 4 32 2 4" xfId="15544" xr:uid="{00000000-0005-0000-0000-00008E3C0000}"/>
    <cellStyle name="Normal 2 2 2 2 4 32 2 5" xfId="15545" xr:uid="{00000000-0005-0000-0000-00008F3C0000}"/>
    <cellStyle name="Normal 2 2 2 2 4 32 2 6" xfId="15546" xr:uid="{00000000-0005-0000-0000-0000903C0000}"/>
    <cellStyle name="Normal 2 2 2 2 4 32 2 7" xfId="15547" xr:uid="{00000000-0005-0000-0000-0000913C0000}"/>
    <cellStyle name="Normal 2 2 2 2 4 32 2 8" xfId="15548" xr:uid="{00000000-0005-0000-0000-0000923C0000}"/>
    <cellStyle name="Normal 2 2 2 2 4 32 2 9" xfId="15549" xr:uid="{00000000-0005-0000-0000-0000933C0000}"/>
    <cellStyle name="Normal 2 2 2 2 4 32 3" xfId="15550" xr:uid="{00000000-0005-0000-0000-0000943C0000}"/>
    <cellStyle name="Normal 2 2 2 2 4 32 3 10" xfId="15551" xr:uid="{00000000-0005-0000-0000-0000953C0000}"/>
    <cellStyle name="Normal 2 2 2 2 4 32 3 2" xfId="15552" xr:uid="{00000000-0005-0000-0000-0000963C0000}"/>
    <cellStyle name="Normal 2 2 2 2 4 32 3 3" xfId="15553" xr:uid="{00000000-0005-0000-0000-0000973C0000}"/>
    <cellStyle name="Normal 2 2 2 2 4 32 3 4" xfId="15554" xr:uid="{00000000-0005-0000-0000-0000983C0000}"/>
    <cellStyle name="Normal 2 2 2 2 4 32 3 5" xfId="15555" xr:uid="{00000000-0005-0000-0000-0000993C0000}"/>
    <cellStyle name="Normal 2 2 2 2 4 32 3 6" xfId="15556" xr:uid="{00000000-0005-0000-0000-00009A3C0000}"/>
    <cellStyle name="Normal 2 2 2 2 4 32 3 7" xfId="15557" xr:uid="{00000000-0005-0000-0000-00009B3C0000}"/>
    <cellStyle name="Normal 2 2 2 2 4 32 3 8" xfId="15558" xr:uid="{00000000-0005-0000-0000-00009C3C0000}"/>
    <cellStyle name="Normal 2 2 2 2 4 32 3 9" xfId="15559" xr:uid="{00000000-0005-0000-0000-00009D3C0000}"/>
    <cellStyle name="Normal 2 2 2 2 4 32 4" xfId="15560" xr:uid="{00000000-0005-0000-0000-00009E3C0000}"/>
    <cellStyle name="Normal 2 2 2 2 4 32 4 10" xfId="15561" xr:uid="{00000000-0005-0000-0000-00009F3C0000}"/>
    <cellStyle name="Normal 2 2 2 2 4 32 4 2" xfId="15562" xr:uid="{00000000-0005-0000-0000-0000A03C0000}"/>
    <cellStyle name="Normal 2 2 2 2 4 32 4 3" xfId="15563" xr:uid="{00000000-0005-0000-0000-0000A13C0000}"/>
    <cellStyle name="Normal 2 2 2 2 4 32 4 4" xfId="15564" xr:uid="{00000000-0005-0000-0000-0000A23C0000}"/>
    <cellStyle name="Normal 2 2 2 2 4 32 4 5" xfId="15565" xr:uid="{00000000-0005-0000-0000-0000A33C0000}"/>
    <cellStyle name="Normal 2 2 2 2 4 32 4 6" xfId="15566" xr:uid="{00000000-0005-0000-0000-0000A43C0000}"/>
    <cellStyle name="Normal 2 2 2 2 4 32 4 7" xfId="15567" xr:uid="{00000000-0005-0000-0000-0000A53C0000}"/>
    <cellStyle name="Normal 2 2 2 2 4 32 4 8" xfId="15568" xr:uid="{00000000-0005-0000-0000-0000A63C0000}"/>
    <cellStyle name="Normal 2 2 2 2 4 32 4 9" xfId="15569" xr:uid="{00000000-0005-0000-0000-0000A73C0000}"/>
    <cellStyle name="Normal 2 2 2 2 4 32 5" xfId="15570" xr:uid="{00000000-0005-0000-0000-0000A83C0000}"/>
    <cellStyle name="Normal 2 2 2 2 4 32 5 10" xfId="15571" xr:uid="{00000000-0005-0000-0000-0000A93C0000}"/>
    <cellStyle name="Normal 2 2 2 2 4 32 5 2" xfId="15572" xr:uid="{00000000-0005-0000-0000-0000AA3C0000}"/>
    <cellStyle name="Normal 2 2 2 2 4 32 5 3" xfId="15573" xr:uid="{00000000-0005-0000-0000-0000AB3C0000}"/>
    <cellStyle name="Normal 2 2 2 2 4 32 5 4" xfId="15574" xr:uid="{00000000-0005-0000-0000-0000AC3C0000}"/>
    <cellStyle name="Normal 2 2 2 2 4 32 5 5" xfId="15575" xr:uid="{00000000-0005-0000-0000-0000AD3C0000}"/>
    <cellStyle name="Normal 2 2 2 2 4 32 5 6" xfId="15576" xr:uid="{00000000-0005-0000-0000-0000AE3C0000}"/>
    <cellStyle name="Normal 2 2 2 2 4 32 5 7" xfId="15577" xr:uid="{00000000-0005-0000-0000-0000AF3C0000}"/>
    <cellStyle name="Normal 2 2 2 2 4 32 5 8" xfId="15578" xr:uid="{00000000-0005-0000-0000-0000B03C0000}"/>
    <cellStyle name="Normal 2 2 2 2 4 32 5 9" xfId="15579" xr:uid="{00000000-0005-0000-0000-0000B13C0000}"/>
    <cellStyle name="Normal 2 2 2 2 4 32 6" xfId="15580" xr:uid="{00000000-0005-0000-0000-0000B23C0000}"/>
    <cellStyle name="Normal 2 2 2 2 4 32 7" xfId="15581" xr:uid="{00000000-0005-0000-0000-0000B33C0000}"/>
    <cellStyle name="Normal 2 2 2 2 4 32 8" xfId="15582" xr:uid="{00000000-0005-0000-0000-0000B43C0000}"/>
    <cellStyle name="Normal 2 2 2 2 4 32 9" xfId="15583" xr:uid="{00000000-0005-0000-0000-0000B53C0000}"/>
    <cellStyle name="Normal 2 2 2 2 4 33" xfId="15584" xr:uid="{00000000-0005-0000-0000-0000B63C0000}"/>
    <cellStyle name="Normal 2 2 2 2 4 33 10" xfId="15585" xr:uid="{00000000-0005-0000-0000-0000B73C0000}"/>
    <cellStyle name="Normal 2 2 2 2 4 33 11" xfId="15586" xr:uid="{00000000-0005-0000-0000-0000B83C0000}"/>
    <cellStyle name="Normal 2 2 2 2 4 33 12" xfId="15587" xr:uid="{00000000-0005-0000-0000-0000B93C0000}"/>
    <cellStyle name="Normal 2 2 2 2 4 33 13" xfId="15588" xr:uid="{00000000-0005-0000-0000-0000BA3C0000}"/>
    <cellStyle name="Normal 2 2 2 2 4 33 14" xfId="15589" xr:uid="{00000000-0005-0000-0000-0000BB3C0000}"/>
    <cellStyle name="Normal 2 2 2 2 4 33 2" xfId="15590" xr:uid="{00000000-0005-0000-0000-0000BC3C0000}"/>
    <cellStyle name="Normal 2 2 2 2 4 33 2 10" xfId="15591" xr:uid="{00000000-0005-0000-0000-0000BD3C0000}"/>
    <cellStyle name="Normal 2 2 2 2 4 33 2 2" xfId="15592" xr:uid="{00000000-0005-0000-0000-0000BE3C0000}"/>
    <cellStyle name="Normal 2 2 2 2 4 33 2 3" xfId="15593" xr:uid="{00000000-0005-0000-0000-0000BF3C0000}"/>
    <cellStyle name="Normal 2 2 2 2 4 33 2 4" xfId="15594" xr:uid="{00000000-0005-0000-0000-0000C03C0000}"/>
    <cellStyle name="Normal 2 2 2 2 4 33 2 5" xfId="15595" xr:uid="{00000000-0005-0000-0000-0000C13C0000}"/>
    <cellStyle name="Normal 2 2 2 2 4 33 2 6" xfId="15596" xr:uid="{00000000-0005-0000-0000-0000C23C0000}"/>
    <cellStyle name="Normal 2 2 2 2 4 33 2 7" xfId="15597" xr:uid="{00000000-0005-0000-0000-0000C33C0000}"/>
    <cellStyle name="Normal 2 2 2 2 4 33 2 8" xfId="15598" xr:uid="{00000000-0005-0000-0000-0000C43C0000}"/>
    <cellStyle name="Normal 2 2 2 2 4 33 2 9" xfId="15599" xr:uid="{00000000-0005-0000-0000-0000C53C0000}"/>
    <cellStyle name="Normal 2 2 2 2 4 33 3" xfId="15600" xr:uid="{00000000-0005-0000-0000-0000C63C0000}"/>
    <cellStyle name="Normal 2 2 2 2 4 33 3 10" xfId="15601" xr:uid="{00000000-0005-0000-0000-0000C73C0000}"/>
    <cellStyle name="Normal 2 2 2 2 4 33 3 2" xfId="15602" xr:uid="{00000000-0005-0000-0000-0000C83C0000}"/>
    <cellStyle name="Normal 2 2 2 2 4 33 3 3" xfId="15603" xr:uid="{00000000-0005-0000-0000-0000C93C0000}"/>
    <cellStyle name="Normal 2 2 2 2 4 33 3 4" xfId="15604" xr:uid="{00000000-0005-0000-0000-0000CA3C0000}"/>
    <cellStyle name="Normal 2 2 2 2 4 33 3 5" xfId="15605" xr:uid="{00000000-0005-0000-0000-0000CB3C0000}"/>
    <cellStyle name="Normal 2 2 2 2 4 33 3 6" xfId="15606" xr:uid="{00000000-0005-0000-0000-0000CC3C0000}"/>
    <cellStyle name="Normal 2 2 2 2 4 33 3 7" xfId="15607" xr:uid="{00000000-0005-0000-0000-0000CD3C0000}"/>
    <cellStyle name="Normal 2 2 2 2 4 33 3 8" xfId="15608" xr:uid="{00000000-0005-0000-0000-0000CE3C0000}"/>
    <cellStyle name="Normal 2 2 2 2 4 33 3 9" xfId="15609" xr:uid="{00000000-0005-0000-0000-0000CF3C0000}"/>
    <cellStyle name="Normal 2 2 2 2 4 33 4" xfId="15610" xr:uid="{00000000-0005-0000-0000-0000D03C0000}"/>
    <cellStyle name="Normal 2 2 2 2 4 33 4 10" xfId="15611" xr:uid="{00000000-0005-0000-0000-0000D13C0000}"/>
    <cellStyle name="Normal 2 2 2 2 4 33 4 2" xfId="15612" xr:uid="{00000000-0005-0000-0000-0000D23C0000}"/>
    <cellStyle name="Normal 2 2 2 2 4 33 4 3" xfId="15613" xr:uid="{00000000-0005-0000-0000-0000D33C0000}"/>
    <cellStyle name="Normal 2 2 2 2 4 33 4 4" xfId="15614" xr:uid="{00000000-0005-0000-0000-0000D43C0000}"/>
    <cellStyle name="Normal 2 2 2 2 4 33 4 5" xfId="15615" xr:uid="{00000000-0005-0000-0000-0000D53C0000}"/>
    <cellStyle name="Normal 2 2 2 2 4 33 4 6" xfId="15616" xr:uid="{00000000-0005-0000-0000-0000D63C0000}"/>
    <cellStyle name="Normal 2 2 2 2 4 33 4 7" xfId="15617" xr:uid="{00000000-0005-0000-0000-0000D73C0000}"/>
    <cellStyle name="Normal 2 2 2 2 4 33 4 8" xfId="15618" xr:uid="{00000000-0005-0000-0000-0000D83C0000}"/>
    <cellStyle name="Normal 2 2 2 2 4 33 4 9" xfId="15619" xr:uid="{00000000-0005-0000-0000-0000D93C0000}"/>
    <cellStyle name="Normal 2 2 2 2 4 33 5" xfId="15620" xr:uid="{00000000-0005-0000-0000-0000DA3C0000}"/>
    <cellStyle name="Normal 2 2 2 2 4 33 5 10" xfId="15621" xr:uid="{00000000-0005-0000-0000-0000DB3C0000}"/>
    <cellStyle name="Normal 2 2 2 2 4 33 5 2" xfId="15622" xr:uid="{00000000-0005-0000-0000-0000DC3C0000}"/>
    <cellStyle name="Normal 2 2 2 2 4 33 5 3" xfId="15623" xr:uid="{00000000-0005-0000-0000-0000DD3C0000}"/>
    <cellStyle name="Normal 2 2 2 2 4 33 5 4" xfId="15624" xr:uid="{00000000-0005-0000-0000-0000DE3C0000}"/>
    <cellStyle name="Normal 2 2 2 2 4 33 5 5" xfId="15625" xr:uid="{00000000-0005-0000-0000-0000DF3C0000}"/>
    <cellStyle name="Normal 2 2 2 2 4 33 5 6" xfId="15626" xr:uid="{00000000-0005-0000-0000-0000E03C0000}"/>
    <cellStyle name="Normal 2 2 2 2 4 33 5 7" xfId="15627" xr:uid="{00000000-0005-0000-0000-0000E13C0000}"/>
    <cellStyle name="Normal 2 2 2 2 4 33 5 8" xfId="15628" xr:uid="{00000000-0005-0000-0000-0000E23C0000}"/>
    <cellStyle name="Normal 2 2 2 2 4 33 5 9" xfId="15629" xr:uid="{00000000-0005-0000-0000-0000E33C0000}"/>
    <cellStyle name="Normal 2 2 2 2 4 33 6" xfId="15630" xr:uid="{00000000-0005-0000-0000-0000E43C0000}"/>
    <cellStyle name="Normal 2 2 2 2 4 33 7" xfId="15631" xr:uid="{00000000-0005-0000-0000-0000E53C0000}"/>
    <cellStyle name="Normal 2 2 2 2 4 33 8" xfId="15632" xr:uid="{00000000-0005-0000-0000-0000E63C0000}"/>
    <cellStyle name="Normal 2 2 2 2 4 33 9" xfId="15633" xr:uid="{00000000-0005-0000-0000-0000E73C0000}"/>
    <cellStyle name="Normal 2 2 2 2 4 34" xfId="15634" xr:uid="{00000000-0005-0000-0000-0000E83C0000}"/>
    <cellStyle name="Normal 2 2 2 2 4 35" xfId="15635" xr:uid="{00000000-0005-0000-0000-0000E93C0000}"/>
    <cellStyle name="Normal 2 2 2 2 4 4" xfId="15636" xr:uid="{00000000-0005-0000-0000-0000EA3C0000}"/>
    <cellStyle name="Normal 2 2 2 2 4 4 10" xfId="15637" xr:uid="{00000000-0005-0000-0000-0000EB3C0000}"/>
    <cellStyle name="Normal 2 2 2 2 4 4 11" xfId="15638" xr:uid="{00000000-0005-0000-0000-0000EC3C0000}"/>
    <cellStyle name="Normal 2 2 2 2 4 4 12" xfId="15639" xr:uid="{00000000-0005-0000-0000-0000ED3C0000}"/>
    <cellStyle name="Normal 2 2 2 2 4 4 13" xfId="15640" xr:uid="{00000000-0005-0000-0000-0000EE3C0000}"/>
    <cellStyle name="Normal 2 2 2 2 4 4 14" xfId="15641" xr:uid="{00000000-0005-0000-0000-0000EF3C0000}"/>
    <cellStyle name="Normal 2 2 2 2 4 4 2" xfId="15642" xr:uid="{00000000-0005-0000-0000-0000F03C0000}"/>
    <cellStyle name="Normal 2 2 2 2 4 4 2 10" xfId="15643" xr:uid="{00000000-0005-0000-0000-0000F13C0000}"/>
    <cellStyle name="Normal 2 2 2 2 4 4 2 2" xfId="15644" xr:uid="{00000000-0005-0000-0000-0000F23C0000}"/>
    <cellStyle name="Normal 2 2 2 2 4 4 2 3" xfId="15645" xr:uid="{00000000-0005-0000-0000-0000F33C0000}"/>
    <cellStyle name="Normal 2 2 2 2 4 4 2 4" xfId="15646" xr:uid="{00000000-0005-0000-0000-0000F43C0000}"/>
    <cellStyle name="Normal 2 2 2 2 4 4 2 5" xfId="15647" xr:uid="{00000000-0005-0000-0000-0000F53C0000}"/>
    <cellStyle name="Normal 2 2 2 2 4 4 2 6" xfId="15648" xr:uid="{00000000-0005-0000-0000-0000F63C0000}"/>
    <cellStyle name="Normal 2 2 2 2 4 4 2 7" xfId="15649" xr:uid="{00000000-0005-0000-0000-0000F73C0000}"/>
    <cellStyle name="Normal 2 2 2 2 4 4 2 8" xfId="15650" xr:uid="{00000000-0005-0000-0000-0000F83C0000}"/>
    <cellStyle name="Normal 2 2 2 2 4 4 2 9" xfId="15651" xr:uid="{00000000-0005-0000-0000-0000F93C0000}"/>
    <cellStyle name="Normal 2 2 2 2 4 4 3" xfId="15652" xr:uid="{00000000-0005-0000-0000-0000FA3C0000}"/>
    <cellStyle name="Normal 2 2 2 2 4 4 3 10" xfId="15653" xr:uid="{00000000-0005-0000-0000-0000FB3C0000}"/>
    <cellStyle name="Normal 2 2 2 2 4 4 3 2" xfId="15654" xr:uid="{00000000-0005-0000-0000-0000FC3C0000}"/>
    <cellStyle name="Normal 2 2 2 2 4 4 3 3" xfId="15655" xr:uid="{00000000-0005-0000-0000-0000FD3C0000}"/>
    <cellStyle name="Normal 2 2 2 2 4 4 3 4" xfId="15656" xr:uid="{00000000-0005-0000-0000-0000FE3C0000}"/>
    <cellStyle name="Normal 2 2 2 2 4 4 3 5" xfId="15657" xr:uid="{00000000-0005-0000-0000-0000FF3C0000}"/>
    <cellStyle name="Normal 2 2 2 2 4 4 3 6" xfId="15658" xr:uid="{00000000-0005-0000-0000-0000003D0000}"/>
    <cellStyle name="Normal 2 2 2 2 4 4 3 7" xfId="15659" xr:uid="{00000000-0005-0000-0000-0000013D0000}"/>
    <cellStyle name="Normal 2 2 2 2 4 4 3 8" xfId="15660" xr:uid="{00000000-0005-0000-0000-0000023D0000}"/>
    <cellStyle name="Normal 2 2 2 2 4 4 3 9" xfId="15661" xr:uid="{00000000-0005-0000-0000-0000033D0000}"/>
    <cellStyle name="Normal 2 2 2 2 4 4 4" xfId="15662" xr:uid="{00000000-0005-0000-0000-0000043D0000}"/>
    <cellStyle name="Normal 2 2 2 2 4 4 4 10" xfId="15663" xr:uid="{00000000-0005-0000-0000-0000053D0000}"/>
    <cellStyle name="Normal 2 2 2 2 4 4 4 2" xfId="15664" xr:uid="{00000000-0005-0000-0000-0000063D0000}"/>
    <cellStyle name="Normal 2 2 2 2 4 4 4 3" xfId="15665" xr:uid="{00000000-0005-0000-0000-0000073D0000}"/>
    <cellStyle name="Normal 2 2 2 2 4 4 4 4" xfId="15666" xr:uid="{00000000-0005-0000-0000-0000083D0000}"/>
    <cellStyle name="Normal 2 2 2 2 4 4 4 5" xfId="15667" xr:uid="{00000000-0005-0000-0000-0000093D0000}"/>
    <cellStyle name="Normal 2 2 2 2 4 4 4 6" xfId="15668" xr:uid="{00000000-0005-0000-0000-00000A3D0000}"/>
    <cellStyle name="Normal 2 2 2 2 4 4 4 7" xfId="15669" xr:uid="{00000000-0005-0000-0000-00000B3D0000}"/>
    <cellStyle name="Normal 2 2 2 2 4 4 4 8" xfId="15670" xr:uid="{00000000-0005-0000-0000-00000C3D0000}"/>
    <cellStyle name="Normal 2 2 2 2 4 4 4 9" xfId="15671" xr:uid="{00000000-0005-0000-0000-00000D3D0000}"/>
    <cellStyle name="Normal 2 2 2 2 4 4 5" xfId="15672" xr:uid="{00000000-0005-0000-0000-00000E3D0000}"/>
    <cellStyle name="Normal 2 2 2 2 4 4 5 10" xfId="15673" xr:uid="{00000000-0005-0000-0000-00000F3D0000}"/>
    <cellStyle name="Normal 2 2 2 2 4 4 5 2" xfId="15674" xr:uid="{00000000-0005-0000-0000-0000103D0000}"/>
    <cellStyle name="Normal 2 2 2 2 4 4 5 3" xfId="15675" xr:uid="{00000000-0005-0000-0000-0000113D0000}"/>
    <cellStyle name="Normal 2 2 2 2 4 4 5 4" xfId="15676" xr:uid="{00000000-0005-0000-0000-0000123D0000}"/>
    <cellStyle name="Normal 2 2 2 2 4 4 5 5" xfId="15677" xr:uid="{00000000-0005-0000-0000-0000133D0000}"/>
    <cellStyle name="Normal 2 2 2 2 4 4 5 6" xfId="15678" xr:uid="{00000000-0005-0000-0000-0000143D0000}"/>
    <cellStyle name="Normal 2 2 2 2 4 4 5 7" xfId="15679" xr:uid="{00000000-0005-0000-0000-0000153D0000}"/>
    <cellStyle name="Normal 2 2 2 2 4 4 5 8" xfId="15680" xr:uid="{00000000-0005-0000-0000-0000163D0000}"/>
    <cellStyle name="Normal 2 2 2 2 4 4 5 9" xfId="15681" xr:uid="{00000000-0005-0000-0000-0000173D0000}"/>
    <cellStyle name="Normal 2 2 2 2 4 4 6" xfId="15682" xr:uid="{00000000-0005-0000-0000-0000183D0000}"/>
    <cellStyle name="Normal 2 2 2 2 4 4 7" xfId="15683" xr:uid="{00000000-0005-0000-0000-0000193D0000}"/>
    <cellStyle name="Normal 2 2 2 2 4 4 8" xfId="15684" xr:uid="{00000000-0005-0000-0000-00001A3D0000}"/>
    <cellStyle name="Normal 2 2 2 2 4 4 9" xfId="15685" xr:uid="{00000000-0005-0000-0000-00001B3D0000}"/>
    <cellStyle name="Normal 2 2 2 2 4 5" xfId="15686" xr:uid="{00000000-0005-0000-0000-00001C3D0000}"/>
    <cellStyle name="Normal 2 2 2 2 4 5 10" xfId="15687" xr:uid="{00000000-0005-0000-0000-00001D3D0000}"/>
    <cellStyle name="Normal 2 2 2 2 4 5 11" xfId="15688" xr:uid="{00000000-0005-0000-0000-00001E3D0000}"/>
    <cellStyle name="Normal 2 2 2 2 4 5 12" xfId="15689" xr:uid="{00000000-0005-0000-0000-00001F3D0000}"/>
    <cellStyle name="Normal 2 2 2 2 4 5 13" xfId="15690" xr:uid="{00000000-0005-0000-0000-0000203D0000}"/>
    <cellStyle name="Normal 2 2 2 2 4 5 14" xfId="15691" xr:uid="{00000000-0005-0000-0000-0000213D0000}"/>
    <cellStyle name="Normal 2 2 2 2 4 5 2" xfId="15692" xr:uid="{00000000-0005-0000-0000-0000223D0000}"/>
    <cellStyle name="Normal 2 2 2 2 4 5 2 10" xfId="15693" xr:uid="{00000000-0005-0000-0000-0000233D0000}"/>
    <cellStyle name="Normal 2 2 2 2 4 5 2 2" xfId="15694" xr:uid="{00000000-0005-0000-0000-0000243D0000}"/>
    <cellStyle name="Normal 2 2 2 2 4 5 2 3" xfId="15695" xr:uid="{00000000-0005-0000-0000-0000253D0000}"/>
    <cellStyle name="Normal 2 2 2 2 4 5 2 4" xfId="15696" xr:uid="{00000000-0005-0000-0000-0000263D0000}"/>
    <cellStyle name="Normal 2 2 2 2 4 5 2 5" xfId="15697" xr:uid="{00000000-0005-0000-0000-0000273D0000}"/>
    <cellStyle name="Normal 2 2 2 2 4 5 2 6" xfId="15698" xr:uid="{00000000-0005-0000-0000-0000283D0000}"/>
    <cellStyle name="Normal 2 2 2 2 4 5 2 7" xfId="15699" xr:uid="{00000000-0005-0000-0000-0000293D0000}"/>
    <cellStyle name="Normal 2 2 2 2 4 5 2 8" xfId="15700" xr:uid="{00000000-0005-0000-0000-00002A3D0000}"/>
    <cellStyle name="Normal 2 2 2 2 4 5 2 9" xfId="15701" xr:uid="{00000000-0005-0000-0000-00002B3D0000}"/>
    <cellStyle name="Normal 2 2 2 2 4 5 3" xfId="15702" xr:uid="{00000000-0005-0000-0000-00002C3D0000}"/>
    <cellStyle name="Normal 2 2 2 2 4 5 3 10" xfId="15703" xr:uid="{00000000-0005-0000-0000-00002D3D0000}"/>
    <cellStyle name="Normal 2 2 2 2 4 5 3 2" xfId="15704" xr:uid="{00000000-0005-0000-0000-00002E3D0000}"/>
    <cellStyle name="Normal 2 2 2 2 4 5 3 3" xfId="15705" xr:uid="{00000000-0005-0000-0000-00002F3D0000}"/>
    <cellStyle name="Normal 2 2 2 2 4 5 3 4" xfId="15706" xr:uid="{00000000-0005-0000-0000-0000303D0000}"/>
    <cellStyle name="Normal 2 2 2 2 4 5 3 5" xfId="15707" xr:uid="{00000000-0005-0000-0000-0000313D0000}"/>
    <cellStyle name="Normal 2 2 2 2 4 5 3 6" xfId="15708" xr:uid="{00000000-0005-0000-0000-0000323D0000}"/>
    <cellStyle name="Normal 2 2 2 2 4 5 3 7" xfId="15709" xr:uid="{00000000-0005-0000-0000-0000333D0000}"/>
    <cellStyle name="Normal 2 2 2 2 4 5 3 8" xfId="15710" xr:uid="{00000000-0005-0000-0000-0000343D0000}"/>
    <cellStyle name="Normal 2 2 2 2 4 5 3 9" xfId="15711" xr:uid="{00000000-0005-0000-0000-0000353D0000}"/>
    <cellStyle name="Normal 2 2 2 2 4 5 4" xfId="15712" xr:uid="{00000000-0005-0000-0000-0000363D0000}"/>
    <cellStyle name="Normal 2 2 2 2 4 5 4 10" xfId="15713" xr:uid="{00000000-0005-0000-0000-0000373D0000}"/>
    <cellStyle name="Normal 2 2 2 2 4 5 4 2" xfId="15714" xr:uid="{00000000-0005-0000-0000-0000383D0000}"/>
    <cellStyle name="Normal 2 2 2 2 4 5 4 3" xfId="15715" xr:uid="{00000000-0005-0000-0000-0000393D0000}"/>
    <cellStyle name="Normal 2 2 2 2 4 5 4 4" xfId="15716" xr:uid="{00000000-0005-0000-0000-00003A3D0000}"/>
    <cellStyle name="Normal 2 2 2 2 4 5 4 5" xfId="15717" xr:uid="{00000000-0005-0000-0000-00003B3D0000}"/>
    <cellStyle name="Normal 2 2 2 2 4 5 4 6" xfId="15718" xr:uid="{00000000-0005-0000-0000-00003C3D0000}"/>
    <cellStyle name="Normal 2 2 2 2 4 5 4 7" xfId="15719" xr:uid="{00000000-0005-0000-0000-00003D3D0000}"/>
    <cellStyle name="Normal 2 2 2 2 4 5 4 8" xfId="15720" xr:uid="{00000000-0005-0000-0000-00003E3D0000}"/>
    <cellStyle name="Normal 2 2 2 2 4 5 4 9" xfId="15721" xr:uid="{00000000-0005-0000-0000-00003F3D0000}"/>
    <cellStyle name="Normal 2 2 2 2 4 5 5" xfId="15722" xr:uid="{00000000-0005-0000-0000-0000403D0000}"/>
    <cellStyle name="Normal 2 2 2 2 4 5 5 10" xfId="15723" xr:uid="{00000000-0005-0000-0000-0000413D0000}"/>
    <cellStyle name="Normal 2 2 2 2 4 5 5 2" xfId="15724" xr:uid="{00000000-0005-0000-0000-0000423D0000}"/>
    <cellStyle name="Normal 2 2 2 2 4 5 5 3" xfId="15725" xr:uid="{00000000-0005-0000-0000-0000433D0000}"/>
    <cellStyle name="Normal 2 2 2 2 4 5 5 4" xfId="15726" xr:uid="{00000000-0005-0000-0000-0000443D0000}"/>
    <cellStyle name="Normal 2 2 2 2 4 5 5 5" xfId="15727" xr:uid="{00000000-0005-0000-0000-0000453D0000}"/>
    <cellStyle name="Normal 2 2 2 2 4 5 5 6" xfId="15728" xr:uid="{00000000-0005-0000-0000-0000463D0000}"/>
    <cellStyle name="Normal 2 2 2 2 4 5 5 7" xfId="15729" xr:uid="{00000000-0005-0000-0000-0000473D0000}"/>
    <cellStyle name="Normal 2 2 2 2 4 5 5 8" xfId="15730" xr:uid="{00000000-0005-0000-0000-0000483D0000}"/>
    <cellStyle name="Normal 2 2 2 2 4 5 5 9" xfId="15731" xr:uid="{00000000-0005-0000-0000-0000493D0000}"/>
    <cellStyle name="Normal 2 2 2 2 4 5 6" xfId="15732" xr:uid="{00000000-0005-0000-0000-00004A3D0000}"/>
    <cellStyle name="Normal 2 2 2 2 4 5 7" xfId="15733" xr:uid="{00000000-0005-0000-0000-00004B3D0000}"/>
    <cellStyle name="Normal 2 2 2 2 4 5 8" xfId="15734" xr:uid="{00000000-0005-0000-0000-00004C3D0000}"/>
    <cellStyle name="Normal 2 2 2 2 4 5 9" xfId="15735" xr:uid="{00000000-0005-0000-0000-00004D3D0000}"/>
    <cellStyle name="Normal 2 2 2 2 4 6" xfId="15736" xr:uid="{00000000-0005-0000-0000-00004E3D0000}"/>
    <cellStyle name="Normal 2 2 2 2 4 6 10" xfId="15737" xr:uid="{00000000-0005-0000-0000-00004F3D0000}"/>
    <cellStyle name="Normal 2 2 2 2 4 6 11" xfId="15738" xr:uid="{00000000-0005-0000-0000-0000503D0000}"/>
    <cellStyle name="Normal 2 2 2 2 4 6 12" xfId="15739" xr:uid="{00000000-0005-0000-0000-0000513D0000}"/>
    <cellStyle name="Normal 2 2 2 2 4 6 13" xfId="15740" xr:uid="{00000000-0005-0000-0000-0000523D0000}"/>
    <cellStyle name="Normal 2 2 2 2 4 6 14" xfId="15741" xr:uid="{00000000-0005-0000-0000-0000533D0000}"/>
    <cellStyle name="Normal 2 2 2 2 4 6 2" xfId="15742" xr:uid="{00000000-0005-0000-0000-0000543D0000}"/>
    <cellStyle name="Normal 2 2 2 2 4 6 2 10" xfId="15743" xr:uid="{00000000-0005-0000-0000-0000553D0000}"/>
    <cellStyle name="Normal 2 2 2 2 4 6 2 2" xfId="15744" xr:uid="{00000000-0005-0000-0000-0000563D0000}"/>
    <cellStyle name="Normal 2 2 2 2 4 6 2 3" xfId="15745" xr:uid="{00000000-0005-0000-0000-0000573D0000}"/>
    <cellStyle name="Normal 2 2 2 2 4 6 2 4" xfId="15746" xr:uid="{00000000-0005-0000-0000-0000583D0000}"/>
    <cellStyle name="Normal 2 2 2 2 4 6 2 5" xfId="15747" xr:uid="{00000000-0005-0000-0000-0000593D0000}"/>
    <cellStyle name="Normal 2 2 2 2 4 6 2 6" xfId="15748" xr:uid="{00000000-0005-0000-0000-00005A3D0000}"/>
    <cellStyle name="Normal 2 2 2 2 4 6 2 7" xfId="15749" xr:uid="{00000000-0005-0000-0000-00005B3D0000}"/>
    <cellStyle name="Normal 2 2 2 2 4 6 2 8" xfId="15750" xr:uid="{00000000-0005-0000-0000-00005C3D0000}"/>
    <cellStyle name="Normal 2 2 2 2 4 6 2 9" xfId="15751" xr:uid="{00000000-0005-0000-0000-00005D3D0000}"/>
    <cellStyle name="Normal 2 2 2 2 4 6 3" xfId="15752" xr:uid="{00000000-0005-0000-0000-00005E3D0000}"/>
    <cellStyle name="Normal 2 2 2 2 4 6 3 10" xfId="15753" xr:uid="{00000000-0005-0000-0000-00005F3D0000}"/>
    <cellStyle name="Normal 2 2 2 2 4 6 3 2" xfId="15754" xr:uid="{00000000-0005-0000-0000-0000603D0000}"/>
    <cellStyle name="Normal 2 2 2 2 4 6 3 3" xfId="15755" xr:uid="{00000000-0005-0000-0000-0000613D0000}"/>
    <cellStyle name="Normal 2 2 2 2 4 6 3 4" xfId="15756" xr:uid="{00000000-0005-0000-0000-0000623D0000}"/>
    <cellStyle name="Normal 2 2 2 2 4 6 3 5" xfId="15757" xr:uid="{00000000-0005-0000-0000-0000633D0000}"/>
    <cellStyle name="Normal 2 2 2 2 4 6 3 6" xfId="15758" xr:uid="{00000000-0005-0000-0000-0000643D0000}"/>
    <cellStyle name="Normal 2 2 2 2 4 6 3 7" xfId="15759" xr:uid="{00000000-0005-0000-0000-0000653D0000}"/>
    <cellStyle name="Normal 2 2 2 2 4 6 3 8" xfId="15760" xr:uid="{00000000-0005-0000-0000-0000663D0000}"/>
    <cellStyle name="Normal 2 2 2 2 4 6 3 9" xfId="15761" xr:uid="{00000000-0005-0000-0000-0000673D0000}"/>
    <cellStyle name="Normal 2 2 2 2 4 6 4" xfId="15762" xr:uid="{00000000-0005-0000-0000-0000683D0000}"/>
    <cellStyle name="Normal 2 2 2 2 4 6 4 10" xfId="15763" xr:uid="{00000000-0005-0000-0000-0000693D0000}"/>
    <cellStyle name="Normal 2 2 2 2 4 6 4 2" xfId="15764" xr:uid="{00000000-0005-0000-0000-00006A3D0000}"/>
    <cellStyle name="Normal 2 2 2 2 4 6 4 3" xfId="15765" xr:uid="{00000000-0005-0000-0000-00006B3D0000}"/>
    <cellStyle name="Normal 2 2 2 2 4 6 4 4" xfId="15766" xr:uid="{00000000-0005-0000-0000-00006C3D0000}"/>
    <cellStyle name="Normal 2 2 2 2 4 6 4 5" xfId="15767" xr:uid="{00000000-0005-0000-0000-00006D3D0000}"/>
    <cellStyle name="Normal 2 2 2 2 4 6 4 6" xfId="15768" xr:uid="{00000000-0005-0000-0000-00006E3D0000}"/>
    <cellStyle name="Normal 2 2 2 2 4 6 4 7" xfId="15769" xr:uid="{00000000-0005-0000-0000-00006F3D0000}"/>
    <cellStyle name="Normal 2 2 2 2 4 6 4 8" xfId="15770" xr:uid="{00000000-0005-0000-0000-0000703D0000}"/>
    <cellStyle name="Normal 2 2 2 2 4 6 4 9" xfId="15771" xr:uid="{00000000-0005-0000-0000-0000713D0000}"/>
    <cellStyle name="Normal 2 2 2 2 4 6 5" xfId="15772" xr:uid="{00000000-0005-0000-0000-0000723D0000}"/>
    <cellStyle name="Normal 2 2 2 2 4 6 5 10" xfId="15773" xr:uid="{00000000-0005-0000-0000-0000733D0000}"/>
    <cellStyle name="Normal 2 2 2 2 4 6 5 2" xfId="15774" xr:uid="{00000000-0005-0000-0000-0000743D0000}"/>
    <cellStyle name="Normal 2 2 2 2 4 6 5 3" xfId="15775" xr:uid="{00000000-0005-0000-0000-0000753D0000}"/>
    <cellStyle name="Normal 2 2 2 2 4 6 5 4" xfId="15776" xr:uid="{00000000-0005-0000-0000-0000763D0000}"/>
    <cellStyle name="Normal 2 2 2 2 4 6 5 5" xfId="15777" xr:uid="{00000000-0005-0000-0000-0000773D0000}"/>
    <cellStyle name="Normal 2 2 2 2 4 6 5 6" xfId="15778" xr:uid="{00000000-0005-0000-0000-0000783D0000}"/>
    <cellStyle name="Normal 2 2 2 2 4 6 5 7" xfId="15779" xr:uid="{00000000-0005-0000-0000-0000793D0000}"/>
    <cellStyle name="Normal 2 2 2 2 4 6 5 8" xfId="15780" xr:uid="{00000000-0005-0000-0000-00007A3D0000}"/>
    <cellStyle name="Normal 2 2 2 2 4 6 5 9" xfId="15781" xr:uid="{00000000-0005-0000-0000-00007B3D0000}"/>
    <cellStyle name="Normal 2 2 2 2 4 6 6" xfId="15782" xr:uid="{00000000-0005-0000-0000-00007C3D0000}"/>
    <cellStyle name="Normal 2 2 2 2 4 6 7" xfId="15783" xr:uid="{00000000-0005-0000-0000-00007D3D0000}"/>
    <cellStyle name="Normal 2 2 2 2 4 6 8" xfId="15784" xr:uid="{00000000-0005-0000-0000-00007E3D0000}"/>
    <cellStyle name="Normal 2 2 2 2 4 6 9" xfId="15785" xr:uid="{00000000-0005-0000-0000-00007F3D0000}"/>
    <cellStyle name="Normal 2 2 2 2 4 7" xfId="15786" xr:uid="{00000000-0005-0000-0000-0000803D0000}"/>
    <cellStyle name="Normal 2 2 2 2 4 7 10" xfId="15787" xr:uid="{00000000-0005-0000-0000-0000813D0000}"/>
    <cellStyle name="Normal 2 2 2 2 4 7 11" xfId="15788" xr:uid="{00000000-0005-0000-0000-0000823D0000}"/>
    <cellStyle name="Normal 2 2 2 2 4 7 12" xfId="15789" xr:uid="{00000000-0005-0000-0000-0000833D0000}"/>
    <cellStyle name="Normal 2 2 2 2 4 7 13" xfId="15790" xr:uid="{00000000-0005-0000-0000-0000843D0000}"/>
    <cellStyle name="Normal 2 2 2 2 4 7 14" xfId="15791" xr:uid="{00000000-0005-0000-0000-0000853D0000}"/>
    <cellStyle name="Normal 2 2 2 2 4 7 2" xfId="15792" xr:uid="{00000000-0005-0000-0000-0000863D0000}"/>
    <cellStyle name="Normal 2 2 2 2 4 7 2 10" xfId="15793" xr:uid="{00000000-0005-0000-0000-0000873D0000}"/>
    <cellStyle name="Normal 2 2 2 2 4 7 2 2" xfId="15794" xr:uid="{00000000-0005-0000-0000-0000883D0000}"/>
    <cellStyle name="Normal 2 2 2 2 4 7 2 3" xfId="15795" xr:uid="{00000000-0005-0000-0000-0000893D0000}"/>
    <cellStyle name="Normal 2 2 2 2 4 7 2 4" xfId="15796" xr:uid="{00000000-0005-0000-0000-00008A3D0000}"/>
    <cellStyle name="Normal 2 2 2 2 4 7 2 5" xfId="15797" xr:uid="{00000000-0005-0000-0000-00008B3D0000}"/>
    <cellStyle name="Normal 2 2 2 2 4 7 2 6" xfId="15798" xr:uid="{00000000-0005-0000-0000-00008C3D0000}"/>
    <cellStyle name="Normal 2 2 2 2 4 7 2 7" xfId="15799" xr:uid="{00000000-0005-0000-0000-00008D3D0000}"/>
    <cellStyle name="Normal 2 2 2 2 4 7 2 8" xfId="15800" xr:uid="{00000000-0005-0000-0000-00008E3D0000}"/>
    <cellStyle name="Normal 2 2 2 2 4 7 2 9" xfId="15801" xr:uid="{00000000-0005-0000-0000-00008F3D0000}"/>
    <cellStyle name="Normal 2 2 2 2 4 7 3" xfId="15802" xr:uid="{00000000-0005-0000-0000-0000903D0000}"/>
    <cellStyle name="Normal 2 2 2 2 4 7 3 10" xfId="15803" xr:uid="{00000000-0005-0000-0000-0000913D0000}"/>
    <cellStyle name="Normal 2 2 2 2 4 7 3 2" xfId="15804" xr:uid="{00000000-0005-0000-0000-0000923D0000}"/>
    <cellStyle name="Normal 2 2 2 2 4 7 3 3" xfId="15805" xr:uid="{00000000-0005-0000-0000-0000933D0000}"/>
    <cellStyle name="Normal 2 2 2 2 4 7 3 4" xfId="15806" xr:uid="{00000000-0005-0000-0000-0000943D0000}"/>
    <cellStyle name="Normal 2 2 2 2 4 7 3 5" xfId="15807" xr:uid="{00000000-0005-0000-0000-0000953D0000}"/>
    <cellStyle name="Normal 2 2 2 2 4 7 3 6" xfId="15808" xr:uid="{00000000-0005-0000-0000-0000963D0000}"/>
    <cellStyle name="Normal 2 2 2 2 4 7 3 7" xfId="15809" xr:uid="{00000000-0005-0000-0000-0000973D0000}"/>
    <cellStyle name="Normal 2 2 2 2 4 7 3 8" xfId="15810" xr:uid="{00000000-0005-0000-0000-0000983D0000}"/>
    <cellStyle name="Normal 2 2 2 2 4 7 3 9" xfId="15811" xr:uid="{00000000-0005-0000-0000-0000993D0000}"/>
    <cellStyle name="Normal 2 2 2 2 4 7 4" xfId="15812" xr:uid="{00000000-0005-0000-0000-00009A3D0000}"/>
    <cellStyle name="Normal 2 2 2 2 4 7 4 10" xfId="15813" xr:uid="{00000000-0005-0000-0000-00009B3D0000}"/>
    <cellStyle name="Normal 2 2 2 2 4 7 4 2" xfId="15814" xr:uid="{00000000-0005-0000-0000-00009C3D0000}"/>
    <cellStyle name="Normal 2 2 2 2 4 7 4 3" xfId="15815" xr:uid="{00000000-0005-0000-0000-00009D3D0000}"/>
    <cellStyle name="Normal 2 2 2 2 4 7 4 4" xfId="15816" xr:uid="{00000000-0005-0000-0000-00009E3D0000}"/>
    <cellStyle name="Normal 2 2 2 2 4 7 4 5" xfId="15817" xr:uid="{00000000-0005-0000-0000-00009F3D0000}"/>
    <cellStyle name="Normal 2 2 2 2 4 7 4 6" xfId="15818" xr:uid="{00000000-0005-0000-0000-0000A03D0000}"/>
    <cellStyle name="Normal 2 2 2 2 4 7 4 7" xfId="15819" xr:uid="{00000000-0005-0000-0000-0000A13D0000}"/>
    <cellStyle name="Normal 2 2 2 2 4 7 4 8" xfId="15820" xr:uid="{00000000-0005-0000-0000-0000A23D0000}"/>
    <cellStyle name="Normal 2 2 2 2 4 7 4 9" xfId="15821" xr:uid="{00000000-0005-0000-0000-0000A33D0000}"/>
    <cellStyle name="Normal 2 2 2 2 4 7 5" xfId="15822" xr:uid="{00000000-0005-0000-0000-0000A43D0000}"/>
    <cellStyle name="Normal 2 2 2 2 4 7 5 10" xfId="15823" xr:uid="{00000000-0005-0000-0000-0000A53D0000}"/>
    <cellStyle name="Normal 2 2 2 2 4 7 5 2" xfId="15824" xr:uid="{00000000-0005-0000-0000-0000A63D0000}"/>
    <cellStyle name="Normal 2 2 2 2 4 7 5 3" xfId="15825" xr:uid="{00000000-0005-0000-0000-0000A73D0000}"/>
    <cellStyle name="Normal 2 2 2 2 4 7 5 4" xfId="15826" xr:uid="{00000000-0005-0000-0000-0000A83D0000}"/>
    <cellStyle name="Normal 2 2 2 2 4 7 5 5" xfId="15827" xr:uid="{00000000-0005-0000-0000-0000A93D0000}"/>
    <cellStyle name="Normal 2 2 2 2 4 7 5 6" xfId="15828" xr:uid="{00000000-0005-0000-0000-0000AA3D0000}"/>
    <cellStyle name="Normal 2 2 2 2 4 7 5 7" xfId="15829" xr:uid="{00000000-0005-0000-0000-0000AB3D0000}"/>
    <cellStyle name="Normal 2 2 2 2 4 7 5 8" xfId="15830" xr:uid="{00000000-0005-0000-0000-0000AC3D0000}"/>
    <cellStyle name="Normal 2 2 2 2 4 7 5 9" xfId="15831" xr:uid="{00000000-0005-0000-0000-0000AD3D0000}"/>
    <cellStyle name="Normal 2 2 2 2 4 7 6" xfId="15832" xr:uid="{00000000-0005-0000-0000-0000AE3D0000}"/>
    <cellStyle name="Normal 2 2 2 2 4 7 7" xfId="15833" xr:uid="{00000000-0005-0000-0000-0000AF3D0000}"/>
    <cellStyle name="Normal 2 2 2 2 4 7 8" xfId="15834" xr:uid="{00000000-0005-0000-0000-0000B03D0000}"/>
    <cellStyle name="Normal 2 2 2 2 4 7 9" xfId="15835" xr:uid="{00000000-0005-0000-0000-0000B13D0000}"/>
    <cellStyle name="Normal 2 2 2 2 4 8" xfId="15836" xr:uid="{00000000-0005-0000-0000-0000B23D0000}"/>
    <cellStyle name="Normal 2 2 2 2 4 8 10" xfId="15837" xr:uid="{00000000-0005-0000-0000-0000B33D0000}"/>
    <cellStyle name="Normal 2 2 2 2 4 8 11" xfId="15838" xr:uid="{00000000-0005-0000-0000-0000B43D0000}"/>
    <cellStyle name="Normal 2 2 2 2 4 8 12" xfId="15839" xr:uid="{00000000-0005-0000-0000-0000B53D0000}"/>
    <cellStyle name="Normal 2 2 2 2 4 8 13" xfId="15840" xr:uid="{00000000-0005-0000-0000-0000B63D0000}"/>
    <cellStyle name="Normal 2 2 2 2 4 8 14" xfId="15841" xr:uid="{00000000-0005-0000-0000-0000B73D0000}"/>
    <cellStyle name="Normal 2 2 2 2 4 8 2" xfId="15842" xr:uid="{00000000-0005-0000-0000-0000B83D0000}"/>
    <cellStyle name="Normal 2 2 2 2 4 8 2 10" xfId="15843" xr:uid="{00000000-0005-0000-0000-0000B93D0000}"/>
    <cellStyle name="Normal 2 2 2 2 4 8 2 2" xfId="15844" xr:uid="{00000000-0005-0000-0000-0000BA3D0000}"/>
    <cellStyle name="Normal 2 2 2 2 4 8 2 3" xfId="15845" xr:uid="{00000000-0005-0000-0000-0000BB3D0000}"/>
    <cellStyle name="Normal 2 2 2 2 4 8 2 4" xfId="15846" xr:uid="{00000000-0005-0000-0000-0000BC3D0000}"/>
    <cellStyle name="Normal 2 2 2 2 4 8 2 5" xfId="15847" xr:uid="{00000000-0005-0000-0000-0000BD3D0000}"/>
    <cellStyle name="Normal 2 2 2 2 4 8 2 6" xfId="15848" xr:uid="{00000000-0005-0000-0000-0000BE3D0000}"/>
    <cellStyle name="Normal 2 2 2 2 4 8 2 7" xfId="15849" xr:uid="{00000000-0005-0000-0000-0000BF3D0000}"/>
    <cellStyle name="Normal 2 2 2 2 4 8 2 8" xfId="15850" xr:uid="{00000000-0005-0000-0000-0000C03D0000}"/>
    <cellStyle name="Normal 2 2 2 2 4 8 2 9" xfId="15851" xr:uid="{00000000-0005-0000-0000-0000C13D0000}"/>
    <cellStyle name="Normal 2 2 2 2 4 8 3" xfId="15852" xr:uid="{00000000-0005-0000-0000-0000C23D0000}"/>
    <cellStyle name="Normal 2 2 2 2 4 8 3 10" xfId="15853" xr:uid="{00000000-0005-0000-0000-0000C33D0000}"/>
    <cellStyle name="Normal 2 2 2 2 4 8 3 2" xfId="15854" xr:uid="{00000000-0005-0000-0000-0000C43D0000}"/>
    <cellStyle name="Normal 2 2 2 2 4 8 3 3" xfId="15855" xr:uid="{00000000-0005-0000-0000-0000C53D0000}"/>
    <cellStyle name="Normal 2 2 2 2 4 8 3 4" xfId="15856" xr:uid="{00000000-0005-0000-0000-0000C63D0000}"/>
    <cellStyle name="Normal 2 2 2 2 4 8 3 5" xfId="15857" xr:uid="{00000000-0005-0000-0000-0000C73D0000}"/>
    <cellStyle name="Normal 2 2 2 2 4 8 3 6" xfId="15858" xr:uid="{00000000-0005-0000-0000-0000C83D0000}"/>
    <cellStyle name="Normal 2 2 2 2 4 8 3 7" xfId="15859" xr:uid="{00000000-0005-0000-0000-0000C93D0000}"/>
    <cellStyle name="Normal 2 2 2 2 4 8 3 8" xfId="15860" xr:uid="{00000000-0005-0000-0000-0000CA3D0000}"/>
    <cellStyle name="Normal 2 2 2 2 4 8 3 9" xfId="15861" xr:uid="{00000000-0005-0000-0000-0000CB3D0000}"/>
    <cellStyle name="Normal 2 2 2 2 4 8 4" xfId="15862" xr:uid="{00000000-0005-0000-0000-0000CC3D0000}"/>
    <cellStyle name="Normal 2 2 2 2 4 8 4 10" xfId="15863" xr:uid="{00000000-0005-0000-0000-0000CD3D0000}"/>
    <cellStyle name="Normal 2 2 2 2 4 8 4 2" xfId="15864" xr:uid="{00000000-0005-0000-0000-0000CE3D0000}"/>
    <cellStyle name="Normal 2 2 2 2 4 8 4 3" xfId="15865" xr:uid="{00000000-0005-0000-0000-0000CF3D0000}"/>
    <cellStyle name="Normal 2 2 2 2 4 8 4 4" xfId="15866" xr:uid="{00000000-0005-0000-0000-0000D03D0000}"/>
    <cellStyle name="Normal 2 2 2 2 4 8 4 5" xfId="15867" xr:uid="{00000000-0005-0000-0000-0000D13D0000}"/>
    <cellStyle name="Normal 2 2 2 2 4 8 4 6" xfId="15868" xr:uid="{00000000-0005-0000-0000-0000D23D0000}"/>
    <cellStyle name="Normal 2 2 2 2 4 8 4 7" xfId="15869" xr:uid="{00000000-0005-0000-0000-0000D33D0000}"/>
    <cellStyle name="Normal 2 2 2 2 4 8 4 8" xfId="15870" xr:uid="{00000000-0005-0000-0000-0000D43D0000}"/>
    <cellStyle name="Normal 2 2 2 2 4 8 4 9" xfId="15871" xr:uid="{00000000-0005-0000-0000-0000D53D0000}"/>
    <cellStyle name="Normal 2 2 2 2 4 8 5" xfId="15872" xr:uid="{00000000-0005-0000-0000-0000D63D0000}"/>
    <cellStyle name="Normal 2 2 2 2 4 8 5 10" xfId="15873" xr:uid="{00000000-0005-0000-0000-0000D73D0000}"/>
    <cellStyle name="Normal 2 2 2 2 4 8 5 2" xfId="15874" xr:uid="{00000000-0005-0000-0000-0000D83D0000}"/>
    <cellStyle name="Normal 2 2 2 2 4 8 5 3" xfId="15875" xr:uid="{00000000-0005-0000-0000-0000D93D0000}"/>
    <cellStyle name="Normal 2 2 2 2 4 8 5 4" xfId="15876" xr:uid="{00000000-0005-0000-0000-0000DA3D0000}"/>
    <cellStyle name="Normal 2 2 2 2 4 8 5 5" xfId="15877" xr:uid="{00000000-0005-0000-0000-0000DB3D0000}"/>
    <cellStyle name="Normal 2 2 2 2 4 8 5 6" xfId="15878" xr:uid="{00000000-0005-0000-0000-0000DC3D0000}"/>
    <cellStyle name="Normal 2 2 2 2 4 8 5 7" xfId="15879" xr:uid="{00000000-0005-0000-0000-0000DD3D0000}"/>
    <cellStyle name="Normal 2 2 2 2 4 8 5 8" xfId="15880" xr:uid="{00000000-0005-0000-0000-0000DE3D0000}"/>
    <cellStyle name="Normal 2 2 2 2 4 8 5 9" xfId="15881" xr:uid="{00000000-0005-0000-0000-0000DF3D0000}"/>
    <cellStyle name="Normal 2 2 2 2 4 8 6" xfId="15882" xr:uid="{00000000-0005-0000-0000-0000E03D0000}"/>
    <cellStyle name="Normal 2 2 2 2 4 8 7" xfId="15883" xr:uid="{00000000-0005-0000-0000-0000E13D0000}"/>
    <cellStyle name="Normal 2 2 2 2 4 8 8" xfId="15884" xr:uid="{00000000-0005-0000-0000-0000E23D0000}"/>
    <cellStyle name="Normal 2 2 2 2 4 8 9" xfId="15885" xr:uid="{00000000-0005-0000-0000-0000E33D0000}"/>
    <cellStyle name="Normal 2 2 2 2 4 9" xfId="15886" xr:uid="{00000000-0005-0000-0000-0000E43D0000}"/>
    <cellStyle name="Normal 2 2 2 2 4 9 10" xfId="15887" xr:uid="{00000000-0005-0000-0000-0000E53D0000}"/>
    <cellStyle name="Normal 2 2 2 2 4 9 11" xfId="15888" xr:uid="{00000000-0005-0000-0000-0000E63D0000}"/>
    <cellStyle name="Normal 2 2 2 2 4 9 12" xfId="15889" xr:uid="{00000000-0005-0000-0000-0000E73D0000}"/>
    <cellStyle name="Normal 2 2 2 2 4 9 13" xfId="15890" xr:uid="{00000000-0005-0000-0000-0000E83D0000}"/>
    <cellStyle name="Normal 2 2 2 2 4 9 14" xfId="15891" xr:uid="{00000000-0005-0000-0000-0000E93D0000}"/>
    <cellStyle name="Normal 2 2 2 2 4 9 2" xfId="15892" xr:uid="{00000000-0005-0000-0000-0000EA3D0000}"/>
    <cellStyle name="Normal 2 2 2 2 4 9 2 10" xfId="15893" xr:uid="{00000000-0005-0000-0000-0000EB3D0000}"/>
    <cellStyle name="Normal 2 2 2 2 4 9 2 2" xfId="15894" xr:uid="{00000000-0005-0000-0000-0000EC3D0000}"/>
    <cellStyle name="Normal 2 2 2 2 4 9 2 3" xfId="15895" xr:uid="{00000000-0005-0000-0000-0000ED3D0000}"/>
    <cellStyle name="Normal 2 2 2 2 4 9 2 4" xfId="15896" xr:uid="{00000000-0005-0000-0000-0000EE3D0000}"/>
    <cellStyle name="Normal 2 2 2 2 4 9 2 5" xfId="15897" xr:uid="{00000000-0005-0000-0000-0000EF3D0000}"/>
    <cellStyle name="Normal 2 2 2 2 4 9 2 6" xfId="15898" xr:uid="{00000000-0005-0000-0000-0000F03D0000}"/>
    <cellStyle name="Normal 2 2 2 2 4 9 2 7" xfId="15899" xr:uid="{00000000-0005-0000-0000-0000F13D0000}"/>
    <cellStyle name="Normal 2 2 2 2 4 9 2 8" xfId="15900" xr:uid="{00000000-0005-0000-0000-0000F23D0000}"/>
    <cellStyle name="Normal 2 2 2 2 4 9 2 9" xfId="15901" xr:uid="{00000000-0005-0000-0000-0000F33D0000}"/>
    <cellStyle name="Normal 2 2 2 2 4 9 3" xfId="15902" xr:uid="{00000000-0005-0000-0000-0000F43D0000}"/>
    <cellStyle name="Normal 2 2 2 2 4 9 3 10" xfId="15903" xr:uid="{00000000-0005-0000-0000-0000F53D0000}"/>
    <cellStyle name="Normal 2 2 2 2 4 9 3 2" xfId="15904" xr:uid="{00000000-0005-0000-0000-0000F63D0000}"/>
    <cellStyle name="Normal 2 2 2 2 4 9 3 3" xfId="15905" xr:uid="{00000000-0005-0000-0000-0000F73D0000}"/>
    <cellStyle name="Normal 2 2 2 2 4 9 3 4" xfId="15906" xr:uid="{00000000-0005-0000-0000-0000F83D0000}"/>
    <cellStyle name="Normal 2 2 2 2 4 9 3 5" xfId="15907" xr:uid="{00000000-0005-0000-0000-0000F93D0000}"/>
    <cellStyle name="Normal 2 2 2 2 4 9 3 6" xfId="15908" xr:uid="{00000000-0005-0000-0000-0000FA3D0000}"/>
    <cellStyle name="Normal 2 2 2 2 4 9 3 7" xfId="15909" xr:uid="{00000000-0005-0000-0000-0000FB3D0000}"/>
    <cellStyle name="Normal 2 2 2 2 4 9 3 8" xfId="15910" xr:uid="{00000000-0005-0000-0000-0000FC3D0000}"/>
    <cellStyle name="Normal 2 2 2 2 4 9 3 9" xfId="15911" xr:uid="{00000000-0005-0000-0000-0000FD3D0000}"/>
    <cellStyle name="Normal 2 2 2 2 4 9 4" xfId="15912" xr:uid="{00000000-0005-0000-0000-0000FE3D0000}"/>
    <cellStyle name="Normal 2 2 2 2 4 9 4 10" xfId="15913" xr:uid="{00000000-0005-0000-0000-0000FF3D0000}"/>
    <cellStyle name="Normal 2 2 2 2 4 9 4 2" xfId="15914" xr:uid="{00000000-0005-0000-0000-0000003E0000}"/>
    <cellStyle name="Normal 2 2 2 2 4 9 4 3" xfId="15915" xr:uid="{00000000-0005-0000-0000-0000013E0000}"/>
    <cellStyle name="Normal 2 2 2 2 4 9 4 4" xfId="15916" xr:uid="{00000000-0005-0000-0000-0000023E0000}"/>
    <cellStyle name="Normal 2 2 2 2 4 9 4 5" xfId="15917" xr:uid="{00000000-0005-0000-0000-0000033E0000}"/>
    <cellStyle name="Normal 2 2 2 2 4 9 4 6" xfId="15918" xr:uid="{00000000-0005-0000-0000-0000043E0000}"/>
    <cellStyle name="Normal 2 2 2 2 4 9 4 7" xfId="15919" xr:uid="{00000000-0005-0000-0000-0000053E0000}"/>
    <cellStyle name="Normal 2 2 2 2 4 9 4 8" xfId="15920" xr:uid="{00000000-0005-0000-0000-0000063E0000}"/>
    <cellStyle name="Normal 2 2 2 2 4 9 4 9" xfId="15921" xr:uid="{00000000-0005-0000-0000-0000073E0000}"/>
    <cellStyle name="Normal 2 2 2 2 4 9 5" xfId="15922" xr:uid="{00000000-0005-0000-0000-0000083E0000}"/>
    <cellStyle name="Normal 2 2 2 2 4 9 5 10" xfId="15923" xr:uid="{00000000-0005-0000-0000-0000093E0000}"/>
    <cellStyle name="Normal 2 2 2 2 4 9 5 2" xfId="15924" xr:uid="{00000000-0005-0000-0000-00000A3E0000}"/>
    <cellStyle name="Normal 2 2 2 2 4 9 5 3" xfId="15925" xr:uid="{00000000-0005-0000-0000-00000B3E0000}"/>
    <cellStyle name="Normal 2 2 2 2 4 9 5 4" xfId="15926" xr:uid="{00000000-0005-0000-0000-00000C3E0000}"/>
    <cellStyle name="Normal 2 2 2 2 4 9 5 5" xfId="15927" xr:uid="{00000000-0005-0000-0000-00000D3E0000}"/>
    <cellStyle name="Normal 2 2 2 2 4 9 5 6" xfId="15928" xr:uid="{00000000-0005-0000-0000-00000E3E0000}"/>
    <cellStyle name="Normal 2 2 2 2 4 9 5 7" xfId="15929" xr:uid="{00000000-0005-0000-0000-00000F3E0000}"/>
    <cellStyle name="Normal 2 2 2 2 4 9 5 8" xfId="15930" xr:uid="{00000000-0005-0000-0000-0000103E0000}"/>
    <cellStyle name="Normal 2 2 2 2 4 9 5 9" xfId="15931" xr:uid="{00000000-0005-0000-0000-0000113E0000}"/>
    <cellStyle name="Normal 2 2 2 2 4 9 6" xfId="15932" xr:uid="{00000000-0005-0000-0000-0000123E0000}"/>
    <cellStyle name="Normal 2 2 2 2 4 9 7" xfId="15933" xr:uid="{00000000-0005-0000-0000-0000133E0000}"/>
    <cellStyle name="Normal 2 2 2 2 4 9 8" xfId="15934" xr:uid="{00000000-0005-0000-0000-0000143E0000}"/>
    <cellStyle name="Normal 2 2 2 2 4 9 9" xfId="15935" xr:uid="{00000000-0005-0000-0000-0000153E0000}"/>
    <cellStyle name="Normal 2 2 2 2 40" xfId="15936" xr:uid="{00000000-0005-0000-0000-0000163E0000}"/>
    <cellStyle name="Normal 2 2 2 2 40 10" xfId="15937" xr:uid="{00000000-0005-0000-0000-0000173E0000}"/>
    <cellStyle name="Normal 2 2 2 2 40 2" xfId="15938" xr:uid="{00000000-0005-0000-0000-0000183E0000}"/>
    <cellStyle name="Normal 2 2 2 2 40 3" xfId="15939" xr:uid="{00000000-0005-0000-0000-0000193E0000}"/>
    <cellStyle name="Normal 2 2 2 2 40 4" xfId="15940" xr:uid="{00000000-0005-0000-0000-00001A3E0000}"/>
    <cellStyle name="Normal 2 2 2 2 40 5" xfId="15941" xr:uid="{00000000-0005-0000-0000-00001B3E0000}"/>
    <cellStyle name="Normal 2 2 2 2 40 6" xfId="15942" xr:uid="{00000000-0005-0000-0000-00001C3E0000}"/>
    <cellStyle name="Normal 2 2 2 2 40 7" xfId="15943" xr:uid="{00000000-0005-0000-0000-00001D3E0000}"/>
    <cellStyle name="Normal 2 2 2 2 40 8" xfId="15944" xr:uid="{00000000-0005-0000-0000-00001E3E0000}"/>
    <cellStyle name="Normal 2 2 2 2 40 9" xfId="15945" xr:uid="{00000000-0005-0000-0000-00001F3E0000}"/>
    <cellStyle name="Normal 2 2 2 2 41" xfId="15946" xr:uid="{00000000-0005-0000-0000-0000203E0000}"/>
    <cellStyle name="Normal 2 2 2 2 42" xfId="15947" xr:uid="{00000000-0005-0000-0000-0000213E0000}"/>
    <cellStyle name="Normal 2 2 2 2 43" xfId="15948" xr:uid="{00000000-0005-0000-0000-0000223E0000}"/>
    <cellStyle name="Normal 2 2 2 2 44" xfId="15949" xr:uid="{00000000-0005-0000-0000-0000233E0000}"/>
    <cellStyle name="Normal 2 2 2 2 45" xfId="15950" xr:uid="{00000000-0005-0000-0000-0000243E0000}"/>
    <cellStyle name="Normal 2 2 2 2 46" xfId="15951" xr:uid="{00000000-0005-0000-0000-0000253E0000}"/>
    <cellStyle name="Normal 2 2 2 2 47" xfId="15952" xr:uid="{00000000-0005-0000-0000-0000263E0000}"/>
    <cellStyle name="Normal 2 2 2 2 48" xfId="15953" xr:uid="{00000000-0005-0000-0000-0000273E0000}"/>
    <cellStyle name="Normal 2 2 2 2 49" xfId="15954" xr:uid="{00000000-0005-0000-0000-0000283E0000}"/>
    <cellStyle name="Normal 2 2 2 2 5" xfId="15955" xr:uid="{00000000-0005-0000-0000-0000293E0000}"/>
    <cellStyle name="Normal 2 2 2 2 5 10" xfId="15956" xr:uid="{00000000-0005-0000-0000-00002A3E0000}"/>
    <cellStyle name="Normal 2 2 2 2 5 10 10" xfId="15957" xr:uid="{00000000-0005-0000-0000-00002B3E0000}"/>
    <cellStyle name="Normal 2 2 2 2 5 10 11" xfId="15958" xr:uid="{00000000-0005-0000-0000-00002C3E0000}"/>
    <cellStyle name="Normal 2 2 2 2 5 10 12" xfId="15959" xr:uid="{00000000-0005-0000-0000-00002D3E0000}"/>
    <cellStyle name="Normal 2 2 2 2 5 10 13" xfId="15960" xr:uid="{00000000-0005-0000-0000-00002E3E0000}"/>
    <cellStyle name="Normal 2 2 2 2 5 10 14" xfId="15961" xr:uid="{00000000-0005-0000-0000-00002F3E0000}"/>
    <cellStyle name="Normal 2 2 2 2 5 10 2" xfId="15962" xr:uid="{00000000-0005-0000-0000-0000303E0000}"/>
    <cellStyle name="Normal 2 2 2 2 5 10 2 10" xfId="15963" xr:uid="{00000000-0005-0000-0000-0000313E0000}"/>
    <cellStyle name="Normal 2 2 2 2 5 10 2 2" xfId="15964" xr:uid="{00000000-0005-0000-0000-0000323E0000}"/>
    <cellStyle name="Normal 2 2 2 2 5 10 2 3" xfId="15965" xr:uid="{00000000-0005-0000-0000-0000333E0000}"/>
    <cellStyle name="Normal 2 2 2 2 5 10 2 4" xfId="15966" xr:uid="{00000000-0005-0000-0000-0000343E0000}"/>
    <cellStyle name="Normal 2 2 2 2 5 10 2 5" xfId="15967" xr:uid="{00000000-0005-0000-0000-0000353E0000}"/>
    <cellStyle name="Normal 2 2 2 2 5 10 2 6" xfId="15968" xr:uid="{00000000-0005-0000-0000-0000363E0000}"/>
    <cellStyle name="Normal 2 2 2 2 5 10 2 7" xfId="15969" xr:uid="{00000000-0005-0000-0000-0000373E0000}"/>
    <cellStyle name="Normal 2 2 2 2 5 10 2 8" xfId="15970" xr:uid="{00000000-0005-0000-0000-0000383E0000}"/>
    <cellStyle name="Normal 2 2 2 2 5 10 2 9" xfId="15971" xr:uid="{00000000-0005-0000-0000-0000393E0000}"/>
    <cellStyle name="Normal 2 2 2 2 5 10 3" xfId="15972" xr:uid="{00000000-0005-0000-0000-00003A3E0000}"/>
    <cellStyle name="Normal 2 2 2 2 5 10 3 10" xfId="15973" xr:uid="{00000000-0005-0000-0000-00003B3E0000}"/>
    <cellStyle name="Normal 2 2 2 2 5 10 3 2" xfId="15974" xr:uid="{00000000-0005-0000-0000-00003C3E0000}"/>
    <cellStyle name="Normal 2 2 2 2 5 10 3 3" xfId="15975" xr:uid="{00000000-0005-0000-0000-00003D3E0000}"/>
    <cellStyle name="Normal 2 2 2 2 5 10 3 4" xfId="15976" xr:uid="{00000000-0005-0000-0000-00003E3E0000}"/>
    <cellStyle name="Normal 2 2 2 2 5 10 3 5" xfId="15977" xr:uid="{00000000-0005-0000-0000-00003F3E0000}"/>
    <cellStyle name="Normal 2 2 2 2 5 10 3 6" xfId="15978" xr:uid="{00000000-0005-0000-0000-0000403E0000}"/>
    <cellStyle name="Normal 2 2 2 2 5 10 3 7" xfId="15979" xr:uid="{00000000-0005-0000-0000-0000413E0000}"/>
    <cellStyle name="Normal 2 2 2 2 5 10 3 8" xfId="15980" xr:uid="{00000000-0005-0000-0000-0000423E0000}"/>
    <cellStyle name="Normal 2 2 2 2 5 10 3 9" xfId="15981" xr:uid="{00000000-0005-0000-0000-0000433E0000}"/>
    <cellStyle name="Normal 2 2 2 2 5 10 4" xfId="15982" xr:uid="{00000000-0005-0000-0000-0000443E0000}"/>
    <cellStyle name="Normal 2 2 2 2 5 10 4 10" xfId="15983" xr:uid="{00000000-0005-0000-0000-0000453E0000}"/>
    <cellStyle name="Normal 2 2 2 2 5 10 4 2" xfId="15984" xr:uid="{00000000-0005-0000-0000-0000463E0000}"/>
    <cellStyle name="Normal 2 2 2 2 5 10 4 3" xfId="15985" xr:uid="{00000000-0005-0000-0000-0000473E0000}"/>
    <cellStyle name="Normal 2 2 2 2 5 10 4 4" xfId="15986" xr:uid="{00000000-0005-0000-0000-0000483E0000}"/>
    <cellStyle name="Normal 2 2 2 2 5 10 4 5" xfId="15987" xr:uid="{00000000-0005-0000-0000-0000493E0000}"/>
    <cellStyle name="Normal 2 2 2 2 5 10 4 6" xfId="15988" xr:uid="{00000000-0005-0000-0000-00004A3E0000}"/>
    <cellStyle name="Normal 2 2 2 2 5 10 4 7" xfId="15989" xr:uid="{00000000-0005-0000-0000-00004B3E0000}"/>
    <cellStyle name="Normal 2 2 2 2 5 10 4 8" xfId="15990" xr:uid="{00000000-0005-0000-0000-00004C3E0000}"/>
    <cellStyle name="Normal 2 2 2 2 5 10 4 9" xfId="15991" xr:uid="{00000000-0005-0000-0000-00004D3E0000}"/>
    <cellStyle name="Normal 2 2 2 2 5 10 5" xfId="15992" xr:uid="{00000000-0005-0000-0000-00004E3E0000}"/>
    <cellStyle name="Normal 2 2 2 2 5 10 5 10" xfId="15993" xr:uid="{00000000-0005-0000-0000-00004F3E0000}"/>
    <cellStyle name="Normal 2 2 2 2 5 10 5 2" xfId="15994" xr:uid="{00000000-0005-0000-0000-0000503E0000}"/>
    <cellStyle name="Normal 2 2 2 2 5 10 5 3" xfId="15995" xr:uid="{00000000-0005-0000-0000-0000513E0000}"/>
    <cellStyle name="Normal 2 2 2 2 5 10 5 4" xfId="15996" xr:uid="{00000000-0005-0000-0000-0000523E0000}"/>
    <cellStyle name="Normal 2 2 2 2 5 10 5 5" xfId="15997" xr:uid="{00000000-0005-0000-0000-0000533E0000}"/>
    <cellStyle name="Normal 2 2 2 2 5 10 5 6" xfId="15998" xr:uid="{00000000-0005-0000-0000-0000543E0000}"/>
    <cellStyle name="Normal 2 2 2 2 5 10 5 7" xfId="15999" xr:uid="{00000000-0005-0000-0000-0000553E0000}"/>
    <cellStyle name="Normal 2 2 2 2 5 10 5 8" xfId="16000" xr:uid="{00000000-0005-0000-0000-0000563E0000}"/>
    <cellStyle name="Normal 2 2 2 2 5 10 5 9" xfId="16001" xr:uid="{00000000-0005-0000-0000-0000573E0000}"/>
    <cellStyle name="Normal 2 2 2 2 5 10 6" xfId="16002" xr:uid="{00000000-0005-0000-0000-0000583E0000}"/>
    <cellStyle name="Normal 2 2 2 2 5 10 7" xfId="16003" xr:uid="{00000000-0005-0000-0000-0000593E0000}"/>
    <cellStyle name="Normal 2 2 2 2 5 10 8" xfId="16004" xr:uid="{00000000-0005-0000-0000-00005A3E0000}"/>
    <cellStyle name="Normal 2 2 2 2 5 10 9" xfId="16005" xr:uid="{00000000-0005-0000-0000-00005B3E0000}"/>
    <cellStyle name="Normal 2 2 2 2 5 11" xfId="16006" xr:uid="{00000000-0005-0000-0000-00005C3E0000}"/>
    <cellStyle name="Normal 2 2 2 2 5 11 10" xfId="16007" xr:uid="{00000000-0005-0000-0000-00005D3E0000}"/>
    <cellStyle name="Normal 2 2 2 2 5 11 11" xfId="16008" xr:uid="{00000000-0005-0000-0000-00005E3E0000}"/>
    <cellStyle name="Normal 2 2 2 2 5 11 12" xfId="16009" xr:uid="{00000000-0005-0000-0000-00005F3E0000}"/>
    <cellStyle name="Normal 2 2 2 2 5 11 13" xfId="16010" xr:uid="{00000000-0005-0000-0000-0000603E0000}"/>
    <cellStyle name="Normal 2 2 2 2 5 11 14" xfId="16011" xr:uid="{00000000-0005-0000-0000-0000613E0000}"/>
    <cellStyle name="Normal 2 2 2 2 5 11 2" xfId="16012" xr:uid="{00000000-0005-0000-0000-0000623E0000}"/>
    <cellStyle name="Normal 2 2 2 2 5 11 2 10" xfId="16013" xr:uid="{00000000-0005-0000-0000-0000633E0000}"/>
    <cellStyle name="Normal 2 2 2 2 5 11 2 2" xfId="16014" xr:uid="{00000000-0005-0000-0000-0000643E0000}"/>
    <cellStyle name="Normal 2 2 2 2 5 11 2 3" xfId="16015" xr:uid="{00000000-0005-0000-0000-0000653E0000}"/>
    <cellStyle name="Normal 2 2 2 2 5 11 2 4" xfId="16016" xr:uid="{00000000-0005-0000-0000-0000663E0000}"/>
    <cellStyle name="Normal 2 2 2 2 5 11 2 5" xfId="16017" xr:uid="{00000000-0005-0000-0000-0000673E0000}"/>
    <cellStyle name="Normal 2 2 2 2 5 11 2 6" xfId="16018" xr:uid="{00000000-0005-0000-0000-0000683E0000}"/>
    <cellStyle name="Normal 2 2 2 2 5 11 2 7" xfId="16019" xr:uid="{00000000-0005-0000-0000-0000693E0000}"/>
    <cellStyle name="Normal 2 2 2 2 5 11 2 8" xfId="16020" xr:uid="{00000000-0005-0000-0000-00006A3E0000}"/>
    <cellStyle name="Normal 2 2 2 2 5 11 2 9" xfId="16021" xr:uid="{00000000-0005-0000-0000-00006B3E0000}"/>
    <cellStyle name="Normal 2 2 2 2 5 11 3" xfId="16022" xr:uid="{00000000-0005-0000-0000-00006C3E0000}"/>
    <cellStyle name="Normal 2 2 2 2 5 11 3 10" xfId="16023" xr:uid="{00000000-0005-0000-0000-00006D3E0000}"/>
    <cellStyle name="Normal 2 2 2 2 5 11 3 2" xfId="16024" xr:uid="{00000000-0005-0000-0000-00006E3E0000}"/>
    <cellStyle name="Normal 2 2 2 2 5 11 3 3" xfId="16025" xr:uid="{00000000-0005-0000-0000-00006F3E0000}"/>
    <cellStyle name="Normal 2 2 2 2 5 11 3 4" xfId="16026" xr:uid="{00000000-0005-0000-0000-0000703E0000}"/>
    <cellStyle name="Normal 2 2 2 2 5 11 3 5" xfId="16027" xr:uid="{00000000-0005-0000-0000-0000713E0000}"/>
    <cellStyle name="Normal 2 2 2 2 5 11 3 6" xfId="16028" xr:uid="{00000000-0005-0000-0000-0000723E0000}"/>
    <cellStyle name="Normal 2 2 2 2 5 11 3 7" xfId="16029" xr:uid="{00000000-0005-0000-0000-0000733E0000}"/>
    <cellStyle name="Normal 2 2 2 2 5 11 3 8" xfId="16030" xr:uid="{00000000-0005-0000-0000-0000743E0000}"/>
    <cellStyle name="Normal 2 2 2 2 5 11 3 9" xfId="16031" xr:uid="{00000000-0005-0000-0000-0000753E0000}"/>
    <cellStyle name="Normal 2 2 2 2 5 11 4" xfId="16032" xr:uid="{00000000-0005-0000-0000-0000763E0000}"/>
    <cellStyle name="Normal 2 2 2 2 5 11 4 10" xfId="16033" xr:uid="{00000000-0005-0000-0000-0000773E0000}"/>
    <cellStyle name="Normal 2 2 2 2 5 11 4 2" xfId="16034" xr:uid="{00000000-0005-0000-0000-0000783E0000}"/>
    <cellStyle name="Normal 2 2 2 2 5 11 4 3" xfId="16035" xr:uid="{00000000-0005-0000-0000-0000793E0000}"/>
    <cellStyle name="Normal 2 2 2 2 5 11 4 4" xfId="16036" xr:uid="{00000000-0005-0000-0000-00007A3E0000}"/>
    <cellStyle name="Normal 2 2 2 2 5 11 4 5" xfId="16037" xr:uid="{00000000-0005-0000-0000-00007B3E0000}"/>
    <cellStyle name="Normal 2 2 2 2 5 11 4 6" xfId="16038" xr:uid="{00000000-0005-0000-0000-00007C3E0000}"/>
    <cellStyle name="Normal 2 2 2 2 5 11 4 7" xfId="16039" xr:uid="{00000000-0005-0000-0000-00007D3E0000}"/>
    <cellStyle name="Normal 2 2 2 2 5 11 4 8" xfId="16040" xr:uid="{00000000-0005-0000-0000-00007E3E0000}"/>
    <cellStyle name="Normal 2 2 2 2 5 11 4 9" xfId="16041" xr:uid="{00000000-0005-0000-0000-00007F3E0000}"/>
    <cellStyle name="Normal 2 2 2 2 5 11 5" xfId="16042" xr:uid="{00000000-0005-0000-0000-0000803E0000}"/>
    <cellStyle name="Normal 2 2 2 2 5 11 5 10" xfId="16043" xr:uid="{00000000-0005-0000-0000-0000813E0000}"/>
    <cellStyle name="Normal 2 2 2 2 5 11 5 2" xfId="16044" xr:uid="{00000000-0005-0000-0000-0000823E0000}"/>
    <cellStyle name="Normal 2 2 2 2 5 11 5 3" xfId="16045" xr:uid="{00000000-0005-0000-0000-0000833E0000}"/>
    <cellStyle name="Normal 2 2 2 2 5 11 5 4" xfId="16046" xr:uid="{00000000-0005-0000-0000-0000843E0000}"/>
    <cellStyle name="Normal 2 2 2 2 5 11 5 5" xfId="16047" xr:uid="{00000000-0005-0000-0000-0000853E0000}"/>
    <cellStyle name="Normal 2 2 2 2 5 11 5 6" xfId="16048" xr:uid="{00000000-0005-0000-0000-0000863E0000}"/>
    <cellStyle name="Normal 2 2 2 2 5 11 5 7" xfId="16049" xr:uid="{00000000-0005-0000-0000-0000873E0000}"/>
    <cellStyle name="Normal 2 2 2 2 5 11 5 8" xfId="16050" xr:uid="{00000000-0005-0000-0000-0000883E0000}"/>
    <cellStyle name="Normal 2 2 2 2 5 11 5 9" xfId="16051" xr:uid="{00000000-0005-0000-0000-0000893E0000}"/>
    <cellStyle name="Normal 2 2 2 2 5 11 6" xfId="16052" xr:uid="{00000000-0005-0000-0000-00008A3E0000}"/>
    <cellStyle name="Normal 2 2 2 2 5 11 7" xfId="16053" xr:uid="{00000000-0005-0000-0000-00008B3E0000}"/>
    <cellStyle name="Normal 2 2 2 2 5 11 8" xfId="16054" xr:uid="{00000000-0005-0000-0000-00008C3E0000}"/>
    <cellStyle name="Normal 2 2 2 2 5 11 9" xfId="16055" xr:uid="{00000000-0005-0000-0000-00008D3E0000}"/>
    <cellStyle name="Normal 2 2 2 2 5 12" xfId="16056" xr:uid="{00000000-0005-0000-0000-00008E3E0000}"/>
    <cellStyle name="Normal 2 2 2 2 5 12 10" xfId="16057" xr:uid="{00000000-0005-0000-0000-00008F3E0000}"/>
    <cellStyle name="Normal 2 2 2 2 5 12 11" xfId="16058" xr:uid="{00000000-0005-0000-0000-0000903E0000}"/>
    <cellStyle name="Normal 2 2 2 2 5 12 12" xfId="16059" xr:uid="{00000000-0005-0000-0000-0000913E0000}"/>
    <cellStyle name="Normal 2 2 2 2 5 12 13" xfId="16060" xr:uid="{00000000-0005-0000-0000-0000923E0000}"/>
    <cellStyle name="Normal 2 2 2 2 5 12 14" xfId="16061" xr:uid="{00000000-0005-0000-0000-0000933E0000}"/>
    <cellStyle name="Normal 2 2 2 2 5 12 2" xfId="16062" xr:uid="{00000000-0005-0000-0000-0000943E0000}"/>
    <cellStyle name="Normal 2 2 2 2 5 12 2 10" xfId="16063" xr:uid="{00000000-0005-0000-0000-0000953E0000}"/>
    <cellStyle name="Normal 2 2 2 2 5 12 2 2" xfId="16064" xr:uid="{00000000-0005-0000-0000-0000963E0000}"/>
    <cellStyle name="Normal 2 2 2 2 5 12 2 3" xfId="16065" xr:uid="{00000000-0005-0000-0000-0000973E0000}"/>
    <cellStyle name="Normal 2 2 2 2 5 12 2 4" xfId="16066" xr:uid="{00000000-0005-0000-0000-0000983E0000}"/>
    <cellStyle name="Normal 2 2 2 2 5 12 2 5" xfId="16067" xr:uid="{00000000-0005-0000-0000-0000993E0000}"/>
    <cellStyle name="Normal 2 2 2 2 5 12 2 6" xfId="16068" xr:uid="{00000000-0005-0000-0000-00009A3E0000}"/>
    <cellStyle name="Normal 2 2 2 2 5 12 2 7" xfId="16069" xr:uid="{00000000-0005-0000-0000-00009B3E0000}"/>
    <cellStyle name="Normal 2 2 2 2 5 12 2 8" xfId="16070" xr:uid="{00000000-0005-0000-0000-00009C3E0000}"/>
    <cellStyle name="Normal 2 2 2 2 5 12 2 9" xfId="16071" xr:uid="{00000000-0005-0000-0000-00009D3E0000}"/>
    <cellStyle name="Normal 2 2 2 2 5 12 3" xfId="16072" xr:uid="{00000000-0005-0000-0000-00009E3E0000}"/>
    <cellStyle name="Normal 2 2 2 2 5 12 3 10" xfId="16073" xr:uid="{00000000-0005-0000-0000-00009F3E0000}"/>
    <cellStyle name="Normal 2 2 2 2 5 12 3 2" xfId="16074" xr:uid="{00000000-0005-0000-0000-0000A03E0000}"/>
    <cellStyle name="Normal 2 2 2 2 5 12 3 3" xfId="16075" xr:uid="{00000000-0005-0000-0000-0000A13E0000}"/>
    <cellStyle name="Normal 2 2 2 2 5 12 3 4" xfId="16076" xr:uid="{00000000-0005-0000-0000-0000A23E0000}"/>
    <cellStyle name="Normal 2 2 2 2 5 12 3 5" xfId="16077" xr:uid="{00000000-0005-0000-0000-0000A33E0000}"/>
    <cellStyle name="Normal 2 2 2 2 5 12 3 6" xfId="16078" xr:uid="{00000000-0005-0000-0000-0000A43E0000}"/>
    <cellStyle name="Normal 2 2 2 2 5 12 3 7" xfId="16079" xr:uid="{00000000-0005-0000-0000-0000A53E0000}"/>
    <cellStyle name="Normal 2 2 2 2 5 12 3 8" xfId="16080" xr:uid="{00000000-0005-0000-0000-0000A63E0000}"/>
    <cellStyle name="Normal 2 2 2 2 5 12 3 9" xfId="16081" xr:uid="{00000000-0005-0000-0000-0000A73E0000}"/>
    <cellStyle name="Normal 2 2 2 2 5 12 4" xfId="16082" xr:uid="{00000000-0005-0000-0000-0000A83E0000}"/>
    <cellStyle name="Normal 2 2 2 2 5 12 4 10" xfId="16083" xr:uid="{00000000-0005-0000-0000-0000A93E0000}"/>
    <cellStyle name="Normal 2 2 2 2 5 12 4 2" xfId="16084" xr:uid="{00000000-0005-0000-0000-0000AA3E0000}"/>
    <cellStyle name="Normal 2 2 2 2 5 12 4 3" xfId="16085" xr:uid="{00000000-0005-0000-0000-0000AB3E0000}"/>
    <cellStyle name="Normal 2 2 2 2 5 12 4 4" xfId="16086" xr:uid="{00000000-0005-0000-0000-0000AC3E0000}"/>
    <cellStyle name="Normal 2 2 2 2 5 12 4 5" xfId="16087" xr:uid="{00000000-0005-0000-0000-0000AD3E0000}"/>
    <cellStyle name="Normal 2 2 2 2 5 12 4 6" xfId="16088" xr:uid="{00000000-0005-0000-0000-0000AE3E0000}"/>
    <cellStyle name="Normal 2 2 2 2 5 12 4 7" xfId="16089" xr:uid="{00000000-0005-0000-0000-0000AF3E0000}"/>
    <cellStyle name="Normal 2 2 2 2 5 12 4 8" xfId="16090" xr:uid="{00000000-0005-0000-0000-0000B03E0000}"/>
    <cellStyle name="Normal 2 2 2 2 5 12 4 9" xfId="16091" xr:uid="{00000000-0005-0000-0000-0000B13E0000}"/>
    <cellStyle name="Normal 2 2 2 2 5 12 5" xfId="16092" xr:uid="{00000000-0005-0000-0000-0000B23E0000}"/>
    <cellStyle name="Normal 2 2 2 2 5 12 5 10" xfId="16093" xr:uid="{00000000-0005-0000-0000-0000B33E0000}"/>
    <cellStyle name="Normal 2 2 2 2 5 12 5 2" xfId="16094" xr:uid="{00000000-0005-0000-0000-0000B43E0000}"/>
    <cellStyle name="Normal 2 2 2 2 5 12 5 3" xfId="16095" xr:uid="{00000000-0005-0000-0000-0000B53E0000}"/>
    <cellStyle name="Normal 2 2 2 2 5 12 5 4" xfId="16096" xr:uid="{00000000-0005-0000-0000-0000B63E0000}"/>
    <cellStyle name="Normal 2 2 2 2 5 12 5 5" xfId="16097" xr:uid="{00000000-0005-0000-0000-0000B73E0000}"/>
    <cellStyle name="Normal 2 2 2 2 5 12 5 6" xfId="16098" xr:uid="{00000000-0005-0000-0000-0000B83E0000}"/>
    <cellStyle name="Normal 2 2 2 2 5 12 5 7" xfId="16099" xr:uid="{00000000-0005-0000-0000-0000B93E0000}"/>
    <cellStyle name="Normal 2 2 2 2 5 12 5 8" xfId="16100" xr:uid="{00000000-0005-0000-0000-0000BA3E0000}"/>
    <cellStyle name="Normal 2 2 2 2 5 12 5 9" xfId="16101" xr:uid="{00000000-0005-0000-0000-0000BB3E0000}"/>
    <cellStyle name="Normal 2 2 2 2 5 12 6" xfId="16102" xr:uid="{00000000-0005-0000-0000-0000BC3E0000}"/>
    <cellStyle name="Normal 2 2 2 2 5 12 7" xfId="16103" xr:uid="{00000000-0005-0000-0000-0000BD3E0000}"/>
    <cellStyle name="Normal 2 2 2 2 5 12 8" xfId="16104" xr:uid="{00000000-0005-0000-0000-0000BE3E0000}"/>
    <cellStyle name="Normal 2 2 2 2 5 12 9" xfId="16105" xr:uid="{00000000-0005-0000-0000-0000BF3E0000}"/>
    <cellStyle name="Normal 2 2 2 2 5 13" xfId="16106" xr:uid="{00000000-0005-0000-0000-0000C03E0000}"/>
    <cellStyle name="Normal 2 2 2 2 5 13 10" xfId="16107" xr:uid="{00000000-0005-0000-0000-0000C13E0000}"/>
    <cellStyle name="Normal 2 2 2 2 5 13 11" xfId="16108" xr:uid="{00000000-0005-0000-0000-0000C23E0000}"/>
    <cellStyle name="Normal 2 2 2 2 5 13 12" xfId="16109" xr:uid="{00000000-0005-0000-0000-0000C33E0000}"/>
    <cellStyle name="Normal 2 2 2 2 5 13 13" xfId="16110" xr:uid="{00000000-0005-0000-0000-0000C43E0000}"/>
    <cellStyle name="Normal 2 2 2 2 5 13 14" xfId="16111" xr:uid="{00000000-0005-0000-0000-0000C53E0000}"/>
    <cellStyle name="Normal 2 2 2 2 5 13 2" xfId="16112" xr:uid="{00000000-0005-0000-0000-0000C63E0000}"/>
    <cellStyle name="Normal 2 2 2 2 5 13 2 10" xfId="16113" xr:uid="{00000000-0005-0000-0000-0000C73E0000}"/>
    <cellStyle name="Normal 2 2 2 2 5 13 2 2" xfId="16114" xr:uid="{00000000-0005-0000-0000-0000C83E0000}"/>
    <cellStyle name="Normal 2 2 2 2 5 13 2 3" xfId="16115" xr:uid="{00000000-0005-0000-0000-0000C93E0000}"/>
    <cellStyle name="Normal 2 2 2 2 5 13 2 4" xfId="16116" xr:uid="{00000000-0005-0000-0000-0000CA3E0000}"/>
    <cellStyle name="Normal 2 2 2 2 5 13 2 5" xfId="16117" xr:uid="{00000000-0005-0000-0000-0000CB3E0000}"/>
    <cellStyle name="Normal 2 2 2 2 5 13 2 6" xfId="16118" xr:uid="{00000000-0005-0000-0000-0000CC3E0000}"/>
    <cellStyle name="Normal 2 2 2 2 5 13 2 7" xfId="16119" xr:uid="{00000000-0005-0000-0000-0000CD3E0000}"/>
    <cellStyle name="Normal 2 2 2 2 5 13 2 8" xfId="16120" xr:uid="{00000000-0005-0000-0000-0000CE3E0000}"/>
    <cellStyle name="Normal 2 2 2 2 5 13 2 9" xfId="16121" xr:uid="{00000000-0005-0000-0000-0000CF3E0000}"/>
    <cellStyle name="Normal 2 2 2 2 5 13 3" xfId="16122" xr:uid="{00000000-0005-0000-0000-0000D03E0000}"/>
    <cellStyle name="Normal 2 2 2 2 5 13 3 10" xfId="16123" xr:uid="{00000000-0005-0000-0000-0000D13E0000}"/>
    <cellStyle name="Normal 2 2 2 2 5 13 3 2" xfId="16124" xr:uid="{00000000-0005-0000-0000-0000D23E0000}"/>
    <cellStyle name="Normal 2 2 2 2 5 13 3 3" xfId="16125" xr:uid="{00000000-0005-0000-0000-0000D33E0000}"/>
    <cellStyle name="Normal 2 2 2 2 5 13 3 4" xfId="16126" xr:uid="{00000000-0005-0000-0000-0000D43E0000}"/>
    <cellStyle name="Normal 2 2 2 2 5 13 3 5" xfId="16127" xr:uid="{00000000-0005-0000-0000-0000D53E0000}"/>
    <cellStyle name="Normal 2 2 2 2 5 13 3 6" xfId="16128" xr:uid="{00000000-0005-0000-0000-0000D63E0000}"/>
    <cellStyle name="Normal 2 2 2 2 5 13 3 7" xfId="16129" xr:uid="{00000000-0005-0000-0000-0000D73E0000}"/>
    <cellStyle name="Normal 2 2 2 2 5 13 3 8" xfId="16130" xr:uid="{00000000-0005-0000-0000-0000D83E0000}"/>
    <cellStyle name="Normal 2 2 2 2 5 13 3 9" xfId="16131" xr:uid="{00000000-0005-0000-0000-0000D93E0000}"/>
    <cellStyle name="Normal 2 2 2 2 5 13 4" xfId="16132" xr:uid="{00000000-0005-0000-0000-0000DA3E0000}"/>
    <cellStyle name="Normal 2 2 2 2 5 13 4 10" xfId="16133" xr:uid="{00000000-0005-0000-0000-0000DB3E0000}"/>
    <cellStyle name="Normal 2 2 2 2 5 13 4 2" xfId="16134" xr:uid="{00000000-0005-0000-0000-0000DC3E0000}"/>
    <cellStyle name="Normal 2 2 2 2 5 13 4 3" xfId="16135" xr:uid="{00000000-0005-0000-0000-0000DD3E0000}"/>
    <cellStyle name="Normal 2 2 2 2 5 13 4 4" xfId="16136" xr:uid="{00000000-0005-0000-0000-0000DE3E0000}"/>
    <cellStyle name="Normal 2 2 2 2 5 13 4 5" xfId="16137" xr:uid="{00000000-0005-0000-0000-0000DF3E0000}"/>
    <cellStyle name="Normal 2 2 2 2 5 13 4 6" xfId="16138" xr:uid="{00000000-0005-0000-0000-0000E03E0000}"/>
    <cellStyle name="Normal 2 2 2 2 5 13 4 7" xfId="16139" xr:uid="{00000000-0005-0000-0000-0000E13E0000}"/>
    <cellStyle name="Normal 2 2 2 2 5 13 4 8" xfId="16140" xr:uid="{00000000-0005-0000-0000-0000E23E0000}"/>
    <cellStyle name="Normal 2 2 2 2 5 13 4 9" xfId="16141" xr:uid="{00000000-0005-0000-0000-0000E33E0000}"/>
    <cellStyle name="Normal 2 2 2 2 5 13 5" xfId="16142" xr:uid="{00000000-0005-0000-0000-0000E43E0000}"/>
    <cellStyle name="Normal 2 2 2 2 5 13 5 10" xfId="16143" xr:uid="{00000000-0005-0000-0000-0000E53E0000}"/>
    <cellStyle name="Normal 2 2 2 2 5 13 5 2" xfId="16144" xr:uid="{00000000-0005-0000-0000-0000E63E0000}"/>
    <cellStyle name="Normal 2 2 2 2 5 13 5 3" xfId="16145" xr:uid="{00000000-0005-0000-0000-0000E73E0000}"/>
    <cellStyle name="Normal 2 2 2 2 5 13 5 4" xfId="16146" xr:uid="{00000000-0005-0000-0000-0000E83E0000}"/>
    <cellStyle name="Normal 2 2 2 2 5 13 5 5" xfId="16147" xr:uid="{00000000-0005-0000-0000-0000E93E0000}"/>
    <cellStyle name="Normal 2 2 2 2 5 13 5 6" xfId="16148" xr:uid="{00000000-0005-0000-0000-0000EA3E0000}"/>
    <cellStyle name="Normal 2 2 2 2 5 13 5 7" xfId="16149" xr:uid="{00000000-0005-0000-0000-0000EB3E0000}"/>
    <cellStyle name="Normal 2 2 2 2 5 13 5 8" xfId="16150" xr:uid="{00000000-0005-0000-0000-0000EC3E0000}"/>
    <cellStyle name="Normal 2 2 2 2 5 13 5 9" xfId="16151" xr:uid="{00000000-0005-0000-0000-0000ED3E0000}"/>
    <cellStyle name="Normal 2 2 2 2 5 13 6" xfId="16152" xr:uid="{00000000-0005-0000-0000-0000EE3E0000}"/>
    <cellStyle name="Normal 2 2 2 2 5 13 7" xfId="16153" xr:uid="{00000000-0005-0000-0000-0000EF3E0000}"/>
    <cellStyle name="Normal 2 2 2 2 5 13 8" xfId="16154" xr:uid="{00000000-0005-0000-0000-0000F03E0000}"/>
    <cellStyle name="Normal 2 2 2 2 5 13 9" xfId="16155" xr:uid="{00000000-0005-0000-0000-0000F13E0000}"/>
    <cellStyle name="Normal 2 2 2 2 5 14" xfId="16156" xr:uid="{00000000-0005-0000-0000-0000F23E0000}"/>
    <cellStyle name="Normal 2 2 2 2 5 14 10" xfId="16157" xr:uid="{00000000-0005-0000-0000-0000F33E0000}"/>
    <cellStyle name="Normal 2 2 2 2 5 14 11" xfId="16158" xr:uid="{00000000-0005-0000-0000-0000F43E0000}"/>
    <cellStyle name="Normal 2 2 2 2 5 14 12" xfId="16159" xr:uid="{00000000-0005-0000-0000-0000F53E0000}"/>
    <cellStyle name="Normal 2 2 2 2 5 14 13" xfId="16160" xr:uid="{00000000-0005-0000-0000-0000F63E0000}"/>
    <cellStyle name="Normal 2 2 2 2 5 14 14" xfId="16161" xr:uid="{00000000-0005-0000-0000-0000F73E0000}"/>
    <cellStyle name="Normal 2 2 2 2 5 14 2" xfId="16162" xr:uid="{00000000-0005-0000-0000-0000F83E0000}"/>
    <cellStyle name="Normal 2 2 2 2 5 14 2 10" xfId="16163" xr:uid="{00000000-0005-0000-0000-0000F93E0000}"/>
    <cellStyle name="Normal 2 2 2 2 5 14 2 2" xfId="16164" xr:uid="{00000000-0005-0000-0000-0000FA3E0000}"/>
    <cellStyle name="Normal 2 2 2 2 5 14 2 3" xfId="16165" xr:uid="{00000000-0005-0000-0000-0000FB3E0000}"/>
    <cellStyle name="Normal 2 2 2 2 5 14 2 4" xfId="16166" xr:uid="{00000000-0005-0000-0000-0000FC3E0000}"/>
    <cellStyle name="Normal 2 2 2 2 5 14 2 5" xfId="16167" xr:uid="{00000000-0005-0000-0000-0000FD3E0000}"/>
    <cellStyle name="Normal 2 2 2 2 5 14 2 6" xfId="16168" xr:uid="{00000000-0005-0000-0000-0000FE3E0000}"/>
    <cellStyle name="Normal 2 2 2 2 5 14 2 7" xfId="16169" xr:uid="{00000000-0005-0000-0000-0000FF3E0000}"/>
    <cellStyle name="Normal 2 2 2 2 5 14 2 8" xfId="16170" xr:uid="{00000000-0005-0000-0000-0000003F0000}"/>
    <cellStyle name="Normal 2 2 2 2 5 14 2 9" xfId="16171" xr:uid="{00000000-0005-0000-0000-0000013F0000}"/>
    <cellStyle name="Normal 2 2 2 2 5 14 3" xfId="16172" xr:uid="{00000000-0005-0000-0000-0000023F0000}"/>
    <cellStyle name="Normal 2 2 2 2 5 14 3 10" xfId="16173" xr:uid="{00000000-0005-0000-0000-0000033F0000}"/>
    <cellStyle name="Normal 2 2 2 2 5 14 3 2" xfId="16174" xr:uid="{00000000-0005-0000-0000-0000043F0000}"/>
    <cellStyle name="Normal 2 2 2 2 5 14 3 3" xfId="16175" xr:uid="{00000000-0005-0000-0000-0000053F0000}"/>
    <cellStyle name="Normal 2 2 2 2 5 14 3 4" xfId="16176" xr:uid="{00000000-0005-0000-0000-0000063F0000}"/>
    <cellStyle name="Normal 2 2 2 2 5 14 3 5" xfId="16177" xr:uid="{00000000-0005-0000-0000-0000073F0000}"/>
    <cellStyle name="Normal 2 2 2 2 5 14 3 6" xfId="16178" xr:uid="{00000000-0005-0000-0000-0000083F0000}"/>
    <cellStyle name="Normal 2 2 2 2 5 14 3 7" xfId="16179" xr:uid="{00000000-0005-0000-0000-0000093F0000}"/>
    <cellStyle name="Normal 2 2 2 2 5 14 3 8" xfId="16180" xr:uid="{00000000-0005-0000-0000-00000A3F0000}"/>
    <cellStyle name="Normal 2 2 2 2 5 14 3 9" xfId="16181" xr:uid="{00000000-0005-0000-0000-00000B3F0000}"/>
    <cellStyle name="Normal 2 2 2 2 5 14 4" xfId="16182" xr:uid="{00000000-0005-0000-0000-00000C3F0000}"/>
    <cellStyle name="Normal 2 2 2 2 5 14 4 10" xfId="16183" xr:uid="{00000000-0005-0000-0000-00000D3F0000}"/>
    <cellStyle name="Normal 2 2 2 2 5 14 4 2" xfId="16184" xr:uid="{00000000-0005-0000-0000-00000E3F0000}"/>
    <cellStyle name="Normal 2 2 2 2 5 14 4 3" xfId="16185" xr:uid="{00000000-0005-0000-0000-00000F3F0000}"/>
    <cellStyle name="Normal 2 2 2 2 5 14 4 4" xfId="16186" xr:uid="{00000000-0005-0000-0000-0000103F0000}"/>
    <cellStyle name="Normal 2 2 2 2 5 14 4 5" xfId="16187" xr:uid="{00000000-0005-0000-0000-0000113F0000}"/>
    <cellStyle name="Normal 2 2 2 2 5 14 4 6" xfId="16188" xr:uid="{00000000-0005-0000-0000-0000123F0000}"/>
    <cellStyle name="Normal 2 2 2 2 5 14 4 7" xfId="16189" xr:uid="{00000000-0005-0000-0000-0000133F0000}"/>
    <cellStyle name="Normal 2 2 2 2 5 14 4 8" xfId="16190" xr:uid="{00000000-0005-0000-0000-0000143F0000}"/>
    <cellStyle name="Normal 2 2 2 2 5 14 4 9" xfId="16191" xr:uid="{00000000-0005-0000-0000-0000153F0000}"/>
    <cellStyle name="Normal 2 2 2 2 5 14 5" xfId="16192" xr:uid="{00000000-0005-0000-0000-0000163F0000}"/>
    <cellStyle name="Normal 2 2 2 2 5 14 5 10" xfId="16193" xr:uid="{00000000-0005-0000-0000-0000173F0000}"/>
    <cellStyle name="Normal 2 2 2 2 5 14 5 2" xfId="16194" xr:uid="{00000000-0005-0000-0000-0000183F0000}"/>
    <cellStyle name="Normal 2 2 2 2 5 14 5 3" xfId="16195" xr:uid="{00000000-0005-0000-0000-0000193F0000}"/>
    <cellStyle name="Normal 2 2 2 2 5 14 5 4" xfId="16196" xr:uid="{00000000-0005-0000-0000-00001A3F0000}"/>
    <cellStyle name="Normal 2 2 2 2 5 14 5 5" xfId="16197" xr:uid="{00000000-0005-0000-0000-00001B3F0000}"/>
    <cellStyle name="Normal 2 2 2 2 5 14 5 6" xfId="16198" xr:uid="{00000000-0005-0000-0000-00001C3F0000}"/>
    <cellStyle name="Normal 2 2 2 2 5 14 5 7" xfId="16199" xr:uid="{00000000-0005-0000-0000-00001D3F0000}"/>
    <cellStyle name="Normal 2 2 2 2 5 14 5 8" xfId="16200" xr:uid="{00000000-0005-0000-0000-00001E3F0000}"/>
    <cellStyle name="Normal 2 2 2 2 5 14 5 9" xfId="16201" xr:uid="{00000000-0005-0000-0000-00001F3F0000}"/>
    <cellStyle name="Normal 2 2 2 2 5 14 6" xfId="16202" xr:uid="{00000000-0005-0000-0000-0000203F0000}"/>
    <cellStyle name="Normal 2 2 2 2 5 14 7" xfId="16203" xr:uid="{00000000-0005-0000-0000-0000213F0000}"/>
    <cellStyle name="Normal 2 2 2 2 5 14 8" xfId="16204" xr:uid="{00000000-0005-0000-0000-0000223F0000}"/>
    <cellStyle name="Normal 2 2 2 2 5 14 9" xfId="16205" xr:uid="{00000000-0005-0000-0000-0000233F0000}"/>
    <cellStyle name="Normal 2 2 2 2 5 15" xfId="16206" xr:uid="{00000000-0005-0000-0000-0000243F0000}"/>
    <cellStyle name="Normal 2 2 2 2 5 15 10" xfId="16207" xr:uid="{00000000-0005-0000-0000-0000253F0000}"/>
    <cellStyle name="Normal 2 2 2 2 5 15 11" xfId="16208" xr:uid="{00000000-0005-0000-0000-0000263F0000}"/>
    <cellStyle name="Normal 2 2 2 2 5 15 12" xfId="16209" xr:uid="{00000000-0005-0000-0000-0000273F0000}"/>
    <cellStyle name="Normal 2 2 2 2 5 15 13" xfId="16210" xr:uid="{00000000-0005-0000-0000-0000283F0000}"/>
    <cellStyle name="Normal 2 2 2 2 5 15 14" xfId="16211" xr:uid="{00000000-0005-0000-0000-0000293F0000}"/>
    <cellStyle name="Normal 2 2 2 2 5 15 2" xfId="16212" xr:uid="{00000000-0005-0000-0000-00002A3F0000}"/>
    <cellStyle name="Normal 2 2 2 2 5 15 2 10" xfId="16213" xr:uid="{00000000-0005-0000-0000-00002B3F0000}"/>
    <cellStyle name="Normal 2 2 2 2 5 15 2 2" xfId="16214" xr:uid="{00000000-0005-0000-0000-00002C3F0000}"/>
    <cellStyle name="Normal 2 2 2 2 5 15 2 3" xfId="16215" xr:uid="{00000000-0005-0000-0000-00002D3F0000}"/>
    <cellStyle name="Normal 2 2 2 2 5 15 2 4" xfId="16216" xr:uid="{00000000-0005-0000-0000-00002E3F0000}"/>
    <cellStyle name="Normal 2 2 2 2 5 15 2 5" xfId="16217" xr:uid="{00000000-0005-0000-0000-00002F3F0000}"/>
    <cellStyle name="Normal 2 2 2 2 5 15 2 6" xfId="16218" xr:uid="{00000000-0005-0000-0000-0000303F0000}"/>
    <cellStyle name="Normal 2 2 2 2 5 15 2 7" xfId="16219" xr:uid="{00000000-0005-0000-0000-0000313F0000}"/>
    <cellStyle name="Normal 2 2 2 2 5 15 2 8" xfId="16220" xr:uid="{00000000-0005-0000-0000-0000323F0000}"/>
    <cellStyle name="Normal 2 2 2 2 5 15 2 9" xfId="16221" xr:uid="{00000000-0005-0000-0000-0000333F0000}"/>
    <cellStyle name="Normal 2 2 2 2 5 15 3" xfId="16222" xr:uid="{00000000-0005-0000-0000-0000343F0000}"/>
    <cellStyle name="Normal 2 2 2 2 5 15 3 10" xfId="16223" xr:uid="{00000000-0005-0000-0000-0000353F0000}"/>
    <cellStyle name="Normal 2 2 2 2 5 15 3 2" xfId="16224" xr:uid="{00000000-0005-0000-0000-0000363F0000}"/>
    <cellStyle name="Normal 2 2 2 2 5 15 3 3" xfId="16225" xr:uid="{00000000-0005-0000-0000-0000373F0000}"/>
    <cellStyle name="Normal 2 2 2 2 5 15 3 4" xfId="16226" xr:uid="{00000000-0005-0000-0000-0000383F0000}"/>
    <cellStyle name="Normal 2 2 2 2 5 15 3 5" xfId="16227" xr:uid="{00000000-0005-0000-0000-0000393F0000}"/>
    <cellStyle name="Normal 2 2 2 2 5 15 3 6" xfId="16228" xr:uid="{00000000-0005-0000-0000-00003A3F0000}"/>
    <cellStyle name="Normal 2 2 2 2 5 15 3 7" xfId="16229" xr:uid="{00000000-0005-0000-0000-00003B3F0000}"/>
    <cellStyle name="Normal 2 2 2 2 5 15 3 8" xfId="16230" xr:uid="{00000000-0005-0000-0000-00003C3F0000}"/>
    <cellStyle name="Normal 2 2 2 2 5 15 3 9" xfId="16231" xr:uid="{00000000-0005-0000-0000-00003D3F0000}"/>
    <cellStyle name="Normal 2 2 2 2 5 15 4" xfId="16232" xr:uid="{00000000-0005-0000-0000-00003E3F0000}"/>
    <cellStyle name="Normal 2 2 2 2 5 15 4 10" xfId="16233" xr:uid="{00000000-0005-0000-0000-00003F3F0000}"/>
    <cellStyle name="Normal 2 2 2 2 5 15 4 2" xfId="16234" xr:uid="{00000000-0005-0000-0000-0000403F0000}"/>
    <cellStyle name="Normal 2 2 2 2 5 15 4 3" xfId="16235" xr:uid="{00000000-0005-0000-0000-0000413F0000}"/>
    <cellStyle name="Normal 2 2 2 2 5 15 4 4" xfId="16236" xr:uid="{00000000-0005-0000-0000-0000423F0000}"/>
    <cellStyle name="Normal 2 2 2 2 5 15 4 5" xfId="16237" xr:uid="{00000000-0005-0000-0000-0000433F0000}"/>
    <cellStyle name="Normal 2 2 2 2 5 15 4 6" xfId="16238" xr:uid="{00000000-0005-0000-0000-0000443F0000}"/>
    <cellStyle name="Normal 2 2 2 2 5 15 4 7" xfId="16239" xr:uid="{00000000-0005-0000-0000-0000453F0000}"/>
    <cellStyle name="Normal 2 2 2 2 5 15 4 8" xfId="16240" xr:uid="{00000000-0005-0000-0000-0000463F0000}"/>
    <cellStyle name="Normal 2 2 2 2 5 15 4 9" xfId="16241" xr:uid="{00000000-0005-0000-0000-0000473F0000}"/>
    <cellStyle name="Normal 2 2 2 2 5 15 5" xfId="16242" xr:uid="{00000000-0005-0000-0000-0000483F0000}"/>
    <cellStyle name="Normal 2 2 2 2 5 15 5 10" xfId="16243" xr:uid="{00000000-0005-0000-0000-0000493F0000}"/>
    <cellStyle name="Normal 2 2 2 2 5 15 5 2" xfId="16244" xr:uid="{00000000-0005-0000-0000-00004A3F0000}"/>
    <cellStyle name="Normal 2 2 2 2 5 15 5 3" xfId="16245" xr:uid="{00000000-0005-0000-0000-00004B3F0000}"/>
    <cellStyle name="Normal 2 2 2 2 5 15 5 4" xfId="16246" xr:uid="{00000000-0005-0000-0000-00004C3F0000}"/>
    <cellStyle name="Normal 2 2 2 2 5 15 5 5" xfId="16247" xr:uid="{00000000-0005-0000-0000-00004D3F0000}"/>
    <cellStyle name="Normal 2 2 2 2 5 15 5 6" xfId="16248" xr:uid="{00000000-0005-0000-0000-00004E3F0000}"/>
    <cellStyle name="Normal 2 2 2 2 5 15 5 7" xfId="16249" xr:uid="{00000000-0005-0000-0000-00004F3F0000}"/>
    <cellStyle name="Normal 2 2 2 2 5 15 5 8" xfId="16250" xr:uid="{00000000-0005-0000-0000-0000503F0000}"/>
    <cellStyle name="Normal 2 2 2 2 5 15 5 9" xfId="16251" xr:uid="{00000000-0005-0000-0000-0000513F0000}"/>
    <cellStyle name="Normal 2 2 2 2 5 15 6" xfId="16252" xr:uid="{00000000-0005-0000-0000-0000523F0000}"/>
    <cellStyle name="Normal 2 2 2 2 5 15 7" xfId="16253" xr:uid="{00000000-0005-0000-0000-0000533F0000}"/>
    <cellStyle name="Normal 2 2 2 2 5 15 8" xfId="16254" xr:uid="{00000000-0005-0000-0000-0000543F0000}"/>
    <cellStyle name="Normal 2 2 2 2 5 15 9" xfId="16255" xr:uid="{00000000-0005-0000-0000-0000553F0000}"/>
    <cellStyle name="Normal 2 2 2 2 5 16" xfId="16256" xr:uid="{00000000-0005-0000-0000-0000563F0000}"/>
    <cellStyle name="Normal 2 2 2 2 5 16 10" xfId="16257" xr:uid="{00000000-0005-0000-0000-0000573F0000}"/>
    <cellStyle name="Normal 2 2 2 2 5 16 11" xfId="16258" xr:uid="{00000000-0005-0000-0000-0000583F0000}"/>
    <cellStyle name="Normal 2 2 2 2 5 16 12" xfId="16259" xr:uid="{00000000-0005-0000-0000-0000593F0000}"/>
    <cellStyle name="Normal 2 2 2 2 5 16 13" xfId="16260" xr:uid="{00000000-0005-0000-0000-00005A3F0000}"/>
    <cellStyle name="Normal 2 2 2 2 5 16 14" xfId="16261" xr:uid="{00000000-0005-0000-0000-00005B3F0000}"/>
    <cellStyle name="Normal 2 2 2 2 5 16 2" xfId="16262" xr:uid="{00000000-0005-0000-0000-00005C3F0000}"/>
    <cellStyle name="Normal 2 2 2 2 5 16 2 10" xfId="16263" xr:uid="{00000000-0005-0000-0000-00005D3F0000}"/>
    <cellStyle name="Normal 2 2 2 2 5 16 2 2" xfId="16264" xr:uid="{00000000-0005-0000-0000-00005E3F0000}"/>
    <cellStyle name="Normal 2 2 2 2 5 16 2 3" xfId="16265" xr:uid="{00000000-0005-0000-0000-00005F3F0000}"/>
    <cellStyle name="Normal 2 2 2 2 5 16 2 4" xfId="16266" xr:uid="{00000000-0005-0000-0000-0000603F0000}"/>
    <cellStyle name="Normal 2 2 2 2 5 16 2 5" xfId="16267" xr:uid="{00000000-0005-0000-0000-0000613F0000}"/>
    <cellStyle name="Normal 2 2 2 2 5 16 2 6" xfId="16268" xr:uid="{00000000-0005-0000-0000-0000623F0000}"/>
    <cellStyle name="Normal 2 2 2 2 5 16 2 7" xfId="16269" xr:uid="{00000000-0005-0000-0000-0000633F0000}"/>
    <cellStyle name="Normal 2 2 2 2 5 16 2 8" xfId="16270" xr:uid="{00000000-0005-0000-0000-0000643F0000}"/>
    <cellStyle name="Normal 2 2 2 2 5 16 2 9" xfId="16271" xr:uid="{00000000-0005-0000-0000-0000653F0000}"/>
    <cellStyle name="Normal 2 2 2 2 5 16 3" xfId="16272" xr:uid="{00000000-0005-0000-0000-0000663F0000}"/>
    <cellStyle name="Normal 2 2 2 2 5 16 3 10" xfId="16273" xr:uid="{00000000-0005-0000-0000-0000673F0000}"/>
    <cellStyle name="Normal 2 2 2 2 5 16 3 2" xfId="16274" xr:uid="{00000000-0005-0000-0000-0000683F0000}"/>
    <cellStyle name="Normal 2 2 2 2 5 16 3 3" xfId="16275" xr:uid="{00000000-0005-0000-0000-0000693F0000}"/>
    <cellStyle name="Normal 2 2 2 2 5 16 3 4" xfId="16276" xr:uid="{00000000-0005-0000-0000-00006A3F0000}"/>
    <cellStyle name="Normal 2 2 2 2 5 16 3 5" xfId="16277" xr:uid="{00000000-0005-0000-0000-00006B3F0000}"/>
    <cellStyle name="Normal 2 2 2 2 5 16 3 6" xfId="16278" xr:uid="{00000000-0005-0000-0000-00006C3F0000}"/>
    <cellStyle name="Normal 2 2 2 2 5 16 3 7" xfId="16279" xr:uid="{00000000-0005-0000-0000-00006D3F0000}"/>
    <cellStyle name="Normal 2 2 2 2 5 16 3 8" xfId="16280" xr:uid="{00000000-0005-0000-0000-00006E3F0000}"/>
    <cellStyle name="Normal 2 2 2 2 5 16 3 9" xfId="16281" xr:uid="{00000000-0005-0000-0000-00006F3F0000}"/>
    <cellStyle name="Normal 2 2 2 2 5 16 4" xfId="16282" xr:uid="{00000000-0005-0000-0000-0000703F0000}"/>
    <cellStyle name="Normal 2 2 2 2 5 16 4 10" xfId="16283" xr:uid="{00000000-0005-0000-0000-0000713F0000}"/>
    <cellStyle name="Normal 2 2 2 2 5 16 4 2" xfId="16284" xr:uid="{00000000-0005-0000-0000-0000723F0000}"/>
    <cellStyle name="Normal 2 2 2 2 5 16 4 3" xfId="16285" xr:uid="{00000000-0005-0000-0000-0000733F0000}"/>
    <cellStyle name="Normal 2 2 2 2 5 16 4 4" xfId="16286" xr:uid="{00000000-0005-0000-0000-0000743F0000}"/>
    <cellStyle name="Normal 2 2 2 2 5 16 4 5" xfId="16287" xr:uid="{00000000-0005-0000-0000-0000753F0000}"/>
    <cellStyle name="Normal 2 2 2 2 5 16 4 6" xfId="16288" xr:uid="{00000000-0005-0000-0000-0000763F0000}"/>
    <cellStyle name="Normal 2 2 2 2 5 16 4 7" xfId="16289" xr:uid="{00000000-0005-0000-0000-0000773F0000}"/>
    <cellStyle name="Normal 2 2 2 2 5 16 4 8" xfId="16290" xr:uid="{00000000-0005-0000-0000-0000783F0000}"/>
    <cellStyle name="Normal 2 2 2 2 5 16 4 9" xfId="16291" xr:uid="{00000000-0005-0000-0000-0000793F0000}"/>
    <cellStyle name="Normal 2 2 2 2 5 16 5" xfId="16292" xr:uid="{00000000-0005-0000-0000-00007A3F0000}"/>
    <cellStyle name="Normal 2 2 2 2 5 16 5 10" xfId="16293" xr:uid="{00000000-0005-0000-0000-00007B3F0000}"/>
    <cellStyle name="Normal 2 2 2 2 5 16 5 2" xfId="16294" xr:uid="{00000000-0005-0000-0000-00007C3F0000}"/>
    <cellStyle name="Normal 2 2 2 2 5 16 5 3" xfId="16295" xr:uid="{00000000-0005-0000-0000-00007D3F0000}"/>
    <cellStyle name="Normal 2 2 2 2 5 16 5 4" xfId="16296" xr:uid="{00000000-0005-0000-0000-00007E3F0000}"/>
    <cellStyle name="Normal 2 2 2 2 5 16 5 5" xfId="16297" xr:uid="{00000000-0005-0000-0000-00007F3F0000}"/>
    <cellStyle name="Normal 2 2 2 2 5 16 5 6" xfId="16298" xr:uid="{00000000-0005-0000-0000-0000803F0000}"/>
    <cellStyle name="Normal 2 2 2 2 5 16 5 7" xfId="16299" xr:uid="{00000000-0005-0000-0000-0000813F0000}"/>
    <cellStyle name="Normal 2 2 2 2 5 16 5 8" xfId="16300" xr:uid="{00000000-0005-0000-0000-0000823F0000}"/>
    <cellStyle name="Normal 2 2 2 2 5 16 5 9" xfId="16301" xr:uid="{00000000-0005-0000-0000-0000833F0000}"/>
    <cellStyle name="Normal 2 2 2 2 5 16 6" xfId="16302" xr:uid="{00000000-0005-0000-0000-0000843F0000}"/>
    <cellStyle name="Normal 2 2 2 2 5 16 7" xfId="16303" xr:uid="{00000000-0005-0000-0000-0000853F0000}"/>
    <cellStyle name="Normal 2 2 2 2 5 16 8" xfId="16304" xr:uid="{00000000-0005-0000-0000-0000863F0000}"/>
    <cellStyle name="Normal 2 2 2 2 5 16 9" xfId="16305" xr:uid="{00000000-0005-0000-0000-0000873F0000}"/>
    <cellStyle name="Normal 2 2 2 2 5 17" xfId="16306" xr:uid="{00000000-0005-0000-0000-0000883F0000}"/>
    <cellStyle name="Normal 2 2 2 2 5 17 10" xfId="16307" xr:uid="{00000000-0005-0000-0000-0000893F0000}"/>
    <cellStyle name="Normal 2 2 2 2 5 17 11" xfId="16308" xr:uid="{00000000-0005-0000-0000-00008A3F0000}"/>
    <cellStyle name="Normal 2 2 2 2 5 17 12" xfId="16309" xr:uid="{00000000-0005-0000-0000-00008B3F0000}"/>
    <cellStyle name="Normal 2 2 2 2 5 17 13" xfId="16310" xr:uid="{00000000-0005-0000-0000-00008C3F0000}"/>
    <cellStyle name="Normal 2 2 2 2 5 17 14" xfId="16311" xr:uid="{00000000-0005-0000-0000-00008D3F0000}"/>
    <cellStyle name="Normal 2 2 2 2 5 17 2" xfId="16312" xr:uid="{00000000-0005-0000-0000-00008E3F0000}"/>
    <cellStyle name="Normal 2 2 2 2 5 17 2 10" xfId="16313" xr:uid="{00000000-0005-0000-0000-00008F3F0000}"/>
    <cellStyle name="Normal 2 2 2 2 5 17 2 2" xfId="16314" xr:uid="{00000000-0005-0000-0000-0000903F0000}"/>
    <cellStyle name="Normal 2 2 2 2 5 17 2 3" xfId="16315" xr:uid="{00000000-0005-0000-0000-0000913F0000}"/>
    <cellStyle name="Normal 2 2 2 2 5 17 2 4" xfId="16316" xr:uid="{00000000-0005-0000-0000-0000923F0000}"/>
    <cellStyle name="Normal 2 2 2 2 5 17 2 5" xfId="16317" xr:uid="{00000000-0005-0000-0000-0000933F0000}"/>
    <cellStyle name="Normal 2 2 2 2 5 17 2 6" xfId="16318" xr:uid="{00000000-0005-0000-0000-0000943F0000}"/>
    <cellStyle name="Normal 2 2 2 2 5 17 2 7" xfId="16319" xr:uid="{00000000-0005-0000-0000-0000953F0000}"/>
    <cellStyle name="Normal 2 2 2 2 5 17 2 8" xfId="16320" xr:uid="{00000000-0005-0000-0000-0000963F0000}"/>
    <cellStyle name="Normal 2 2 2 2 5 17 2 9" xfId="16321" xr:uid="{00000000-0005-0000-0000-0000973F0000}"/>
    <cellStyle name="Normal 2 2 2 2 5 17 3" xfId="16322" xr:uid="{00000000-0005-0000-0000-0000983F0000}"/>
    <cellStyle name="Normal 2 2 2 2 5 17 3 10" xfId="16323" xr:uid="{00000000-0005-0000-0000-0000993F0000}"/>
    <cellStyle name="Normal 2 2 2 2 5 17 3 2" xfId="16324" xr:uid="{00000000-0005-0000-0000-00009A3F0000}"/>
    <cellStyle name="Normal 2 2 2 2 5 17 3 3" xfId="16325" xr:uid="{00000000-0005-0000-0000-00009B3F0000}"/>
    <cellStyle name="Normal 2 2 2 2 5 17 3 4" xfId="16326" xr:uid="{00000000-0005-0000-0000-00009C3F0000}"/>
    <cellStyle name="Normal 2 2 2 2 5 17 3 5" xfId="16327" xr:uid="{00000000-0005-0000-0000-00009D3F0000}"/>
    <cellStyle name="Normal 2 2 2 2 5 17 3 6" xfId="16328" xr:uid="{00000000-0005-0000-0000-00009E3F0000}"/>
    <cellStyle name="Normal 2 2 2 2 5 17 3 7" xfId="16329" xr:uid="{00000000-0005-0000-0000-00009F3F0000}"/>
    <cellStyle name="Normal 2 2 2 2 5 17 3 8" xfId="16330" xr:uid="{00000000-0005-0000-0000-0000A03F0000}"/>
    <cellStyle name="Normal 2 2 2 2 5 17 3 9" xfId="16331" xr:uid="{00000000-0005-0000-0000-0000A13F0000}"/>
    <cellStyle name="Normal 2 2 2 2 5 17 4" xfId="16332" xr:uid="{00000000-0005-0000-0000-0000A23F0000}"/>
    <cellStyle name="Normal 2 2 2 2 5 17 4 10" xfId="16333" xr:uid="{00000000-0005-0000-0000-0000A33F0000}"/>
    <cellStyle name="Normal 2 2 2 2 5 17 4 2" xfId="16334" xr:uid="{00000000-0005-0000-0000-0000A43F0000}"/>
    <cellStyle name="Normal 2 2 2 2 5 17 4 3" xfId="16335" xr:uid="{00000000-0005-0000-0000-0000A53F0000}"/>
    <cellStyle name="Normal 2 2 2 2 5 17 4 4" xfId="16336" xr:uid="{00000000-0005-0000-0000-0000A63F0000}"/>
    <cellStyle name="Normal 2 2 2 2 5 17 4 5" xfId="16337" xr:uid="{00000000-0005-0000-0000-0000A73F0000}"/>
    <cellStyle name="Normal 2 2 2 2 5 17 4 6" xfId="16338" xr:uid="{00000000-0005-0000-0000-0000A83F0000}"/>
    <cellStyle name="Normal 2 2 2 2 5 17 4 7" xfId="16339" xr:uid="{00000000-0005-0000-0000-0000A93F0000}"/>
    <cellStyle name="Normal 2 2 2 2 5 17 4 8" xfId="16340" xr:uid="{00000000-0005-0000-0000-0000AA3F0000}"/>
    <cellStyle name="Normal 2 2 2 2 5 17 4 9" xfId="16341" xr:uid="{00000000-0005-0000-0000-0000AB3F0000}"/>
    <cellStyle name="Normal 2 2 2 2 5 17 5" xfId="16342" xr:uid="{00000000-0005-0000-0000-0000AC3F0000}"/>
    <cellStyle name="Normal 2 2 2 2 5 17 5 10" xfId="16343" xr:uid="{00000000-0005-0000-0000-0000AD3F0000}"/>
    <cellStyle name="Normal 2 2 2 2 5 17 5 2" xfId="16344" xr:uid="{00000000-0005-0000-0000-0000AE3F0000}"/>
    <cellStyle name="Normal 2 2 2 2 5 17 5 3" xfId="16345" xr:uid="{00000000-0005-0000-0000-0000AF3F0000}"/>
    <cellStyle name="Normal 2 2 2 2 5 17 5 4" xfId="16346" xr:uid="{00000000-0005-0000-0000-0000B03F0000}"/>
    <cellStyle name="Normal 2 2 2 2 5 17 5 5" xfId="16347" xr:uid="{00000000-0005-0000-0000-0000B13F0000}"/>
    <cellStyle name="Normal 2 2 2 2 5 17 5 6" xfId="16348" xr:uid="{00000000-0005-0000-0000-0000B23F0000}"/>
    <cellStyle name="Normal 2 2 2 2 5 17 5 7" xfId="16349" xr:uid="{00000000-0005-0000-0000-0000B33F0000}"/>
    <cellStyle name="Normal 2 2 2 2 5 17 5 8" xfId="16350" xr:uid="{00000000-0005-0000-0000-0000B43F0000}"/>
    <cellStyle name="Normal 2 2 2 2 5 17 5 9" xfId="16351" xr:uid="{00000000-0005-0000-0000-0000B53F0000}"/>
    <cellStyle name="Normal 2 2 2 2 5 17 6" xfId="16352" xr:uid="{00000000-0005-0000-0000-0000B63F0000}"/>
    <cellStyle name="Normal 2 2 2 2 5 17 7" xfId="16353" xr:uid="{00000000-0005-0000-0000-0000B73F0000}"/>
    <cellStyle name="Normal 2 2 2 2 5 17 8" xfId="16354" xr:uid="{00000000-0005-0000-0000-0000B83F0000}"/>
    <cellStyle name="Normal 2 2 2 2 5 17 9" xfId="16355" xr:uid="{00000000-0005-0000-0000-0000B93F0000}"/>
    <cellStyle name="Normal 2 2 2 2 5 18" xfId="16356" xr:uid="{00000000-0005-0000-0000-0000BA3F0000}"/>
    <cellStyle name="Normal 2 2 2 2 5 18 10" xfId="16357" xr:uid="{00000000-0005-0000-0000-0000BB3F0000}"/>
    <cellStyle name="Normal 2 2 2 2 5 18 11" xfId="16358" xr:uid="{00000000-0005-0000-0000-0000BC3F0000}"/>
    <cellStyle name="Normal 2 2 2 2 5 18 12" xfId="16359" xr:uid="{00000000-0005-0000-0000-0000BD3F0000}"/>
    <cellStyle name="Normal 2 2 2 2 5 18 13" xfId="16360" xr:uid="{00000000-0005-0000-0000-0000BE3F0000}"/>
    <cellStyle name="Normal 2 2 2 2 5 18 14" xfId="16361" xr:uid="{00000000-0005-0000-0000-0000BF3F0000}"/>
    <cellStyle name="Normal 2 2 2 2 5 18 2" xfId="16362" xr:uid="{00000000-0005-0000-0000-0000C03F0000}"/>
    <cellStyle name="Normal 2 2 2 2 5 18 2 10" xfId="16363" xr:uid="{00000000-0005-0000-0000-0000C13F0000}"/>
    <cellStyle name="Normal 2 2 2 2 5 18 2 2" xfId="16364" xr:uid="{00000000-0005-0000-0000-0000C23F0000}"/>
    <cellStyle name="Normal 2 2 2 2 5 18 2 3" xfId="16365" xr:uid="{00000000-0005-0000-0000-0000C33F0000}"/>
    <cellStyle name="Normal 2 2 2 2 5 18 2 4" xfId="16366" xr:uid="{00000000-0005-0000-0000-0000C43F0000}"/>
    <cellStyle name="Normal 2 2 2 2 5 18 2 5" xfId="16367" xr:uid="{00000000-0005-0000-0000-0000C53F0000}"/>
    <cellStyle name="Normal 2 2 2 2 5 18 2 6" xfId="16368" xr:uid="{00000000-0005-0000-0000-0000C63F0000}"/>
    <cellStyle name="Normal 2 2 2 2 5 18 2 7" xfId="16369" xr:uid="{00000000-0005-0000-0000-0000C73F0000}"/>
    <cellStyle name="Normal 2 2 2 2 5 18 2 8" xfId="16370" xr:uid="{00000000-0005-0000-0000-0000C83F0000}"/>
    <cellStyle name="Normal 2 2 2 2 5 18 2 9" xfId="16371" xr:uid="{00000000-0005-0000-0000-0000C93F0000}"/>
    <cellStyle name="Normal 2 2 2 2 5 18 3" xfId="16372" xr:uid="{00000000-0005-0000-0000-0000CA3F0000}"/>
    <cellStyle name="Normal 2 2 2 2 5 18 3 10" xfId="16373" xr:uid="{00000000-0005-0000-0000-0000CB3F0000}"/>
    <cellStyle name="Normal 2 2 2 2 5 18 3 2" xfId="16374" xr:uid="{00000000-0005-0000-0000-0000CC3F0000}"/>
    <cellStyle name="Normal 2 2 2 2 5 18 3 3" xfId="16375" xr:uid="{00000000-0005-0000-0000-0000CD3F0000}"/>
    <cellStyle name="Normal 2 2 2 2 5 18 3 4" xfId="16376" xr:uid="{00000000-0005-0000-0000-0000CE3F0000}"/>
    <cellStyle name="Normal 2 2 2 2 5 18 3 5" xfId="16377" xr:uid="{00000000-0005-0000-0000-0000CF3F0000}"/>
    <cellStyle name="Normal 2 2 2 2 5 18 3 6" xfId="16378" xr:uid="{00000000-0005-0000-0000-0000D03F0000}"/>
    <cellStyle name="Normal 2 2 2 2 5 18 3 7" xfId="16379" xr:uid="{00000000-0005-0000-0000-0000D13F0000}"/>
    <cellStyle name="Normal 2 2 2 2 5 18 3 8" xfId="16380" xr:uid="{00000000-0005-0000-0000-0000D23F0000}"/>
    <cellStyle name="Normal 2 2 2 2 5 18 3 9" xfId="16381" xr:uid="{00000000-0005-0000-0000-0000D33F0000}"/>
    <cellStyle name="Normal 2 2 2 2 5 18 4" xfId="16382" xr:uid="{00000000-0005-0000-0000-0000D43F0000}"/>
    <cellStyle name="Normal 2 2 2 2 5 18 4 10" xfId="16383" xr:uid="{00000000-0005-0000-0000-0000D53F0000}"/>
    <cellStyle name="Normal 2 2 2 2 5 18 4 2" xfId="16384" xr:uid="{00000000-0005-0000-0000-0000D63F0000}"/>
    <cellStyle name="Normal 2 2 2 2 5 18 4 3" xfId="16385" xr:uid="{00000000-0005-0000-0000-0000D73F0000}"/>
    <cellStyle name="Normal 2 2 2 2 5 18 4 4" xfId="16386" xr:uid="{00000000-0005-0000-0000-0000D83F0000}"/>
    <cellStyle name="Normal 2 2 2 2 5 18 4 5" xfId="16387" xr:uid="{00000000-0005-0000-0000-0000D93F0000}"/>
    <cellStyle name="Normal 2 2 2 2 5 18 4 6" xfId="16388" xr:uid="{00000000-0005-0000-0000-0000DA3F0000}"/>
    <cellStyle name="Normal 2 2 2 2 5 18 4 7" xfId="16389" xr:uid="{00000000-0005-0000-0000-0000DB3F0000}"/>
    <cellStyle name="Normal 2 2 2 2 5 18 4 8" xfId="16390" xr:uid="{00000000-0005-0000-0000-0000DC3F0000}"/>
    <cellStyle name="Normal 2 2 2 2 5 18 4 9" xfId="16391" xr:uid="{00000000-0005-0000-0000-0000DD3F0000}"/>
    <cellStyle name="Normal 2 2 2 2 5 18 5" xfId="16392" xr:uid="{00000000-0005-0000-0000-0000DE3F0000}"/>
    <cellStyle name="Normal 2 2 2 2 5 18 5 10" xfId="16393" xr:uid="{00000000-0005-0000-0000-0000DF3F0000}"/>
    <cellStyle name="Normal 2 2 2 2 5 18 5 2" xfId="16394" xr:uid="{00000000-0005-0000-0000-0000E03F0000}"/>
    <cellStyle name="Normal 2 2 2 2 5 18 5 3" xfId="16395" xr:uid="{00000000-0005-0000-0000-0000E13F0000}"/>
    <cellStyle name="Normal 2 2 2 2 5 18 5 4" xfId="16396" xr:uid="{00000000-0005-0000-0000-0000E23F0000}"/>
    <cellStyle name="Normal 2 2 2 2 5 18 5 5" xfId="16397" xr:uid="{00000000-0005-0000-0000-0000E33F0000}"/>
    <cellStyle name="Normal 2 2 2 2 5 18 5 6" xfId="16398" xr:uid="{00000000-0005-0000-0000-0000E43F0000}"/>
    <cellStyle name="Normal 2 2 2 2 5 18 5 7" xfId="16399" xr:uid="{00000000-0005-0000-0000-0000E53F0000}"/>
    <cellStyle name="Normal 2 2 2 2 5 18 5 8" xfId="16400" xr:uid="{00000000-0005-0000-0000-0000E63F0000}"/>
    <cellStyle name="Normal 2 2 2 2 5 18 5 9" xfId="16401" xr:uid="{00000000-0005-0000-0000-0000E73F0000}"/>
    <cellStyle name="Normal 2 2 2 2 5 18 6" xfId="16402" xr:uid="{00000000-0005-0000-0000-0000E83F0000}"/>
    <cellStyle name="Normal 2 2 2 2 5 18 7" xfId="16403" xr:uid="{00000000-0005-0000-0000-0000E93F0000}"/>
    <cellStyle name="Normal 2 2 2 2 5 18 8" xfId="16404" xr:uid="{00000000-0005-0000-0000-0000EA3F0000}"/>
    <cellStyle name="Normal 2 2 2 2 5 18 9" xfId="16405" xr:uid="{00000000-0005-0000-0000-0000EB3F0000}"/>
    <cellStyle name="Normal 2 2 2 2 5 19" xfId="16406" xr:uid="{00000000-0005-0000-0000-0000EC3F0000}"/>
    <cellStyle name="Normal 2 2 2 2 5 19 10" xfId="16407" xr:uid="{00000000-0005-0000-0000-0000ED3F0000}"/>
    <cellStyle name="Normal 2 2 2 2 5 19 11" xfId="16408" xr:uid="{00000000-0005-0000-0000-0000EE3F0000}"/>
    <cellStyle name="Normal 2 2 2 2 5 19 12" xfId="16409" xr:uid="{00000000-0005-0000-0000-0000EF3F0000}"/>
    <cellStyle name="Normal 2 2 2 2 5 19 13" xfId="16410" xr:uid="{00000000-0005-0000-0000-0000F03F0000}"/>
    <cellStyle name="Normal 2 2 2 2 5 19 14" xfId="16411" xr:uid="{00000000-0005-0000-0000-0000F13F0000}"/>
    <cellStyle name="Normal 2 2 2 2 5 19 2" xfId="16412" xr:uid="{00000000-0005-0000-0000-0000F23F0000}"/>
    <cellStyle name="Normal 2 2 2 2 5 19 2 10" xfId="16413" xr:uid="{00000000-0005-0000-0000-0000F33F0000}"/>
    <cellStyle name="Normal 2 2 2 2 5 19 2 2" xfId="16414" xr:uid="{00000000-0005-0000-0000-0000F43F0000}"/>
    <cellStyle name="Normal 2 2 2 2 5 19 2 3" xfId="16415" xr:uid="{00000000-0005-0000-0000-0000F53F0000}"/>
    <cellStyle name="Normal 2 2 2 2 5 19 2 4" xfId="16416" xr:uid="{00000000-0005-0000-0000-0000F63F0000}"/>
    <cellStyle name="Normal 2 2 2 2 5 19 2 5" xfId="16417" xr:uid="{00000000-0005-0000-0000-0000F73F0000}"/>
    <cellStyle name="Normal 2 2 2 2 5 19 2 6" xfId="16418" xr:uid="{00000000-0005-0000-0000-0000F83F0000}"/>
    <cellStyle name="Normal 2 2 2 2 5 19 2 7" xfId="16419" xr:uid="{00000000-0005-0000-0000-0000F93F0000}"/>
    <cellStyle name="Normal 2 2 2 2 5 19 2 8" xfId="16420" xr:uid="{00000000-0005-0000-0000-0000FA3F0000}"/>
    <cellStyle name="Normal 2 2 2 2 5 19 2 9" xfId="16421" xr:uid="{00000000-0005-0000-0000-0000FB3F0000}"/>
    <cellStyle name="Normal 2 2 2 2 5 19 3" xfId="16422" xr:uid="{00000000-0005-0000-0000-0000FC3F0000}"/>
    <cellStyle name="Normal 2 2 2 2 5 19 3 10" xfId="16423" xr:uid="{00000000-0005-0000-0000-0000FD3F0000}"/>
    <cellStyle name="Normal 2 2 2 2 5 19 3 2" xfId="16424" xr:uid="{00000000-0005-0000-0000-0000FE3F0000}"/>
    <cellStyle name="Normal 2 2 2 2 5 19 3 3" xfId="16425" xr:uid="{00000000-0005-0000-0000-0000FF3F0000}"/>
    <cellStyle name="Normal 2 2 2 2 5 19 3 4" xfId="16426" xr:uid="{00000000-0005-0000-0000-000000400000}"/>
    <cellStyle name="Normal 2 2 2 2 5 19 3 5" xfId="16427" xr:uid="{00000000-0005-0000-0000-000001400000}"/>
    <cellStyle name="Normal 2 2 2 2 5 19 3 6" xfId="16428" xr:uid="{00000000-0005-0000-0000-000002400000}"/>
    <cellStyle name="Normal 2 2 2 2 5 19 3 7" xfId="16429" xr:uid="{00000000-0005-0000-0000-000003400000}"/>
    <cellStyle name="Normal 2 2 2 2 5 19 3 8" xfId="16430" xr:uid="{00000000-0005-0000-0000-000004400000}"/>
    <cellStyle name="Normal 2 2 2 2 5 19 3 9" xfId="16431" xr:uid="{00000000-0005-0000-0000-000005400000}"/>
    <cellStyle name="Normal 2 2 2 2 5 19 4" xfId="16432" xr:uid="{00000000-0005-0000-0000-000006400000}"/>
    <cellStyle name="Normal 2 2 2 2 5 19 4 10" xfId="16433" xr:uid="{00000000-0005-0000-0000-000007400000}"/>
    <cellStyle name="Normal 2 2 2 2 5 19 4 2" xfId="16434" xr:uid="{00000000-0005-0000-0000-000008400000}"/>
    <cellStyle name="Normal 2 2 2 2 5 19 4 3" xfId="16435" xr:uid="{00000000-0005-0000-0000-000009400000}"/>
    <cellStyle name="Normal 2 2 2 2 5 19 4 4" xfId="16436" xr:uid="{00000000-0005-0000-0000-00000A400000}"/>
    <cellStyle name="Normal 2 2 2 2 5 19 4 5" xfId="16437" xr:uid="{00000000-0005-0000-0000-00000B400000}"/>
    <cellStyle name="Normal 2 2 2 2 5 19 4 6" xfId="16438" xr:uid="{00000000-0005-0000-0000-00000C400000}"/>
    <cellStyle name="Normal 2 2 2 2 5 19 4 7" xfId="16439" xr:uid="{00000000-0005-0000-0000-00000D400000}"/>
    <cellStyle name="Normal 2 2 2 2 5 19 4 8" xfId="16440" xr:uid="{00000000-0005-0000-0000-00000E400000}"/>
    <cellStyle name="Normal 2 2 2 2 5 19 4 9" xfId="16441" xr:uid="{00000000-0005-0000-0000-00000F400000}"/>
    <cellStyle name="Normal 2 2 2 2 5 19 5" xfId="16442" xr:uid="{00000000-0005-0000-0000-000010400000}"/>
    <cellStyle name="Normal 2 2 2 2 5 19 5 10" xfId="16443" xr:uid="{00000000-0005-0000-0000-000011400000}"/>
    <cellStyle name="Normal 2 2 2 2 5 19 5 2" xfId="16444" xr:uid="{00000000-0005-0000-0000-000012400000}"/>
    <cellStyle name="Normal 2 2 2 2 5 19 5 3" xfId="16445" xr:uid="{00000000-0005-0000-0000-000013400000}"/>
    <cellStyle name="Normal 2 2 2 2 5 19 5 4" xfId="16446" xr:uid="{00000000-0005-0000-0000-000014400000}"/>
    <cellStyle name="Normal 2 2 2 2 5 19 5 5" xfId="16447" xr:uid="{00000000-0005-0000-0000-000015400000}"/>
    <cellStyle name="Normal 2 2 2 2 5 19 5 6" xfId="16448" xr:uid="{00000000-0005-0000-0000-000016400000}"/>
    <cellStyle name="Normal 2 2 2 2 5 19 5 7" xfId="16449" xr:uid="{00000000-0005-0000-0000-000017400000}"/>
    <cellStyle name="Normal 2 2 2 2 5 19 5 8" xfId="16450" xr:uid="{00000000-0005-0000-0000-000018400000}"/>
    <cellStyle name="Normal 2 2 2 2 5 19 5 9" xfId="16451" xr:uid="{00000000-0005-0000-0000-000019400000}"/>
    <cellStyle name="Normal 2 2 2 2 5 19 6" xfId="16452" xr:uid="{00000000-0005-0000-0000-00001A400000}"/>
    <cellStyle name="Normal 2 2 2 2 5 19 7" xfId="16453" xr:uid="{00000000-0005-0000-0000-00001B400000}"/>
    <cellStyle name="Normal 2 2 2 2 5 19 8" xfId="16454" xr:uid="{00000000-0005-0000-0000-00001C400000}"/>
    <cellStyle name="Normal 2 2 2 2 5 19 9" xfId="16455" xr:uid="{00000000-0005-0000-0000-00001D400000}"/>
    <cellStyle name="Normal 2 2 2 2 5 2" xfId="16456" xr:uid="{00000000-0005-0000-0000-00001E400000}"/>
    <cellStyle name="Normal 2 2 2 2 5 2 10" xfId="16457" xr:uid="{00000000-0005-0000-0000-00001F400000}"/>
    <cellStyle name="Normal 2 2 2 2 5 2 11" xfId="16458" xr:uid="{00000000-0005-0000-0000-000020400000}"/>
    <cellStyle name="Normal 2 2 2 2 5 2 12" xfId="16459" xr:uid="{00000000-0005-0000-0000-000021400000}"/>
    <cellStyle name="Normal 2 2 2 2 5 2 13" xfId="16460" xr:uid="{00000000-0005-0000-0000-000022400000}"/>
    <cellStyle name="Normal 2 2 2 2 5 2 14" xfId="16461" xr:uid="{00000000-0005-0000-0000-000023400000}"/>
    <cellStyle name="Normal 2 2 2 2 5 2 15" xfId="16462" xr:uid="{00000000-0005-0000-0000-000024400000}"/>
    <cellStyle name="Normal 2 2 2 2 5 2 16" xfId="16463" xr:uid="{00000000-0005-0000-0000-000025400000}"/>
    <cellStyle name="Normal 2 2 2 2 5 2 17" xfId="16464" xr:uid="{00000000-0005-0000-0000-000026400000}"/>
    <cellStyle name="Normal 2 2 2 2 5 2 18" xfId="16465" xr:uid="{00000000-0005-0000-0000-000027400000}"/>
    <cellStyle name="Normal 2 2 2 2 5 2 19" xfId="16466" xr:uid="{00000000-0005-0000-0000-000028400000}"/>
    <cellStyle name="Normal 2 2 2 2 5 2 2" xfId="16467" xr:uid="{00000000-0005-0000-0000-000029400000}"/>
    <cellStyle name="Normal 2 2 2 2 5 2 20" xfId="16468" xr:uid="{00000000-0005-0000-0000-00002A400000}"/>
    <cellStyle name="Normal 2 2 2 2 5 2 21" xfId="16469" xr:uid="{00000000-0005-0000-0000-00002B400000}"/>
    <cellStyle name="Normal 2 2 2 2 5 2 21 10" xfId="16470" xr:uid="{00000000-0005-0000-0000-00002C400000}"/>
    <cellStyle name="Normal 2 2 2 2 5 2 21 2" xfId="16471" xr:uid="{00000000-0005-0000-0000-00002D400000}"/>
    <cellStyle name="Normal 2 2 2 2 5 2 21 3" xfId="16472" xr:uid="{00000000-0005-0000-0000-00002E400000}"/>
    <cellStyle name="Normal 2 2 2 2 5 2 21 4" xfId="16473" xr:uid="{00000000-0005-0000-0000-00002F400000}"/>
    <cellStyle name="Normal 2 2 2 2 5 2 21 5" xfId="16474" xr:uid="{00000000-0005-0000-0000-000030400000}"/>
    <cellStyle name="Normal 2 2 2 2 5 2 21 6" xfId="16475" xr:uid="{00000000-0005-0000-0000-000031400000}"/>
    <cellStyle name="Normal 2 2 2 2 5 2 21 7" xfId="16476" xr:uid="{00000000-0005-0000-0000-000032400000}"/>
    <cellStyle name="Normal 2 2 2 2 5 2 21 8" xfId="16477" xr:uid="{00000000-0005-0000-0000-000033400000}"/>
    <cellStyle name="Normal 2 2 2 2 5 2 21 9" xfId="16478" xr:uid="{00000000-0005-0000-0000-000034400000}"/>
    <cellStyle name="Normal 2 2 2 2 5 2 22" xfId="16479" xr:uid="{00000000-0005-0000-0000-000035400000}"/>
    <cellStyle name="Normal 2 2 2 2 5 2 22 10" xfId="16480" xr:uid="{00000000-0005-0000-0000-000036400000}"/>
    <cellStyle name="Normal 2 2 2 2 5 2 22 2" xfId="16481" xr:uid="{00000000-0005-0000-0000-000037400000}"/>
    <cellStyle name="Normal 2 2 2 2 5 2 22 3" xfId="16482" xr:uid="{00000000-0005-0000-0000-000038400000}"/>
    <cellStyle name="Normal 2 2 2 2 5 2 22 4" xfId="16483" xr:uid="{00000000-0005-0000-0000-000039400000}"/>
    <cellStyle name="Normal 2 2 2 2 5 2 22 5" xfId="16484" xr:uid="{00000000-0005-0000-0000-00003A400000}"/>
    <cellStyle name="Normal 2 2 2 2 5 2 22 6" xfId="16485" xr:uid="{00000000-0005-0000-0000-00003B400000}"/>
    <cellStyle name="Normal 2 2 2 2 5 2 22 7" xfId="16486" xr:uid="{00000000-0005-0000-0000-00003C400000}"/>
    <cellStyle name="Normal 2 2 2 2 5 2 22 8" xfId="16487" xr:uid="{00000000-0005-0000-0000-00003D400000}"/>
    <cellStyle name="Normal 2 2 2 2 5 2 22 9" xfId="16488" xr:uid="{00000000-0005-0000-0000-00003E400000}"/>
    <cellStyle name="Normal 2 2 2 2 5 2 23" xfId="16489" xr:uid="{00000000-0005-0000-0000-00003F400000}"/>
    <cellStyle name="Normal 2 2 2 2 5 2 23 10" xfId="16490" xr:uid="{00000000-0005-0000-0000-000040400000}"/>
    <cellStyle name="Normal 2 2 2 2 5 2 23 2" xfId="16491" xr:uid="{00000000-0005-0000-0000-000041400000}"/>
    <cellStyle name="Normal 2 2 2 2 5 2 23 3" xfId="16492" xr:uid="{00000000-0005-0000-0000-000042400000}"/>
    <cellStyle name="Normal 2 2 2 2 5 2 23 4" xfId="16493" xr:uid="{00000000-0005-0000-0000-000043400000}"/>
    <cellStyle name="Normal 2 2 2 2 5 2 23 5" xfId="16494" xr:uid="{00000000-0005-0000-0000-000044400000}"/>
    <cellStyle name="Normal 2 2 2 2 5 2 23 6" xfId="16495" xr:uid="{00000000-0005-0000-0000-000045400000}"/>
    <cellStyle name="Normal 2 2 2 2 5 2 23 7" xfId="16496" xr:uid="{00000000-0005-0000-0000-000046400000}"/>
    <cellStyle name="Normal 2 2 2 2 5 2 23 8" xfId="16497" xr:uid="{00000000-0005-0000-0000-000047400000}"/>
    <cellStyle name="Normal 2 2 2 2 5 2 23 9" xfId="16498" xr:uid="{00000000-0005-0000-0000-000048400000}"/>
    <cellStyle name="Normal 2 2 2 2 5 2 24" xfId="16499" xr:uid="{00000000-0005-0000-0000-000049400000}"/>
    <cellStyle name="Normal 2 2 2 2 5 2 24 10" xfId="16500" xr:uid="{00000000-0005-0000-0000-00004A400000}"/>
    <cellStyle name="Normal 2 2 2 2 5 2 24 2" xfId="16501" xr:uid="{00000000-0005-0000-0000-00004B400000}"/>
    <cellStyle name="Normal 2 2 2 2 5 2 24 3" xfId="16502" xr:uid="{00000000-0005-0000-0000-00004C400000}"/>
    <cellStyle name="Normal 2 2 2 2 5 2 24 4" xfId="16503" xr:uid="{00000000-0005-0000-0000-00004D400000}"/>
    <cellStyle name="Normal 2 2 2 2 5 2 24 5" xfId="16504" xr:uid="{00000000-0005-0000-0000-00004E400000}"/>
    <cellStyle name="Normal 2 2 2 2 5 2 24 6" xfId="16505" xr:uid="{00000000-0005-0000-0000-00004F400000}"/>
    <cellStyle name="Normal 2 2 2 2 5 2 24 7" xfId="16506" xr:uid="{00000000-0005-0000-0000-000050400000}"/>
    <cellStyle name="Normal 2 2 2 2 5 2 24 8" xfId="16507" xr:uid="{00000000-0005-0000-0000-000051400000}"/>
    <cellStyle name="Normal 2 2 2 2 5 2 24 9" xfId="16508" xr:uid="{00000000-0005-0000-0000-000052400000}"/>
    <cellStyle name="Normal 2 2 2 2 5 2 25" xfId="16509" xr:uid="{00000000-0005-0000-0000-000053400000}"/>
    <cellStyle name="Normal 2 2 2 2 5 2 26" xfId="16510" xr:uid="{00000000-0005-0000-0000-000054400000}"/>
    <cellStyle name="Normal 2 2 2 2 5 2 27" xfId="16511" xr:uid="{00000000-0005-0000-0000-000055400000}"/>
    <cellStyle name="Normal 2 2 2 2 5 2 28" xfId="16512" xr:uid="{00000000-0005-0000-0000-000056400000}"/>
    <cellStyle name="Normal 2 2 2 2 5 2 29" xfId="16513" xr:uid="{00000000-0005-0000-0000-000057400000}"/>
    <cellStyle name="Normal 2 2 2 2 5 2 3" xfId="16514" xr:uid="{00000000-0005-0000-0000-000058400000}"/>
    <cellStyle name="Normal 2 2 2 2 5 2 30" xfId="16515" xr:uid="{00000000-0005-0000-0000-000059400000}"/>
    <cellStyle name="Normal 2 2 2 2 5 2 31" xfId="16516" xr:uid="{00000000-0005-0000-0000-00005A400000}"/>
    <cellStyle name="Normal 2 2 2 2 5 2 32" xfId="16517" xr:uid="{00000000-0005-0000-0000-00005B400000}"/>
    <cellStyle name="Normal 2 2 2 2 5 2 33" xfId="16518" xr:uid="{00000000-0005-0000-0000-00005C400000}"/>
    <cellStyle name="Normal 2 2 2 2 5 2 4" xfId="16519" xr:uid="{00000000-0005-0000-0000-00005D400000}"/>
    <cellStyle name="Normal 2 2 2 2 5 2 5" xfId="16520" xr:uid="{00000000-0005-0000-0000-00005E400000}"/>
    <cellStyle name="Normal 2 2 2 2 5 2 6" xfId="16521" xr:uid="{00000000-0005-0000-0000-00005F400000}"/>
    <cellStyle name="Normal 2 2 2 2 5 2 7" xfId="16522" xr:uid="{00000000-0005-0000-0000-000060400000}"/>
    <cellStyle name="Normal 2 2 2 2 5 2 8" xfId="16523" xr:uid="{00000000-0005-0000-0000-000061400000}"/>
    <cellStyle name="Normal 2 2 2 2 5 2 9" xfId="16524" xr:uid="{00000000-0005-0000-0000-000062400000}"/>
    <cellStyle name="Normal 2 2 2 2 5 20" xfId="16525" xr:uid="{00000000-0005-0000-0000-000063400000}"/>
    <cellStyle name="Normal 2 2 2 2 5 20 10" xfId="16526" xr:uid="{00000000-0005-0000-0000-000064400000}"/>
    <cellStyle name="Normal 2 2 2 2 5 20 11" xfId="16527" xr:uid="{00000000-0005-0000-0000-000065400000}"/>
    <cellStyle name="Normal 2 2 2 2 5 20 12" xfId="16528" xr:uid="{00000000-0005-0000-0000-000066400000}"/>
    <cellStyle name="Normal 2 2 2 2 5 20 13" xfId="16529" xr:uid="{00000000-0005-0000-0000-000067400000}"/>
    <cellStyle name="Normal 2 2 2 2 5 20 14" xfId="16530" xr:uid="{00000000-0005-0000-0000-000068400000}"/>
    <cellStyle name="Normal 2 2 2 2 5 20 2" xfId="16531" xr:uid="{00000000-0005-0000-0000-000069400000}"/>
    <cellStyle name="Normal 2 2 2 2 5 20 2 10" xfId="16532" xr:uid="{00000000-0005-0000-0000-00006A400000}"/>
    <cellStyle name="Normal 2 2 2 2 5 20 2 2" xfId="16533" xr:uid="{00000000-0005-0000-0000-00006B400000}"/>
    <cellStyle name="Normal 2 2 2 2 5 20 2 3" xfId="16534" xr:uid="{00000000-0005-0000-0000-00006C400000}"/>
    <cellStyle name="Normal 2 2 2 2 5 20 2 4" xfId="16535" xr:uid="{00000000-0005-0000-0000-00006D400000}"/>
    <cellStyle name="Normal 2 2 2 2 5 20 2 5" xfId="16536" xr:uid="{00000000-0005-0000-0000-00006E400000}"/>
    <cellStyle name="Normal 2 2 2 2 5 20 2 6" xfId="16537" xr:uid="{00000000-0005-0000-0000-00006F400000}"/>
    <cellStyle name="Normal 2 2 2 2 5 20 2 7" xfId="16538" xr:uid="{00000000-0005-0000-0000-000070400000}"/>
    <cellStyle name="Normal 2 2 2 2 5 20 2 8" xfId="16539" xr:uid="{00000000-0005-0000-0000-000071400000}"/>
    <cellStyle name="Normal 2 2 2 2 5 20 2 9" xfId="16540" xr:uid="{00000000-0005-0000-0000-000072400000}"/>
    <cellStyle name="Normal 2 2 2 2 5 20 3" xfId="16541" xr:uid="{00000000-0005-0000-0000-000073400000}"/>
    <cellStyle name="Normal 2 2 2 2 5 20 3 10" xfId="16542" xr:uid="{00000000-0005-0000-0000-000074400000}"/>
    <cellStyle name="Normal 2 2 2 2 5 20 3 2" xfId="16543" xr:uid="{00000000-0005-0000-0000-000075400000}"/>
    <cellStyle name="Normal 2 2 2 2 5 20 3 3" xfId="16544" xr:uid="{00000000-0005-0000-0000-000076400000}"/>
    <cellStyle name="Normal 2 2 2 2 5 20 3 4" xfId="16545" xr:uid="{00000000-0005-0000-0000-000077400000}"/>
    <cellStyle name="Normal 2 2 2 2 5 20 3 5" xfId="16546" xr:uid="{00000000-0005-0000-0000-000078400000}"/>
    <cellStyle name="Normal 2 2 2 2 5 20 3 6" xfId="16547" xr:uid="{00000000-0005-0000-0000-000079400000}"/>
    <cellStyle name="Normal 2 2 2 2 5 20 3 7" xfId="16548" xr:uid="{00000000-0005-0000-0000-00007A400000}"/>
    <cellStyle name="Normal 2 2 2 2 5 20 3 8" xfId="16549" xr:uid="{00000000-0005-0000-0000-00007B400000}"/>
    <cellStyle name="Normal 2 2 2 2 5 20 3 9" xfId="16550" xr:uid="{00000000-0005-0000-0000-00007C400000}"/>
    <cellStyle name="Normal 2 2 2 2 5 20 4" xfId="16551" xr:uid="{00000000-0005-0000-0000-00007D400000}"/>
    <cellStyle name="Normal 2 2 2 2 5 20 4 10" xfId="16552" xr:uid="{00000000-0005-0000-0000-00007E400000}"/>
    <cellStyle name="Normal 2 2 2 2 5 20 4 2" xfId="16553" xr:uid="{00000000-0005-0000-0000-00007F400000}"/>
    <cellStyle name="Normal 2 2 2 2 5 20 4 3" xfId="16554" xr:uid="{00000000-0005-0000-0000-000080400000}"/>
    <cellStyle name="Normal 2 2 2 2 5 20 4 4" xfId="16555" xr:uid="{00000000-0005-0000-0000-000081400000}"/>
    <cellStyle name="Normal 2 2 2 2 5 20 4 5" xfId="16556" xr:uid="{00000000-0005-0000-0000-000082400000}"/>
    <cellStyle name="Normal 2 2 2 2 5 20 4 6" xfId="16557" xr:uid="{00000000-0005-0000-0000-000083400000}"/>
    <cellStyle name="Normal 2 2 2 2 5 20 4 7" xfId="16558" xr:uid="{00000000-0005-0000-0000-000084400000}"/>
    <cellStyle name="Normal 2 2 2 2 5 20 4 8" xfId="16559" xr:uid="{00000000-0005-0000-0000-000085400000}"/>
    <cellStyle name="Normal 2 2 2 2 5 20 4 9" xfId="16560" xr:uid="{00000000-0005-0000-0000-000086400000}"/>
    <cellStyle name="Normal 2 2 2 2 5 20 5" xfId="16561" xr:uid="{00000000-0005-0000-0000-000087400000}"/>
    <cellStyle name="Normal 2 2 2 2 5 20 5 10" xfId="16562" xr:uid="{00000000-0005-0000-0000-000088400000}"/>
    <cellStyle name="Normal 2 2 2 2 5 20 5 2" xfId="16563" xr:uid="{00000000-0005-0000-0000-000089400000}"/>
    <cellStyle name="Normal 2 2 2 2 5 20 5 3" xfId="16564" xr:uid="{00000000-0005-0000-0000-00008A400000}"/>
    <cellStyle name="Normal 2 2 2 2 5 20 5 4" xfId="16565" xr:uid="{00000000-0005-0000-0000-00008B400000}"/>
    <cellStyle name="Normal 2 2 2 2 5 20 5 5" xfId="16566" xr:uid="{00000000-0005-0000-0000-00008C400000}"/>
    <cellStyle name="Normal 2 2 2 2 5 20 5 6" xfId="16567" xr:uid="{00000000-0005-0000-0000-00008D400000}"/>
    <cellStyle name="Normal 2 2 2 2 5 20 5 7" xfId="16568" xr:uid="{00000000-0005-0000-0000-00008E400000}"/>
    <cellStyle name="Normal 2 2 2 2 5 20 5 8" xfId="16569" xr:uid="{00000000-0005-0000-0000-00008F400000}"/>
    <cellStyle name="Normal 2 2 2 2 5 20 5 9" xfId="16570" xr:uid="{00000000-0005-0000-0000-000090400000}"/>
    <cellStyle name="Normal 2 2 2 2 5 20 6" xfId="16571" xr:uid="{00000000-0005-0000-0000-000091400000}"/>
    <cellStyle name="Normal 2 2 2 2 5 20 7" xfId="16572" xr:uid="{00000000-0005-0000-0000-000092400000}"/>
    <cellStyle name="Normal 2 2 2 2 5 20 8" xfId="16573" xr:uid="{00000000-0005-0000-0000-000093400000}"/>
    <cellStyle name="Normal 2 2 2 2 5 20 9" xfId="16574" xr:uid="{00000000-0005-0000-0000-000094400000}"/>
    <cellStyle name="Normal 2 2 2 2 5 21" xfId="16575" xr:uid="{00000000-0005-0000-0000-000095400000}"/>
    <cellStyle name="Normal 2 2 2 2 5 22" xfId="16576" xr:uid="{00000000-0005-0000-0000-000096400000}"/>
    <cellStyle name="Normal 2 2 2 2 5 3" xfId="16577" xr:uid="{00000000-0005-0000-0000-000097400000}"/>
    <cellStyle name="Normal 2 2 2 2 5 3 10" xfId="16578" xr:uid="{00000000-0005-0000-0000-000098400000}"/>
    <cellStyle name="Normal 2 2 2 2 5 3 11" xfId="16579" xr:uid="{00000000-0005-0000-0000-000099400000}"/>
    <cellStyle name="Normal 2 2 2 2 5 3 12" xfId="16580" xr:uid="{00000000-0005-0000-0000-00009A400000}"/>
    <cellStyle name="Normal 2 2 2 2 5 3 13" xfId="16581" xr:uid="{00000000-0005-0000-0000-00009B400000}"/>
    <cellStyle name="Normal 2 2 2 2 5 3 14" xfId="16582" xr:uid="{00000000-0005-0000-0000-00009C400000}"/>
    <cellStyle name="Normal 2 2 2 2 5 3 2" xfId="16583" xr:uid="{00000000-0005-0000-0000-00009D400000}"/>
    <cellStyle name="Normal 2 2 2 2 5 3 2 10" xfId="16584" xr:uid="{00000000-0005-0000-0000-00009E400000}"/>
    <cellStyle name="Normal 2 2 2 2 5 3 2 2" xfId="16585" xr:uid="{00000000-0005-0000-0000-00009F400000}"/>
    <cellStyle name="Normal 2 2 2 2 5 3 2 3" xfId="16586" xr:uid="{00000000-0005-0000-0000-0000A0400000}"/>
    <cellStyle name="Normal 2 2 2 2 5 3 2 4" xfId="16587" xr:uid="{00000000-0005-0000-0000-0000A1400000}"/>
    <cellStyle name="Normal 2 2 2 2 5 3 2 5" xfId="16588" xr:uid="{00000000-0005-0000-0000-0000A2400000}"/>
    <cellStyle name="Normal 2 2 2 2 5 3 2 6" xfId="16589" xr:uid="{00000000-0005-0000-0000-0000A3400000}"/>
    <cellStyle name="Normal 2 2 2 2 5 3 2 7" xfId="16590" xr:uid="{00000000-0005-0000-0000-0000A4400000}"/>
    <cellStyle name="Normal 2 2 2 2 5 3 2 8" xfId="16591" xr:uid="{00000000-0005-0000-0000-0000A5400000}"/>
    <cellStyle name="Normal 2 2 2 2 5 3 2 9" xfId="16592" xr:uid="{00000000-0005-0000-0000-0000A6400000}"/>
    <cellStyle name="Normal 2 2 2 2 5 3 3" xfId="16593" xr:uid="{00000000-0005-0000-0000-0000A7400000}"/>
    <cellStyle name="Normal 2 2 2 2 5 3 3 10" xfId="16594" xr:uid="{00000000-0005-0000-0000-0000A8400000}"/>
    <cellStyle name="Normal 2 2 2 2 5 3 3 2" xfId="16595" xr:uid="{00000000-0005-0000-0000-0000A9400000}"/>
    <cellStyle name="Normal 2 2 2 2 5 3 3 3" xfId="16596" xr:uid="{00000000-0005-0000-0000-0000AA400000}"/>
    <cellStyle name="Normal 2 2 2 2 5 3 3 4" xfId="16597" xr:uid="{00000000-0005-0000-0000-0000AB400000}"/>
    <cellStyle name="Normal 2 2 2 2 5 3 3 5" xfId="16598" xr:uid="{00000000-0005-0000-0000-0000AC400000}"/>
    <cellStyle name="Normal 2 2 2 2 5 3 3 6" xfId="16599" xr:uid="{00000000-0005-0000-0000-0000AD400000}"/>
    <cellStyle name="Normal 2 2 2 2 5 3 3 7" xfId="16600" xr:uid="{00000000-0005-0000-0000-0000AE400000}"/>
    <cellStyle name="Normal 2 2 2 2 5 3 3 8" xfId="16601" xr:uid="{00000000-0005-0000-0000-0000AF400000}"/>
    <cellStyle name="Normal 2 2 2 2 5 3 3 9" xfId="16602" xr:uid="{00000000-0005-0000-0000-0000B0400000}"/>
    <cellStyle name="Normal 2 2 2 2 5 3 4" xfId="16603" xr:uid="{00000000-0005-0000-0000-0000B1400000}"/>
    <cellStyle name="Normal 2 2 2 2 5 3 4 10" xfId="16604" xr:uid="{00000000-0005-0000-0000-0000B2400000}"/>
    <cellStyle name="Normal 2 2 2 2 5 3 4 2" xfId="16605" xr:uid="{00000000-0005-0000-0000-0000B3400000}"/>
    <cellStyle name="Normal 2 2 2 2 5 3 4 3" xfId="16606" xr:uid="{00000000-0005-0000-0000-0000B4400000}"/>
    <cellStyle name="Normal 2 2 2 2 5 3 4 4" xfId="16607" xr:uid="{00000000-0005-0000-0000-0000B5400000}"/>
    <cellStyle name="Normal 2 2 2 2 5 3 4 5" xfId="16608" xr:uid="{00000000-0005-0000-0000-0000B6400000}"/>
    <cellStyle name="Normal 2 2 2 2 5 3 4 6" xfId="16609" xr:uid="{00000000-0005-0000-0000-0000B7400000}"/>
    <cellStyle name="Normal 2 2 2 2 5 3 4 7" xfId="16610" xr:uid="{00000000-0005-0000-0000-0000B8400000}"/>
    <cellStyle name="Normal 2 2 2 2 5 3 4 8" xfId="16611" xr:uid="{00000000-0005-0000-0000-0000B9400000}"/>
    <cellStyle name="Normal 2 2 2 2 5 3 4 9" xfId="16612" xr:uid="{00000000-0005-0000-0000-0000BA400000}"/>
    <cellStyle name="Normal 2 2 2 2 5 3 5" xfId="16613" xr:uid="{00000000-0005-0000-0000-0000BB400000}"/>
    <cellStyle name="Normal 2 2 2 2 5 3 5 10" xfId="16614" xr:uid="{00000000-0005-0000-0000-0000BC400000}"/>
    <cellStyle name="Normal 2 2 2 2 5 3 5 2" xfId="16615" xr:uid="{00000000-0005-0000-0000-0000BD400000}"/>
    <cellStyle name="Normal 2 2 2 2 5 3 5 3" xfId="16616" xr:uid="{00000000-0005-0000-0000-0000BE400000}"/>
    <cellStyle name="Normal 2 2 2 2 5 3 5 4" xfId="16617" xr:uid="{00000000-0005-0000-0000-0000BF400000}"/>
    <cellStyle name="Normal 2 2 2 2 5 3 5 5" xfId="16618" xr:uid="{00000000-0005-0000-0000-0000C0400000}"/>
    <cellStyle name="Normal 2 2 2 2 5 3 5 6" xfId="16619" xr:uid="{00000000-0005-0000-0000-0000C1400000}"/>
    <cellStyle name="Normal 2 2 2 2 5 3 5 7" xfId="16620" xr:uid="{00000000-0005-0000-0000-0000C2400000}"/>
    <cellStyle name="Normal 2 2 2 2 5 3 5 8" xfId="16621" xr:uid="{00000000-0005-0000-0000-0000C3400000}"/>
    <cellStyle name="Normal 2 2 2 2 5 3 5 9" xfId="16622" xr:uid="{00000000-0005-0000-0000-0000C4400000}"/>
    <cellStyle name="Normal 2 2 2 2 5 3 6" xfId="16623" xr:uid="{00000000-0005-0000-0000-0000C5400000}"/>
    <cellStyle name="Normal 2 2 2 2 5 3 7" xfId="16624" xr:uid="{00000000-0005-0000-0000-0000C6400000}"/>
    <cellStyle name="Normal 2 2 2 2 5 3 8" xfId="16625" xr:uid="{00000000-0005-0000-0000-0000C7400000}"/>
    <cellStyle name="Normal 2 2 2 2 5 3 9" xfId="16626" xr:uid="{00000000-0005-0000-0000-0000C8400000}"/>
    <cellStyle name="Normal 2 2 2 2 5 4" xfId="16627" xr:uid="{00000000-0005-0000-0000-0000C9400000}"/>
    <cellStyle name="Normal 2 2 2 2 5 4 10" xfId="16628" xr:uid="{00000000-0005-0000-0000-0000CA400000}"/>
    <cellStyle name="Normal 2 2 2 2 5 4 11" xfId="16629" xr:uid="{00000000-0005-0000-0000-0000CB400000}"/>
    <cellStyle name="Normal 2 2 2 2 5 4 12" xfId="16630" xr:uid="{00000000-0005-0000-0000-0000CC400000}"/>
    <cellStyle name="Normal 2 2 2 2 5 4 13" xfId="16631" xr:uid="{00000000-0005-0000-0000-0000CD400000}"/>
    <cellStyle name="Normal 2 2 2 2 5 4 14" xfId="16632" xr:uid="{00000000-0005-0000-0000-0000CE400000}"/>
    <cellStyle name="Normal 2 2 2 2 5 4 2" xfId="16633" xr:uid="{00000000-0005-0000-0000-0000CF400000}"/>
    <cellStyle name="Normal 2 2 2 2 5 4 2 10" xfId="16634" xr:uid="{00000000-0005-0000-0000-0000D0400000}"/>
    <cellStyle name="Normal 2 2 2 2 5 4 2 2" xfId="16635" xr:uid="{00000000-0005-0000-0000-0000D1400000}"/>
    <cellStyle name="Normal 2 2 2 2 5 4 2 3" xfId="16636" xr:uid="{00000000-0005-0000-0000-0000D2400000}"/>
    <cellStyle name="Normal 2 2 2 2 5 4 2 4" xfId="16637" xr:uid="{00000000-0005-0000-0000-0000D3400000}"/>
    <cellStyle name="Normal 2 2 2 2 5 4 2 5" xfId="16638" xr:uid="{00000000-0005-0000-0000-0000D4400000}"/>
    <cellStyle name="Normal 2 2 2 2 5 4 2 6" xfId="16639" xr:uid="{00000000-0005-0000-0000-0000D5400000}"/>
    <cellStyle name="Normal 2 2 2 2 5 4 2 7" xfId="16640" xr:uid="{00000000-0005-0000-0000-0000D6400000}"/>
    <cellStyle name="Normal 2 2 2 2 5 4 2 8" xfId="16641" xr:uid="{00000000-0005-0000-0000-0000D7400000}"/>
    <cellStyle name="Normal 2 2 2 2 5 4 2 9" xfId="16642" xr:uid="{00000000-0005-0000-0000-0000D8400000}"/>
    <cellStyle name="Normal 2 2 2 2 5 4 3" xfId="16643" xr:uid="{00000000-0005-0000-0000-0000D9400000}"/>
    <cellStyle name="Normal 2 2 2 2 5 4 3 10" xfId="16644" xr:uid="{00000000-0005-0000-0000-0000DA400000}"/>
    <cellStyle name="Normal 2 2 2 2 5 4 3 2" xfId="16645" xr:uid="{00000000-0005-0000-0000-0000DB400000}"/>
    <cellStyle name="Normal 2 2 2 2 5 4 3 3" xfId="16646" xr:uid="{00000000-0005-0000-0000-0000DC400000}"/>
    <cellStyle name="Normal 2 2 2 2 5 4 3 4" xfId="16647" xr:uid="{00000000-0005-0000-0000-0000DD400000}"/>
    <cellStyle name="Normal 2 2 2 2 5 4 3 5" xfId="16648" xr:uid="{00000000-0005-0000-0000-0000DE400000}"/>
    <cellStyle name="Normal 2 2 2 2 5 4 3 6" xfId="16649" xr:uid="{00000000-0005-0000-0000-0000DF400000}"/>
    <cellStyle name="Normal 2 2 2 2 5 4 3 7" xfId="16650" xr:uid="{00000000-0005-0000-0000-0000E0400000}"/>
    <cellStyle name="Normal 2 2 2 2 5 4 3 8" xfId="16651" xr:uid="{00000000-0005-0000-0000-0000E1400000}"/>
    <cellStyle name="Normal 2 2 2 2 5 4 3 9" xfId="16652" xr:uid="{00000000-0005-0000-0000-0000E2400000}"/>
    <cellStyle name="Normal 2 2 2 2 5 4 4" xfId="16653" xr:uid="{00000000-0005-0000-0000-0000E3400000}"/>
    <cellStyle name="Normal 2 2 2 2 5 4 4 10" xfId="16654" xr:uid="{00000000-0005-0000-0000-0000E4400000}"/>
    <cellStyle name="Normal 2 2 2 2 5 4 4 2" xfId="16655" xr:uid="{00000000-0005-0000-0000-0000E5400000}"/>
    <cellStyle name="Normal 2 2 2 2 5 4 4 3" xfId="16656" xr:uid="{00000000-0005-0000-0000-0000E6400000}"/>
    <cellStyle name="Normal 2 2 2 2 5 4 4 4" xfId="16657" xr:uid="{00000000-0005-0000-0000-0000E7400000}"/>
    <cellStyle name="Normal 2 2 2 2 5 4 4 5" xfId="16658" xr:uid="{00000000-0005-0000-0000-0000E8400000}"/>
    <cellStyle name="Normal 2 2 2 2 5 4 4 6" xfId="16659" xr:uid="{00000000-0005-0000-0000-0000E9400000}"/>
    <cellStyle name="Normal 2 2 2 2 5 4 4 7" xfId="16660" xr:uid="{00000000-0005-0000-0000-0000EA400000}"/>
    <cellStyle name="Normal 2 2 2 2 5 4 4 8" xfId="16661" xr:uid="{00000000-0005-0000-0000-0000EB400000}"/>
    <cellStyle name="Normal 2 2 2 2 5 4 4 9" xfId="16662" xr:uid="{00000000-0005-0000-0000-0000EC400000}"/>
    <cellStyle name="Normal 2 2 2 2 5 4 5" xfId="16663" xr:uid="{00000000-0005-0000-0000-0000ED400000}"/>
    <cellStyle name="Normal 2 2 2 2 5 4 5 10" xfId="16664" xr:uid="{00000000-0005-0000-0000-0000EE400000}"/>
    <cellStyle name="Normal 2 2 2 2 5 4 5 2" xfId="16665" xr:uid="{00000000-0005-0000-0000-0000EF400000}"/>
    <cellStyle name="Normal 2 2 2 2 5 4 5 3" xfId="16666" xr:uid="{00000000-0005-0000-0000-0000F0400000}"/>
    <cellStyle name="Normal 2 2 2 2 5 4 5 4" xfId="16667" xr:uid="{00000000-0005-0000-0000-0000F1400000}"/>
    <cellStyle name="Normal 2 2 2 2 5 4 5 5" xfId="16668" xr:uid="{00000000-0005-0000-0000-0000F2400000}"/>
    <cellStyle name="Normal 2 2 2 2 5 4 5 6" xfId="16669" xr:uid="{00000000-0005-0000-0000-0000F3400000}"/>
    <cellStyle name="Normal 2 2 2 2 5 4 5 7" xfId="16670" xr:uid="{00000000-0005-0000-0000-0000F4400000}"/>
    <cellStyle name="Normal 2 2 2 2 5 4 5 8" xfId="16671" xr:uid="{00000000-0005-0000-0000-0000F5400000}"/>
    <cellStyle name="Normal 2 2 2 2 5 4 5 9" xfId="16672" xr:uid="{00000000-0005-0000-0000-0000F6400000}"/>
    <cellStyle name="Normal 2 2 2 2 5 4 6" xfId="16673" xr:uid="{00000000-0005-0000-0000-0000F7400000}"/>
    <cellStyle name="Normal 2 2 2 2 5 4 7" xfId="16674" xr:uid="{00000000-0005-0000-0000-0000F8400000}"/>
    <cellStyle name="Normal 2 2 2 2 5 4 8" xfId="16675" xr:uid="{00000000-0005-0000-0000-0000F9400000}"/>
    <cellStyle name="Normal 2 2 2 2 5 4 9" xfId="16676" xr:uid="{00000000-0005-0000-0000-0000FA400000}"/>
    <cellStyle name="Normal 2 2 2 2 5 5" xfId="16677" xr:uid="{00000000-0005-0000-0000-0000FB400000}"/>
    <cellStyle name="Normal 2 2 2 2 5 5 10" xfId="16678" xr:uid="{00000000-0005-0000-0000-0000FC400000}"/>
    <cellStyle name="Normal 2 2 2 2 5 5 11" xfId="16679" xr:uid="{00000000-0005-0000-0000-0000FD400000}"/>
    <cellStyle name="Normal 2 2 2 2 5 5 12" xfId="16680" xr:uid="{00000000-0005-0000-0000-0000FE400000}"/>
    <cellStyle name="Normal 2 2 2 2 5 5 13" xfId="16681" xr:uid="{00000000-0005-0000-0000-0000FF400000}"/>
    <cellStyle name="Normal 2 2 2 2 5 5 14" xfId="16682" xr:uid="{00000000-0005-0000-0000-000000410000}"/>
    <cellStyle name="Normal 2 2 2 2 5 5 2" xfId="16683" xr:uid="{00000000-0005-0000-0000-000001410000}"/>
    <cellStyle name="Normal 2 2 2 2 5 5 2 10" xfId="16684" xr:uid="{00000000-0005-0000-0000-000002410000}"/>
    <cellStyle name="Normal 2 2 2 2 5 5 2 2" xfId="16685" xr:uid="{00000000-0005-0000-0000-000003410000}"/>
    <cellStyle name="Normal 2 2 2 2 5 5 2 3" xfId="16686" xr:uid="{00000000-0005-0000-0000-000004410000}"/>
    <cellStyle name="Normal 2 2 2 2 5 5 2 4" xfId="16687" xr:uid="{00000000-0005-0000-0000-000005410000}"/>
    <cellStyle name="Normal 2 2 2 2 5 5 2 5" xfId="16688" xr:uid="{00000000-0005-0000-0000-000006410000}"/>
    <cellStyle name="Normal 2 2 2 2 5 5 2 6" xfId="16689" xr:uid="{00000000-0005-0000-0000-000007410000}"/>
    <cellStyle name="Normal 2 2 2 2 5 5 2 7" xfId="16690" xr:uid="{00000000-0005-0000-0000-000008410000}"/>
    <cellStyle name="Normal 2 2 2 2 5 5 2 8" xfId="16691" xr:uid="{00000000-0005-0000-0000-000009410000}"/>
    <cellStyle name="Normal 2 2 2 2 5 5 2 9" xfId="16692" xr:uid="{00000000-0005-0000-0000-00000A410000}"/>
    <cellStyle name="Normal 2 2 2 2 5 5 3" xfId="16693" xr:uid="{00000000-0005-0000-0000-00000B410000}"/>
    <cellStyle name="Normal 2 2 2 2 5 5 3 10" xfId="16694" xr:uid="{00000000-0005-0000-0000-00000C410000}"/>
    <cellStyle name="Normal 2 2 2 2 5 5 3 2" xfId="16695" xr:uid="{00000000-0005-0000-0000-00000D410000}"/>
    <cellStyle name="Normal 2 2 2 2 5 5 3 3" xfId="16696" xr:uid="{00000000-0005-0000-0000-00000E410000}"/>
    <cellStyle name="Normal 2 2 2 2 5 5 3 4" xfId="16697" xr:uid="{00000000-0005-0000-0000-00000F410000}"/>
    <cellStyle name="Normal 2 2 2 2 5 5 3 5" xfId="16698" xr:uid="{00000000-0005-0000-0000-000010410000}"/>
    <cellStyle name="Normal 2 2 2 2 5 5 3 6" xfId="16699" xr:uid="{00000000-0005-0000-0000-000011410000}"/>
    <cellStyle name="Normal 2 2 2 2 5 5 3 7" xfId="16700" xr:uid="{00000000-0005-0000-0000-000012410000}"/>
    <cellStyle name="Normal 2 2 2 2 5 5 3 8" xfId="16701" xr:uid="{00000000-0005-0000-0000-000013410000}"/>
    <cellStyle name="Normal 2 2 2 2 5 5 3 9" xfId="16702" xr:uid="{00000000-0005-0000-0000-000014410000}"/>
    <cellStyle name="Normal 2 2 2 2 5 5 4" xfId="16703" xr:uid="{00000000-0005-0000-0000-000015410000}"/>
    <cellStyle name="Normal 2 2 2 2 5 5 4 10" xfId="16704" xr:uid="{00000000-0005-0000-0000-000016410000}"/>
    <cellStyle name="Normal 2 2 2 2 5 5 4 2" xfId="16705" xr:uid="{00000000-0005-0000-0000-000017410000}"/>
    <cellStyle name="Normal 2 2 2 2 5 5 4 3" xfId="16706" xr:uid="{00000000-0005-0000-0000-000018410000}"/>
    <cellStyle name="Normal 2 2 2 2 5 5 4 4" xfId="16707" xr:uid="{00000000-0005-0000-0000-000019410000}"/>
    <cellStyle name="Normal 2 2 2 2 5 5 4 5" xfId="16708" xr:uid="{00000000-0005-0000-0000-00001A410000}"/>
    <cellStyle name="Normal 2 2 2 2 5 5 4 6" xfId="16709" xr:uid="{00000000-0005-0000-0000-00001B410000}"/>
    <cellStyle name="Normal 2 2 2 2 5 5 4 7" xfId="16710" xr:uid="{00000000-0005-0000-0000-00001C410000}"/>
    <cellStyle name="Normal 2 2 2 2 5 5 4 8" xfId="16711" xr:uid="{00000000-0005-0000-0000-00001D410000}"/>
    <cellStyle name="Normal 2 2 2 2 5 5 4 9" xfId="16712" xr:uid="{00000000-0005-0000-0000-00001E410000}"/>
    <cellStyle name="Normal 2 2 2 2 5 5 5" xfId="16713" xr:uid="{00000000-0005-0000-0000-00001F410000}"/>
    <cellStyle name="Normal 2 2 2 2 5 5 5 10" xfId="16714" xr:uid="{00000000-0005-0000-0000-000020410000}"/>
    <cellStyle name="Normal 2 2 2 2 5 5 5 2" xfId="16715" xr:uid="{00000000-0005-0000-0000-000021410000}"/>
    <cellStyle name="Normal 2 2 2 2 5 5 5 3" xfId="16716" xr:uid="{00000000-0005-0000-0000-000022410000}"/>
    <cellStyle name="Normal 2 2 2 2 5 5 5 4" xfId="16717" xr:uid="{00000000-0005-0000-0000-000023410000}"/>
    <cellStyle name="Normal 2 2 2 2 5 5 5 5" xfId="16718" xr:uid="{00000000-0005-0000-0000-000024410000}"/>
    <cellStyle name="Normal 2 2 2 2 5 5 5 6" xfId="16719" xr:uid="{00000000-0005-0000-0000-000025410000}"/>
    <cellStyle name="Normal 2 2 2 2 5 5 5 7" xfId="16720" xr:uid="{00000000-0005-0000-0000-000026410000}"/>
    <cellStyle name="Normal 2 2 2 2 5 5 5 8" xfId="16721" xr:uid="{00000000-0005-0000-0000-000027410000}"/>
    <cellStyle name="Normal 2 2 2 2 5 5 5 9" xfId="16722" xr:uid="{00000000-0005-0000-0000-000028410000}"/>
    <cellStyle name="Normal 2 2 2 2 5 5 6" xfId="16723" xr:uid="{00000000-0005-0000-0000-000029410000}"/>
    <cellStyle name="Normal 2 2 2 2 5 5 7" xfId="16724" xr:uid="{00000000-0005-0000-0000-00002A410000}"/>
    <cellStyle name="Normal 2 2 2 2 5 5 8" xfId="16725" xr:uid="{00000000-0005-0000-0000-00002B410000}"/>
    <cellStyle name="Normal 2 2 2 2 5 5 9" xfId="16726" xr:uid="{00000000-0005-0000-0000-00002C410000}"/>
    <cellStyle name="Normal 2 2 2 2 5 6" xfId="16727" xr:uid="{00000000-0005-0000-0000-00002D410000}"/>
    <cellStyle name="Normal 2 2 2 2 5 6 10" xfId="16728" xr:uid="{00000000-0005-0000-0000-00002E410000}"/>
    <cellStyle name="Normal 2 2 2 2 5 6 11" xfId="16729" xr:uid="{00000000-0005-0000-0000-00002F410000}"/>
    <cellStyle name="Normal 2 2 2 2 5 6 12" xfId="16730" xr:uid="{00000000-0005-0000-0000-000030410000}"/>
    <cellStyle name="Normal 2 2 2 2 5 6 13" xfId="16731" xr:uid="{00000000-0005-0000-0000-000031410000}"/>
    <cellStyle name="Normal 2 2 2 2 5 6 14" xfId="16732" xr:uid="{00000000-0005-0000-0000-000032410000}"/>
    <cellStyle name="Normal 2 2 2 2 5 6 2" xfId="16733" xr:uid="{00000000-0005-0000-0000-000033410000}"/>
    <cellStyle name="Normal 2 2 2 2 5 6 2 10" xfId="16734" xr:uid="{00000000-0005-0000-0000-000034410000}"/>
    <cellStyle name="Normal 2 2 2 2 5 6 2 2" xfId="16735" xr:uid="{00000000-0005-0000-0000-000035410000}"/>
    <cellStyle name="Normal 2 2 2 2 5 6 2 3" xfId="16736" xr:uid="{00000000-0005-0000-0000-000036410000}"/>
    <cellStyle name="Normal 2 2 2 2 5 6 2 4" xfId="16737" xr:uid="{00000000-0005-0000-0000-000037410000}"/>
    <cellStyle name="Normal 2 2 2 2 5 6 2 5" xfId="16738" xr:uid="{00000000-0005-0000-0000-000038410000}"/>
    <cellStyle name="Normal 2 2 2 2 5 6 2 6" xfId="16739" xr:uid="{00000000-0005-0000-0000-000039410000}"/>
    <cellStyle name="Normal 2 2 2 2 5 6 2 7" xfId="16740" xr:uid="{00000000-0005-0000-0000-00003A410000}"/>
    <cellStyle name="Normal 2 2 2 2 5 6 2 8" xfId="16741" xr:uid="{00000000-0005-0000-0000-00003B410000}"/>
    <cellStyle name="Normal 2 2 2 2 5 6 2 9" xfId="16742" xr:uid="{00000000-0005-0000-0000-00003C410000}"/>
    <cellStyle name="Normal 2 2 2 2 5 6 3" xfId="16743" xr:uid="{00000000-0005-0000-0000-00003D410000}"/>
    <cellStyle name="Normal 2 2 2 2 5 6 3 10" xfId="16744" xr:uid="{00000000-0005-0000-0000-00003E410000}"/>
    <cellStyle name="Normal 2 2 2 2 5 6 3 2" xfId="16745" xr:uid="{00000000-0005-0000-0000-00003F410000}"/>
    <cellStyle name="Normal 2 2 2 2 5 6 3 3" xfId="16746" xr:uid="{00000000-0005-0000-0000-000040410000}"/>
    <cellStyle name="Normal 2 2 2 2 5 6 3 4" xfId="16747" xr:uid="{00000000-0005-0000-0000-000041410000}"/>
    <cellStyle name="Normal 2 2 2 2 5 6 3 5" xfId="16748" xr:uid="{00000000-0005-0000-0000-000042410000}"/>
    <cellStyle name="Normal 2 2 2 2 5 6 3 6" xfId="16749" xr:uid="{00000000-0005-0000-0000-000043410000}"/>
    <cellStyle name="Normal 2 2 2 2 5 6 3 7" xfId="16750" xr:uid="{00000000-0005-0000-0000-000044410000}"/>
    <cellStyle name="Normal 2 2 2 2 5 6 3 8" xfId="16751" xr:uid="{00000000-0005-0000-0000-000045410000}"/>
    <cellStyle name="Normal 2 2 2 2 5 6 3 9" xfId="16752" xr:uid="{00000000-0005-0000-0000-000046410000}"/>
    <cellStyle name="Normal 2 2 2 2 5 6 4" xfId="16753" xr:uid="{00000000-0005-0000-0000-000047410000}"/>
    <cellStyle name="Normal 2 2 2 2 5 6 4 10" xfId="16754" xr:uid="{00000000-0005-0000-0000-000048410000}"/>
    <cellStyle name="Normal 2 2 2 2 5 6 4 2" xfId="16755" xr:uid="{00000000-0005-0000-0000-000049410000}"/>
    <cellStyle name="Normal 2 2 2 2 5 6 4 3" xfId="16756" xr:uid="{00000000-0005-0000-0000-00004A410000}"/>
    <cellStyle name="Normal 2 2 2 2 5 6 4 4" xfId="16757" xr:uid="{00000000-0005-0000-0000-00004B410000}"/>
    <cellStyle name="Normal 2 2 2 2 5 6 4 5" xfId="16758" xr:uid="{00000000-0005-0000-0000-00004C410000}"/>
    <cellStyle name="Normal 2 2 2 2 5 6 4 6" xfId="16759" xr:uid="{00000000-0005-0000-0000-00004D410000}"/>
    <cellStyle name="Normal 2 2 2 2 5 6 4 7" xfId="16760" xr:uid="{00000000-0005-0000-0000-00004E410000}"/>
    <cellStyle name="Normal 2 2 2 2 5 6 4 8" xfId="16761" xr:uid="{00000000-0005-0000-0000-00004F410000}"/>
    <cellStyle name="Normal 2 2 2 2 5 6 4 9" xfId="16762" xr:uid="{00000000-0005-0000-0000-000050410000}"/>
    <cellStyle name="Normal 2 2 2 2 5 6 5" xfId="16763" xr:uid="{00000000-0005-0000-0000-000051410000}"/>
    <cellStyle name="Normal 2 2 2 2 5 6 5 10" xfId="16764" xr:uid="{00000000-0005-0000-0000-000052410000}"/>
    <cellStyle name="Normal 2 2 2 2 5 6 5 2" xfId="16765" xr:uid="{00000000-0005-0000-0000-000053410000}"/>
    <cellStyle name="Normal 2 2 2 2 5 6 5 3" xfId="16766" xr:uid="{00000000-0005-0000-0000-000054410000}"/>
    <cellStyle name="Normal 2 2 2 2 5 6 5 4" xfId="16767" xr:uid="{00000000-0005-0000-0000-000055410000}"/>
    <cellStyle name="Normal 2 2 2 2 5 6 5 5" xfId="16768" xr:uid="{00000000-0005-0000-0000-000056410000}"/>
    <cellStyle name="Normal 2 2 2 2 5 6 5 6" xfId="16769" xr:uid="{00000000-0005-0000-0000-000057410000}"/>
    <cellStyle name="Normal 2 2 2 2 5 6 5 7" xfId="16770" xr:uid="{00000000-0005-0000-0000-000058410000}"/>
    <cellStyle name="Normal 2 2 2 2 5 6 5 8" xfId="16771" xr:uid="{00000000-0005-0000-0000-000059410000}"/>
    <cellStyle name="Normal 2 2 2 2 5 6 5 9" xfId="16772" xr:uid="{00000000-0005-0000-0000-00005A410000}"/>
    <cellStyle name="Normal 2 2 2 2 5 6 6" xfId="16773" xr:uid="{00000000-0005-0000-0000-00005B410000}"/>
    <cellStyle name="Normal 2 2 2 2 5 6 7" xfId="16774" xr:uid="{00000000-0005-0000-0000-00005C410000}"/>
    <cellStyle name="Normal 2 2 2 2 5 6 8" xfId="16775" xr:uid="{00000000-0005-0000-0000-00005D410000}"/>
    <cellStyle name="Normal 2 2 2 2 5 6 9" xfId="16776" xr:uid="{00000000-0005-0000-0000-00005E410000}"/>
    <cellStyle name="Normal 2 2 2 2 5 7" xfId="16777" xr:uid="{00000000-0005-0000-0000-00005F410000}"/>
    <cellStyle name="Normal 2 2 2 2 5 7 10" xfId="16778" xr:uid="{00000000-0005-0000-0000-000060410000}"/>
    <cellStyle name="Normal 2 2 2 2 5 7 11" xfId="16779" xr:uid="{00000000-0005-0000-0000-000061410000}"/>
    <cellStyle name="Normal 2 2 2 2 5 7 12" xfId="16780" xr:uid="{00000000-0005-0000-0000-000062410000}"/>
    <cellStyle name="Normal 2 2 2 2 5 7 13" xfId="16781" xr:uid="{00000000-0005-0000-0000-000063410000}"/>
    <cellStyle name="Normal 2 2 2 2 5 7 14" xfId="16782" xr:uid="{00000000-0005-0000-0000-000064410000}"/>
    <cellStyle name="Normal 2 2 2 2 5 7 2" xfId="16783" xr:uid="{00000000-0005-0000-0000-000065410000}"/>
    <cellStyle name="Normal 2 2 2 2 5 7 2 10" xfId="16784" xr:uid="{00000000-0005-0000-0000-000066410000}"/>
    <cellStyle name="Normal 2 2 2 2 5 7 2 2" xfId="16785" xr:uid="{00000000-0005-0000-0000-000067410000}"/>
    <cellStyle name="Normal 2 2 2 2 5 7 2 3" xfId="16786" xr:uid="{00000000-0005-0000-0000-000068410000}"/>
    <cellStyle name="Normal 2 2 2 2 5 7 2 4" xfId="16787" xr:uid="{00000000-0005-0000-0000-000069410000}"/>
    <cellStyle name="Normal 2 2 2 2 5 7 2 5" xfId="16788" xr:uid="{00000000-0005-0000-0000-00006A410000}"/>
    <cellStyle name="Normal 2 2 2 2 5 7 2 6" xfId="16789" xr:uid="{00000000-0005-0000-0000-00006B410000}"/>
    <cellStyle name="Normal 2 2 2 2 5 7 2 7" xfId="16790" xr:uid="{00000000-0005-0000-0000-00006C410000}"/>
    <cellStyle name="Normal 2 2 2 2 5 7 2 8" xfId="16791" xr:uid="{00000000-0005-0000-0000-00006D410000}"/>
    <cellStyle name="Normal 2 2 2 2 5 7 2 9" xfId="16792" xr:uid="{00000000-0005-0000-0000-00006E410000}"/>
    <cellStyle name="Normal 2 2 2 2 5 7 3" xfId="16793" xr:uid="{00000000-0005-0000-0000-00006F410000}"/>
    <cellStyle name="Normal 2 2 2 2 5 7 3 10" xfId="16794" xr:uid="{00000000-0005-0000-0000-000070410000}"/>
    <cellStyle name="Normal 2 2 2 2 5 7 3 2" xfId="16795" xr:uid="{00000000-0005-0000-0000-000071410000}"/>
    <cellStyle name="Normal 2 2 2 2 5 7 3 3" xfId="16796" xr:uid="{00000000-0005-0000-0000-000072410000}"/>
    <cellStyle name="Normal 2 2 2 2 5 7 3 4" xfId="16797" xr:uid="{00000000-0005-0000-0000-000073410000}"/>
    <cellStyle name="Normal 2 2 2 2 5 7 3 5" xfId="16798" xr:uid="{00000000-0005-0000-0000-000074410000}"/>
    <cellStyle name="Normal 2 2 2 2 5 7 3 6" xfId="16799" xr:uid="{00000000-0005-0000-0000-000075410000}"/>
    <cellStyle name="Normal 2 2 2 2 5 7 3 7" xfId="16800" xr:uid="{00000000-0005-0000-0000-000076410000}"/>
    <cellStyle name="Normal 2 2 2 2 5 7 3 8" xfId="16801" xr:uid="{00000000-0005-0000-0000-000077410000}"/>
    <cellStyle name="Normal 2 2 2 2 5 7 3 9" xfId="16802" xr:uid="{00000000-0005-0000-0000-000078410000}"/>
    <cellStyle name="Normal 2 2 2 2 5 7 4" xfId="16803" xr:uid="{00000000-0005-0000-0000-000079410000}"/>
    <cellStyle name="Normal 2 2 2 2 5 7 4 10" xfId="16804" xr:uid="{00000000-0005-0000-0000-00007A410000}"/>
    <cellStyle name="Normal 2 2 2 2 5 7 4 2" xfId="16805" xr:uid="{00000000-0005-0000-0000-00007B410000}"/>
    <cellStyle name="Normal 2 2 2 2 5 7 4 3" xfId="16806" xr:uid="{00000000-0005-0000-0000-00007C410000}"/>
    <cellStyle name="Normal 2 2 2 2 5 7 4 4" xfId="16807" xr:uid="{00000000-0005-0000-0000-00007D410000}"/>
    <cellStyle name="Normal 2 2 2 2 5 7 4 5" xfId="16808" xr:uid="{00000000-0005-0000-0000-00007E410000}"/>
    <cellStyle name="Normal 2 2 2 2 5 7 4 6" xfId="16809" xr:uid="{00000000-0005-0000-0000-00007F410000}"/>
    <cellStyle name="Normal 2 2 2 2 5 7 4 7" xfId="16810" xr:uid="{00000000-0005-0000-0000-000080410000}"/>
    <cellStyle name="Normal 2 2 2 2 5 7 4 8" xfId="16811" xr:uid="{00000000-0005-0000-0000-000081410000}"/>
    <cellStyle name="Normal 2 2 2 2 5 7 4 9" xfId="16812" xr:uid="{00000000-0005-0000-0000-000082410000}"/>
    <cellStyle name="Normal 2 2 2 2 5 7 5" xfId="16813" xr:uid="{00000000-0005-0000-0000-000083410000}"/>
    <cellStyle name="Normal 2 2 2 2 5 7 5 10" xfId="16814" xr:uid="{00000000-0005-0000-0000-000084410000}"/>
    <cellStyle name="Normal 2 2 2 2 5 7 5 2" xfId="16815" xr:uid="{00000000-0005-0000-0000-000085410000}"/>
    <cellStyle name="Normal 2 2 2 2 5 7 5 3" xfId="16816" xr:uid="{00000000-0005-0000-0000-000086410000}"/>
    <cellStyle name="Normal 2 2 2 2 5 7 5 4" xfId="16817" xr:uid="{00000000-0005-0000-0000-000087410000}"/>
    <cellStyle name="Normal 2 2 2 2 5 7 5 5" xfId="16818" xr:uid="{00000000-0005-0000-0000-000088410000}"/>
    <cellStyle name="Normal 2 2 2 2 5 7 5 6" xfId="16819" xr:uid="{00000000-0005-0000-0000-000089410000}"/>
    <cellStyle name="Normal 2 2 2 2 5 7 5 7" xfId="16820" xr:uid="{00000000-0005-0000-0000-00008A410000}"/>
    <cellStyle name="Normal 2 2 2 2 5 7 5 8" xfId="16821" xr:uid="{00000000-0005-0000-0000-00008B410000}"/>
    <cellStyle name="Normal 2 2 2 2 5 7 5 9" xfId="16822" xr:uid="{00000000-0005-0000-0000-00008C410000}"/>
    <cellStyle name="Normal 2 2 2 2 5 7 6" xfId="16823" xr:uid="{00000000-0005-0000-0000-00008D410000}"/>
    <cellStyle name="Normal 2 2 2 2 5 7 7" xfId="16824" xr:uid="{00000000-0005-0000-0000-00008E410000}"/>
    <cellStyle name="Normal 2 2 2 2 5 7 8" xfId="16825" xr:uid="{00000000-0005-0000-0000-00008F410000}"/>
    <cellStyle name="Normal 2 2 2 2 5 7 9" xfId="16826" xr:uid="{00000000-0005-0000-0000-000090410000}"/>
    <cellStyle name="Normal 2 2 2 2 5 8" xfId="16827" xr:uid="{00000000-0005-0000-0000-000091410000}"/>
    <cellStyle name="Normal 2 2 2 2 5 8 10" xfId="16828" xr:uid="{00000000-0005-0000-0000-000092410000}"/>
    <cellStyle name="Normal 2 2 2 2 5 8 11" xfId="16829" xr:uid="{00000000-0005-0000-0000-000093410000}"/>
    <cellStyle name="Normal 2 2 2 2 5 8 12" xfId="16830" xr:uid="{00000000-0005-0000-0000-000094410000}"/>
    <cellStyle name="Normal 2 2 2 2 5 8 13" xfId="16831" xr:uid="{00000000-0005-0000-0000-000095410000}"/>
    <cellStyle name="Normal 2 2 2 2 5 8 14" xfId="16832" xr:uid="{00000000-0005-0000-0000-000096410000}"/>
    <cellStyle name="Normal 2 2 2 2 5 8 2" xfId="16833" xr:uid="{00000000-0005-0000-0000-000097410000}"/>
    <cellStyle name="Normal 2 2 2 2 5 8 2 10" xfId="16834" xr:uid="{00000000-0005-0000-0000-000098410000}"/>
    <cellStyle name="Normal 2 2 2 2 5 8 2 2" xfId="16835" xr:uid="{00000000-0005-0000-0000-000099410000}"/>
    <cellStyle name="Normal 2 2 2 2 5 8 2 3" xfId="16836" xr:uid="{00000000-0005-0000-0000-00009A410000}"/>
    <cellStyle name="Normal 2 2 2 2 5 8 2 4" xfId="16837" xr:uid="{00000000-0005-0000-0000-00009B410000}"/>
    <cellStyle name="Normal 2 2 2 2 5 8 2 5" xfId="16838" xr:uid="{00000000-0005-0000-0000-00009C410000}"/>
    <cellStyle name="Normal 2 2 2 2 5 8 2 6" xfId="16839" xr:uid="{00000000-0005-0000-0000-00009D410000}"/>
    <cellStyle name="Normal 2 2 2 2 5 8 2 7" xfId="16840" xr:uid="{00000000-0005-0000-0000-00009E410000}"/>
    <cellStyle name="Normal 2 2 2 2 5 8 2 8" xfId="16841" xr:uid="{00000000-0005-0000-0000-00009F410000}"/>
    <cellStyle name="Normal 2 2 2 2 5 8 2 9" xfId="16842" xr:uid="{00000000-0005-0000-0000-0000A0410000}"/>
    <cellStyle name="Normal 2 2 2 2 5 8 3" xfId="16843" xr:uid="{00000000-0005-0000-0000-0000A1410000}"/>
    <cellStyle name="Normal 2 2 2 2 5 8 3 10" xfId="16844" xr:uid="{00000000-0005-0000-0000-0000A2410000}"/>
    <cellStyle name="Normal 2 2 2 2 5 8 3 2" xfId="16845" xr:uid="{00000000-0005-0000-0000-0000A3410000}"/>
    <cellStyle name="Normal 2 2 2 2 5 8 3 3" xfId="16846" xr:uid="{00000000-0005-0000-0000-0000A4410000}"/>
    <cellStyle name="Normal 2 2 2 2 5 8 3 4" xfId="16847" xr:uid="{00000000-0005-0000-0000-0000A5410000}"/>
    <cellStyle name="Normal 2 2 2 2 5 8 3 5" xfId="16848" xr:uid="{00000000-0005-0000-0000-0000A6410000}"/>
    <cellStyle name="Normal 2 2 2 2 5 8 3 6" xfId="16849" xr:uid="{00000000-0005-0000-0000-0000A7410000}"/>
    <cellStyle name="Normal 2 2 2 2 5 8 3 7" xfId="16850" xr:uid="{00000000-0005-0000-0000-0000A8410000}"/>
    <cellStyle name="Normal 2 2 2 2 5 8 3 8" xfId="16851" xr:uid="{00000000-0005-0000-0000-0000A9410000}"/>
    <cellStyle name="Normal 2 2 2 2 5 8 3 9" xfId="16852" xr:uid="{00000000-0005-0000-0000-0000AA410000}"/>
    <cellStyle name="Normal 2 2 2 2 5 8 4" xfId="16853" xr:uid="{00000000-0005-0000-0000-0000AB410000}"/>
    <cellStyle name="Normal 2 2 2 2 5 8 4 10" xfId="16854" xr:uid="{00000000-0005-0000-0000-0000AC410000}"/>
    <cellStyle name="Normal 2 2 2 2 5 8 4 2" xfId="16855" xr:uid="{00000000-0005-0000-0000-0000AD410000}"/>
    <cellStyle name="Normal 2 2 2 2 5 8 4 3" xfId="16856" xr:uid="{00000000-0005-0000-0000-0000AE410000}"/>
    <cellStyle name="Normal 2 2 2 2 5 8 4 4" xfId="16857" xr:uid="{00000000-0005-0000-0000-0000AF410000}"/>
    <cellStyle name="Normal 2 2 2 2 5 8 4 5" xfId="16858" xr:uid="{00000000-0005-0000-0000-0000B0410000}"/>
    <cellStyle name="Normal 2 2 2 2 5 8 4 6" xfId="16859" xr:uid="{00000000-0005-0000-0000-0000B1410000}"/>
    <cellStyle name="Normal 2 2 2 2 5 8 4 7" xfId="16860" xr:uid="{00000000-0005-0000-0000-0000B2410000}"/>
    <cellStyle name="Normal 2 2 2 2 5 8 4 8" xfId="16861" xr:uid="{00000000-0005-0000-0000-0000B3410000}"/>
    <cellStyle name="Normal 2 2 2 2 5 8 4 9" xfId="16862" xr:uid="{00000000-0005-0000-0000-0000B4410000}"/>
    <cellStyle name="Normal 2 2 2 2 5 8 5" xfId="16863" xr:uid="{00000000-0005-0000-0000-0000B5410000}"/>
    <cellStyle name="Normal 2 2 2 2 5 8 5 10" xfId="16864" xr:uid="{00000000-0005-0000-0000-0000B6410000}"/>
    <cellStyle name="Normal 2 2 2 2 5 8 5 2" xfId="16865" xr:uid="{00000000-0005-0000-0000-0000B7410000}"/>
    <cellStyle name="Normal 2 2 2 2 5 8 5 3" xfId="16866" xr:uid="{00000000-0005-0000-0000-0000B8410000}"/>
    <cellStyle name="Normal 2 2 2 2 5 8 5 4" xfId="16867" xr:uid="{00000000-0005-0000-0000-0000B9410000}"/>
    <cellStyle name="Normal 2 2 2 2 5 8 5 5" xfId="16868" xr:uid="{00000000-0005-0000-0000-0000BA410000}"/>
    <cellStyle name="Normal 2 2 2 2 5 8 5 6" xfId="16869" xr:uid="{00000000-0005-0000-0000-0000BB410000}"/>
    <cellStyle name="Normal 2 2 2 2 5 8 5 7" xfId="16870" xr:uid="{00000000-0005-0000-0000-0000BC410000}"/>
    <cellStyle name="Normal 2 2 2 2 5 8 5 8" xfId="16871" xr:uid="{00000000-0005-0000-0000-0000BD410000}"/>
    <cellStyle name="Normal 2 2 2 2 5 8 5 9" xfId="16872" xr:uid="{00000000-0005-0000-0000-0000BE410000}"/>
    <cellStyle name="Normal 2 2 2 2 5 8 6" xfId="16873" xr:uid="{00000000-0005-0000-0000-0000BF410000}"/>
    <cellStyle name="Normal 2 2 2 2 5 8 7" xfId="16874" xr:uid="{00000000-0005-0000-0000-0000C0410000}"/>
    <cellStyle name="Normal 2 2 2 2 5 8 8" xfId="16875" xr:uid="{00000000-0005-0000-0000-0000C1410000}"/>
    <cellStyle name="Normal 2 2 2 2 5 8 9" xfId="16876" xr:uid="{00000000-0005-0000-0000-0000C2410000}"/>
    <cellStyle name="Normal 2 2 2 2 5 9" xfId="16877" xr:uid="{00000000-0005-0000-0000-0000C3410000}"/>
    <cellStyle name="Normal 2 2 2 2 5 9 10" xfId="16878" xr:uid="{00000000-0005-0000-0000-0000C4410000}"/>
    <cellStyle name="Normal 2 2 2 2 5 9 11" xfId="16879" xr:uid="{00000000-0005-0000-0000-0000C5410000}"/>
    <cellStyle name="Normal 2 2 2 2 5 9 12" xfId="16880" xr:uid="{00000000-0005-0000-0000-0000C6410000}"/>
    <cellStyle name="Normal 2 2 2 2 5 9 13" xfId="16881" xr:uid="{00000000-0005-0000-0000-0000C7410000}"/>
    <cellStyle name="Normal 2 2 2 2 5 9 14" xfId="16882" xr:uid="{00000000-0005-0000-0000-0000C8410000}"/>
    <cellStyle name="Normal 2 2 2 2 5 9 2" xfId="16883" xr:uid="{00000000-0005-0000-0000-0000C9410000}"/>
    <cellStyle name="Normal 2 2 2 2 5 9 2 10" xfId="16884" xr:uid="{00000000-0005-0000-0000-0000CA410000}"/>
    <cellStyle name="Normal 2 2 2 2 5 9 2 2" xfId="16885" xr:uid="{00000000-0005-0000-0000-0000CB410000}"/>
    <cellStyle name="Normal 2 2 2 2 5 9 2 3" xfId="16886" xr:uid="{00000000-0005-0000-0000-0000CC410000}"/>
    <cellStyle name="Normal 2 2 2 2 5 9 2 4" xfId="16887" xr:uid="{00000000-0005-0000-0000-0000CD410000}"/>
    <cellStyle name="Normal 2 2 2 2 5 9 2 5" xfId="16888" xr:uid="{00000000-0005-0000-0000-0000CE410000}"/>
    <cellStyle name="Normal 2 2 2 2 5 9 2 6" xfId="16889" xr:uid="{00000000-0005-0000-0000-0000CF410000}"/>
    <cellStyle name="Normal 2 2 2 2 5 9 2 7" xfId="16890" xr:uid="{00000000-0005-0000-0000-0000D0410000}"/>
    <cellStyle name="Normal 2 2 2 2 5 9 2 8" xfId="16891" xr:uid="{00000000-0005-0000-0000-0000D1410000}"/>
    <cellStyle name="Normal 2 2 2 2 5 9 2 9" xfId="16892" xr:uid="{00000000-0005-0000-0000-0000D2410000}"/>
    <cellStyle name="Normal 2 2 2 2 5 9 3" xfId="16893" xr:uid="{00000000-0005-0000-0000-0000D3410000}"/>
    <cellStyle name="Normal 2 2 2 2 5 9 3 10" xfId="16894" xr:uid="{00000000-0005-0000-0000-0000D4410000}"/>
    <cellStyle name="Normal 2 2 2 2 5 9 3 2" xfId="16895" xr:uid="{00000000-0005-0000-0000-0000D5410000}"/>
    <cellStyle name="Normal 2 2 2 2 5 9 3 3" xfId="16896" xr:uid="{00000000-0005-0000-0000-0000D6410000}"/>
    <cellStyle name="Normal 2 2 2 2 5 9 3 4" xfId="16897" xr:uid="{00000000-0005-0000-0000-0000D7410000}"/>
    <cellStyle name="Normal 2 2 2 2 5 9 3 5" xfId="16898" xr:uid="{00000000-0005-0000-0000-0000D8410000}"/>
    <cellStyle name="Normal 2 2 2 2 5 9 3 6" xfId="16899" xr:uid="{00000000-0005-0000-0000-0000D9410000}"/>
    <cellStyle name="Normal 2 2 2 2 5 9 3 7" xfId="16900" xr:uid="{00000000-0005-0000-0000-0000DA410000}"/>
    <cellStyle name="Normal 2 2 2 2 5 9 3 8" xfId="16901" xr:uid="{00000000-0005-0000-0000-0000DB410000}"/>
    <cellStyle name="Normal 2 2 2 2 5 9 3 9" xfId="16902" xr:uid="{00000000-0005-0000-0000-0000DC410000}"/>
    <cellStyle name="Normal 2 2 2 2 5 9 4" xfId="16903" xr:uid="{00000000-0005-0000-0000-0000DD410000}"/>
    <cellStyle name="Normal 2 2 2 2 5 9 4 10" xfId="16904" xr:uid="{00000000-0005-0000-0000-0000DE410000}"/>
    <cellStyle name="Normal 2 2 2 2 5 9 4 2" xfId="16905" xr:uid="{00000000-0005-0000-0000-0000DF410000}"/>
    <cellStyle name="Normal 2 2 2 2 5 9 4 3" xfId="16906" xr:uid="{00000000-0005-0000-0000-0000E0410000}"/>
    <cellStyle name="Normal 2 2 2 2 5 9 4 4" xfId="16907" xr:uid="{00000000-0005-0000-0000-0000E1410000}"/>
    <cellStyle name="Normal 2 2 2 2 5 9 4 5" xfId="16908" xr:uid="{00000000-0005-0000-0000-0000E2410000}"/>
    <cellStyle name="Normal 2 2 2 2 5 9 4 6" xfId="16909" xr:uid="{00000000-0005-0000-0000-0000E3410000}"/>
    <cellStyle name="Normal 2 2 2 2 5 9 4 7" xfId="16910" xr:uid="{00000000-0005-0000-0000-0000E4410000}"/>
    <cellStyle name="Normal 2 2 2 2 5 9 4 8" xfId="16911" xr:uid="{00000000-0005-0000-0000-0000E5410000}"/>
    <cellStyle name="Normal 2 2 2 2 5 9 4 9" xfId="16912" xr:uid="{00000000-0005-0000-0000-0000E6410000}"/>
    <cellStyle name="Normal 2 2 2 2 5 9 5" xfId="16913" xr:uid="{00000000-0005-0000-0000-0000E7410000}"/>
    <cellStyle name="Normal 2 2 2 2 5 9 5 10" xfId="16914" xr:uid="{00000000-0005-0000-0000-0000E8410000}"/>
    <cellStyle name="Normal 2 2 2 2 5 9 5 2" xfId="16915" xr:uid="{00000000-0005-0000-0000-0000E9410000}"/>
    <cellStyle name="Normal 2 2 2 2 5 9 5 3" xfId="16916" xr:uid="{00000000-0005-0000-0000-0000EA410000}"/>
    <cellStyle name="Normal 2 2 2 2 5 9 5 4" xfId="16917" xr:uid="{00000000-0005-0000-0000-0000EB410000}"/>
    <cellStyle name="Normal 2 2 2 2 5 9 5 5" xfId="16918" xr:uid="{00000000-0005-0000-0000-0000EC410000}"/>
    <cellStyle name="Normal 2 2 2 2 5 9 5 6" xfId="16919" xr:uid="{00000000-0005-0000-0000-0000ED410000}"/>
    <cellStyle name="Normal 2 2 2 2 5 9 5 7" xfId="16920" xr:uid="{00000000-0005-0000-0000-0000EE410000}"/>
    <cellStyle name="Normal 2 2 2 2 5 9 5 8" xfId="16921" xr:uid="{00000000-0005-0000-0000-0000EF410000}"/>
    <cellStyle name="Normal 2 2 2 2 5 9 5 9" xfId="16922" xr:uid="{00000000-0005-0000-0000-0000F0410000}"/>
    <cellStyle name="Normal 2 2 2 2 5 9 6" xfId="16923" xr:uid="{00000000-0005-0000-0000-0000F1410000}"/>
    <cellStyle name="Normal 2 2 2 2 5 9 7" xfId="16924" xr:uid="{00000000-0005-0000-0000-0000F2410000}"/>
    <cellStyle name="Normal 2 2 2 2 5 9 8" xfId="16925" xr:uid="{00000000-0005-0000-0000-0000F3410000}"/>
    <cellStyle name="Normal 2 2 2 2 5 9 9" xfId="16926" xr:uid="{00000000-0005-0000-0000-0000F4410000}"/>
    <cellStyle name="Normal 2 2 2 2 50" xfId="16927" xr:uid="{00000000-0005-0000-0000-0000F5410000}"/>
    <cellStyle name="Normal 2 2 2 2 51" xfId="16928" xr:uid="{00000000-0005-0000-0000-0000F6410000}"/>
    <cellStyle name="Normal 2 2 2 2 6" xfId="16929" xr:uid="{00000000-0005-0000-0000-0000F7410000}"/>
    <cellStyle name="Normal 2 2 2 2 6 2" xfId="68" xr:uid="{00000000-0005-0000-0000-0000F8410000}"/>
    <cellStyle name="Normal 2 2 2 2 6 2 2" xfId="73" xr:uid="{00000000-0005-0000-0000-0000F9410000}"/>
    <cellStyle name="Normal 2 2 2 2 6 2 3" xfId="77" xr:uid="{00000000-0005-0000-0000-0000FA410000}"/>
    <cellStyle name="Normal 2 2 2 2 6 2 4" xfId="16930" xr:uid="{00000000-0005-0000-0000-0000FB410000}"/>
    <cellStyle name="Normal 2 2 2 2 7" xfId="16931" xr:uid="{00000000-0005-0000-0000-0000FC410000}"/>
    <cellStyle name="Normal 2 2 2 2 8" xfId="16932" xr:uid="{00000000-0005-0000-0000-0000FD410000}"/>
    <cellStyle name="Normal 2 2 2 2 9" xfId="16933" xr:uid="{00000000-0005-0000-0000-0000FE410000}"/>
    <cellStyle name="Normal 2 2 2 20" xfId="16934" xr:uid="{00000000-0005-0000-0000-0000FF410000}"/>
    <cellStyle name="Normal 2 2 2 20 10" xfId="16935" xr:uid="{00000000-0005-0000-0000-000000420000}"/>
    <cellStyle name="Normal 2 2 2 20 11" xfId="16936" xr:uid="{00000000-0005-0000-0000-000001420000}"/>
    <cellStyle name="Normal 2 2 2 20 12" xfId="16937" xr:uid="{00000000-0005-0000-0000-000002420000}"/>
    <cellStyle name="Normal 2 2 2 20 13" xfId="16938" xr:uid="{00000000-0005-0000-0000-000003420000}"/>
    <cellStyle name="Normal 2 2 2 20 14" xfId="16939" xr:uid="{00000000-0005-0000-0000-000004420000}"/>
    <cellStyle name="Normal 2 2 2 20 2" xfId="16940" xr:uid="{00000000-0005-0000-0000-000005420000}"/>
    <cellStyle name="Normal 2 2 2 20 2 10" xfId="16941" xr:uid="{00000000-0005-0000-0000-000006420000}"/>
    <cellStyle name="Normal 2 2 2 20 2 2" xfId="16942" xr:uid="{00000000-0005-0000-0000-000007420000}"/>
    <cellStyle name="Normal 2 2 2 20 2 3" xfId="16943" xr:uid="{00000000-0005-0000-0000-000008420000}"/>
    <cellStyle name="Normal 2 2 2 20 2 4" xfId="16944" xr:uid="{00000000-0005-0000-0000-000009420000}"/>
    <cellStyle name="Normal 2 2 2 20 2 5" xfId="16945" xr:uid="{00000000-0005-0000-0000-00000A420000}"/>
    <cellStyle name="Normal 2 2 2 20 2 6" xfId="16946" xr:uid="{00000000-0005-0000-0000-00000B420000}"/>
    <cellStyle name="Normal 2 2 2 20 2 7" xfId="16947" xr:uid="{00000000-0005-0000-0000-00000C420000}"/>
    <cellStyle name="Normal 2 2 2 20 2 8" xfId="16948" xr:uid="{00000000-0005-0000-0000-00000D420000}"/>
    <cellStyle name="Normal 2 2 2 20 2 9" xfId="16949" xr:uid="{00000000-0005-0000-0000-00000E420000}"/>
    <cellStyle name="Normal 2 2 2 20 3" xfId="16950" xr:uid="{00000000-0005-0000-0000-00000F420000}"/>
    <cellStyle name="Normal 2 2 2 20 3 10" xfId="16951" xr:uid="{00000000-0005-0000-0000-000010420000}"/>
    <cellStyle name="Normal 2 2 2 20 3 2" xfId="16952" xr:uid="{00000000-0005-0000-0000-000011420000}"/>
    <cellStyle name="Normal 2 2 2 20 3 3" xfId="16953" xr:uid="{00000000-0005-0000-0000-000012420000}"/>
    <cellStyle name="Normal 2 2 2 20 3 4" xfId="16954" xr:uid="{00000000-0005-0000-0000-000013420000}"/>
    <cellStyle name="Normal 2 2 2 20 3 5" xfId="16955" xr:uid="{00000000-0005-0000-0000-000014420000}"/>
    <cellStyle name="Normal 2 2 2 20 3 6" xfId="16956" xr:uid="{00000000-0005-0000-0000-000015420000}"/>
    <cellStyle name="Normal 2 2 2 20 3 7" xfId="16957" xr:uid="{00000000-0005-0000-0000-000016420000}"/>
    <cellStyle name="Normal 2 2 2 20 3 8" xfId="16958" xr:uid="{00000000-0005-0000-0000-000017420000}"/>
    <cellStyle name="Normal 2 2 2 20 3 9" xfId="16959" xr:uid="{00000000-0005-0000-0000-000018420000}"/>
    <cellStyle name="Normal 2 2 2 20 4" xfId="16960" xr:uid="{00000000-0005-0000-0000-000019420000}"/>
    <cellStyle name="Normal 2 2 2 20 4 10" xfId="16961" xr:uid="{00000000-0005-0000-0000-00001A420000}"/>
    <cellStyle name="Normal 2 2 2 20 4 2" xfId="16962" xr:uid="{00000000-0005-0000-0000-00001B420000}"/>
    <cellStyle name="Normal 2 2 2 20 4 3" xfId="16963" xr:uid="{00000000-0005-0000-0000-00001C420000}"/>
    <cellStyle name="Normal 2 2 2 20 4 4" xfId="16964" xr:uid="{00000000-0005-0000-0000-00001D420000}"/>
    <cellStyle name="Normal 2 2 2 20 4 5" xfId="16965" xr:uid="{00000000-0005-0000-0000-00001E420000}"/>
    <cellStyle name="Normal 2 2 2 20 4 6" xfId="16966" xr:uid="{00000000-0005-0000-0000-00001F420000}"/>
    <cellStyle name="Normal 2 2 2 20 4 7" xfId="16967" xr:uid="{00000000-0005-0000-0000-000020420000}"/>
    <cellStyle name="Normal 2 2 2 20 4 8" xfId="16968" xr:uid="{00000000-0005-0000-0000-000021420000}"/>
    <cellStyle name="Normal 2 2 2 20 4 9" xfId="16969" xr:uid="{00000000-0005-0000-0000-000022420000}"/>
    <cellStyle name="Normal 2 2 2 20 5" xfId="16970" xr:uid="{00000000-0005-0000-0000-000023420000}"/>
    <cellStyle name="Normal 2 2 2 20 5 10" xfId="16971" xr:uid="{00000000-0005-0000-0000-000024420000}"/>
    <cellStyle name="Normal 2 2 2 20 5 2" xfId="16972" xr:uid="{00000000-0005-0000-0000-000025420000}"/>
    <cellStyle name="Normal 2 2 2 20 5 3" xfId="16973" xr:uid="{00000000-0005-0000-0000-000026420000}"/>
    <cellStyle name="Normal 2 2 2 20 5 4" xfId="16974" xr:uid="{00000000-0005-0000-0000-000027420000}"/>
    <cellStyle name="Normal 2 2 2 20 5 5" xfId="16975" xr:uid="{00000000-0005-0000-0000-000028420000}"/>
    <cellStyle name="Normal 2 2 2 20 5 6" xfId="16976" xr:uid="{00000000-0005-0000-0000-000029420000}"/>
    <cellStyle name="Normal 2 2 2 20 5 7" xfId="16977" xr:uid="{00000000-0005-0000-0000-00002A420000}"/>
    <cellStyle name="Normal 2 2 2 20 5 8" xfId="16978" xr:uid="{00000000-0005-0000-0000-00002B420000}"/>
    <cellStyle name="Normal 2 2 2 20 5 9" xfId="16979" xr:uid="{00000000-0005-0000-0000-00002C420000}"/>
    <cellStyle name="Normal 2 2 2 20 6" xfId="16980" xr:uid="{00000000-0005-0000-0000-00002D420000}"/>
    <cellStyle name="Normal 2 2 2 20 7" xfId="16981" xr:uid="{00000000-0005-0000-0000-00002E420000}"/>
    <cellStyle name="Normal 2 2 2 20 8" xfId="16982" xr:uid="{00000000-0005-0000-0000-00002F420000}"/>
    <cellStyle name="Normal 2 2 2 20 9" xfId="16983" xr:uid="{00000000-0005-0000-0000-000030420000}"/>
    <cellStyle name="Normal 2 2 2 21" xfId="16984" xr:uid="{00000000-0005-0000-0000-000031420000}"/>
    <cellStyle name="Normal 2 2 2 21 10" xfId="16985" xr:uid="{00000000-0005-0000-0000-000032420000}"/>
    <cellStyle name="Normal 2 2 2 21 11" xfId="16986" xr:uid="{00000000-0005-0000-0000-000033420000}"/>
    <cellStyle name="Normal 2 2 2 21 12" xfId="16987" xr:uid="{00000000-0005-0000-0000-000034420000}"/>
    <cellStyle name="Normal 2 2 2 21 13" xfId="16988" xr:uid="{00000000-0005-0000-0000-000035420000}"/>
    <cellStyle name="Normal 2 2 2 21 14" xfId="16989" xr:uid="{00000000-0005-0000-0000-000036420000}"/>
    <cellStyle name="Normal 2 2 2 21 2" xfId="16990" xr:uid="{00000000-0005-0000-0000-000037420000}"/>
    <cellStyle name="Normal 2 2 2 21 2 10" xfId="16991" xr:uid="{00000000-0005-0000-0000-000038420000}"/>
    <cellStyle name="Normal 2 2 2 21 2 2" xfId="16992" xr:uid="{00000000-0005-0000-0000-000039420000}"/>
    <cellStyle name="Normal 2 2 2 21 2 3" xfId="16993" xr:uid="{00000000-0005-0000-0000-00003A420000}"/>
    <cellStyle name="Normal 2 2 2 21 2 4" xfId="16994" xr:uid="{00000000-0005-0000-0000-00003B420000}"/>
    <cellStyle name="Normal 2 2 2 21 2 5" xfId="16995" xr:uid="{00000000-0005-0000-0000-00003C420000}"/>
    <cellStyle name="Normal 2 2 2 21 2 6" xfId="16996" xr:uid="{00000000-0005-0000-0000-00003D420000}"/>
    <cellStyle name="Normal 2 2 2 21 2 7" xfId="16997" xr:uid="{00000000-0005-0000-0000-00003E420000}"/>
    <cellStyle name="Normal 2 2 2 21 2 8" xfId="16998" xr:uid="{00000000-0005-0000-0000-00003F420000}"/>
    <cellStyle name="Normal 2 2 2 21 2 9" xfId="16999" xr:uid="{00000000-0005-0000-0000-000040420000}"/>
    <cellStyle name="Normal 2 2 2 21 3" xfId="17000" xr:uid="{00000000-0005-0000-0000-000041420000}"/>
    <cellStyle name="Normal 2 2 2 21 3 10" xfId="17001" xr:uid="{00000000-0005-0000-0000-000042420000}"/>
    <cellStyle name="Normal 2 2 2 21 3 2" xfId="17002" xr:uid="{00000000-0005-0000-0000-000043420000}"/>
    <cellStyle name="Normal 2 2 2 21 3 3" xfId="17003" xr:uid="{00000000-0005-0000-0000-000044420000}"/>
    <cellStyle name="Normal 2 2 2 21 3 4" xfId="17004" xr:uid="{00000000-0005-0000-0000-000045420000}"/>
    <cellStyle name="Normal 2 2 2 21 3 5" xfId="17005" xr:uid="{00000000-0005-0000-0000-000046420000}"/>
    <cellStyle name="Normal 2 2 2 21 3 6" xfId="17006" xr:uid="{00000000-0005-0000-0000-000047420000}"/>
    <cellStyle name="Normal 2 2 2 21 3 7" xfId="17007" xr:uid="{00000000-0005-0000-0000-000048420000}"/>
    <cellStyle name="Normal 2 2 2 21 3 8" xfId="17008" xr:uid="{00000000-0005-0000-0000-000049420000}"/>
    <cellStyle name="Normal 2 2 2 21 3 9" xfId="17009" xr:uid="{00000000-0005-0000-0000-00004A420000}"/>
    <cellStyle name="Normal 2 2 2 21 4" xfId="17010" xr:uid="{00000000-0005-0000-0000-00004B420000}"/>
    <cellStyle name="Normal 2 2 2 21 4 10" xfId="17011" xr:uid="{00000000-0005-0000-0000-00004C420000}"/>
    <cellStyle name="Normal 2 2 2 21 4 2" xfId="17012" xr:uid="{00000000-0005-0000-0000-00004D420000}"/>
    <cellStyle name="Normal 2 2 2 21 4 3" xfId="17013" xr:uid="{00000000-0005-0000-0000-00004E420000}"/>
    <cellStyle name="Normal 2 2 2 21 4 4" xfId="17014" xr:uid="{00000000-0005-0000-0000-00004F420000}"/>
    <cellStyle name="Normal 2 2 2 21 4 5" xfId="17015" xr:uid="{00000000-0005-0000-0000-000050420000}"/>
    <cellStyle name="Normal 2 2 2 21 4 6" xfId="17016" xr:uid="{00000000-0005-0000-0000-000051420000}"/>
    <cellStyle name="Normal 2 2 2 21 4 7" xfId="17017" xr:uid="{00000000-0005-0000-0000-000052420000}"/>
    <cellStyle name="Normal 2 2 2 21 4 8" xfId="17018" xr:uid="{00000000-0005-0000-0000-000053420000}"/>
    <cellStyle name="Normal 2 2 2 21 4 9" xfId="17019" xr:uid="{00000000-0005-0000-0000-000054420000}"/>
    <cellStyle name="Normal 2 2 2 21 5" xfId="17020" xr:uid="{00000000-0005-0000-0000-000055420000}"/>
    <cellStyle name="Normal 2 2 2 21 5 10" xfId="17021" xr:uid="{00000000-0005-0000-0000-000056420000}"/>
    <cellStyle name="Normal 2 2 2 21 5 2" xfId="17022" xr:uid="{00000000-0005-0000-0000-000057420000}"/>
    <cellStyle name="Normal 2 2 2 21 5 3" xfId="17023" xr:uid="{00000000-0005-0000-0000-000058420000}"/>
    <cellStyle name="Normal 2 2 2 21 5 4" xfId="17024" xr:uid="{00000000-0005-0000-0000-000059420000}"/>
    <cellStyle name="Normal 2 2 2 21 5 5" xfId="17025" xr:uid="{00000000-0005-0000-0000-00005A420000}"/>
    <cellStyle name="Normal 2 2 2 21 5 6" xfId="17026" xr:uid="{00000000-0005-0000-0000-00005B420000}"/>
    <cellStyle name="Normal 2 2 2 21 5 7" xfId="17027" xr:uid="{00000000-0005-0000-0000-00005C420000}"/>
    <cellStyle name="Normal 2 2 2 21 5 8" xfId="17028" xr:uid="{00000000-0005-0000-0000-00005D420000}"/>
    <cellStyle name="Normal 2 2 2 21 5 9" xfId="17029" xr:uid="{00000000-0005-0000-0000-00005E420000}"/>
    <cellStyle name="Normal 2 2 2 21 6" xfId="17030" xr:uid="{00000000-0005-0000-0000-00005F420000}"/>
    <cellStyle name="Normal 2 2 2 21 7" xfId="17031" xr:uid="{00000000-0005-0000-0000-000060420000}"/>
    <cellStyle name="Normal 2 2 2 21 8" xfId="17032" xr:uid="{00000000-0005-0000-0000-000061420000}"/>
    <cellStyle name="Normal 2 2 2 21 9" xfId="17033" xr:uid="{00000000-0005-0000-0000-000062420000}"/>
    <cellStyle name="Normal 2 2 2 22" xfId="17034" xr:uid="{00000000-0005-0000-0000-000063420000}"/>
    <cellStyle name="Normal 2 2 2 22 10" xfId="17035" xr:uid="{00000000-0005-0000-0000-000064420000}"/>
    <cellStyle name="Normal 2 2 2 22 11" xfId="17036" xr:uid="{00000000-0005-0000-0000-000065420000}"/>
    <cellStyle name="Normal 2 2 2 22 12" xfId="17037" xr:uid="{00000000-0005-0000-0000-000066420000}"/>
    <cellStyle name="Normal 2 2 2 22 13" xfId="17038" xr:uid="{00000000-0005-0000-0000-000067420000}"/>
    <cellStyle name="Normal 2 2 2 22 14" xfId="17039" xr:uid="{00000000-0005-0000-0000-000068420000}"/>
    <cellStyle name="Normal 2 2 2 22 2" xfId="17040" xr:uid="{00000000-0005-0000-0000-000069420000}"/>
    <cellStyle name="Normal 2 2 2 22 2 10" xfId="17041" xr:uid="{00000000-0005-0000-0000-00006A420000}"/>
    <cellStyle name="Normal 2 2 2 22 2 2" xfId="17042" xr:uid="{00000000-0005-0000-0000-00006B420000}"/>
    <cellStyle name="Normal 2 2 2 22 2 3" xfId="17043" xr:uid="{00000000-0005-0000-0000-00006C420000}"/>
    <cellStyle name="Normal 2 2 2 22 2 4" xfId="17044" xr:uid="{00000000-0005-0000-0000-00006D420000}"/>
    <cellStyle name="Normal 2 2 2 22 2 5" xfId="17045" xr:uid="{00000000-0005-0000-0000-00006E420000}"/>
    <cellStyle name="Normal 2 2 2 22 2 6" xfId="17046" xr:uid="{00000000-0005-0000-0000-00006F420000}"/>
    <cellStyle name="Normal 2 2 2 22 2 7" xfId="17047" xr:uid="{00000000-0005-0000-0000-000070420000}"/>
    <cellStyle name="Normal 2 2 2 22 2 8" xfId="17048" xr:uid="{00000000-0005-0000-0000-000071420000}"/>
    <cellStyle name="Normal 2 2 2 22 2 9" xfId="17049" xr:uid="{00000000-0005-0000-0000-000072420000}"/>
    <cellStyle name="Normal 2 2 2 22 3" xfId="17050" xr:uid="{00000000-0005-0000-0000-000073420000}"/>
    <cellStyle name="Normal 2 2 2 22 3 10" xfId="17051" xr:uid="{00000000-0005-0000-0000-000074420000}"/>
    <cellStyle name="Normal 2 2 2 22 3 2" xfId="17052" xr:uid="{00000000-0005-0000-0000-000075420000}"/>
    <cellStyle name="Normal 2 2 2 22 3 3" xfId="17053" xr:uid="{00000000-0005-0000-0000-000076420000}"/>
    <cellStyle name="Normal 2 2 2 22 3 4" xfId="17054" xr:uid="{00000000-0005-0000-0000-000077420000}"/>
    <cellStyle name="Normal 2 2 2 22 3 5" xfId="17055" xr:uid="{00000000-0005-0000-0000-000078420000}"/>
    <cellStyle name="Normal 2 2 2 22 3 6" xfId="17056" xr:uid="{00000000-0005-0000-0000-000079420000}"/>
    <cellStyle name="Normal 2 2 2 22 3 7" xfId="17057" xr:uid="{00000000-0005-0000-0000-00007A420000}"/>
    <cellStyle name="Normal 2 2 2 22 3 8" xfId="17058" xr:uid="{00000000-0005-0000-0000-00007B420000}"/>
    <cellStyle name="Normal 2 2 2 22 3 9" xfId="17059" xr:uid="{00000000-0005-0000-0000-00007C420000}"/>
    <cellStyle name="Normal 2 2 2 22 4" xfId="17060" xr:uid="{00000000-0005-0000-0000-00007D420000}"/>
    <cellStyle name="Normal 2 2 2 22 4 10" xfId="17061" xr:uid="{00000000-0005-0000-0000-00007E420000}"/>
    <cellStyle name="Normal 2 2 2 22 4 2" xfId="17062" xr:uid="{00000000-0005-0000-0000-00007F420000}"/>
    <cellStyle name="Normal 2 2 2 22 4 3" xfId="17063" xr:uid="{00000000-0005-0000-0000-000080420000}"/>
    <cellStyle name="Normal 2 2 2 22 4 4" xfId="17064" xr:uid="{00000000-0005-0000-0000-000081420000}"/>
    <cellStyle name="Normal 2 2 2 22 4 5" xfId="17065" xr:uid="{00000000-0005-0000-0000-000082420000}"/>
    <cellStyle name="Normal 2 2 2 22 4 6" xfId="17066" xr:uid="{00000000-0005-0000-0000-000083420000}"/>
    <cellStyle name="Normal 2 2 2 22 4 7" xfId="17067" xr:uid="{00000000-0005-0000-0000-000084420000}"/>
    <cellStyle name="Normal 2 2 2 22 4 8" xfId="17068" xr:uid="{00000000-0005-0000-0000-000085420000}"/>
    <cellStyle name="Normal 2 2 2 22 4 9" xfId="17069" xr:uid="{00000000-0005-0000-0000-000086420000}"/>
    <cellStyle name="Normal 2 2 2 22 5" xfId="17070" xr:uid="{00000000-0005-0000-0000-000087420000}"/>
    <cellStyle name="Normal 2 2 2 22 5 10" xfId="17071" xr:uid="{00000000-0005-0000-0000-000088420000}"/>
    <cellStyle name="Normal 2 2 2 22 5 2" xfId="17072" xr:uid="{00000000-0005-0000-0000-000089420000}"/>
    <cellStyle name="Normal 2 2 2 22 5 3" xfId="17073" xr:uid="{00000000-0005-0000-0000-00008A420000}"/>
    <cellStyle name="Normal 2 2 2 22 5 4" xfId="17074" xr:uid="{00000000-0005-0000-0000-00008B420000}"/>
    <cellStyle name="Normal 2 2 2 22 5 5" xfId="17075" xr:uid="{00000000-0005-0000-0000-00008C420000}"/>
    <cellStyle name="Normal 2 2 2 22 5 6" xfId="17076" xr:uid="{00000000-0005-0000-0000-00008D420000}"/>
    <cellStyle name="Normal 2 2 2 22 5 7" xfId="17077" xr:uid="{00000000-0005-0000-0000-00008E420000}"/>
    <cellStyle name="Normal 2 2 2 22 5 8" xfId="17078" xr:uid="{00000000-0005-0000-0000-00008F420000}"/>
    <cellStyle name="Normal 2 2 2 22 5 9" xfId="17079" xr:uid="{00000000-0005-0000-0000-000090420000}"/>
    <cellStyle name="Normal 2 2 2 22 6" xfId="17080" xr:uid="{00000000-0005-0000-0000-000091420000}"/>
    <cellStyle name="Normal 2 2 2 22 7" xfId="17081" xr:uid="{00000000-0005-0000-0000-000092420000}"/>
    <cellStyle name="Normal 2 2 2 22 8" xfId="17082" xr:uid="{00000000-0005-0000-0000-000093420000}"/>
    <cellStyle name="Normal 2 2 2 22 9" xfId="17083" xr:uid="{00000000-0005-0000-0000-000094420000}"/>
    <cellStyle name="Normal 2 2 2 23" xfId="17084" xr:uid="{00000000-0005-0000-0000-000095420000}"/>
    <cellStyle name="Normal 2 2 2 23 10" xfId="17085" xr:uid="{00000000-0005-0000-0000-000096420000}"/>
    <cellStyle name="Normal 2 2 2 23 11" xfId="17086" xr:uid="{00000000-0005-0000-0000-000097420000}"/>
    <cellStyle name="Normal 2 2 2 23 12" xfId="17087" xr:uid="{00000000-0005-0000-0000-000098420000}"/>
    <cellStyle name="Normal 2 2 2 23 13" xfId="17088" xr:uid="{00000000-0005-0000-0000-000099420000}"/>
    <cellStyle name="Normal 2 2 2 23 14" xfId="17089" xr:uid="{00000000-0005-0000-0000-00009A420000}"/>
    <cellStyle name="Normal 2 2 2 23 2" xfId="17090" xr:uid="{00000000-0005-0000-0000-00009B420000}"/>
    <cellStyle name="Normal 2 2 2 23 2 10" xfId="17091" xr:uid="{00000000-0005-0000-0000-00009C420000}"/>
    <cellStyle name="Normal 2 2 2 23 2 2" xfId="17092" xr:uid="{00000000-0005-0000-0000-00009D420000}"/>
    <cellStyle name="Normal 2 2 2 23 2 3" xfId="17093" xr:uid="{00000000-0005-0000-0000-00009E420000}"/>
    <cellStyle name="Normal 2 2 2 23 2 4" xfId="17094" xr:uid="{00000000-0005-0000-0000-00009F420000}"/>
    <cellStyle name="Normal 2 2 2 23 2 5" xfId="17095" xr:uid="{00000000-0005-0000-0000-0000A0420000}"/>
    <cellStyle name="Normal 2 2 2 23 2 6" xfId="17096" xr:uid="{00000000-0005-0000-0000-0000A1420000}"/>
    <cellStyle name="Normal 2 2 2 23 2 7" xfId="17097" xr:uid="{00000000-0005-0000-0000-0000A2420000}"/>
    <cellStyle name="Normal 2 2 2 23 2 8" xfId="17098" xr:uid="{00000000-0005-0000-0000-0000A3420000}"/>
    <cellStyle name="Normal 2 2 2 23 2 9" xfId="17099" xr:uid="{00000000-0005-0000-0000-0000A4420000}"/>
    <cellStyle name="Normal 2 2 2 23 3" xfId="17100" xr:uid="{00000000-0005-0000-0000-0000A5420000}"/>
    <cellStyle name="Normal 2 2 2 23 3 10" xfId="17101" xr:uid="{00000000-0005-0000-0000-0000A6420000}"/>
    <cellStyle name="Normal 2 2 2 23 3 2" xfId="17102" xr:uid="{00000000-0005-0000-0000-0000A7420000}"/>
    <cellStyle name="Normal 2 2 2 23 3 3" xfId="17103" xr:uid="{00000000-0005-0000-0000-0000A8420000}"/>
    <cellStyle name="Normal 2 2 2 23 3 4" xfId="17104" xr:uid="{00000000-0005-0000-0000-0000A9420000}"/>
    <cellStyle name="Normal 2 2 2 23 3 5" xfId="17105" xr:uid="{00000000-0005-0000-0000-0000AA420000}"/>
    <cellStyle name="Normal 2 2 2 23 3 6" xfId="17106" xr:uid="{00000000-0005-0000-0000-0000AB420000}"/>
    <cellStyle name="Normal 2 2 2 23 3 7" xfId="17107" xr:uid="{00000000-0005-0000-0000-0000AC420000}"/>
    <cellStyle name="Normal 2 2 2 23 3 8" xfId="17108" xr:uid="{00000000-0005-0000-0000-0000AD420000}"/>
    <cellStyle name="Normal 2 2 2 23 3 9" xfId="17109" xr:uid="{00000000-0005-0000-0000-0000AE420000}"/>
    <cellStyle name="Normal 2 2 2 23 4" xfId="17110" xr:uid="{00000000-0005-0000-0000-0000AF420000}"/>
    <cellStyle name="Normal 2 2 2 23 4 10" xfId="17111" xr:uid="{00000000-0005-0000-0000-0000B0420000}"/>
    <cellStyle name="Normal 2 2 2 23 4 2" xfId="17112" xr:uid="{00000000-0005-0000-0000-0000B1420000}"/>
    <cellStyle name="Normal 2 2 2 23 4 3" xfId="17113" xr:uid="{00000000-0005-0000-0000-0000B2420000}"/>
    <cellStyle name="Normal 2 2 2 23 4 4" xfId="17114" xr:uid="{00000000-0005-0000-0000-0000B3420000}"/>
    <cellStyle name="Normal 2 2 2 23 4 5" xfId="17115" xr:uid="{00000000-0005-0000-0000-0000B4420000}"/>
    <cellStyle name="Normal 2 2 2 23 4 6" xfId="17116" xr:uid="{00000000-0005-0000-0000-0000B5420000}"/>
    <cellStyle name="Normal 2 2 2 23 4 7" xfId="17117" xr:uid="{00000000-0005-0000-0000-0000B6420000}"/>
    <cellStyle name="Normal 2 2 2 23 4 8" xfId="17118" xr:uid="{00000000-0005-0000-0000-0000B7420000}"/>
    <cellStyle name="Normal 2 2 2 23 4 9" xfId="17119" xr:uid="{00000000-0005-0000-0000-0000B8420000}"/>
    <cellStyle name="Normal 2 2 2 23 5" xfId="17120" xr:uid="{00000000-0005-0000-0000-0000B9420000}"/>
    <cellStyle name="Normal 2 2 2 23 5 10" xfId="17121" xr:uid="{00000000-0005-0000-0000-0000BA420000}"/>
    <cellStyle name="Normal 2 2 2 23 5 2" xfId="17122" xr:uid="{00000000-0005-0000-0000-0000BB420000}"/>
    <cellStyle name="Normal 2 2 2 23 5 3" xfId="17123" xr:uid="{00000000-0005-0000-0000-0000BC420000}"/>
    <cellStyle name="Normal 2 2 2 23 5 4" xfId="17124" xr:uid="{00000000-0005-0000-0000-0000BD420000}"/>
    <cellStyle name="Normal 2 2 2 23 5 5" xfId="17125" xr:uid="{00000000-0005-0000-0000-0000BE420000}"/>
    <cellStyle name="Normal 2 2 2 23 5 6" xfId="17126" xr:uid="{00000000-0005-0000-0000-0000BF420000}"/>
    <cellStyle name="Normal 2 2 2 23 5 7" xfId="17127" xr:uid="{00000000-0005-0000-0000-0000C0420000}"/>
    <cellStyle name="Normal 2 2 2 23 5 8" xfId="17128" xr:uid="{00000000-0005-0000-0000-0000C1420000}"/>
    <cellStyle name="Normal 2 2 2 23 5 9" xfId="17129" xr:uid="{00000000-0005-0000-0000-0000C2420000}"/>
    <cellStyle name="Normal 2 2 2 23 6" xfId="17130" xr:uid="{00000000-0005-0000-0000-0000C3420000}"/>
    <cellStyle name="Normal 2 2 2 23 7" xfId="17131" xr:uid="{00000000-0005-0000-0000-0000C4420000}"/>
    <cellStyle name="Normal 2 2 2 23 8" xfId="17132" xr:uid="{00000000-0005-0000-0000-0000C5420000}"/>
    <cellStyle name="Normal 2 2 2 23 9" xfId="17133" xr:uid="{00000000-0005-0000-0000-0000C6420000}"/>
    <cellStyle name="Normal 2 2 2 24" xfId="17134" xr:uid="{00000000-0005-0000-0000-0000C7420000}"/>
    <cellStyle name="Normal 2 2 2 24 10" xfId="17135" xr:uid="{00000000-0005-0000-0000-0000C8420000}"/>
    <cellStyle name="Normal 2 2 2 24 11" xfId="17136" xr:uid="{00000000-0005-0000-0000-0000C9420000}"/>
    <cellStyle name="Normal 2 2 2 24 12" xfId="17137" xr:uid="{00000000-0005-0000-0000-0000CA420000}"/>
    <cellStyle name="Normal 2 2 2 24 13" xfId="17138" xr:uid="{00000000-0005-0000-0000-0000CB420000}"/>
    <cellStyle name="Normal 2 2 2 24 14" xfId="17139" xr:uid="{00000000-0005-0000-0000-0000CC420000}"/>
    <cellStyle name="Normal 2 2 2 24 2" xfId="17140" xr:uid="{00000000-0005-0000-0000-0000CD420000}"/>
    <cellStyle name="Normal 2 2 2 24 2 10" xfId="17141" xr:uid="{00000000-0005-0000-0000-0000CE420000}"/>
    <cellStyle name="Normal 2 2 2 24 2 2" xfId="17142" xr:uid="{00000000-0005-0000-0000-0000CF420000}"/>
    <cellStyle name="Normal 2 2 2 24 2 3" xfId="17143" xr:uid="{00000000-0005-0000-0000-0000D0420000}"/>
    <cellStyle name="Normal 2 2 2 24 2 4" xfId="17144" xr:uid="{00000000-0005-0000-0000-0000D1420000}"/>
    <cellStyle name="Normal 2 2 2 24 2 5" xfId="17145" xr:uid="{00000000-0005-0000-0000-0000D2420000}"/>
    <cellStyle name="Normal 2 2 2 24 2 6" xfId="17146" xr:uid="{00000000-0005-0000-0000-0000D3420000}"/>
    <cellStyle name="Normal 2 2 2 24 2 7" xfId="17147" xr:uid="{00000000-0005-0000-0000-0000D4420000}"/>
    <cellStyle name="Normal 2 2 2 24 2 8" xfId="17148" xr:uid="{00000000-0005-0000-0000-0000D5420000}"/>
    <cellStyle name="Normal 2 2 2 24 2 9" xfId="17149" xr:uid="{00000000-0005-0000-0000-0000D6420000}"/>
    <cellStyle name="Normal 2 2 2 24 3" xfId="17150" xr:uid="{00000000-0005-0000-0000-0000D7420000}"/>
    <cellStyle name="Normal 2 2 2 24 3 10" xfId="17151" xr:uid="{00000000-0005-0000-0000-0000D8420000}"/>
    <cellStyle name="Normal 2 2 2 24 3 2" xfId="17152" xr:uid="{00000000-0005-0000-0000-0000D9420000}"/>
    <cellStyle name="Normal 2 2 2 24 3 3" xfId="17153" xr:uid="{00000000-0005-0000-0000-0000DA420000}"/>
    <cellStyle name="Normal 2 2 2 24 3 4" xfId="17154" xr:uid="{00000000-0005-0000-0000-0000DB420000}"/>
    <cellStyle name="Normal 2 2 2 24 3 5" xfId="17155" xr:uid="{00000000-0005-0000-0000-0000DC420000}"/>
    <cellStyle name="Normal 2 2 2 24 3 6" xfId="17156" xr:uid="{00000000-0005-0000-0000-0000DD420000}"/>
    <cellStyle name="Normal 2 2 2 24 3 7" xfId="17157" xr:uid="{00000000-0005-0000-0000-0000DE420000}"/>
    <cellStyle name="Normal 2 2 2 24 3 8" xfId="17158" xr:uid="{00000000-0005-0000-0000-0000DF420000}"/>
    <cellStyle name="Normal 2 2 2 24 3 9" xfId="17159" xr:uid="{00000000-0005-0000-0000-0000E0420000}"/>
    <cellStyle name="Normal 2 2 2 24 4" xfId="17160" xr:uid="{00000000-0005-0000-0000-0000E1420000}"/>
    <cellStyle name="Normal 2 2 2 24 4 10" xfId="17161" xr:uid="{00000000-0005-0000-0000-0000E2420000}"/>
    <cellStyle name="Normal 2 2 2 24 4 2" xfId="17162" xr:uid="{00000000-0005-0000-0000-0000E3420000}"/>
    <cellStyle name="Normal 2 2 2 24 4 3" xfId="17163" xr:uid="{00000000-0005-0000-0000-0000E4420000}"/>
    <cellStyle name="Normal 2 2 2 24 4 4" xfId="17164" xr:uid="{00000000-0005-0000-0000-0000E5420000}"/>
    <cellStyle name="Normal 2 2 2 24 4 5" xfId="17165" xr:uid="{00000000-0005-0000-0000-0000E6420000}"/>
    <cellStyle name="Normal 2 2 2 24 4 6" xfId="17166" xr:uid="{00000000-0005-0000-0000-0000E7420000}"/>
    <cellStyle name="Normal 2 2 2 24 4 7" xfId="17167" xr:uid="{00000000-0005-0000-0000-0000E8420000}"/>
    <cellStyle name="Normal 2 2 2 24 4 8" xfId="17168" xr:uid="{00000000-0005-0000-0000-0000E9420000}"/>
    <cellStyle name="Normal 2 2 2 24 4 9" xfId="17169" xr:uid="{00000000-0005-0000-0000-0000EA420000}"/>
    <cellStyle name="Normal 2 2 2 24 5" xfId="17170" xr:uid="{00000000-0005-0000-0000-0000EB420000}"/>
    <cellStyle name="Normal 2 2 2 24 5 10" xfId="17171" xr:uid="{00000000-0005-0000-0000-0000EC420000}"/>
    <cellStyle name="Normal 2 2 2 24 5 2" xfId="17172" xr:uid="{00000000-0005-0000-0000-0000ED420000}"/>
    <cellStyle name="Normal 2 2 2 24 5 3" xfId="17173" xr:uid="{00000000-0005-0000-0000-0000EE420000}"/>
    <cellStyle name="Normal 2 2 2 24 5 4" xfId="17174" xr:uid="{00000000-0005-0000-0000-0000EF420000}"/>
    <cellStyle name="Normal 2 2 2 24 5 5" xfId="17175" xr:uid="{00000000-0005-0000-0000-0000F0420000}"/>
    <cellStyle name="Normal 2 2 2 24 5 6" xfId="17176" xr:uid="{00000000-0005-0000-0000-0000F1420000}"/>
    <cellStyle name="Normal 2 2 2 24 5 7" xfId="17177" xr:uid="{00000000-0005-0000-0000-0000F2420000}"/>
    <cellStyle name="Normal 2 2 2 24 5 8" xfId="17178" xr:uid="{00000000-0005-0000-0000-0000F3420000}"/>
    <cellStyle name="Normal 2 2 2 24 5 9" xfId="17179" xr:uid="{00000000-0005-0000-0000-0000F4420000}"/>
    <cellStyle name="Normal 2 2 2 24 6" xfId="17180" xr:uid="{00000000-0005-0000-0000-0000F5420000}"/>
    <cellStyle name="Normal 2 2 2 24 7" xfId="17181" xr:uid="{00000000-0005-0000-0000-0000F6420000}"/>
    <cellStyle name="Normal 2 2 2 24 8" xfId="17182" xr:uid="{00000000-0005-0000-0000-0000F7420000}"/>
    <cellStyle name="Normal 2 2 2 24 9" xfId="17183" xr:uid="{00000000-0005-0000-0000-0000F8420000}"/>
    <cellStyle name="Normal 2 2 2 25" xfId="17184" xr:uid="{00000000-0005-0000-0000-0000F9420000}"/>
    <cellStyle name="Normal 2 2 2 25 10" xfId="17185" xr:uid="{00000000-0005-0000-0000-0000FA420000}"/>
    <cellStyle name="Normal 2 2 2 25 11" xfId="17186" xr:uid="{00000000-0005-0000-0000-0000FB420000}"/>
    <cellStyle name="Normal 2 2 2 25 12" xfId="17187" xr:uid="{00000000-0005-0000-0000-0000FC420000}"/>
    <cellStyle name="Normal 2 2 2 25 13" xfId="17188" xr:uid="{00000000-0005-0000-0000-0000FD420000}"/>
    <cellStyle name="Normal 2 2 2 25 14" xfId="17189" xr:uid="{00000000-0005-0000-0000-0000FE420000}"/>
    <cellStyle name="Normal 2 2 2 25 2" xfId="17190" xr:uid="{00000000-0005-0000-0000-0000FF420000}"/>
    <cellStyle name="Normal 2 2 2 25 2 10" xfId="17191" xr:uid="{00000000-0005-0000-0000-000000430000}"/>
    <cellStyle name="Normal 2 2 2 25 2 2" xfId="17192" xr:uid="{00000000-0005-0000-0000-000001430000}"/>
    <cellStyle name="Normal 2 2 2 25 2 3" xfId="17193" xr:uid="{00000000-0005-0000-0000-000002430000}"/>
    <cellStyle name="Normal 2 2 2 25 2 4" xfId="17194" xr:uid="{00000000-0005-0000-0000-000003430000}"/>
    <cellStyle name="Normal 2 2 2 25 2 5" xfId="17195" xr:uid="{00000000-0005-0000-0000-000004430000}"/>
    <cellStyle name="Normal 2 2 2 25 2 6" xfId="17196" xr:uid="{00000000-0005-0000-0000-000005430000}"/>
    <cellStyle name="Normal 2 2 2 25 2 7" xfId="17197" xr:uid="{00000000-0005-0000-0000-000006430000}"/>
    <cellStyle name="Normal 2 2 2 25 2 8" xfId="17198" xr:uid="{00000000-0005-0000-0000-000007430000}"/>
    <cellStyle name="Normal 2 2 2 25 2 9" xfId="17199" xr:uid="{00000000-0005-0000-0000-000008430000}"/>
    <cellStyle name="Normal 2 2 2 25 3" xfId="17200" xr:uid="{00000000-0005-0000-0000-000009430000}"/>
    <cellStyle name="Normal 2 2 2 25 3 10" xfId="17201" xr:uid="{00000000-0005-0000-0000-00000A430000}"/>
    <cellStyle name="Normal 2 2 2 25 3 2" xfId="17202" xr:uid="{00000000-0005-0000-0000-00000B430000}"/>
    <cellStyle name="Normal 2 2 2 25 3 3" xfId="17203" xr:uid="{00000000-0005-0000-0000-00000C430000}"/>
    <cellStyle name="Normal 2 2 2 25 3 4" xfId="17204" xr:uid="{00000000-0005-0000-0000-00000D430000}"/>
    <cellStyle name="Normal 2 2 2 25 3 5" xfId="17205" xr:uid="{00000000-0005-0000-0000-00000E430000}"/>
    <cellStyle name="Normal 2 2 2 25 3 6" xfId="17206" xr:uid="{00000000-0005-0000-0000-00000F430000}"/>
    <cellStyle name="Normal 2 2 2 25 3 7" xfId="17207" xr:uid="{00000000-0005-0000-0000-000010430000}"/>
    <cellStyle name="Normal 2 2 2 25 3 8" xfId="17208" xr:uid="{00000000-0005-0000-0000-000011430000}"/>
    <cellStyle name="Normal 2 2 2 25 3 9" xfId="17209" xr:uid="{00000000-0005-0000-0000-000012430000}"/>
    <cellStyle name="Normal 2 2 2 25 4" xfId="17210" xr:uid="{00000000-0005-0000-0000-000013430000}"/>
    <cellStyle name="Normal 2 2 2 25 4 10" xfId="17211" xr:uid="{00000000-0005-0000-0000-000014430000}"/>
    <cellStyle name="Normal 2 2 2 25 4 2" xfId="17212" xr:uid="{00000000-0005-0000-0000-000015430000}"/>
    <cellStyle name="Normal 2 2 2 25 4 3" xfId="17213" xr:uid="{00000000-0005-0000-0000-000016430000}"/>
    <cellStyle name="Normal 2 2 2 25 4 4" xfId="17214" xr:uid="{00000000-0005-0000-0000-000017430000}"/>
    <cellStyle name="Normal 2 2 2 25 4 5" xfId="17215" xr:uid="{00000000-0005-0000-0000-000018430000}"/>
    <cellStyle name="Normal 2 2 2 25 4 6" xfId="17216" xr:uid="{00000000-0005-0000-0000-000019430000}"/>
    <cellStyle name="Normal 2 2 2 25 4 7" xfId="17217" xr:uid="{00000000-0005-0000-0000-00001A430000}"/>
    <cellStyle name="Normal 2 2 2 25 4 8" xfId="17218" xr:uid="{00000000-0005-0000-0000-00001B430000}"/>
    <cellStyle name="Normal 2 2 2 25 4 9" xfId="17219" xr:uid="{00000000-0005-0000-0000-00001C430000}"/>
    <cellStyle name="Normal 2 2 2 25 5" xfId="17220" xr:uid="{00000000-0005-0000-0000-00001D430000}"/>
    <cellStyle name="Normal 2 2 2 25 5 10" xfId="17221" xr:uid="{00000000-0005-0000-0000-00001E430000}"/>
    <cellStyle name="Normal 2 2 2 25 5 2" xfId="17222" xr:uid="{00000000-0005-0000-0000-00001F430000}"/>
    <cellStyle name="Normal 2 2 2 25 5 3" xfId="17223" xr:uid="{00000000-0005-0000-0000-000020430000}"/>
    <cellStyle name="Normal 2 2 2 25 5 4" xfId="17224" xr:uid="{00000000-0005-0000-0000-000021430000}"/>
    <cellStyle name="Normal 2 2 2 25 5 5" xfId="17225" xr:uid="{00000000-0005-0000-0000-000022430000}"/>
    <cellStyle name="Normal 2 2 2 25 5 6" xfId="17226" xr:uid="{00000000-0005-0000-0000-000023430000}"/>
    <cellStyle name="Normal 2 2 2 25 5 7" xfId="17227" xr:uid="{00000000-0005-0000-0000-000024430000}"/>
    <cellStyle name="Normal 2 2 2 25 5 8" xfId="17228" xr:uid="{00000000-0005-0000-0000-000025430000}"/>
    <cellStyle name="Normal 2 2 2 25 5 9" xfId="17229" xr:uid="{00000000-0005-0000-0000-000026430000}"/>
    <cellStyle name="Normal 2 2 2 25 6" xfId="17230" xr:uid="{00000000-0005-0000-0000-000027430000}"/>
    <cellStyle name="Normal 2 2 2 25 7" xfId="17231" xr:uid="{00000000-0005-0000-0000-000028430000}"/>
    <cellStyle name="Normal 2 2 2 25 8" xfId="17232" xr:uid="{00000000-0005-0000-0000-000029430000}"/>
    <cellStyle name="Normal 2 2 2 25 9" xfId="17233" xr:uid="{00000000-0005-0000-0000-00002A430000}"/>
    <cellStyle name="Normal 2 2 2 26" xfId="17234" xr:uid="{00000000-0005-0000-0000-00002B430000}"/>
    <cellStyle name="Normal 2 2 2 26 10" xfId="17235" xr:uid="{00000000-0005-0000-0000-00002C430000}"/>
    <cellStyle name="Normal 2 2 2 26 11" xfId="17236" xr:uid="{00000000-0005-0000-0000-00002D430000}"/>
    <cellStyle name="Normal 2 2 2 26 12" xfId="17237" xr:uid="{00000000-0005-0000-0000-00002E430000}"/>
    <cellStyle name="Normal 2 2 2 26 13" xfId="17238" xr:uid="{00000000-0005-0000-0000-00002F430000}"/>
    <cellStyle name="Normal 2 2 2 26 14" xfId="17239" xr:uid="{00000000-0005-0000-0000-000030430000}"/>
    <cellStyle name="Normal 2 2 2 26 2" xfId="17240" xr:uid="{00000000-0005-0000-0000-000031430000}"/>
    <cellStyle name="Normal 2 2 2 26 2 10" xfId="17241" xr:uid="{00000000-0005-0000-0000-000032430000}"/>
    <cellStyle name="Normal 2 2 2 26 2 2" xfId="17242" xr:uid="{00000000-0005-0000-0000-000033430000}"/>
    <cellStyle name="Normal 2 2 2 26 2 3" xfId="17243" xr:uid="{00000000-0005-0000-0000-000034430000}"/>
    <cellStyle name="Normal 2 2 2 26 2 4" xfId="17244" xr:uid="{00000000-0005-0000-0000-000035430000}"/>
    <cellStyle name="Normal 2 2 2 26 2 5" xfId="17245" xr:uid="{00000000-0005-0000-0000-000036430000}"/>
    <cellStyle name="Normal 2 2 2 26 2 6" xfId="17246" xr:uid="{00000000-0005-0000-0000-000037430000}"/>
    <cellStyle name="Normal 2 2 2 26 2 7" xfId="17247" xr:uid="{00000000-0005-0000-0000-000038430000}"/>
    <cellStyle name="Normal 2 2 2 26 2 8" xfId="17248" xr:uid="{00000000-0005-0000-0000-000039430000}"/>
    <cellStyle name="Normal 2 2 2 26 2 9" xfId="17249" xr:uid="{00000000-0005-0000-0000-00003A430000}"/>
    <cellStyle name="Normal 2 2 2 26 3" xfId="17250" xr:uid="{00000000-0005-0000-0000-00003B430000}"/>
    <cellStyle name="Normal 2 2 2 26 3 10" xfId="17251" xr:uid="{00000000-0005-0000-0000-00003C430000}"/>
    <cellStyle name="Normal 2 2 2 26 3 2" xfId="17252" xr:uid="{00000000-0005-0000-0000-00003D430000}"/>
    <cellStyle name="Normal 2 2 2 26 3 3" xfId="17253" xr:uid="{00000000-0005-0000-0000-00003E430000}"/>
    <cellStyle name="Normal 2 2 2 26 3 4" xfId="17254" xr:uid="{00000000-0005-0000-0000-00003F430000}"/>
    <cellStyle name="Normal 2 2 2 26 3 5" xfId="17255" xr:uid="{00000000-0005-0000-0000-000040430000}"/>
    <cellStyle name="Normal 2 2 2 26 3 6" xfId="17256" xr:uid="{00000000-0005-0000-0000-000041430000}"/>
    <cellStyle name="Normal 2 2 2 26 3 7" xfId="17257" xr:uid="{00000000-0005-0000-0000-000042430000}"/>
    <cellStyle name="Normal 2 2 2 26 3 8" xfId="17258" xr:uid="{00000000-0005-0000-0000-000043430000}"/>
    <cellStyle name="Normal 2 2 2 26 3 9" xfId="17259" xr:uid="{00000000-0005-0000-0000-000044430000}"/>
    <cellStyle name="Normal 2 2 2 26 4" xfId="17260" xr:uid="{00000000-0005-0000-0000-000045430000}"/>
    <cellStyle name="Normal 2 2 2 26 4 10" xfId="17261" xr:uid="{00000000-0005-0000-0000-000046430000}"/>
    <cellStyle name="Normal 2 2 2 26 4 2" xfId="17262" xr:uid="{00000000-0005-0000-0000-000047430000}"/>
    <cellStyle name="Normal 2 2 2 26 4 3" xfId="17263" xr:uid="{00000000-0005-0000-0000-000048430000}"/>
    <cellStyle name="Normal 2 2 2 26 4 4" xfId="17264" xr:uid="{00000000-0005-0000-0000-000049430000}"/>
    <cellStyle name="Normal 2 2 2 26 4 5" xfId="17265" xr:uid="{00000000-0005-0000-0000-00004A430000}"/>
    <cellStyle name="Normal 2 2 2 26 4 6" xfId="17266" xr:uid="{00000000-0005-0000-0000-00004B430000}"/>
    <cellStyle name="Normal 2 2 2 26 4 7" xfId="17267" xr:uid="{00000000-0005-0000-0000-00004C430000}"/>
    <cellStyle name="Normal 2 2 2 26 4 8" xfId="17268" xr:uid="{00000000-0005-0000-0000-00004D430000}"/>
    <cellStyle name="Normal 2 2 2 26 4 9" xfId="17269" xr:uid="{00000000-0005-0000-0000-00004E430000}"/>
    <cellStyle name="Normal 2 2 2 26 5" xfId="17270" xr:uid="{00000000-0005-0000-0000-00004F430000}"/>
    <cellStyle name="Normal 2 2 2 26 5 10" xfId="17271" xr:uid="{00000000-0005-0000-0000-000050430000}"/>
    <cellStyle name="Normal 2 2 2 26 5 2" xfId="17272" xr:uid="{00000000-0005-0000-0000-000051430000}"/>
    <cellStyle name="Normal 2 2 2 26 5 3" xfId="17273" xr:uid="{00000000-0005-0000-0000-000052430000}"/>
    <cellStyle name="Normal 2 2 2 26 5 4" xfId="17274" xr:uid="{00000000-0005-0000-0000-000053430000}"/>
    <cellStyle name="Normal 2 2 2 26 5 5" xfId="17275" xr:uid="{00000000-0005-0000-0000-000054430000}"/>
    <cellStyle name="Normal 2 2 2 26 5 6" xfId="17276" xr:uid="{00000000-0005-0000-0000-000055430000}"/>
    <cellStyle name="Normal 2 2 2 26 5 7" xfId="17277" xr:uid="{00000000-0005-0000-0000-000056430000}"/>
    <cellStyle name="Normal 2 2 2 26 5 8" xfId="17278" xr:uid="{00000000-0005-0000-0000-000057430000}"/>
    <cellStyle name="Normal 2 2 2 26 5 9" xfId="17279" xr:uid="{00000000-0005-0000-0000-000058430000}"/>
    <cellStyle name="Normal 2 2 2 26 6" xfId="17280" xr:uid="{00000000-0005-0000-0000-000059430000}"/>
    <cellStyle name="Normal 2 2 2 26 7" xfId="17281" xr:uid="{00000000-0005-0000-0000-00005A430000}"/>
    <cellStyle name="Normal 2 2 2 26 8" xfId="17282" xr:uid="{00000000-0005-0000-0000-00005B430000}"/>
    <cellStyle name="Normal 2 2 2 26 9" xfId="17283" xr:uid="{00000000-0005-0000-0000-00005C430000}"/>
    <cellStyle name="Normal 2 2 2 27" xfId="17284" xr:uid="{00000000-0005-0000-0000-00005D430000}"/>
    <cellStyle name="Normal 2 2 2 27 10" xfId="17285" xr:uid="{00000000-0005-0000-0000-00005E430000}"/>
    <cellStyle name="Normal 2 2 2 27 11" xfId="17286" xr:uid="{00000000-0005-0000-0000-00005F430000}"/>
    <cellStyle name="Normal 2 2 2 27 12" xfId="17287" xr:uid="{00000000-0005-0000-0000-000060430000}"/>
    <cellStyle name="Normal 2 2 2 27 13" xfId="17288" xr:uid="{00000000-0005-0000-0000-000061430000}"/>
    <cellStyle name="Normal 2 2 2 27 14" xfId="17289" xr:uid="{00000000-0005-0000-0000-000062430000}"/>
    <cellStyle name="Normal 2 2 2 27 2" xfId="17290" xr:uid="{00000000-0005-0000-0000-000063430000}"/>
    <cellStyle name="Normal 2 2 2 27 2 10" xfId="17291" xr:uid="{00000000-0005-0000-0000-000064430000}"/>
    <cellStyle name="Normal 2 2 2 27 2 2" xfId="17292" xr:uid="{00000000-0005-0000-0000-000065430000}"/>
    <cellStyle name="Normal 2 2 2 27 2 3" xfId="17293" xr:uid="{00000000-0005-0000-0000-000066430000}"/>
    <cellStyle name="Normal 2 2 2 27 2 4" xfId="17294" xr:uid="{00000000-0005-0000-0000-000067430000}"/>
    <cellStyle name="Normal 2 2 2 27 2 5" xfId="17295" xr:uid="{00000000-0005-0000-0000-000068430000}"/>
    <cellStyle name="Normal 2 2 2 27 2 6" xfId="17296" xr:uid="{00000000-0005-0000-0000-000069430000}"/>
    <cellStyle name="Normal 2 2 2 27 2 7" xfId="17297" xr:uid="{00000000-0005-0000-0000-00006A430000}"/>
    <cellStyle name="Normal 2 2 2 27 2 8" xfId="17298" xr:uid="{00000000-0005-0000-0000-00006B430000}"/>
    <cellStyle name="Normal 2 2 2 27 2 9" xfId="17299" xr:uid="{00000000-0005-0000-0000-00006C430000}"/>
    <cellStyle name="Normal 2 2 2 27 3" xfId="17300" xr:uid="{00000000-0005-0000-0000-00006D430000}"/>
    <cellStyle name="Normal 2 2 2 27 3 10" xfId="17301" xr:uid="{00000000-0005-0000-0000-00006E430000}"/>
    <cellStyle name="Normal 2 2 2 27 3 2" xfId="17302" xr:uid="{00000000-0005-0000-0000-00006F430000}"/>
    <cellStyle name="Normal 2 2 2 27 3 3" xfId="17303" xr:uid="{00000000-0005-0000-0000-000070430000}"/>
    <cellStyle name="Normal 2 2 2 27 3 4" xfId="17304" xr:uid="{00000000-0005-0000-0000-000071430000}"/>
    <cellStyle name="Normal 2 2 2 27 3 5" xfId="17305" xr:uid="{00000000-0005-0000-0000-000072430000}"/>
    <cellStyle name="Normal 2 2 2 27 3 6" xfId="17306" xr:uid="{00000000-0005-0000-0000-000073430000}"/>
    <cellStyle name="Normal 2 2 2 27 3 7" xfId="17307" xr:uid="{00000000-0005-0000-0000-000074430000}"/>
    <cellStyle name="Normal 2 2 2 27 3 8" xfId="17308" xr:uid="{00000000-0005-0000-0000-000075430000}"/>
    <cellStyle name="Normal 2 2 2 27 3 9" xfId="17309" xr:uid="{00000000-0005-0000-0000-000076430000}"/>
    <cellStyle name="Normal 2 2 2 27 4" xfId="17310" xr:uid="{00000000-0005-0000-0000-000077430000}"/>
    <cellStyle name="Normal 2 2 2 27 4 10" xfId="17311" xr:uid="{00000000-0005-0000-0000-000078430000}"/>
    <cellStyle name="Normal 2 2 2 27 4 2" xfId="17312" xr:uid="{00000000-0005-0000-0000-000079430000}"/>
    <cellStyle name="Normal 2 2 2 27 4 3" xfId="17313" xr:uid="{00000000-0005-0000-0000-00007A430000}"/>
    <cellStyle name="Normal 2 2 2 27 4 4" xfId="17314" xr:uid="{00000000-0005-0000-0000-00007B430000}"/>
    <cellStyle name="Normal 2 2 2 27 4 5" xfId="17315" xr:uid="{00000000-0005-0000-0000-00007C430000}"/>
    <cellStyle name="Normal 2 2 2 27 4 6" xfId="17316" xr:uid="{00000000-0005-0000-0000-00007D430000}"/>
    <cellStyle name="Normal 2 2 2 27 4 7" xfId="17317" xr:uid="{00000000-0005-0000-0000-00007E430000}"/>
    <cellStyle name="Normal 2 2 2 27 4 8" xfId="17318" xr:uid="{00000000-0005-0000-0000-00007F430000}"/>
    <cellStyle name="Normal 2 2 2 27 4 9" xfId="17319" xr:uid="{00000000-0005-0000-0000-000080430000}"/>
    <cellStyle name="Normal 2 2 2 27 5" xfId="17320" xr:uid="{00000000-0005-0000-0000-000081430000}"/>
    <cellStyle name="Normal 2 2 2 27 5 10" xfId="17321" xr:uid="{00000000-0005-0000-0000-000082430000}"/>
    <cellStyle name="Normal 2 2 2 27 5 2" xfId="17322" xr:uid="{00000000-0005-0000-0000-000083430000}"/>
    <cellStyle name="Normal 2 2 2 27 5 3" xfId="17323" xr:uid="{00000000-0005-0000-0000-000084430000}"/>
    <cellStyle name="Normal 2 2 2 27 5 4" xfId="17324" xr:uid="{00000000-0005-0000-0000-000085430000}"/>
    <cellStyle name="Normal 2 2 2 27 5 5" xfId="17325" xr:uid="{00000000-0005-0000-0000-000086430000}"/>
    <cellStyle name="Normal 2 2 2 27 5 6" xfId="17326" xr:uid="{00000000-0005-0000-0000-000087430000}"/>
    <cellStyle name="Normal 2 2 2 27 5 7" xfId="17327" xr:uid="{00000000-0005-0000-0000-000088430000}"/>
    <cellStyle name="Normal 2 2 2 27 5 8" xfId="17328" xr:uid="{00000000-0005-0000-0000-000089430000}"/>
    <cellStyle name="Normal 2 2 2 27 5 9" xfId="17329" xr:uid="{00000000-0005-0000-0000-00008A430000}"/>
    <cellStyle name="Normal 2 2 2 27 6" xfId="17330" xr:uid="{00000000-0005-0000-0000-00008B430000}"/>
    <cellStyle name="Normal 2 2 2 27 7" xfId="17331" xr:uid="{00000000-0005-0000-0000-00008C430000}"/>
    <cellStyle name="Normal 2 2 2 27 8" xfId="17332" xr:uid="{00000000-0005-0000-0000-00008D430000}"/>
    <cellStyle name="Normal 2 2 2 27 9" xfId="17333" xr:uid="{00000000-0005-0000-0000-00008E430000}"/>
    <cellStyle name="Normal 2 2 2 28" xfId="17334" xr:uid="{00000000-0005-0000-0000-00008F430000}"/>
    <cellStyle name="Normal 2 2 2 28 10" xfId="17335" xr:uid="{00000000-0005-0000-0000-000090430000}"/>
    <cellStyle name="Normal 2 2 2 28 11" xfId="17336" xr:uid="{00000000-0005-0000-0000-000091430000}"/>
    <cellStyle name="Normal 2 2 2 28 12" xfId="17337" xr:uid="{00000000-0005-0000-0000-000092430000}"/>
    <cellStyle name="Normal 2 2 2 28 13" xfId="17338" xr:uid="{00000000-0005-0000-0000-000093430000}"/>
    <cellStyle name="Normal 2 2 2 28 14" xfId="17339" xr:uid="{00000000-0005-0000-0000-000094430000}"/>
    <cellStyle name="Normal 2 2 2 28 2" xfId="17340" xr:uid="{00000000-0005-0000-0000-000095430000}"/>
    <cellStyle name="Normal 2 2 2 28 2 10" xfId="17341" xr:uid="{00000000-0005-0000-0000-000096430000}"/>
    <cellStyle name="Normal 2 2 2 28 2 2" xfId="17342" xr:uid="{00000000-0005-0000-0000-000097430000}"/>
    <cellStyle name="Normal 2 2 2 28 2 3" xfId="17343" xr:uid="{00000000-0005-0000-0000-000098430000}"/>
    <cellStyle name="Normal 2 2 2 28 2 4" xfId="17344" xr:uid="{00000000-0005-0000-0000-000099430000}"/>
    <cellStyle name="Normal 2 2 2 28 2 5" xfId="17345" xr:uid="{00000000-0005-0000-0000-00009A430000}"/>
    <cellStyle name="Normal 2 2 2 28 2 6" xfId="17346" xr:uid="{00000000-0005-0000-0000-00009B430000}"/>
    <cellStyle name="Normal 2 2 2 28 2 7" xfId="17347" xr:uid="{00000000-0005-0000-0000-00009C430000}"/>
    <cellStyle name="Normal 2 2 2 28 2 8" xfId="17348" xr:uid="{00000000-0005-0000-0000-00009D430000}"/>
    <cellStyle name="Normal 2 2 2 28 2 9" xfId="17349" xr:uid="{00000000-0005-0000-0000-00009E430000}"/>
    <cellStyle name="Normal 2 2 2 28 3" xfId="17350" xr:uid="{00000000-0005-0000-0000-00009F430000}"/>
    <cellStyle name="Normal 2 2 2 28 3 10" xfId="17351" xr:uid="{00000000-0005-0000-0000-0000A0430000}"/>
    <cellStyle name="Normal 2 2 2 28 3 2" xfId="17352" xr:uid="{00000000-0005-0000-0000-0000A1430000}"/>
    <cellStyle name="Normal 2 2 2 28 3 3" xfId="17353" xr:uid="{00000000-0005-0000-0000-0000A2430000}"/>
    <cellStyle name="Normal 2 2 2 28 3 4" xfId="17354" xr:uid="{00000000-0005-0000-0000-0000A3430000}"/>
    <cellStyle name="Normal 2 2 2 28 3 5" xfId="17355" xr:uid="{00000000-0005-0000-0000-0000A4430000}"/>
    <cellStyle name="Normal 2 2 2 28 3 6" xfId="17356" xr:uid="{00000000-0005-0000-0000-0000A5430000}"/>
    <cellStyle name="Normal 2 2 2 28 3 7" xfId="17357" xr:uid="{00000000-0005-0000-0000-0000A6430000}"/>
    <cellStyle name="Normal 2 2 2 28 3 8" xfId="17358" xr:uid="{00000000-0005-0000-0000-0000A7430000}"/>
    <cellStyle name="Normal 2 2 2 28 3 9" xfId="17359" xr:uid="{00000000-0005-0000-0000-0000A8430000}"/>
    <cellStyle name="Normal 2 2 2 28 4" xfId="17360" xr:uid="{00000000-0005-0000-0000-0000A9430000}"/>
    <cellStyle name="Normal 2 2 2 28 4 10" xfId="17361" xr:uid="{00000000-0005-0000-0000-0000AA430000}"/>
    <cellStyle name="Normal 2 2 2 28 4 2" xfId="17362" xr:uid="{00000000-0005-0000-0000-0000AB430000}"/>
    <cellStyle name="Normal 2 2 2 28 4 3" xfId="17363" xr:uid="{00000000-0005-0000-0000-0000AC430000}"/>
    <cellStyle name="Normal 2 2 2 28 4 4" xfId="17364" xr:uid="{00000000-0005-0000-0000-0000AD430000}"/>
    <cellStyle name="Normal 2 2 2 28 4 5" xfId="17365" xr:uid="{00000000-0005-0000-0000-0000AE430000}"/>
    <cellStyle name="Normal 2 2 2 28 4 6" xfId="17366" xr:uid="{00000000-0005-0000-0000-0000AF430000}"/>
    <cellStyle name="Normal 2 2 2 28 4 7" xfId="17367" xr:uid="{00000000-0005-0000-0000-0000B0430000}"/>
    <cellStyle name="Normal 2 2 2 28 4 8" xfId="17368" xr:uid="{00000000-0005-0000-0000-0000B1430000}"/>
    <cellStyle name="Normal 2 2 2 28 4 9" xfId="17369" xr:uid="{00000000-0005-0000-0000-0000B2430000}"/>
    <cellStyle name="Normal 2 2 2 28 5" xfId="17370" xr:uid="{00000000-0005-0000-0000-0000B3430000}"/>
    <cellStyle name="Normal 2 2 2 28 5 10" xfId="17371" xr:uid="{00000000-0005-0000-0000-0000B4430000}"/>
    <cellStyle name="Normal 2 2 2 28 5 2" xfId="17372" xr:uid="{00000000-0005-0000-0000-0000B5430000}"/>
    <cellStyle name="Normal 2 2 2 28 5 3" xfId="17373" xr:uid="{00000000-0005-0000-0000-0000B6430000}"/>
    <cellStyle name="Normal 2 2 2 28 5 4" xfId="17374" xr:uid="{00000000-0005-0000-0000-0000B7430000}"/>
    <cellStyle name="Normal 2 2 2 28 5 5" xfId="17375" xr:uid="{00000000-0005-0000-0000-0000B8430000}"/>
    <cellStyle name="Normal 2 2 2 28 5 6" xfId="17376" xr:uid="{00000000-0005-0000-0000-0000B9430000}"/>
    <cellStyle name="Normal 2 2 2 28 5 7" xfId="17377" xr:uid="{00000000-0005-0000-0000-0000BA430000}"/>
    <cellStyle name="Normal 2 2 2 28 5 8" xfId="17378" xr:uid="{00000000-0005-0000-0000-0000BB430000}"/>
    <cellStyle name="Normal 2 2 2 28 5 9" xfId="17379" xr:uid="{00000000-0005-0000-0000-0000BC430000}"/>
    <cellStyle name="Normal 2 2 2 28 6" xfId="17380" xr:uid="{00000000-0005-0000-0000-0000BD430000}"/>
    <cellStyle name="Normal 2 2 2 28 7" xfId="17381" xr:uid="{00000000-0005-0000-0000-0000BE430000}"/>
    <cellStyle name="Normal 2 2 2 28 8" xfId="17382" xr:uid="{00000000-0005-0000-0000-0000BF430000}"/>
    <cellStyle name="Normal 2 2 2 28 9" xfId="17383" xr:uid="{00000000-0005-0000-0000-0000C0430000}"/>
    <cellStyle name="Normal 2 2 2 29" xfId="17384" xr:uid="{00000000-0005-0000-0000-0000C1430000}"/>
    <cellStyle name="Normal 2 2 2 29 10" xfId="17385" xr:uid="{00000000-0005-0000-0000-0000C2430000}"/>
    <cellStyle name="Normal 2 2 2 29 11" xfId="17386" xr:uid="{00000000-0005-0000-0000-0000C3430000}"/>
    <cellStyle name="Normal 2 2 2 29 12" xfId="17387" xr:uid="{00000000-0005-0000-0000-0000C4430000}"/>
    <cellStyle name="Normal 2 2 2 29 13" xfId="17388" xr:uid="{00000000-0005-0000-0000-0000C5430000}"/>
    <cellStyle name="Normal 2 2 2 29 14" xfId="17389" xr:uid="{00000000-0005-0000-0000-0000C6430000}"/>
    <cellStyle name="Normal 2 2 2 29 2" xfId="17390" xr:uid="{00000000-0005-0000-0000-0000C7430000}"/>
    <cellStyle name="Normal 2 2 2 29 2 10" xfId="17391" xr:uid="{00000000-0005-0000-0000-0000C8430000}"/>
    <cellStyle name="Normal 2 2 2 29 2 2" xfId="17392" xr:uid="{00000000-0005-0000-0000-0000C9430000}"/>
    <cellStyle name="Normal 2 2 2 29 2 3" xfId="17393" xr:uid="{00000000-0005-0000-0000-0000CA430000}"/>
    <cellStyle name="Normal 2 2 2 29 2 4" xfId="17394" xr:uid="{00000000-0005-0000-0000-0000CB430000}"/>
    <cellStyle name="Normal 2 2 2 29 2 5" xfId="17395" xr:uid="{00000000-0005-0000-0000-0000CC430000}"/>
    <cellStyle name="Normal 2 2 2 29 2 6" xfId="17396" xr:uid="{00000000-0005-0000-0000-0000CD430000}"/>
    <cellStyle name="Normal 2 2 2 29 2 7" xfId="17397" xr:uid="{00000000-0005-0000-0000-0000CE430000}"/>
    <cellStyle name="Normal 2 2 2 29 2 8" xfId="17398" xr:uid="{00000000-0005-0000-0000-0000CF430000}"/>
    <cellStyle name="Normal 2 2 2 29 2 9" xfId="17399" xr:uid="{00000000-0005-0000-0000-0000D0430000}"/>
    <cellStyle name="Normal 2 2 2 29 3" xfId="17400" xr:uid="{00000000-0005-0000-0000-0000D1430000}"/>
    <cellStyle name="Normal 2 2 2 29 3 10" xfId="17401" xr:uid="{00000000-0005-0000-0000-0000D2430000}"/>
    <cellStyle name="Normal 2 2 2 29 3 2" xfId="17402" xr:uid="{00000000-0005-0000-0000-0000D3430000}"/>
    <cellStyle name="Normal 2 2 2 29 3 3" xfId="17403" xr:uid="{00000000-0005-0000-0000-0000D4430000}"/>
    <cellStyle name="Normal 2 2 2 29 3 4" xfId="17404" xr:uid="{00000000-0005-0000-0000-0000D5430000}"/>
    <cellStyle name="Normal 2 2 2 29 3 5" xfId="17405" xr:uid="{00000000-0005-0000-0000-0000D6430000}"/>
    <cellStyle name="Normal 2 2 2 29 3 6" xfId="17406" xr:uid="{00000000-0005-0000-0000-0000D7430000}"/>
    <cellStyle name="Normal 2 2 2 29 3 7" xfId="17407" xr:uid="{00000000-0005-0000-0000-0000D8430000}"/>
    <cellStyle name="Normal 2 2 2 29 3 8" xfId="17408" xr:uid="{00000000-0005-0000-0000-0000D9430000}"/>
    <cellStyle name="Normal 2 2 2 29 3 9" xfId="17409" xr:uid="{00000000-0005-0000-0000-0000DA430000}"/>
    <cellStyle name="Normal 2 2 2 29 4" xfId="17410" xr:uid="{00000000-0005-0000-0000-0000DB430000}"/>
    <cellStyle name="Normal 2 2 2 29 4 10" xfId="17411" xr:uid="{00000000-0005-0000-0000-0000DC430000}"/>
    <cellStyle name="Normal 2 2 2 29 4 2" xfId="17412" xr:uid="{00000000-0005-0000-0000-0000DD430000}"/>
    <cellStyle name="Normal 2 2 2 29 4 3" xfId="17413" xr:uid="{00000000-0005-0000-0000-0000DE430000}"/>
    <cellStyle name="Normal 2 2 2 29 4 4" xfId="17414" xr:uid="{00000000-0005-0000-0000-0000DF430000}"/>
    <cellStyle name="Normal 2 2 2 29 4 5" xfId="17415" xr:uid="{00000000-0005-0000-0000-0000E0430000}"/>
    <cellStyle name="Normal 2 2 2 29 4 6" xfId="17416" xr:uid="{00000000-0005-0000-0000-0000E1430000}"/>
    <cellStyle name="Normal 2 2 2 29 4 7" xfId="17417" xr:uid="{00000000-0005-0000-0000-0000E2430000}"/>
    <cellStyle name="Normal 2 2 2 29 4 8" xfId="17418" xr:uid="{00000000-0005-0000-0000-0000E3430000}"/>
    <cellStyle name="Normal 2 2 2 29 4 9" xfId="17419" xr:uid="{00000000-0005-0000-0000-0000E4430000}"/>
    <cellStyle name="Normal 2 2 2 29 5" xfId="17420" xr:uid="{00000000-0005-0000-0000-0000E5430000}"/>
    <cellStyle name="Normal 2 2 2 29 5 10" xfId="17421" xr:uid="{00000000-0005-0000-0000-0000E6430000}"/>
    <cellStyle name="Normal 2 2 2 29 5 2" xfId="17422" xr:uid="{00000000-0005-0000-0000-0000E7430000}"/>
    <cellStyle name="Normal 2 2 2 29 5 3" xfId="17423" xr:uid="{00000000-0005-0000-0000-0000E8430000}"/>
    <cellStyle name="Normal 2 2 2 29 5 4" xfId="17424" xr:uid="{00000000-0005-0000-0000-0000E9430000}"/>
    <cellStyle name="Normal 2 2 2 29 5 5" xfId="17425" xr:uid="{00000000-0005-0000-0000-0000EA430000}"/>
    <cellStyle name="Normal 2 2 2 29 5 6" xfId="17426" xr:uid="{00000000-0005-0000-0000-0000EB430000}"/>
    <cellStyle name="Normal 2 2 2 29 5 7" xfId="17427" xr:uid="{00000000-0005-0000-0000-0000EC430000}"/>
    <cellStyle name="Normal 2 2 2 29 5 8" xfId="17428" xr:uid="{00000000-0005-0000-0000-0000ED430000}"/>
    <cellStyle name="Normal 2 2 2 29 5 9" xfId="17429" xr:uid="{00000000-0005-0000-0000-0000EE430000}"/>
    <cellStyle name="Normal 2 2 2 29 6" xfId="17430" xr:uid="{00000000-0005-0000-0000-0000EF430000}"/>
    <cellStyle name="Normal 2 2 2 29 7" xfId="17431" xr:uid="{00000000-0005-0000-0000-0000F0430000}"/>
    <cellStyle name="Normal 2 2 2 29 8" xfId="17432" xr:uid="{00000000-0005-0000-0000-0000F1430000}"/>
    <cellStyle name="Normal 2 2 2 29 9" xfId="17433" xr:uid="{00000000-0005-0000-0000-0000F2430000}"/>
    <cellStyle name="Normal 2 2 2 3" xfId="20" xr:uid="{00000000-0005-0000-0000-0000F3430000}"/>
    <cellStyle name="Normal 2 2 2 3 10" xfId="17434" xr:uid="{00000000-0005-0000-0000-0000F4430000}"/>
    <cellStyle name="Normal 2 2 2 3 10 10" xfId="17435" xr:uid="{00000000-0005-0000-0000-0000F5430000}"/>
    <cellStyle name="Normal 2 2 2 3 10 11" xfId="17436" xr:uid="{00000000-0005-0000-0000-0000F6430000}"/>
    <cellStyle name="Normal 2 2 2 3 10 12" xfId="17437" xr:uid="{00000000-0005-0000-0000-0000F7430000}"/>
    <cellStyle name="Normal 2 2 2 3 10 13" xfId="17438" xr:uid="{00000000-0005-0000-0000-0000F8430000}"/>
    <cellStyle name="Normal 2 2 2 3 10 14" xfId="17439" xr:uid="{00000000-0005-0000-0000-0000F9430000}"/>
    <cellStyle name="Normal 2 2 2 3 10 2" xfId="17440" xr:uid="{00000000-0005-0000-0000-0000FA430000}"/>
    <cellStyle name="Normal 2 2 2 3 10 2 10" xfId="17441" xr:uid="{00000000-0005-0000-0000-0000FB430000}"/>
    <cellStyle name="Normal 2 2 2 3 10 2 2" xfId="17442" xr:uid="{00000000-0005-0000-0000-0000FC430000}"/>
    <cellStyle name="Normal 2 2 2 3 10 2 3" xfId="17443" xr:uid="{00000000-0005-0000-0000-0000FD430000}"/>
    <cellStyle name="Normal 2 2 2 3 10 2 4" xfId="17444" xr:uid="{00000000-0005-0000-0000-0000FE430000}"/>
    <cellStyle name="Normal 2 2 2 3 10 2 5" xfId="17445" xr:uid="{00000000-0005-0000-0000-0000FF430000}"/>
    <cellStyle name="Normal 2 2 2 3 10 2 6" xfId="17446" xr:uid="{00000000-0005-0000-0000-000000440000}"/>
    <cellStyle name="Normal 2 2 2 3 10 2 7" xfId="17447" xr:uid="{00000000-0005-0000-0000-000001440000}"/>
    <cellStyle name="Normal 2 2 2 3 10 2 8" xfId="17448" xr:uid="{00000000-0005-0000-0000-000002440000}"/>
    <cellStyle name="Normal 2 2 2 3 10 2 9" xfId="17449" xr:uid="{00000000-0005-0000-0000-000003440000}"/>
    <cellStyle name="Normal 2 2 2 3 10 3" xfId="17450" xr:uid="{00000000-0005-0000-0000-000004440000}"/>
    <cellStyle name="Normal 2 2 2 3 10 3 10" xfId="17451" xr:uid="{00000000-0005-0000-0000-000005440000}"/>
    <cellStyle name="Normal 2 2 2 3 10 3 2" xfId="17452" xr:uid="{00000000-0005-0000-0000-000006440000}"/>
    <cellStyle name="Normal 2 2 2 3 10 3 3" xfId="17453" xr:uid="{00000000-0005-0000-0000-000007440000}"/>
    <cellStyle name="Normal 2 2 2 3 10 3 4" xfId="17454" xr:uid="{00000000-0005-0000-0000-000008440000}"/>
    <cellStyle name="Normal 2 2 2 3 10 3 5" xfId="17455" xr:uid="{00000000-0005-0000-0000-000009440000}"/>
    <cellStyle name="Normal 2 2 2 3 10 3 6" xfId="17456" xr:uid="{00000000-0005-0000-0000-00000A440000}"/>
    <cellStyle name="Normal 2 2 2 3 10 3 7" xfId="17457" xr:uid="{00000000-0005-0000-0000-00000B440000}"/>
    <cellStyle name="Normal 2 2 2 3 10 3 8" xfId="17458" xr:uid="{00000000-0005-0000-0000-00000C440000}"/>
    <cellStyle name="Normal 2 2 2 3 10 3 9" xfId="17459" xr:uid="{00000000-0005-0000-0000-00000D440000}"/>
    <cellStyle name="Normal 2 2 2 3 10 4" xfId="17460" xr:uid="{00000000-0005-0000-0000-00000E440000}"/>
    <cellStyle name="Normal 2 2 2 3 10 4 10" xfId="17461" xr:uid="{00000000-0005-0000-0000-00000F440000}"/>
    <cellStyle name="Normal 2 2 2 3 10 4 2" xfId="17462" xr:uid="{00000000-0005-0000-0000-000010440000}"/>
    <cellStyle name="Normal 2 2 2 3 10 4 3" xfId="17463" xr:uid="{00000000-0005-0000-0000-000011440000}"/>
    <cellStyle name="Normal 2 2 2 3 10 4 4" xfId="17464" xr:uid="{00000000-0005-0000-0000-000012440000}"/>
    <cellStyle name="Normal 2 2 2 3 10 4 5" xfId="17465" xr:uid="{00000000-0005-0000-0000-000013440000}"/>
    <cellStyle name="Normal 2 2 2 3 10 4 6" xfId="17466" xr:uid="{00000000-0005-0000-0000-000014440000}"/>
    <cellStyle name="Normal 2 2 2 3 10 4 7" xfId="17467" xr:uid="{00000000-0005-0000-0000-000015440000}"/>
    <cellStyle name="Normal 2 2 2 3 10 4 8" xfId="17468" xr:uid="{00000000-0005-0000-0000-000016440000}"/>
    <cellStyle name="Normal 2 2 2 3 10 4 9" xfId="17469" xr:uid="{00000000-0005-0000-0000-000017440000}"/>
    <cellStyle name="Normal 2 2 2 3 10 5" xfId="17470" xr:uid="{00000000-0005-0000-0000-000018440000}"/>
    <cellStyle name="Normal 2 2 2 3 10 5 10" xfId="17471" xr:uid="{00000000-0005-0000-0000-000019440000}"/>
    <cellStyle name="Normal 2 2 2 3 10 5 2" xfId="17472" xr:uid="{00000000-0005-0000-0000-00001A440000}"/>
    <cellStyle name="Normal 2 2 2 3 10 5 3" xfId="17473" xr:uid="{00000000-0005-0000-0000-00001B440000}"/>
    <cellStyle name="Normal 2 2 2 3 10 5 4" xfId="17474" xr:uid="{00000000-0005-0000-0000-00001C440000}"/>
    <cellStyle name="Normal 2 2 2 3 10 5 5" xfId="17475" xr:uid="{00000000-0005-0000-0000-00001D440000}"/>
    <cellStyle name="Normal 2 2 2 3 10 5 6" xfId="17476" xr:uid="{00000000-0005-0000-0000-00001E440000}"/>
    <cellStyle name="Normal 2 2 2 3 10 5 7" xfId="17477" xr:uid="{00000000-0005-0000-0000-00001F440000}"/>
    <cellStyle name="Normal 2 2 2 3 10 5 8" xfId="17478" xr:uid="{00000000-0005-0000-0000-000020440000}"/>
    <cellStyle name="Normal 2 2 2 3 10 5 9" xfId="17479" xr:uid="{00000000-0005-0000-0000-000021440000}"/>
    <cellStyle name="Normal 2 2 2 3 10 6" xfId="17480" xr:uid="{00000000-0005-0000-0000-000022440000}"/>
    <cellStyle name="Normal 2 2 2 3 10 7" xfId="17481" xr:uid="{00000000-0005-0000-0000-000023440000}"/>
    <cellStyle name="Normal 2 2 2 3 10 8" xfId="17482" xr:uid="{00000000-0005-0000-0000-000024440000}"/>
    <cellStyle name="Normal 2 2 2 3 10 9" xfId="17483" xr:uid="{00000000-0005-0000-0000-000025440000}"/>
    <cellStyle name="Normal 2 2 2 3 11" xfId="17484" xr:uid="{00000000-0005-0000-0000-000026440000}"/>
    <cellStyle name="Normal 2 2 2 3 11 10" xfId="17485" xr:uid="{00000000-0005-0000-0000-000027440000}"/>
    <cellStyle name="Normal 2 2 2 3 11 11" xfId="17486" xr:uid="{00000000-0005-0000-0000-000028440000}"/>
    <cellStyle name="Normal 2 2 2 3 11 12" xfId="17487" xr:uid="{00000000-0005-0000-0000-000029440000}"/>
    <cellStyle name="Normal 2 2 2 3 11 13" xfId="17488" xr:uid="{00000000-0005-0000-0000-00002A440000}"/>
    <cellStyle name="Normal 2 2 2 3 11 14" xfId="17489" xr:uid="{00000000-0005-0000-0000-00002B440000}"/>
    <cellStyle name="Normal 2 2 2 3 11 2" xfId="17490" xr:uid="{00000000-0005-0000-0000-00002C440000}"/>
    <cellStyle name="Normal 2 2 2 3 11 2 10" xfId="17491" xr:uid="{00000000-0005-0000-0000-00002D440000}"/>
    <cellStyle name="Normal 2 2 2 3 11 2 2" xfId="17492" xr:uid="{00000000-0005-0000-0000-00002E440000}"/>
    <cellStyle name="Normal 2 2 2 3 11 2 3" xfId="17493" xr:uid="{00000000-0005-0000-0000-00002F440000}"/>
    <cellStyle name="Normal 2 2 2 3 11 2 4" xfId="17494" xr:uid="{00000000-0005-0000-0000-000030440000}"/>
    <cellStyle name="Normal 2 2 2 3 11 2 5" xfId="17495" xr:uid="{00000000-0005-0000-0000-000031440000}"/>
    <cellStyle name="Normal 2 2 2 3 11 2 6" xfId="17496" xr:uid="{00000000-0005-0000-0000-000032440000}"/>
    <cellStyle name="Normal 2 2 2 3 11 2 7" xfId="17497" xr:uid="{00000000-0005-0000-0000-000033440000}"/>
    <cellStyle name="Normal 2 2 2 3 11 2 8" xfId="17498" xr:uid="{00000000-0005-0000-0000-000034440000}"/>
    <cellStyle name="Normal 2 2 2 3 11 2 9" xfId="17499" xr:uid="{00000000-0005-0000-0000-000035440000}"/>
    <cellStyle name="Normal 2 2 2 3 11 3" xfId="17500" xr:uid="{00000000-0005-0000-0000-000036440000}"/>
    <cellStyle name="Normal 2 2 2 3 11 3 10" xfId="17501" xr:uid="{00000000-0005-0000-0000-000037440000}"/>
    <cellStyle name="Normal 2 2 2 3 11 3 2" xfId="17502" xr:uid="{00000000-0005-0000-0000-000038440000}"/>
    <cellStyle name="Normal 2 2 2 3 11 3 3" xfId="17503" xr:uid="{00000000-0005-0000-0000-000039440000}"/>
    <cellStyle name="Normal 2 2 2 3 11 3 4" xfId="17504" xr:uid="{00000000-0005-0000-0000-00003A440000}"/>
    <cellStyle name="Normal 2 2 2 3 11 3 5" xfId="17505" xr:uid="{00000000-0005-0000-0000-00003B440000}"/>
    <cellStyle name="Normal 2 2 2 3 11 3 6" xfId="17506" xr:uid="{00000000-0005-0000-0000-00003C440000}"/>
    <cellStyle name="Normal 2 2 2 3 11 3 7" xfId="17507" xr:uid="{00000000-0005-0000-0000-00003D440000}"/>
    <cellStyle name="Normal 2 2 2 3 11 3 8" xfId="17508" xr:uid="{00000000-0005-0000-0000-00003E440000}"/>
    <cellStyle name="Normal 2 2 2 3 11 3 9" xfId="17509" xr:uid="{00000000-0005-0000-0000-00003F440000}"/>
    <cellStyle name="Normal 2 2 2 3 11 4" xfId="17510" xr:uid="{00000000-0005-0000-0000-000040440000}"/>
    <cellStyle name="Normal 2 2 2 3 11 4 10" xfId="17511" xr:uid="{00000000-0005-0000-0000-000041440000}"/>
    <cellStyle name="Normal 2 2 2 3 11 4 2" xfId="17512" xr:uid="{00000000-0005-0000-0000-000042440000}"/>
    <cellStyle name="Normal 2 2 2 3 11 4 3" xfId="17513" xr:uid="{00000000-0005-0000-0000-000043440000}"/>
    <cellStyle name="Normal 2 2 2 3 11 4 4" xfId="17514" xr:uid="{00000000-0005-0000-0000-000044440000}"/>
    <cellStyle name="Normal 2 2 2 3 11 4 5" xfId="17515" xr:uid="{00000000-0005-0000-0000-000045440000}"/>
    <cellStyle name="Normal 2 2 2 3 11 4 6" xfId="17516" xr:uid="{00000000-0005-0000-0000-000046440000}"/>
    <cellStyle name="Normal 2 2 2 3 11 4 7" xfId="17517" xr:uid="{00000000-0005-0000-0000-000047440000}"/>
    <cellStyle name="Normal 2 2 2 3 11 4 8" xfId="17518" xr:uid="{00000000-0005-0000-0000-000048440000}"/>
    <cellStyle name="Normal 2 2 2 3 11 4 9" xfId="17519" xr:uid="{00000000-0005-0000-0000-000049440000}"/>
    <cellStyle name="Normal 2 2 2 3 11 5" xfId="17520" xr:uid="{00000000-0005-0000-0000-00004A440000}"/>
    <cellStyle name="Normal 2 2 2 3 11 5 10" xfId="17521" xr:uid="{00000000-0005-0000-0000-00004B440000}"/>
    <cellStyle name="Normal 2 2 2 3 11 5 2" xfId="17522" xr:uid="{00000000-0005-0000-0000-00004C440000}"/>
    <cellStyle name="Normal 2 2 2 3 11 5 3" xfId="17523" xr:uid="{00000000-0005-0000-0000-00004D440000}"/>
    <cellStyle name="Normal 2 2 2 3 11 5 4" xfId="17524" xr:uid="{00000000-0005-0000-0000-00004E440000}"/>
    <cellStyle name="Normal 2 2 2 3 11 5 5" xfId="17525" xr:uid="{00000000-0005-0000-0000-00004F440000}"/>
    <cellStyle name="Normal 2 2 2 3 11 5 6" xfId="17526" xr:uid="{00000000-0005-0000-0000-000050440000}"/>
    <cellStyle name="Normal 2 2 2 3 11 5 7" xfId="17527" xr:uid="{00000000-0005-0000-0000-000051440000}"/>
    <cellStyle name="Normal 2 2 2 3 11 5 8" xfId="17528" xr:uid="{00000000-0005-0000-0000-000052440000}"/>
    <cellStyle name="Normal 2 2 2 3 11 5 9" xfId="17529" xr:uid="{00000000-0005-0000-0000-000053440000}"/>
    <cellStyle name="Normal 2 2 2 3 11 6" xfId="17530" xr:uid="{00000000-0005-0000-0000-000054440000}"/>
    <cellStyle name="Normal 2 2 2 3 11 7" xfId="17531" xr:uid="{00000000-0005-0000-0000-000055440000}"/>
    <cellStyle name="Normal 2 2 2 3 11 8" xfId="17532" xr:uid="{00000000-0005-0000-0000-000056440000}"/>
    <cellStyle name="Normal 2 2 2 3 11 9" xfId="17533" xr:uid="{00000000-0005-0000-0000-000057440000}"/>
    <cellStyle name="Normal 2 2 2 3 12" xfId="17534" xr:uid="{00000000-0005-0000-0000-000058440000}"/>
    <cellStyle name="Normal 2 2 2 3 12 10" xfId="17535" xr:uid="{00000000-0005-0000-0000-000059440000}"/>
    <cellStyle name="Normal 2 2 2 3 12 11" xfId="17536" xr:uid="{00000000-0005-0000-0000-00005A440000}"/>
    <cellStyle name="Normal 2 2 2 3 12 12" xfId="17537" xr:uid="{00000000-0005-0000-0000-00005B440000}"/>
    <cellStyle name="Normal 2 2 2 3 12 13" xfId="17538" xr:uid="{00000000-0005-0000-0000-00005C440000}"/>
    <cellStyle name="Normal 2 2 2 3 12 14" xfId="17539" xr:uid="{00000000-0005-0000-0000-00005D440000}"/>
    <cellStyle name="Normal 2 2 2 3 12 2" xfId="17540" xr:uid="{00000000-0005-0000-0000-00005E440000}"/>
    <cellStyle name="Normal 2 2 2 3 12 2 10" xfId="17541" xr:uid="{00000000-0005-0000-0000-00005F440000}"/>
    <cellStyle name="Normal 2 2 2 3 12 2 2" xfId="17542" xr:uid="{00000000-0005-0000-0000-000060440000}"/>
    <cellStyle name="Normal 2 2 2 3 12 2 3" xfId="17543" xr:uid="{00000000-0005-0000-0000-000061440000}"/>
    <cellStyle name="Normal 2 2 2 3 12 2 4" xfId="17544" xr:uid="{00000000-0005-0000-0000-000062440000}"/>
    <cellStyle name="Normal 2 2 2 3 12 2 5" xfId="17545" xr:uid="{00000000-0005-0000-0000-000063440000}"/>
    <cellStyle name="Normal 2 2 2 3 12 2 6" xfId="17546" xr:uid="{00000000-0005-0000-0000-000064440000}"/>
    <cellStyle name="Normal 2 2 2 3 12 2 7" xfId="17547" xr:uid="{00000000-0005-0000-0000-000065440000}"/>
    <cellStyle name="Normal 2 2 2 3 12 2 8" xfId="17548" xr:uid="{00000000-0005-0000-0000-000066440000}"/>
    <cellStyle name="Normal 2 2 2 3 12 2 9" xfId="17549" xr:uid="{00000000-0005-0000-0000-000067440000}"/>
    <cellStyle name="Normal 2 2 2 3 12 3" xfId="17550" xr:uid="{00000000-0005-0000-0000-000068440000}"/>
    <cellStyle name="Normal 2 2 2 3 12 3 10" xfId="17551" xr:uid="{00000000-0005-0000-0000-000069440000}"/>
    <cellStyle name="Normal 2 2 2 3 12 3 2" xfId="17552" xr:uid="{00000000-0005-0000-0000-00006A440000}"/>
    <cellStyle name="Normal 2 2 2 3 12 3 3" xfId="17553" xr:uid="{00000000-0005-0000-0000-00006B440000}"/>
    <cellStyle name="Normal 2 2 2 3 12 3 4" xfId="17554" xr:uid="{00000000-0005-0000-0000-00006C440000}"/>
    <cellStyle name="Normal 2 2 2 3 12 3 5" xfId="17555" xr:uid="{00000000-0005-0000-0000-00006D440000}"/>
    <cellStyle name="Normal 2 2 2 3 12 3 6" xfId="17556" xr:uid="{00000000-0005-0000-0000-00006E440000}"/>
    <cellStyle name="Normal 2 2 2 3 12 3 7" xfId="17557" xr:uid="{00000000-0005-0000-0000-00006F440000}"/>
    <cellStyle name="Normal 2 2 2 3 12 3 8" xfId="17558" xr:uid="{00000000-0005-0000-0000-000070440000}"/>
    <cellStyle name="Normal 2 2 2 3 12 3 9" xfId="17559" xr:uid="{00000000-0005-0000-0000-000071440000}"/>
    <cellStyle name="Normal 2 2 2 3 12 4" xfId="17560" xr:uid="{00000000-0005-0000-0000-000072440000}"/>
    <cellStyle name="Normal 2 2 2 3 12 4 10" xfId="17561" xr:uid="{00000000-0005-0000-0000-000073440000}"/>
    <cellStyle name="Normal 2 2 2 3 12 4 2" xfId="17562" xr:uid="{00000000-0005-0000-0000-000074440000}"/>
    <cellStyle name="Normal 2 2 2 3 12 4 3" xfId="17563" xr:uid="{00000000-0005-0000-0000-000075440000}"/>
    <cellStyle name="Normal 2 2 2 3 12 4 4" xfId="17564" xr:uid="{00000000-0005-0000-0000-000076440000}"/>
    <cellStyle name="Normal 2 2 2 3 12 4 5" xfId="17565" xr:uid="{00000000-0005-0000-0000-000077440000}"/>
    <cellStyle name="Normal 2 2 2 3 12 4 6" xfId="17566" xr:uid="{00000000-0005-0000-0000-000078440000}"/>
    <cellStyle name="Normal 2 2 2 3 12 4 7" xfId="17567" xr:uid="{00000000-0005-0000-0000-000079440000}"/>
    <cellStyle name="Normal 2 2 2 3 12 4 8" xfId="17568" xr:uid="{00000000-0005-0000-0000-00007A440000}"/>
    <cellStyle name="Normal 2 2 2 3 12 4 9" xfId="17569" xr:uid="{00000000-0005-0000-0000-00007B440000}"/>
    <cellStyle name="Normal 2 2 2 3 12 5" xfId="17570" xr:uid="{00000000-0005-0000-0000-00007C440000}"/>
    <cellStyle name="Normal 2 2 2 3 12 5 10" xfId="17571" xr:uid="{00000000-0005-0000-0000-00007D440000}"/>
    <cellStyle name="Normal 2 2 2 3 12 5 2" xfId="17572" xr:uid="{00000000-0005-0000-0000-00007E440000}"/>
    <cellStyle name="Normal 2 2 2 3 12 5 3" xfId="17573" xr:uid="{00000000-0005-0000-0000-00007F440000}"/>
    <cellStyle name="Normal 2 2 2 3 12 5 4" xfId="17574" xr:uid="{00000000-0005-0000-0000-000080440000}"/>
    <cellStyle name="Normal 2 2 2 3 12 5 5" xfId="17575" xr:uid="{00000000-0005-0000-0000-000081440000}"/>
    <cellStyle name="Normal 2 2 2 3 12 5 6" xfId="17576" xr:uid="{00000000-0005-0000-0000-000082440000}"/>
    <cellStyle name="Normal 2 2 2 3 12 5 7" xfId="17577" xr:uid="{00000000-0005-0000-0000-000083440000}"/>
    <cellStyle name="Normal 2 2 2 3 12 5 8" xfId="17578" xr:uid="{00000000-0005-0000-0000-000084440000}"/>
    <cellStyle name="Normal 2 2 2 3 12 5 9" xfId="17579" xr:uid="{00000000-0005-0000-0000-000085440000}"/>
    <cellStyle name="Normal 2 2 2 3 12 6" xfId="17580" xr:uid="{00000000-0005-0000-0000-000086440000}"/>
    <cellStyle name="Normal 2 2 2 3 12 7" xfId="17581" xr:uid="{00000000-0005-0000-0000-000087440000}"/>
    <cellStyle name="Normal 2 2 2 3 12 8" xfId="17582" xr:uid="{00000000-0005-0000-0000-000088440000}"/>
    <cellStyle name="Normal 2 2 2 3 12 9" xfId="17583" xr:uid="{00000000-0005-0000-0000-000089440000}"/>
    <cellStyle name="Normal 2 2 2 3 13" xfId="17584" xr:uid="{00000000-0005-0000-0000-00008A440000}"/>
    <cellStyle name="Normal 2 2 2 3 13 10" xfId="17585" xr:uid="{00000000-0005-0000-0000-00008B440000}"/>
    <cellStyle name="Normal 2 2 2 3 13 11" xfId="17586" xr:uid="{00000000-0005-0000-0000-00008C440000}"/>
    <cellStyle name="Normal 2 2 2 3 13 12" xfId="17587" xr:uid="{00000000-0005-0000-0000-00008D440000}"/>
    <cellStyle name="Normal 2 2 2 3 13 13" xfId="17588" xr:uid="{00000000-0005-0000-0000-00008E440000}"/>
    <cellStyle name="Normal 2 2 2 3 13 14" xfId="17589" xr:uid="{00000000-0005-0000-0000-00008F440000}"/>
    <cellStyle name="Normal 2 2 2 3 13 2" xfId="17590" xr:uid="{00000000-0005-0000-0000-000090440000}"/>
    <cellStyle name="Normal 2 2 2 3 13 2 10" xfId="17591" xr:uid="{00000000-0005-0000-0000-000091440000}"/>
    <cellStyle name="Normal 2 2 2 3 13 2 2" xfId="17592" xr:uid="{00000000-0005-0000-0000-000092440000}"/>
    <cellStyle name="Normal 2 2 2 3 13 2 3" xfId="17593" xr:uid="{00000000-0005-0000-0000-000093440000}"/>
    <cellStyle name="Normal 2 2 2 3 13 2 4" xfId="17594" xr:uid="{00000000-0005-0000-0000-000094440000}"/>
    <cellStyle name="Normal 2 2 2 3 13 2 5" xfId="17595" xr:uid="{00000000-0005-0000-0000-000095440000}"/>
    <cellStyle name="Normal 2 2 2 3 13 2 6" xfId="17596" xr:uid="{00000000-0005-0000-0000-000096440000}"/>
    <cellStyle name="Normal 2 2 2 3 13 2 7" xfId="17597" xr:uid="{00000000-0005-0000-0000-000097440000}"/>
    <cellStyle name="Normal 2 2 2 3 13 2 8" xfId="17598" xr:uid="{00000000-0005-0000-0000-000098440000}"/>
    <cellStyle name="Normal 2 2 2 3 13 2 9" xfId="17599" xr:uid="{00000000-0005-0000-0000-000099440000}"/>
    <cellStyle name="Normal 2 2 2 3 13 3" xfId="17600" xr:uid="{00000000-0005-0000-0000-00009A440000}"/>
    <cellStyle name="Normal 2 2 2 3 13 3 10" xfId="17601" xr:uid="{00000000-0005-0000-0000-00009B440000}"/>
    <cellStyle name="Normal 2 2 2 3 13 3 2" xfId="17602" xr:uid="{00000000-0005-0000-0000-00009C440000}"/>
    <cellStyle name="Normal 2 2 2 3 13 3 3" xfId="17603" xr:uid="{00000000-0005-0000-0000-00009D440000}"/>
    <cellStyle name="Normal 2 2 2 3 13 3 4" xfId="17604" xr:uid="{00000000-0005-0000-0000-00009E440000}"/>
    <cellStyle name="Normal 2 2 2 3 13 3 5" xfId="17605" xr:uid="{00000000-0005-0000-0000-00009F440000}"/>
    <cellStyle name="Normal 2 2 2 3 13 3 6" xfId="17606" xr:uid="{00000000-0005-0000-0000-0000A0440000}"/>
    <cellStyle name="Normal 2 2 2 3 13 3 7" xfId="17607" xr:uid="{00000000-0005-0000-0000-0000A1440000}"/>
    <cellStyle name="Normal 2 2 2 3 13 3 8" xfId="17608" xr:uid="{00000000-0005-0000-0000-0000A2440000}"/>
    <cellStyle name="Normal 2 2 2 3 13 3 9" xfId="17609" xr:uid="{00000000-0005-0000-0000-0000A3440000}"/>
    <cellStyle name="Normal 2 2 2 3 13 4" xfId="17610" xr:uid="{00000000-0005-0000-0000-0000A4440000}"/>
    <cellStyle name="Normal 2 2 2 3 13 4 10" xfId="17611" xr:uid="{00000000-0005-0000-0000-0000A5440000}"/>
    <cellStyle name="Normal 2 2 2 3 13 4 2" xfId="17612" xr:uid="{00000000-0005-0000-0000-0000A6440000}"/>
    <cellStyle name="Normal 2 2 2 3 13 4 3" xfId="17613" xr:uid="{00000000-0005-0000-0000-0000A7440000}"/>
    <cellStyle name="Normal 2 2 2 3 13 4 4" xfId="17614" xr:uid="{00000000-0005-0000-0000-0000A8440000}"/>
    <cellStyle name="Normal 2 2 2 3 13 4 5" xfId="17615" xr:uid="{00000000-0005-0000-0000-0000A9440000}"/>
    <cellStyle name="Normal 2 2 2 3 13 4 6" xfId="17616" xr:uid="{00000000-0005-0000-0000-0000AA440000}"/>
    <cellStyle name="Normal 2 2 2 3 13 4 7" xfId="17617" xr:uid="{00000000-0005-0000-0000-0000AB440000}"/>
    <cellStyle name="Normal 2 2 2 3 13 4 8" xfId="17618" xr:uid="{00000000-0005-0000-0000-0000AC440000}"/>
    <cellStyle name="Normal 2 2 2 3 13 4 9" xfId="17619" xr:uid="{00000000-0005-0000-0000-0000AD440000}"/>
    <cellStyle name="Normal 2 2 2 3 13 5" xfId="17620" xr:uid="{00000000-0005-0000-0000-0000AE440000}"/>
    <cellStyle name="Normal 2 2 2 3 13 5 10" xfId="17621" xr:uid="{00000000-0005-0000-0000-0000AF440000}"/>
    <cellStyle name="Normal 2 2 2 3 13 5 2" xfId="17622" xr:uid="{00000000-0005-0000-0000-0000B0440000}"/>
    <cellStyle name="Normal 2 2 2 3 13 5 3" xfId="17623" xr:uid="{00000000-0005-0000-0000-0000B1440000}"/>
    <cellStyle name="Normal 2 2 2 3 13 5 4" xfId="17624" xr:uid="{00000000-0005-0000-0000-0000B2440000}"/>
    <cellStyle name="Normal 2 2 2 3 13 5 5" xfId="17625" xr:uid="{00000000-0005-0000-0000-0000B3440000}"/>
    <cellStyle name="Normal 2 2 2 3 13 5 6" xfId="17626" xr:uid="{00000000-0005-0000-0000-0000B4440000}"/>
    <cellStyle name="Normal 2 2 2 3 13 5 7" xfId="17627" xr:uid="{00000000-0005-0000-0000-0000B5440000}"/>
    <cellStyle name="Normal 2 2 2 3 13 5 8" xfId="17628" xr:uid="{00000000-0005-0000-0000-0000B6440000}"/>
    <cellStyle name="Normal 2 2 2 3 13 5 9" xfId="17629" xr:uid="{00000000-0005-0000-0000-0000B7440000}"/>
    <cellStyle name="Normal 2 2 2 3 13 6" xfId="17630" xr:uid="{00000000-0005-0000-0000-0000B8440000}"/>
    <cellStyle name="Normal 2 2 2 3 13 7" xfId="17631" xr:uid="{00000000-0005-0000-0000-0000B9440000}"/>
    <cellStyle name="Normal 2 2 2 3 13 8" xfId="17632" xr:uid="{00000000-0005-0000-0000-0000BA440000}"/>
    <cellStyle name="Normal 2 2 2 3 13 9" xfId="17633" xr:uid="{00000000-0005-0000-0000-0000BB440000}"/>
    <cellStyle name="Normal 2 2 2 3 14" xfId="17634" xr:uid="{00000000-0005-0000-0000-0000BC440000}"/>
    <cellStyle name="Normal 2 2 2 3 14 10" xfId="17635" xr:uid="{00000000-0005-0000-0000-0000BD440000}"/>
    <cellStyle name="Normal 2 2 2 3 14 11" xfId="17636" xr:uid="{00000000-0005-0000-0000-0000BE440000}"/>
    <cellStyle name="Normal 2 2 2 3 14 12" xfId="17637" xr:uid="{00000000-0005-0000-0000-0000BF440000}"/>
    <cellStyle name="Normal 2 2 2 3 14 13" xfId="17638" xr:uid="{00000000-0005-0000-0000-0000C0440000}"/>
    <cellStyle name="Normal 2 2 2 3 14 14" xfId="17639" xr:uid="{00000000-0005-0000-0000-0000C1440000}"/>
    <cellStyle name="Normal 2 2 2 3 14 2" xfId="17640" xr:uid="{00000000-0005-0000-0000-0000C2440000}"/>
    <cellStyle name="Normal 2 2 2 3 14 2 10" xfId="17641" xr:uid="{00000000-0005-0000-0000-0000C3440000}"/>
    <cellStyle name="Normal 2 2 2 3 14 2 2" xfId="17642" xr:uid="{00000000-0005-0000-0000-0000C4440000}"/>
    <cellStyle name="Normal 2 2 2 3 14 2 3" xfId="17643" xr:uid="{00000000-0005-0000-0000-0000C5440000}"/>
    <cellStyle name="Normal 2 2 2 3 14 2 4" xfId="17644" xr:uid="{00000000-0005-0000-0000-0000C6440000}"/>
    <cellStyle name="Normal 2 2 2 3 14 2 5" xfId="17645" xr:uid="{00000000-0005-0000-0000-0000C7440000}"/>
    <cellStyle name="Normal 2 2 2 3 14 2 6" xfId="17646" xr:uid="{00000000-0005-0000-0000-0000C8440000}"/>
    <cellStyle name="Normal 2 2 2 3 14 2 7" xfId="17647" xr:uid="{00000000-0005-0000-0000-0000C9440000}"/>
    <cellStyle name="Normal 2 2 2 3 14 2 8" xfId="17648" xr:uid="{00000000-0005-0000-0000-0000CA440000}"/>
    <cellStyle name="Normal 2 2 2 3 14 2 9" xfId="17649" xr:uid="{00000000-0005-0000-0000-0000CB440000}"/>
    <cellStyle name="Normal 2 2 2 3 14 3" xfId="17650" xr:uid="{00000000-0005-0000-0000-0000CC440000}"/>
    <cellStyle name="Normal 2 2 2 3 14 3 10" xfId="17651" xr:uid="{00000000-0005-0000-0000-0000CD440000}"/>
    <cellStyle name="Normal 2 2 2 3 14 3 2" xfId="17652" xr:uid="{00000000-0005-0000-0000-0000CE440000}"/>
    <cellStyle name="Normal 2 2 2 3 14 3 3" xfId="17653" xr:uid="{00000000-0005-0000-0000-0000CF440000}"/>
    <cellStyle name="Normal 2 2 2 3 14 3 4" xfId="17654" xr:uid="{00000000-0005-0000-0000-0000D0440000}"/>
    <cellStyle name="Normal 2 2 2 3 14 3 5" xfId="17655" xr:uid="{00000000-0005-0000-0000-0000D1440000}"/>
    <cellStyle name="Normal 2 2 2 3 14 3 6" xfId="17656" xr:uid="{00000000-0005-0000-0000-0000D2440000}"/>
    <cellStyle name="Normal 2 2 2 3 14 3 7" xfId="17657" xr:uid="{00000000-0005-0000-0000-0000D3440000}"/>
    <cellStyle name="Normal 2 2 2 3 14 3 8" xfId="17658" xr:uid="{00000000-0005-0000-0000-0000D4440000}"/>
    <cellStyle name="Normal 2 2 2 3 14 3 9" xfId="17659" xr:uid="{00000000-0005-0000-0000-0000D5440000}"/>
    <cellStyle name="Normal 2 2 2 3 14 4" xfId="17660" xr:uid="{00000000-0005-0000-0000-0000D6440000}"/>
    <cellStyle name="Normal 2 2 2 3 14 4 10" xfId="17661" xr:uid="{00000000-0005-0000-0000-0000D7440000}"/>
    <cellStyle name="Normal 2 2 2 3 14 4 2" xfId="17662" xr:uid="{00000000-0005-0000-0000-0000D8440000}"/>
    <cellStyle name="Normal 2 2 2 3 14 4 3" xfId="17663" xr:uid="{00000000-0005-0000-0000-0000D9440000}"/>
    <cellStyle name="Normal 2 2 2 3 14 4 4" xfId="17664" xr:uid="{00000000-0005-0000-0000-0000DA440000}"/>
    <cellStyle name="Normal 2 2 2 3 14 4 5" xfId="17665" xr:uid="{00000000-0005-0000-0000-0000DB440000}"/>
    <cellStyle name="Normal 2 2 2 3 14 4 6" xfId="17666" xr:uid="{00000000-0005-0000-0000-0000DC440000}"/>
    <cellStyle name="Normal 2 2 2 3 14 4 7" xfId="17667" xr:uid="{00000000-0005-0000-0000-0000DD440000}"/>
    <cellStyle name="Normal 2 2 2 3 14 4 8" xfId="17668" xr:uid="{00000000-0005-0000-0000-0000DE440000}"/>
    <cellStyle name="Normal 2 2 2 3 14 4 9" xfId="17669" xr:uid="{00000000-0005-0000-0000-0000DF440000}"/>
    <cellStyle name="Normal 2 2 2 3 14 5" xfId="17670" xr:uid="{00000000-0005-0000-0000-0000E0440000}"/>
    <cellStyle name="Normal 2 2 2 3 14 5 10" xfId="17671" xr:uid="{00000000-0005-0000-0000-0000E1440000}"/>
    <cellStyle name="Normal 2 2 2 3 14 5 2" xfId="17672" xr:uid="{00000000-0005-0000-0000-0000E2440000}"/>
    <cellStyle name="Normal 2 2 2 3 14 5 3" xfId="17673" xr:uid="{00000000-0005-0000-0000-0000E3440000}"/>
    <cellStyle name="Normal 2 2 2 3 14 5 4" xfId="17674" xr:uid="{00000000-0005-0000-0000-0000E4440000}"/>
    <cellStyle name="Normal 2 2 2 3 14 5 5" xfId="17675" xr:uid="{00000000-0005-0000-0000-0000E5440000}"/>
    <cellStyle name="Normal 2 2 2 3 14 5 6" xfId="17676" xr:uid="{00000000-0005-0000-0000-0000E6440000}"/>
    <cellStyle name="Normal 2 2 2 3 14 5 7" xfId="17677" xr:uid="{00000000-0005-0000-0000-0000E7440000}"/>
    <cellStyle name="Normal 2 2 2 3 14 5 8" xfId="17678" xr:uid="{00000000-0005-0000-0000-0000E8440000}"/>
    <cellStyle name="Normal 2 2 2 3 14 5 9" xfId="17679" xr:uid="{00000000-0005-0000-0000-0000E9440000}"/>
    <cellStyle name="Normal 2 2 2 3 14 6" xfId="17680" xr:uid="{00000000-0005-0000-0000-0000EA440000}"/>
    <cellStyle name="Normal 2 2 2 3 14 7" xfId="17681" xr:uid="{00000000-0005-0000-0000-0000EB440000}"/>
    <cellStyle name="Normal 2 2 2 3 14 8" xfId="17682" xr:uid="{00000000-0005-0000-0000-0000EC440000}"/>
    <cellStyle name="Normal 2 2 2 3 14 9" xfId="17683" xr:uid="{00000000-0005-0000-0000-0000ED440000}"/>
    <cellStyle name="Normal 2 2 2 3 15" xfId="17684" xr:uid="{00000000-0005-0000-0000-0000EE440000}"/>
    <cellStyle name="Normal 2 2 2 3 15 10" xfId="17685" xr:uid="{00000000-0005-0000-0000-0000EF440000}"/>
    <cellStyle name="Normal 2 2 2 3 15 11" xfId="17686" xr:uid="{00000000-0005-0000-0000-0000F0440000}"/>
    <cellStyle name="Normal 2 2 2 3 15 12" xfId="17687" xr:uid="{00000000-0005-0000-0000-0000F1440000}"/>
    <cellStyle name="Normal 2 2 2 3 15 13" xfId="17688" xr:uid="{00000000-0005-0000-0000-0000F2440000}"/>
    <cellStyle name="Normal 2 2 2 3 15 14" xfId="17689" xr:uid="{00000000-0005-0000-0000-0000F3440000}"/>
    <cellStyle name="Normal 2 2 2 3 15 2" xfId="17690" xr:uid="{00000000-0005-0000-0000-0000F4440000}"/>
    <cellStyle name="Normal 2 2 2 3 15 2 10" xfId="17691" xr:uid="{00000000-0005-0000-0000-0000F5440000}"/>
    <cellStyle name="Normal 2 2 2 3 15 2 2" xfId="17692" xr:uid="{00000000-0005-0000-0000-0000F6440000}"/>
    <cellStyle name="Normal 2 2 2 3 15 2 3" xfId="17693" xr:uid="{00000000-0005-0000-0000-0000F7440000}"/>
    <cellStyle name="Normal 2 2 2 3 15 2 4" xfId="17694" xr:uid="{00000000-0005-0000-0000-0000F8440000}"/>
    <cellStyle name="Normal 2 2 2 3 15 2 5" xfId="17695" xr:uid="{00000000-0005-0000-0000-0000F9440000}"/>
    <cellStyle name="Normal 2 2 2 3 15 2 6" xfId="17696" xr:uid="{00000000-0005-0000-0000-0000FA440000}"/>
    <cellStyle name="Normal 2 2 2 3 15 2 7" xfId="17697" xr:uid="{00000000-0005-0000-0000-0000FB440000}"/>
    <cellStyle name="Normal 2 2 2 3 15 2 8" xfId="17698" xr:uid="{00000000-0005-0000-0000-0000FC440000}"/>
    <cellStyle name="Normal 2 2 2 3 15 2 9" xfId="17699" xr:uid="{00000000-0005-0000-0000-0000FD440000}"/>
    <cellStyle name="Normal 2 2 2 3 15 3" xfId="17700" xr:uid="{00000000-0005-0000-0000-0000FE440000}"/>
    <cellStyle name="Normal 2 2 2 3 15 3 10" xfId="17701" xr:uid="{00000000-0005-0000-0000-0000FF440000}"/>
    <cellStyle name="Normal 2 2 2 3 15 3 2" xfId="17702" xr:uid="{00000000-0005-0000-0000-000000450000}"/>
    <cellStyle name="Normal 2 2 2 3 15 3 3" xfId="17703" xr:uid="{00000000-0005-0000-0000-000001450000}"/>
    <cellStyle name="Normal 2 2 2 3 15 3 4" xfId="17704" xr:uid="{00000000-0005-0000-0000-000002450000}"/>
    <cellStyle name="Normal 2 2 2 3 15 3 5" xfId="17705" xr:uid="{00000000-0005-0000-0000-000003450000}"/>
    <cellStyle name="Normal 2 2 2 3 15 3 6" xfId="17706" xr:uid="{00000000-0005-0000-0000-000004450000}"/>
    <cellStyle name="Normal 2 2 2 3 15 3 7" xfId="17707" xr:uid="{00000000-0005-0000-0000-000005450000}"/>
    <cellStyle name="Normal 2 2 2 3 15 3 8" xfId="17708" xr:uid="{00000000-0005-0000-0000-000006450000}"/>
    <cellStyle name="Normal 2 2 2 3 15 3 9" xfId="17709" xr:uid="{00000000-0005-0000-0000-000007450000}"/>
    <cellStyle name="Normal 2 2 2 3 15 4" xfId="17710" xr:uid="{00000000-0005-0000-0000-000008450000}"/>
    <cellStyle name="Normal 2 2 2 3 15 4 10" xfId="17711" xr:uid="{00000000-0005-0000-0000-000009450000}"/>
    <cellStyle name="Normal 2 2 2 3 15 4 2" xfId="17712" xr:uid="{00000000-0005-0000-0000-00000A450000}"/>
    <cellStyle name="Normal 2 2 2 3 15 4 3" xfId="17713" xr:uid="{00000000-0005-0000-0000-00000B450000}"/>
    <cellStyle name="Normal 2 2 2 3 15 4 4" xfId="17714" xr:uid="{00000000-0005-0000-0000-00000C450000}"/>
    <cellStyle name="Normal 2 2 2 3 15 4 5" xfId="17715" xr:uid="{00000000-0005-0000-0000-00000D450000}"/>
    <cellStyle name="Normal 2 2 2 3 15 4 6" xfId="17716" xr:uid="{00000000-0005-0000-0000-00000E450000}"/>
    <cellStyle name="Normal 2 2 2 3 15 4 7" xfId="17717" xr:uid="{00000000-0005-0000-0000-00000F450000}"/>
    <cellStyle name="Normal 2 2 2 3 15 4 8" xfId="17718" xr:uid="{00000000-0005-0000-0000-000010450000}"/>
    <cellStyle name="Normal 2 2 2 3 15 4 9" xfId="17719" xr:uid="{00000000-0005-0000-0000-000011450000}"/>
    <cellStyle name="Normal 2 2 2 3 15 5" xfId="17720" xr:uid="{00000000-0005-0000-0000-000012450000}"/>
    <cellStyle name="Normal 2 2 2 3 15 5 10" xfId="17721" xr:uid="{00000000-0005-0000-0000-000013450000}"/>
    <cellStyle name="Normal 2 2 2 3 15 5 2" xfId="17722" xr:uid="{00000000-0005-0000-0000-000014450000}"/>
    <cellStyle name="Normal 2 2 2 3 15 5 3" xfId="17723" xr:uid="{00000000-0005-0000-0000-000015450000}"/>
    <cellStyle name="Normal 2 2 2 3 15 5 4" xfId="17724" xr:uid="{00000000-0005-0000-0000-000016450000}"/>
    <cellStyle name="Normal 2 2 2 3 15 5 5" xfId="17725" xr:uid="{00000000-0005-0000-0000-000017450000}"/>
    <cellStyle name="Normal 2 2 2 3 15 5 6" xfId="17726" xr:uid="{00000000-0005-0000-0000-000018450000}"/>
    <cellStyle name="Normal 2 2 2 3 15 5 7" xfId="17727" xr:uid="{00000000-0005-0000-0000-000019450000}"/>
    <cellStyle name="Normal 2 2 2 3 15 5 8" xfId="17728" xr:uid="{00000000-0005-0000-0000-00001A450000}"/>
    <cellStyle name="Normal 2 2 2 3 15 5 9" xfId="17729" xr:uid="{00000000-0005-0000-0000-00001B450000}"/>
    <cellStyle name="Normal 2 2 2 3 15 6" xfId="17730" xr:uid="{00000000-0005-0000-0000-00001C450000}"/>
    <cellStyle name="Normal 2 2 2 3 15 7" xfId="17731" xr:uid="{00000000-0005-0000-0000-00001D450000}"/>
    <cellStyle name="Normal 2 2 2 3 15 8" xfId="17732" xr:uid="{00000000-0005-0000-0000-00001E450000}"/>
    <cellStyle name="Normal 2 2 2 3 15 9" xfId="17733" xr:uid="{00000000-0005-0000-0000-00001F450000}"/>
    <cellStyle name="Normal 2 2 2 3 16" xfId="17734" xr:uid="{00000000-0005-0000-0000-000020450000}"/>
    <cellStyle name="Normal 2 2 2 3 16 10" xfId="17735" xr:uid="{00000000-0005-0000-0000-000021450000}"/>
    <cellStyle name="Normal 2 2 2 3 16 11" xfId="17736" xr:uid="{00000000-0005-0000-0000-000022450000}"/>
    <cellStyle name="Normal 2 2 2 3 16 12" xfId="17737" xr:uid="{00000000-0005-0000-0000-000023450000}"/>
    <cellStyle name="Normal 2 2 2 3 16 13" xfId="17738" xr:uid="{00000000-0005-0000-0000-000024450000}"/>
    <cellStyle name="Normal 2 2 2 3 16 14" xfId="17739" xr:uid="{00000000-0005-0000-0000-000025450000}"/>
    <cellStyle name="Normal 2 2 2 3 16 2" xfId="17740" xr:uid="{00000000-0005-0000-0000-000026450000}"/>
    <cellStyle name="Normal 2 2 2 3 16 2 10" xfId="17741" xr:uid="{00000000-0005-0000-0000-000027450000}"/>
    <cellStyle name="Normal 2 2 2 3 16 2 2" xfId="17742" xr:uid="{00000000-0005-0000-0000-000028450000}"/>
    <cellStyle name="Normal 2 2 2 3 16 2 3" xfId="17743" xr:uid="{00000000-0005-0000-0000-000029450000}"/>
    <cellStyle name="Normal 2 2 2 3 16 2 4" xfId="17744" xr:uid="{00000000-0005-0000-0000-00002A450000}"/>
    <cellStyle name="Normal 2 2 2 3 16 2 5" xfId="17745" xr:uid="{00000000-0005-0000-0000-00002B450000}"/>
    <cellStyle name="Normal 2 2 2 3 16 2 6" xfId="17746" xr:uid="{00000000-0005-0000-0000-00002C450000}"/>
    <cellStyle name="Normal 2 2 2 3 16 2 7" xfId="17747" xr:uid="{00000000-0005-0000-0000-00002D450000}"/>
    <cellStyle name="Normal 2 2 2 3 16 2 8" xfId="17748" xr:uid="{00000000-0005-0000-0000-00002E450000}"/>
    <cellStyle name="Normal 2 2 2 3 16 2 9" xfId="17749" xr:uid="{00000000-0005-0000-0000-00002F450000}"/>
    <cellStyle name="Normal 2 2 2 3 16 3" xfId="17750" xr:uid="{00000000-0005-0000-0000-000030450000}"/>
    <cellStyle name="Normal 2 2 2 3 16 3 10" xfId="17751" xr:uid="{00000000-0005-0000-0000-000031450000}"/>
    <cellStyle name="Normal 2 2 2 3 16 3 2" xfId="17752" xr:uid="{00000000-0005-0000-0000-000032450000}"/>
    <cellStyle name="Normal 2 2 2 3 16 3 3" xfId="17753" xr:uid="{00000000-0005-0000-0000-000033450000}"/>
    <cellStyle name="Normal 2 2 2 3 16 3 4" xfId="17754" xr:uid="{00000000-0005-0000-0000-000034450000}"/>
    <cellStyle name="Normal 2 2 2 3 16 3 5" xfId="17755" xr:uid="{00000000-0005-0000-0000-000035450000}"/>
    <cellStyle name="Normal 2 2 2 3 16 3 6" xfId="17756" xr:uid="{00000000-0005-0000-0000-000036450000}"/>
    <cellStyle name="Normal 2 2 2 3 16 3 7" xfId="17757" xr:uid="{00000000-0005-0000-0000-000037450000}"/>
    <cellStyle name="Normal 2 2 2 3 16 3 8" xfId="17758" xr:uid="{00000000-0005-0000-0000-000038450000}"/>
    <cellStyle name="Normal 2 2 2 3 16 3 9" xfId="17759" xr:uid="{00000000-0005-0000-0000-000039450000}"/>
    <cellStyle name="Normal 2 2 2 3 16 4" xfId="17760" xr:uid="{00000000-0005-0000-0000-00003A450000}"/>
    <cellStyle name="Normal 2 2 2 3 16 4 10" xfId="17761" xr:uid="{00000000-0005-0000-0000-00003B450000}"/>
    <cellStyle name="Normal 2 2 2 3 16 4 2" xfId="17762" xr:uid="{00000000-0005-0000-0000-00003C450000}"/>
    <cellStyle name="Normal 2 2 2 3 16 4 3" xfId="17763" xr:uid="{00000000-0005-0000-0000-00003D450000}"/>
    <cellStyle name="Normal 2 2 2 3 16 4 4" xfId="17764" xr:uid="{00000000-0005-0000-0000-00003E450000}"/>
    <cellStyle name="Normal 2 2 2 3 16 4 5" xfId="17765" xr:uid="{00000000-0005-0000-0000-00003F450000}"/>
    <cellStyle name="Normal 2 2 2 3 16 4 6" xfId="17766" xr:uid="{00000000-0005-0000-0000-000040450000}"/>
    <cellStyle name="Normal 2 2 2 3 16 4 7" xfId="17767" xr:uid="{00000000-0005-0000-0000-000041450000}"/>
    <cellStyle name="Normal 2 2 2 3 16 4 8" xfId="17768" xr:uid="{00000000-0005-0000-0000-000042450000}"/>
    <cellStyle name="Normal 2 2 2 3 16 4 9" xfId="17769" xr:uid="{00000000-0005-0000-0000-000043450000}"/>
    <cellStyle name="Normal 2 2 2 3 16 5" xfId="17770" xr:uid="{00000000-0005-0000-0000-000044450000}"/>
    <cellStyle name="Normal 2 2 2 3 16 5 10" xfId="17771" xr:uid="{00000000-0005-0000-0000-000045450000}"/>
    <cellStyle name="Normal 2 2 2 3 16 5 2" xfId="17772" xr:uid="{00000000-0005-0000-0000-000046450000}"/>
    <cellStyle name="Normal 2 2 2 3 16 5 3" xfId="17773" xr:uid="{00000000-0005-0000-0000-000047450000}"/>
    <cellStyle name="Normal 2 2 2 3 16 5 4" xfId="17774" xr:uid="{00000000-0005-0000-0000-000048450000}"/>
    <cellStyle name="Normal 2 2 2 3 16 5 5" xfId="17775" xr:uid="{00000000-0005-0000-0000-000049450000}"/>
    <cellStyle name="Normal 2 2 2 3 16 5 6" xfId="17776" xr:uid="{00000000-0005-0000-0000-00004A450000}"/>
    <cellStyle name="Normal 2 2 2 3 16 5 7" xfId="17777" xr:uid="{00000000-0005-0000-0000-00004B450000}"/>
    <cellStyle name="Normal 2 2 2 3 16 5 8" xfId="17778" xr:uid="{00000000-0005-0000-0000-00004C450000}"/>
    <cellStyle name="Normal 2 2 2 3 16 5 9" xfId="17779" xr:uid="{00000000-0005-0000-0000-00004D450000}"/>
    <cellStyle name="Normal 2 2 2 3 16 6" xfId="17780" xr:uid="{00000000-0005-0000-0000-00004E450000}"/>
    <cellStyle name="Normal 2 2 2 3 16 7" xfId="17781" xr:uid="{00000000-0005-0000-0000-00004F450000}"/>
    <cellStyle name="Normal 2 2 2 3 16 8" xfId="17782" xr:uid="{00000000-0005-0000-0000-000050450000}"/>
    <cellStyle name="Normal 2 2 2 3 16 9" xfId="17783" xr:uid="{00000000-0005-0000-0000-000051450000}"/>
    <cellStyle name="Normal 2 2 2 3 17" xfId="17784" xr:uid="{00000000-0005-0000-0000-000052450000}"/>
    <cellStyle name="Normal 2 2 2 3 17 10" xfId="17785" xr:uid="{00000000-0005-0000-0000-000053450000}"/>
    <cellStyle name="Normal 2 2 2 3 17 11" xfId="17786" xr:uid="{00000000-0005-0000-0000-000054450000}"/>
    <cellStyle name="Normal 2 2 2 3 17 12" xfId="17787" xr:uid="{00000000-0005-0000-0000-000055450000}"/>
    <cellStyle name="Normal 2 2 2 3 17 13" xfId="17788" xr:uid="{00000000-0005-0000-0000-000056450000}"/>
    <cellStyle name="Normal 2 2 2 3 17 14" xfId="17789" xr:uid="{00000000-0005-0000-0000-000057450000}"/>
    <cellStyle name="Normal 2 2 2 3 17 2" xfId="17790" xr:uid="{00000000-0005-0000-0000-000058450000}"/>
    <cellStyle name="Normal 2 2 2 3 17 2 10" xfId="17791" xr:uid="{00000000-0005-0000-0000-000059450000}"/>
    <cellStyle name="Normal 2 2 2 3 17 2 2" xfId="17792" xr:uid="{00000000-0005-0000-0000-00005A450000}"/>
    <cellStyle name="Normal 2 2 2 3 17 2 3" xfId="17793" xr:uid="{00000000-0005-0000-0000-00005B450000}"/>
    <cellStyle name="Normal 2 2 2 3 17 2 4" xfId="17794" xr:uid="{00000000-0005-0000-0000-00005C450000}"/>
    <cellStyle name="Normal 2 2 2 3 17 2 5" xfId="17795" xr:uid="{00000000-0005-0000-0000-00005D450000}"/>
    <cellStyle name="Normal 2 2 2 3 17 2 6" xfId="17796" xr:uid="{00000000-0005-0000-0000-00005E450000}"/>
    <cellStyle name="Normal 2 2 2 3 17 2 7" xfId="17797" xr:uid="{00000000-0005-0000-0000-00005F450000}"/>
    <cellStyle name="Normal 2 2 2 3 17 2 8" xfId="17798" xr:uid="{00000000-0005-0000-0000-000060450000}"/>
    <cellStyle name="Normal 2 2 2 3 17 2 9" xfId="17799" xr:uid="{00000000-0005-0000-0000-000061450000}"/>
    <cellStyle name="Normal 2 2 2 3 17 3" xfId="17800" xr:uid="{00000000-0005-0000-0000-000062450000}"/>
    <cellStyle name="Normal 2 2 2 3 17 3 10" xfId="17801" xr:uid="{00000000-0005-0000-0000-000063450000}"/>
    <cellStyle name="Normal 2 2 2 3 17 3 2" xfId="17802" xr:uid="{00000000-0005-0000-0000-000064450000}"/>
    <cellStyle name="Normal 2 2 2 3 17 3 3" xfId="17803" xr:uid="{00000000-0005-0000-0000-000065450000}"/>
    <cellStyle name="Normal 2 2 2 3 17 3 4" xfId="17804" xr:uid="{00000000-0005-0000-0000-000066450000}"/>
    <cellStyle name="Normal 2 2 2 3 17 3 5" xfId="17805" xr:uid="{00000000-0005-0000-0000-000067450000}"/>
    <cellStyle name="Normal 2 2 2 3 17 3 6" xfId="17806" xr:uid="{00000000-0005-0000-0000-000068450000}"/>
    <cellStyle name="Normal 2 2 2 3 17 3 7" xfId="17807" xr:uid="{00000000-0005-0000-0000-000069450000}"/>
    <cellStyle name="Normal 2 2 2 3 17 3 8" xfId="17808" xr:uid="{00000000-0005-0000-0000-00006A450000}"/>
    <cellStyle name="Normal 2 2 2 3 17 3 9" xfId="17809" xr:uid="{00000000-0005-0000-0000-00006B450000}"/>
    <cellStyle name="Normal 2 2 2 3 17 4" xfId="17810" xr:uid="{00000000-0005-0000-0000-00006C450000}"/>
    <cellStyle name="Normal 2 2 2 3 17 4 10" xfId="17811" xr:uid="{00000000-0005-0000-0000-00006D450000}"/>
    <cellStyle name="Normal 2 2 2 3 17 4 2" xfId="17812" xr:uid="{00000000-0005-0000-0000-00006E450000}"/>
    <cellStyle name="Normal 2 2 2 3 17 4 3" xfId="17813" xr:uid="{00000000-0005-0000-0000-00006F450000}"/>
    <cellStyle name="Normal 2 2 2 3 17 4 4" xfId="17814" xr:uid="{00000000-0005-0000-0000-000070450000}"/>
    <cellStyle name="Normal 2 2 2 3 17 4 5" xfId="17815" xr:uid="{00000000-0005-0000-0000-000071450000}"/>
    <cellStyle name="Normal 2 2 2 3 17 4 6" xfId="17816" xr:uid="{00000000-0005-0000-0000-000072450000}"/>
    <cellStyle name="Normal 2 2 2 3 17 4 7" xfId="17817" xr:uid="{00000000-0005-0000-0000-000073450000}"/>
    <cellStyle name="Normal 2 2 2 3 17 4 8" xfId="17818" xr:uid="{00000000-0005-0000-0000-000074450000}"/>
    <cellStyle name="Normal 2 2 2 3 17 4 9" xfId="17819" xr:uid="{00000000-0005-0000-0000-000075450000}"/>
    <cellStyle name="Normal 2 2 2 3 17 5" xfId="17820" xr:uid="{00000000-0005-0000-0000-000076450000}"/>
    <cellStyle name="Normal 2 2 2 3 17 5 10" xfId="17821" xr:uid="{00000000-0005-0000-0000-000077450000}"/>
    <cellStyle name="Normal 2 2 2 3 17 5 2" xfId="17822" xr:uid="{00000000-0005-0000-0000-000078450000}"/>
    <cellStyle name="Normal 2 2 2 3 17 5 3" xfId="17823" xr:uid="{00000000-0005-0000-0000-000079450000}"/>
    <cellStyle name="Normal 2 2 2 3 17 5 4" xfId="17824" xr:uid="{00000000-0005-0000-0000-00007A450000}"/>
    <cellStyle name="Normal 2 2 2 3 17 5 5" xfId="17825" xr:uid="{00000000-0005-0000-0000-00007B450000}"/>
    <cellStyle name="Normal 2 2 2 3 17 5 6" xfId="17826" xr:uid="{00000000-0005-0000-0000-00007C450000}"/>
    <cellStyle name="Normal 2 2 2 3 17 5 7" xfId="17827" xr:uid="{00000000-0005-0000-0000-00007D450000}"/>
    <cellStyle name="Normal 2 2 2 3 17 5 8" xfId="17828" xr:uid="{00000000-0005-0000-0000-00007E450000}"/>
    <cellStyle name="Normal 2 2 2 3 17 5 9" xfId="17829" xr:uid="{00000000-0005-0000-0000-00007F450000}"/>
    <cellStyle name="Normal 2 2 2 3 17 6" xfId="17830" xr:uid="{00000000-0005-0000-0000-000080450000}"/>
    <cellStyle name="Normal 2 2 2 3 17 7" xfId="17831" xr:uid="{00000000-0005-0000-0000-000081450000}"/>
    <cellStyle name="Normal 2 2 2 3 17 8" xfId="17832" xr:uid="{00000000-0005-0000-0000-000082450000}"/>
    <cellStyle name="Normal 2 2 2 3 17 9" xfId="17833" xr:uid="{00000000-0005-0000-0000-000083450000}"/>
    <cellStyle name="Normal 2 2 2 3 18" xfId="17834" xr:uid="{00000000-0005-0000-0000-000084450000}"/>
    <cellStyle name="Normal 2 2 2 3 18 10" xfId="17835" xr:uid="{00000000-0005-0000-0000-000085450000}"/>
    <cellStyle name="Normal 2 2 2 3 18 11" xfId="17836" xr:uid="{00000000-0005-0000-0000-000086450000}"/>
    <cellStyle name="Normal 2 2 2 3 18 12" xfId="17837" xr:uid="{00000000-0005-0000-0000-000087450000}"/>
    <cellStyle name="Normal 2 2 2 3 18 13" xfId="17838" xr:uid="{00000000-0005-0000-0000-000088450000}"/>
    <cellStyle name="Normal 2 2 2 3 18 14" xfId="17839" xr:uid="{00000000-0005-0000-0000-000089450000}"/>
    <cellStyle name="Normal 2 2 2 3 18 2" xfId="17840" xr:uid="{00000000-0005-0000-0000-00008A450000}"/>
    <cellStyle name="Normal 2 2 2 3 18 2 10" xfId="17841" xr:uid="{00000000-0005-0000-0000-00008B450000}"/>
    <cellStyle name="Normal 2 2 2 3 18 2 2" xfId="17842" xr:uid="{00000000-0005-0000-0000-00008C450000}"/>
    <cellStyle name="Normal 2 2 2 3 18 2 3" xfId="17843" xr:uid="{00000000-0005-0000-0000-00008D450000}"/>
    <cellStyle name="Normal 2 2 2 3 18 2 4" xfId="17844" xr:uid="{00000000-0005-0000-0000-00008E450000}"/>
    <cellStyle name="Normal 2 2 2 3 18 2 5" xfId="17845" xr:uid="{00000000-0005-0000-0000-00008F450000}"/>
    <cellStyle name="Normal 2 2 2 3 18 2 6" xfId="17846" xr:uid="{00000000-0005-0000-0000-000090450000}"/>
    <cellStyle name="Normal 2 2 2 3 18 2 7" xfId="17847" xr:uid="{00000000-0005-0000-0000-000091450000}"/>
    <cellStyle name="Normal 2 2 2 3 18 2 8" xfId="17848" xr:uid="{00000000-0005-0000-0000-000092450000}"/>
    <cellStyle name="Normal 2 2 2 3 18 2 9" xfId="17849" xr:uid="{00000000-0005-0000-0000-000093450000}"/>
    <cellStyle name="Normal 2 2 2 3 18 3" xfId="17850" xr:uid="{00000000-0005-0000-0000-000094450000}"/>
    <cellStyle name="Normal 2 2 2 3 18 3 10" xfId="17851" xr:uid="{00000000-0005-0000-0000-000095450000}"/>
    <cellStyle name="Normal 2 2 2 3 18 3 2" xfId="17852" xr:uid="{00000000-0005-0000-0000-000096450000}"/>
    <cellStyle name="Normal 2 2 2 3 18 3 3" xfId="17853" xr:uid="{00000000-0005-0000-0000-000097450000}"/>
    <cellStyle name="Normal 2 2 2 3 18 3 4" xfId="17854" xr:uid="{00000000-0005-0000-0000-000098450000}"/>
    <cellStyle name="Normal 2 2 2 3 18 3 5" xfId="17855" xr:uid="{00000000-0005-0000-0000-000099450000}"/>
    <cellStyle name="Normal 2 2 2 3 18 3 6" xfId="17856" xr:uid="{00000000-0005-0000-0000-00009A450000}"/>
    <cellStyle name="Normal 2 2 2 3 18 3 7" xfId="17857" xr:uid="{00000000-0005-0000-0000-00009B450000}"/>
    <cellStyle name="Normal 2 2 2 3 18 3 8" xfId="17858" xr:uid="{00000000-0005-0000-0000-00009C450000}"/>
    <cellStyle name="Normal 2 2 2 3 18 3 9" xfId="17859" xr:uid="{00000000-0005-0000-0000-00009D450000}"/>
    <cellStyle name="Normal 2 2 2 3 18 4" xfId="17860" xr:uid="{00000000-0005-0000-0000-00009E450000}"/>
    <cellStyle name="Normal 2 2 2 3 18 4 10" xfId="17861" xr:uid="{00000000-0005-0000-0000-00009F450000}"/>
    <cellStyle name="Normal 2 2 2 3 18 4 2" xfId="17862" xr:uid="{00000000-0005-0000-0000-0000A0450000}"/>
    <cellStyle name="Normal 2 2 2 3 18 4 3" xfId="17863" xr:uid="{00000000-0005-0000-0000-0000A1450000}"/>
    <cellStyle name="Normal 2 2 2 3 18 4 4" xfId="17864" xr:uid="{00000000-0005-0000-0000-0000A2450000}"/>
    <cellStyle name="Normal 2 2 2 3 18 4 5" xfId="17865" xr:uid="{00000000-0005-0000-0000-0000A3450000}"/>
    <cellStyle name="Normal 2 2 2 3 18 4 6" xfId="17866" xr:uid="{00000000-0005-0000-0000-0000A4450000}"/>
    <cellStyle name="Normal 2 2 2 3 18 4 7" xfId="17867" xr:uid="{00000000-0005-0000-0000-0000A5450000}"/>
    <cellStyle name="Normal 2 2 2 3 18 4 8" xfId="17868" xr:uid="{00000000-0005-0000-0000-0000A6450000}"/>
    <cellStyle name="Normal 2 2 2 3 18 4 9" xfId="17869" xr:uid="{00000000-0005-0000-0000-0000A7450000}"/>
    <cellStyle name="Normal 2 2 2 3 18 5" xfId="17870" xr:uid="{00000000-0005-0000-0000-0000A8450000}"/>
    <cellStyle name="Normal 2 2 2 3 18 5 10" xfId="17871" xr:uid="{00000000-0005-0000-0000-0000A9450000}"/>
    <cellStyle name="Normal 2 2 2 3 18 5 2" xfId="17872" xr:uid="{00000000-0005-0000-0000-0000AA450000}"/>
    <cellStyle name="Normal 2 2 2 3 18 5 3" xfId="17873" xr:uid="{00000000-0005-0000-0000-0000AB450000}"/>
    <cellStyle name="Normal 2 2 2 3 18 5 4" xfId="17874" xr:uid="{00000000-0005-0000-0000-0000AC450000}"/>
    <cellStyle name="Normal 2 2 2 3 18 5 5" xfId="17875" xr:uid="{00000000-0005-0000-0000-0000AD450000}"/>
    <cellStyle name="Normal 2 2 2 3 18 5 6" xfId="17876" xr:uid="{00000000-0005-0000-0000-0000AE450000}"/>
    <cellStyle name="Normal 2 2 2 3 18 5 7" xfId="17877" xr:uid="{00000000-0005-0000-0000-0000AF450000}"/>
    <cellStyle name="Normal 2 2 2 3 18 5 8" xfId="17878" xr:uid="{00000000-0005-0000-0000-0000B0450000}"/>
    <cellStyle name="Normal 2 2 2 3 18 5 9" xfId="17879" xr:uid="{00000000-0005-0000-0000-0000B1450000}"/>
    <cellStyle name="Normal 2 2 2 3 18 6" xfId="17880" xr:uid="{00000000-0005-0000-0000-0000B2450000}"/>
    <cellStyle name="Normal 2 2 2 3 18 7" xfId="17881" xr:uid="{00000000-0005-0000-0000-0000B3450000}"/>
    <cellStyle name="Normal 2 2 2 3 18 8" xfId="17882" xr:uid="{00000000-0005-0000-0000-0000B4450000}"/>
    <cellStyle name="Normal 2 2 2 3 18 9" xfId="17883" xr:uid="{00000000-0005-0000-0000-0000B5450000}"/>
    <cellStyle name="Normal 2 2 2 3 19" xfId="17884" xr:uid="{00000000-0005-0000-0000-0000B6450000}"/>
    <cellStyle name="Normal 2 2 2 3 19 10" xfId="17885" xr:uid="{00000000-0005-0000-0000-0000B7450000}"/>
    <cellStyle name="Normal 2 2 2 3 19 11" xfId="17886" xr:uid="{00000000-0005-0000-0000-0000B8450000}"/>
    <cellStyle name="Normal 2 2 2 3 19 12" xfId="17887" xr:uid="{00000000-0005-0000-0000-0000B9450000}"/>
    <cellStyle name="Normal 2 2 2 3 19 13" xfId="17888" xr:uid="{00000000-0005-0000-0000-0000BA450000}"/>
    <cellStyle name="Normal 2 2 2 3 19 14" xfId="17889" xr:uid="{00000000-0005-0000-0000-0000BB450000}"/>
    <cellStyle name="Normal 2 2 2 3 19 2" xfId="17890" xr:uid="{00000000-0005-0000-0000-0000BC450000}"/>
    <cellStyle name="Normal 2 2 2 3 19 2 10" xfId="17891" xr:uid="{00000000-0005-0000-0000-0000BD450000}"/>
    <cellStyle name="Normal 2 2 2 3 19 2 2" xfId="17892" xr:uid="{00000000-0005-0000-0000-0000BE450000}"/>
    <cellStyle name="Normal 2 2 2 3 19 2 3" xfId="17893" xr:uid="{00000000-0005-0000-0000-0000BF450000}"/>
    <cellStyle name="Normal 2 2 2 3 19 2 4" xfId="17894" xr:uid="{00000000-0005-0000-0000-0000C0450000}"/>
    <cellStyle name="Normal 2 2 2 3 19 2 5" xfId="17895" xr:uid="{00000000-0005-0000-0000-0000C1450000}"/>
    <cellStyle name="Normal 2 2 2 3 19 2 6" xfId="17896" xr:uid="{00000000-0005-0000-0000-0000C2450000}"/>
    <cellStyle name="Normal 2 2 2 3 19 2 7" xfId="17897" xr:uid="{00000000-0005-0000-0000-0000C3450000}"/>
    <cellStyle name="Normal 2 2 2 3 19 2 8" xfId="17898" xr:uid="{00000000-0005-0000-0000-0000C4450000}"/>
    <cellStyle name="Normal 2 2 2 3 19 2 9" xfId="17899" xr:uid="{00000000-0005-0000-0000-0000C5450000}"/>
    <cellStyle name="Normal 2 2 2 3 19 3" xfId="17900" xr:uid="{00000000-0005-0000-0000-0000C6450000}"/>
    <cellStyle name="Normal 2 2 2 3 19 3 10" xfId="17901" xr:uid="{00000000-0005-0000-0000-0000C7450000}"/>
    <cellStyle name="Normal 2 2 2 3 19 3 2" xfId="17902" xr:uid="{00000000-0005-0000-0000-0000C8450000}"/>
    <cellStyle name="Normal 2 2 2 3 19 3 3" xfId="17903" xr:uid="{00000000-0005-0000-0000-0000C9450000}"/>
    <cellStyle name="Normal 2 2 2 3 19 3 4" xfId="17904" xr:uid="{00000000-0005-0000-0000-0000CA450000}"/>
    <cellStyle name="Normal 2 2 2 3 19 3 5" xfId="17905" xr:uid="{00000000-0005-0000-0000-0000CB450000}"/>
    <cellStyle name="Normal 2 2 2 3 19 3 6" xfId="17906" xr:uid="{00000000-0005-0000-0000-0000CC450000}"/>
    <cellStyle name="Normal 2 2 2 3 19 3 7" xfId="17907" xr:uid="{00000000-0005-0000-0000-0000CD450000}"/>
    <cellStyle name="Normal 2 2 2 3 19 3 8" xfId="17908" xr:uid="{00000000-0005-0000-0000-0000CE450000}"/>
    <cellStyle name="Normal 2 2 2 3 19 3 9" xfId="17909" xr:uid="{00000000-0005-0000-0000-0000CF450000}"/>
    <cellStyle name="Normal 2 2 2 3 19 4" xfId="17910" xr:uid="{00000000-0005-0000-0000-0000D0450000}"/>
    <cellStyle name="Normal 2 2 2 3 19 4 10" xfId="17911" xr:uid="{00000000-0005-0000-0000-0000D1450000}"/>
    <cellStyle name="Normal 2 2 2 3 19 4 2" xfId="17912" xr:uid="{00000000-0005-0000-0000-0000D2450000}"/>
    <cellStyle name="Normal 2 2 2 3 19 4 3" xfId="17913" xr:uid="{00000000-0005-0000-0000-0000D3450000}"/>
    <cellStyle name="Normal 2 2 2 3 19 4 4" xfId="17914" xr:uid="{00000000-0005-0000-0000-0000D4450000}"/>
    <cellStyle name="Normal 2 2 2 3 19 4 5" xfId="17915" xr:uid="{00000000-0005-0000-0000-0000D5450000}"/>
    <cellStyle name="Normal 2 2 2 3 19 4 6" xfId="17916" xr:uid="{00000000-0005-0000-0000-0000D6450000}"/>
    <cellStyle name="Normal 2 2 2 3 19 4 7" xfId="17917" xr:uid="{00000000-0005-0000-0000-0000D7450000}"/>
    <cellStyle name="Normal 2 2 2 3 19 4 8" xfId="17918" xr:uid="{00000000-0005-0000-0000-0000D8450000}"/>
    <cellStyle name="Normal 2 2 2 3 19 4 9" xfId="17919" xr:uid="{00000000-0005-0000-0000-0000D9450000}"/>
    <cellStyle name="Normal 2 2 2 3 19 5" xfId="17920" xr:uid="{00000000-0005-0000-0000-0000DA450000}"/>
    <cellStyle name="Normal 2 2 2 3 19 5 10" xfId="17921" xr:uid="{00000000-0005-0000-0000-0000DB450000}"/>
    <cellStyle name="Normal 2 2 2 3 19 5 2" xfId="17922" xr:uid="{00000000-0005-0000-0000-0000DC450000}"/>
    <cellStyle name="Normal 2 2 2 3 19 5 3" xfId="17923" xr:uid="{00000000-0005-0000-0000-0000DD450000}"/>
    <cellStyle name="Normal 2 2 2 3 19 5 4" xfId="17924" xr:uid="{00000000-0005-0000-0000-0000DE450000}"/>
    <cellStyle name="Normal 2 2 2 3 19 5 5" xfId="17925" xr:uid="{00000000-0005-0000-0000-0000DF450000}"/>
    <cellStyle name="Normal 2 2 2 3 19 5 6" xfId="17926" xr:uid="{00000000-0005-0000-0000-0000E0450000}"/>
    <cellStyle name="Normal 2 2 2 3 19 5 7" xfId="17927" xr:uid="{00000000-0005-0000-0000-0000E1450000}"/>
    <cellStyle name="Normal 2 2 2 3 19 5 8" xfId="17928" xr:uid="{00000000-0005-0000-0000-0000E2450000}"/>
    <cellStyle name="Normal 2 2 2 3 19 5 9" xfId="17929" xr:uid="{00000000-0005-0000-0000-0000E3450000}"/>
    <cellStyle name="Normal 2 2 2 3 19 6" xfId="17930" xr:uid="{00000000-0005-0000-0000-0000E4450000}"/>
    <cellStyle name="Normal 2 2 2 3 19 7" xfId="17931" xr:uid="{00000000-0005-0000-0000-0000E5450000}"/>
    <cellStyle name="Normal 2 2 2 3 19 8" xfId="17932" xr:uid="{00000000-0005-0000-0000-0000E6450000}"/>
    <cellStyle name="Normal 2 2 2 3 19 9" xfId="17933" xr:uid="{00000000-0005-0000-0000-0000E7450000}"/>
    <cellStyle name="Normal 2 2 2 3 2" xfId="17934" xr:uid="{00000000-0005-0000-0000-0000E8450000}"/>
    <cellStyle name="Normal 2 2 2 3 2 10" xfId="17935" xr:uid="{00000000-0005-0000-0000-0000E9450000}"/>
    <cellStyle name="Normal 2 2 2 3 2 11" xfId="17936" xr:uid="{00000000-0005-0000-0000-0000EA450000}"/>
    <cellStyle name="Normal 2 2 2 3 2 12" xfId="17937" xr:uid="{00000000-0005-0000-0000-0000EB450000}"/>
    <cellStyle name="Normal 2 2 2 3 2 13" xfId="17938" xr:uid="{00000000-0005-0000-0000-0000EC450000}"/>
    <cellStyle name="Normal 2 2 2 3 2 14" xfId="17939" xr:uid="{00000000-0005-0000-0000-0000ED450000}"/>
    <cellStyle name="Normal 2 2 2 3 2 15" xfId="17940" xr:uid="{00000000-0005-0000-0000-0000EE450000}"/>
    <cellStyle name="Normal 2 2 2 3 2 16" xfId="17941" xr:uid="{00000000-0005-0000-0000-0000EF450000}"/>
    <cellStyle name="Normal 2 2 2 3 2 17" xfId="17942" xr:uid="{00000000-0005-0000-0000-0000F0450000}"/>
    <cellStyle name="Normal 2 2 2 3 2 2" xfId="17943" xr:uid="{00000000-0005-0000-0000-0000F1450000}"/>
    <cellStyle name="Normal 2 2 2 3 2 2 10" xfId="17944" xr:uid="{00000000-0005-0000-0000-0000F2450000}"/>
    <cellStyle name="Normal 2 2 2 3 2 2 11" xfId="17945" xr:uid="{00000000-0005-0000-0000-0000F3450000}"/>
    <cellStyle name="Normal 2 2 2 3 2 2 12" xfId="17946" xr:uid="{00000000-0005-0000-0000-0000F4450000}"/>
    <cellStyle name="Normal 2 2 2 3 2 2 2" xfId="17947" xr:uid="{00000000-0005-0000-0000-0000F5450000}"/>
    <cellStyle name="Normal 2 2 2 3 2 2 2 2" xfId="17948" xr:uid="{00000000-0005-0000-0000-0000F6450000}"/>
    <cellStyle name="Normal 2 2 2 3 2 2 2 3" xfId="17949" xr:uid="{00000000-0005-0000-0000-0000F7450000}"/>
    <cellStyle name="Normal 2 2 2 3 2 2 3" xfId="17950" xr:uid="{00000000-0005-0000-0000-0000F8450000}"/>
    <cellStyle name="Normal 2 2 2 3 2 2 4" xfId="17951" xr:uid="{00000000-0005-0000-0000-0000F9450000}"/>
    <cellStyle name="Normal 2 2 2 3 2 2 5" xfId="17952" xr:uid="{00000000-0005-0000-0000-0000FA450000}"/>
    <cellStyle name="Normal 2 2 2 3 2 2 6" xfId="17953" xr:uid="{00000000-0005-0000-0000-0000FB450000}"/>
    <cellStyle name="Normal 2 2 2 3 2 2 7" xfId="17954" xr:uid="{00000000-0005-0000-0000-0000FC450000}"/>
    <cellStyle name="Normal 2 2 2 3 2 2 8" xfId="17955" xr:uid="{00000000-0005-0000-0000-0000FD450000}"/>
    <cellStyle name="Normal 2 2 2 3 2 2 9" xfId="17956" xr:uid="{00000000-0005-0000-0000-0000FE450000}"/>
    <cellStyle name="Normal 2 2 2 3 2 3" xfId="17957" xr:uid="{00000000-0005-0000-0000-0000FF450000}"/>
    <cellStyle name="Normal 2 2 2 3 2 3 10" xfId="17958" xr:uid="{00000000-0005-0000-0000-000000460000}"/>
    <cellStyle name="Normal 2 2 2 3 2 3 11" xfId="17959" xr:uid="{00000000-0005-0000-0000-000001460000}"/>
    <cellStyle name="Normal 2 2 2 3 2 3 12" xfId="17960" xr:uid="{00000000-0005-0000-0000-000002460000}"/>
    <cellStyle name="Normal 2 2 2 3 2 3 2" xfId="17961" xr:uid="{00000000-0005-0000-0000-000003460000}"/>
    <cellStyle name="Normal 2 2 2 3 2 3 3" xfId="17962" xr:uid="{00000000-0005-0000-0000-000004460000}"/>
    <cellStyle name="Normal 2 2 2 3 2 3 4" xfId="17963" xr:uid="{00000000-0005-0000-0000-000005460000}"/>
    <cellStyle name="Normal 2 2 2 3 2 3 5" xfId="17964" xr:uid="{00000000-0005-0000-0000-000006460000}"/>
    <cellStyle name="Normal 2 2 2 3 2 3 6" xfId="17965" xr:uid="{00000000-0005-0000-0000-000007460000}"/>
    <cellStyle name="Normal 2 2 2 3 2 3 7" xfId="17966" xr:uid="{00000000-0005-0000-0000-000008460000}"/>
    <cellStyle name="Normal 2 2 2 3 2 3 8" xfId="17967" xr:uid="{00000000-0005-0000-0000-000009460000}"/>
    <cellStyle name="Normal 2 2 2 3 2 3 9" xfId="17968" xr:uid="{00000000-0005-0000-0000-00000A460000}"/>
    <cellStyle name="Normal 2 2 2 3 2 4" xfId="17969" xr:uid="{00000000-0005-0000-0000-00000B460000}"/>
    <cellStyle name="Normal 2 2 2 3 2 4 10" xfId="17970" xr:uid="{00000000-0005-0000-0000-00000C460000}"/>
    <cellStyle name="Normal 2 2 2 3 2 4 2" xfId="17971" xr:uid="{00000000-0005-0000-0000-00000D460000}"/>
    <cellStyle name="Normal 2 2 2 3 2 4 3" xfId="17972" xr:uid="{00000000-0005-0000-0000-00000E460000}"/>
    <cellStyle name="Normal 2 2 2 3 2 4 4" xfId="17973" xr:uid="{00000000-0005-0000-0000-00000F460000}"/>
    <cellStyle name="Normal 2 2 2 3 2 4 5" xfId="17974" xr:uid="{00000000-0005-0000-0000-000010460000}"/>
    <cellStyle name="Normal 2 2 2 3 2 4 6" xfId="17975" xr:uid="{00000000-0005-0000-0000-000011460000}"/>
    <cellStyle name="Normal 2 2 2 3 2 4 7" xfId="17976" xr:uid="{00000000-0005-0000-0000-000012460000}"/>
    <cellStyle name="Normal 2 2 2 3 2 4 8" xfId="17977" xr:uid="{00000000-0005-0000-0000-000013460000}"/>
    <cellStyle name="Normal 2 2 2 3 2 4 9" xfId="17978" xr:uid="{00000000-0005-0000-0000-000014460000}"/>
    <cellStyle name="Normal 2 2 2 3 2 5" xfId="17979" xr:uid="{00000000-0005-0000-0000-000015460000}"/>
    <cellStyle name="Normal 2 2 2 3 2 5 10" xfId="17980" xr:uid="{00000000-0005-0000-0000-000016460000}"/>
    <cellStyle name="Normal 2 2 2 3 2 5 2" xfId="17981" xr:uid="{00000000-0005-0000-0000-000017460000}"/>
    <cellStyle name="Normal 2 2 2 3 2 5 3" xfId="17982" xr:uid="{00000000-0005-0000-0000-000018460000}"/>
    <cellStyle name="Normal 2 2 2 3 2 5 4" xfId="17983" xr:uid="{00000000-0005-0000-0000-000019460000}"/>
    <cellStyle name="Normal 2 2 2 3 2 5 5" xfId="17984" xr:uid="{00000000-0005-0000-0000-00001A460000}"/>
    <cellStyle name="Normal 2 2 2 3 2 5 6" xfId="17985" xr:uid="{00000000-0005-0000-0000-00001B460000}"/>
    <cellStyle name="Normal 2 2 2 3 2 5 7" xfId="17986" xr:uid="{00000000-0005-0000-0000-00001C460000}"/>
    <cellStyle name="Normal 2 2 2 3 2 5 8" xfId="17987" xr:uid="{00000000-0005-0000-0000-00001D460000}"/>
    <cellStyle name="Normal 2 2 2 3 2 5 9" xfId="17988" xr:uid="{00000000-0005-0000-0000-00001E460000}"/>
    <cellStyle name="Normal 2 2 2 3 2 6" xfId="17989" xr:uid="{00000000-0005-0000-0000-00001F460000}"/>
    <cellStyle name="Normal 2 2 2 3 2 7" xfId="17990" xr:uid="{00000000-0005-0000-0000-000020460000}"/>
    <cellStyle name="Normal 2 2 2 3 2 8" xfId="17991" xr:uid="{00000000-0005-0000-0000-000021460000}"/>
    <cellStyle name="Normal 2 2 2 3 2 9" xfId="17992" xr:uid="{00000000-0005-0000-0000-000022460000}"/>
    <cellStyle name="Normal 2 2 2 3 20" xfId="17993" xr:uid="{00000000-0005-0000-0000-000023460000}"/>
    <cellStyle name="Normal 2 2 2 3 20 10" xfId="17994" xr:uid="{00000000-0005-0000-0000-000024460000}"/>
    <cellStyle name="Normal 2 2 2 3 20 11" xfId="17995" xr:uid="{00000000-0005-0000-0000-000025460000}"/>
    <cellStyle name="Normal 2 2 2 3 20 12" xfId="17996" xr:uid="{00000000-0005-0000-0000-000026460000}"/>
    <cellStyle name="Normal 2 2 2 3 20 13" xfId="17997" xr:uid="{00000000-0005-0000-0000-000027460000}"/>
    <cellStyle name="Normal 2 2 2 3 20 14" xfId="17998" xr:uid="{00000000-0005-0000-0000-000028460000}"/>
    <cellStyle name="Normal 2 2 2 3 20 2" xfId="17999" xr:uid="{00000000-0005-0000-0000-000029460000}"/>
    <cellStyle name="Normal 2 2 2 3 20 2 10" xfId="18000" xr:uid="{00000000-0005-0000-0000-00002A460000}"/>
    <cellStyle name="Normal 2 2 2 3 20 2 2" xfId="18001" xr:uid="{00000000-0005-0000-0000-00002B460000}"/>
    <cellStyle name="Normal 2 2 2 3 20 2 3" xfId="18002" xr:uid="{00000000-0005-0000-0000-00002C460000}"/>
    <cellStyle name="Normal 2 2 2 3 20 2 4" xfId="18003" xr:uid="{00000000-0005-0000-0000-00002D460000}"/>
    <cellStyle name="Normal 2 2 2 3 20 2 5" xfId="18004" xr:uid="{00000000-0005-0000-0000-00002E460000}"/>
    <cellStyle name="Normal 2 2 2 3 20 2 6" xfId="18005" xr:uid="{00000000-0005-0000-0000-00002F460000}"/>
    <cellStyle name="Normal 2 2 2 3 20 2 7" xfId="18006" xr:uid="{00000000-0005-0000-0000-000030460000}"/>
    <cellStyle name="Normal 2 2 2 3 20 2 8" xfId="18007" xr:uid="{00000000-0005-0000-0000-000031460000}"/>
    <cellStyle name="Normal 2 2 2 3 20 2 9" xfId="18008" xr:uid="{00000000-0005-0000-0000-000032460000}"/>
    <cellStyle name="Normal 2 2 2 3 20 3" xfId="18009" xr:uid="{00000000-0005-0000-0000-000033460000}"/>
    <cellStyle name="Normal 2 2 2 3 20 3 10" xfId="18010" xr:uid="{00000000-0005-0000-0000-000034460000}"/>
    <cellStyle name="Normal 2 2 2 3 20 3 2" xfId="18011" xr:uid="{00000000-0005-0000-0000-000035460000}"/>
    <cellStyle name="Normal 2 2 2 3 20 3 3" xfId="18012" xr:uid="{00000000-0005-0000-0000-000036460000}"/>
    <cellStyle name="Normal 2 2 2 3 20 3 4" xfId="18013" xr:uid="{00000000-0005-0000-0000-000037460000}"/>
    <cellStyle name="Normal 2 2 2 3 20 3 5" xfId="18014" xr:uid="{00000000-0005-0000-0000-000038460000}"/>
    <cellStyle name="Normal 2 2 2 3 20 3 6" xfId="18015" xr:uid="{00000000-0005-0000-0000-000039460000}"/>
    <cellStyle name="Normal 2 2 2 3 20 3 7" xfId="18016" xr:uid="{00000000-0005-0000-0000-00003A460000}"/>
    <cellStyle name="Normal 2 2 2 3 20 3 8" xfId="18017" xr:uid="{00000000-0005-0000-0000-00003B460000}"/>
    <cellStyle name="Normal 2 2 2 3 20 3 9" xfId="18018" xr:uid="{00000000-0005-0000-0000-00003C460000}"/>
    <cellStyle name="Normal 2 2 2 3 20 4" xfId="18019" xr:uid="{00000000-0005-0000-0000-00003D460000}"/>
    <cellStyle name="Normal 2 2 2 3 20 4 10" xfId="18020" xr:uid="{00000000-0005-0000-0000-00003E460000}"/>
    <cellStyle name="Normal 2 2 2 3 20 4 2" xfId="18021" xr:uid="{00000000-0005-0000-0000-00003F460000}"/>
    <cellStyle name="Normal 2 2 2 3 20 4 3" xfId="18022" xr:uid="{00000000-0005-0000-0000-000040460000}"/>
    <cellStyle name="Normal 2 2 2 3 20 4 4" xfId="18023" xr:uid="{00000000-0005-0000-0000-000041460000}"/>
    <cellStyle name="Normal 2 2 2 3 20 4 5" xfId="18024" xr:uid="{00000000-0005-0000-0000-000042460000}"/>
    <cellStyle name="Normal 2 2 2 3 20 4 6" xfId="18025" xr:uid="{00000000-0005-0000-0000-000043460000}"/>
    <cellStyle name="Normal 2 2 2 3 20 4 7" xfId="18026" xr:uid="{00000000-0005-0000-0000-000044460000}"/>
    <cellStyle name="Normal 2 2 2 3 20 4 8" xfId="18027" xr:uid="{00000000-0005-0000-0000-000045460000}"/>
    <cellStyle name="Normal 2 2 2 3 20 4 9" xfId="18028" xr:uid="{00000000-0005-0000-0000-000046460000}"/>
    <cellStyle name="Normal 2 2 2 3 20 5" xfId="18029" xr:uid="{00000000-0005-0000-0000-000047460000}"/>
    <cellStyle name="Normal 2 2 2 3 20 5 10" xfId="18030" xr:uid="{00000000-0005-0000-0000-000048460000}"/>
    <cellStyle name="Normal 2 2 2 3 20 5 2" xfId="18031" xr:uid="{00000000-0005-0000-0000-000049460000}"/>
    <cellStyle name="Normal 2 2 2 3 20 5 3" xfId="18032" xr:uid="{00000000-0005-0000-0000-00004A460000}"/>
    <cellStyle name="Normal 2 2 2 3 20 5 4" xfId="18033" xr:uid="{00000000-0005-0000-0000-00004B460000}"/>
    <cellStyle name="Normal 2 2 2 3 20 5 5" xfId="18034" xr:uid="{00000000-0005-0000-0000-00004C460000}"/>
    <cellStyle name="Normal 2 2 2 3 20 5 6" xfId="18035" xr:uid="{00000000-0005-0000-0000-00004D460000}"/>
    <cellStyle name="Normal 2 2 2 3 20 5 7" xfId="18036" xr:uid="{00000000-0005-0000-0000-00004E460000}"/>
    <cellStyle name="Normal 2 2 2 3 20 5 8" xfId="18037" xr:uid="{00000000-0005-0000-0000-00004F460000}"/>
    <cellStyle name="Normal 2 2 2 3 20 5 9" xfId="18038" xr:uid="{00000000-0005-0000-0000-000050460000}"/>
    <cellStyle name="Normal 2 2 2 3 20 6" xfId="18039" xr:uid="{00000000-0005-0000-0000-000051460000}"/>
    <cellStyle name="Normal 2 2 2 3 20 7" xfId="18040" xr:uid="{00000000-0005-0000-0000-000052460000}"/>
    <cellStyle name="Normal 2 2 2 3 20 8" xfId="18041" xr:uid="{00000000-0005-0000-0000-000053460000}"/>
    <cellStyle name="Normal 2 2 2 3 20 9" xfId="18042" xr:uid="{00000000-0005-0000-0000-000054460000}"/>
    <cellStyle name="Normal 2 2 2 3 21" xfId="18043" xr:uid="{00000000-0005-0000-0000-000055460000}"/>
    <cellStyle name="Normal 2 2 2 3 21 10" xfId="18044" xr:uid="{00000000-0005-0000-0000-000056460000}"/>
    <cellStyle name="Normal 2 2 2 3 21 11" xfId="18045" xr:uid="{00000000-0005-0000-0000-000057460000}"/>
    <cellStyle name="Normal 2 2 2 3 21 12" xfId="18046" xr:uid="{00000000-0005-0000-0000-000058460000}"/>
    <cellStyle name="Normal 2 2 2 3 21 13" xfId="18047" xr:uid="{00000000-0005-0000-0000-000059460000}"/>
    <cellStyle name="Normal 2 2 2 3 21 14" xfId="18048" xr:uid="{00000000-0005-0000-0000-00005A460000}"/>
    <cellStyle name="Normal 2 2 2 3 21 2" xfId="18049" xr:uid="{00000000-0005-0000-0000-00005B460000}"/>
    <cellStyle name="Normal 2 2 2 3 21 2 10" xfId="18050" xr:uid="{00000000-0005-0000-0000-00005C460000}"/>
    <cellStyle name="Normal 2 2 2 3 21 2 2" xfId="18051" xr:uid="{00000000-0005-0000-0000-00005D460000}"/>
    <cellStyle name="Normal 2 2 2 3 21 2 3" xfId="18052" xr:uid="{00000000-0005-0000-0000-00005E460000}"/>
    <cellStyle name="Normal 2 2 2 3 21 2 4" xfId="18053" xr:uid="{00000000-0005-0000-0000-00005F460000}"/>
    <cellStyle name="Normal 2 2 2 3 21 2 5" xfId="18054" xr:uid="{00000000-0005-0000-0000-000060460000}"/>
    <cellStyle name="Normal 2 2 2 3 21 2 6" xfId="18055" xr:uid="{00000000-0005-0000-0000-000061460000}"/>
    <cellStyle name="Normal 2 2 2 3 21 2 7" xfId="18056" xr:uid="{00000000-0005-0000-0000-000062460000}"/>
    <cellStyle name="Normal 2 2 2 3 21 2 8" xfId="18057" xr:uid="{00000000-0005-0000-0000-000063460000}"/>
    <cellStyle name="Normal 2 2 2 3 21 2 9" xfId="18058" xr:uid="{00000000-0005-0000-0000-000064460000}"/>
    <cellStyle name="Normal 2 2 2 3 21 3" xfId="18059" xr:uid="{00000000-0005-0000-0000-000065460000}"/>
    <cellStyle name="Normal 2 2 2 3 21 3 10" xfId="18060" xr:uid="{00000000-0005-0000-0000-000066460000}"/>
    <cellStyle name="Normal 2 2 2 3 21 3 2" xfId="18061" xr:uid="{00000000-0005-0000-0000-000067460000}"/>
    <cellStyle name="Normal 2 2 2 3 21 3 3" xfId="18062" xr:uid="{00000000-0005-0000-0000-000068460000}"/>
    <cellStyle name="Normal 2 2 2 3 21 3 4" xfId="18063" xr:uid="{00000000-0005-0000-0000-000069460000}"/>
    <cellStyle name="Normal 2 2 2 3 21 3 5" xfId="18064" xr:uid="{00000000-0005-0000-0000-00006A460000}"/>
    <cellStyle name="Normal 2 2 2 3 21 3 6" xfId="18065" xr:uid="{00000000-0005-0000-0000-00006B460000}"/>
    <cellStyle name="Normal 2 2 2 3 21 3 7" xfId="18066" xr:uid="{00000000-0005-0000-0000-00006C460000}"/>
    <cellStyle name="Normal 2 2 2 3 21 3 8" xfId="18067" xr:uid="{00000000-0005-0000-0000-00006D460000}"/>
    <cellStyle name="Normal 2 2 2 3 21 3 9" xfId="18068" xr:uid="{00000000-0005-0000-0000-00006E460000}"/>
    <cellStyle name="Normal 2 2 2 3 21 4" xfId="18069" xr:uid="{00000000-0005-0000-0000-00006F460000}"/>
    <cellStyle name="Normal 2 2 2 3 21 4 10" xfId="18070" xr:uid="{00000000-0005-0000-0000-000070460000}"/>
    <cellStyle name="Normal 2 2 2 3 21 4 2" xfId="18071" xr:uid="{00000000-0005-0000-0000-000071460000}"/>
    <cellStyle name="Normal 2 2 2 3 21 4 3" xfId="18072" xr:uid="{00000000-0005-0000-0000-000072460000}"/>
    <cellStyle name="Normal 2 2 2 3 21 4 4" xfId="18073" xr:uid="{00000000-0005-0000-0000-000073460000}"/>
    <cellStyle name="Normal 2 2 2 3 21 4 5" xfId="18074" xr:uid="{00000000-0005-0000-0000-000074460000}"/>
    <cellStyle name="Normal 2 2 2 3 21 4 6" xfId="18075" xr:uid="{00000000-0005-0000-0000-000075460000}"/>
    <cellStyle name="Normal 2 2 2 3 21 4 7" xfId="18076" xr:uid="{00000000-0005-0000-0000-000076460000}"/>
    <cellStyle name="Normal 2 2 2 3 21 4 8" xfId="18077" xr:uid="{00000000-0005-0000-0000-000077460000}"/>
    <cellStyle name="Normal 2 2 2 3 21 4 9" xfId="18078" xr:uid="{00000000-0005-0000-0000-000078460000}"/>
    <cellStyle name="Normal 2 2 2 3 21 5" xfId="18079" xr:uid="{00000000-0005-0000-0000-000079460000}"/>
    <cellStyle name="Normal 2 2 2 3 21 5 10" xfId="18080" xr:uid="{00000000-0005-0000-0000-00007A460000}"/>
    <cellStyle name="Normal 2 2 2 3 21 5 2" xfId="18081" xr:uid="{00000000-0005-0000-0000-00007B460000}"/>
    <cellStyle name="Normal 2 2 2 3 21 5 3" xfId="18082" xr:uid="{00000000-0005-0000-0000-00007C460000}"/>
    <cellStyle name="Normal 2 2 2 3 21 5 4" xfId="18083" xr:uid="{00000000-0005-0000-0000-00007D460000}"/>
    <cellStyle name="Normal 2 2 2 3 21 5 5" xfId="18084" xr:uid="{00000000-0005-0000-0000-00007E460000}"/>
    <cellStyle name="Normal 2 2 2 3 21 5 6" xfId="18085" xr:uid="{00000000-0005-0000-0000-00007F460000}"/>
    <cellStyle name="Normal 2 2 2 3 21 5 7" xfId="18086" xr:uid="{00000000-0005-0000-0000-000080460000}"/>
    <cellStyle name="Normal 2 2 2 3 21 5 8" xfId="18087" xr:uid="{00000000-0005-0000-0000-000081460000}"/>
    <cellStyle name="Normal 2 2 2 3 21 5 9" xfId="18088" xr:uid="{00000000-0005-0000-0000-000082460000}"/>
    <cellStyle name="Normal 2 2 2 3 21 6" xfId="18089" xr:uid="{00000000-0005-0000-0000-000083460000}"/>
    <cellStyle name="Normal 2 2 2 3 21 7" xfId="18090" xr:uid="{00000000-0005-0000-0000-000084460000}"/>
    <cellStyle name="Normal 2 2 2 3 21 8" xfId="18091" xr:uid="{00000000-0005-0000-0000-000085460000}"/>
    <cellStyle name="Normal 2 2 2 3 21 9" xfId="18092" xr:uid="{00000000-0005-0000-0000-000086460000}"/>
    <cellStyle name="Normal 2 2 2 3 22" xfId="18093" xr:uid="{00000000-0005-0000-0000-000087460000}"/>
    <cellStyle name="Normal 2 2 2 3 22 10" xfId="18094" xr:uid="{00000000-0005-0000-0000-000088460000}"/>
    <cellStyle name="Normal 2 2 2 3 22 11" xfId="18095" xr:uid="{00000000-0005-0000-0000-000089460000}"/>
    <cellStyle name="Normal 2 2 2 3 22 12" xfId="18096" xr:uid="{00000000-0005-0000-0000-00008A460000}"/>
    <cellStyle name="Normal 2 2 2 3 22 13" xfId="18097" xr:uid="{00000000-0005-0000-0000-00008B460000}"/>
    <cellStyle name="Normal 2 2 2 3 22 14" xfId="18098" xr:uid="{00000000-0005-0000-0000-00008C460000}"/>
    <cellStyle name="Normal 2 2 2 3 22 2" xfId="18099" xr:uid="{00000000-0005-0000-0000-00008D460000}"/>
    <cellStyle name="Normal 2 2 2 3 22 2 10" xfId="18100" xr:uid="{00000000-0005-0000-0000-00008E460000}"/>
    <cellStyle name="Normal 2 2 2 3 22 2 2" xfId="18101" xr:uid="{00000000-0005-0000-0000-00008F460000}"/>
    <cellStyle name="Normal 2 2 2 3 22 2 3" xfId="18102" xr:uid="{00000000-0005-0000-0000-000090460000}"/>
    <cellStyle name="Normal 2 2 2 3 22 2 4" xfId="18103" xr:uid="{00000000-0005-0000-0000-000091460000}"/>
    <cellStyle name="Normal 2 2 2 3 22 2 5" xfId="18104" xr:uid="{00000000-0005-0000-0000-000092460000}"/>
    <cellStyle name="Normal 2 2 2 3 22 2 6" xfId="18105" xr:uid="{00000000-0005-0000-0000-000093460000}"/>
    <cellStyle name="Normal 2 2 2 3 22 2 7" xfId="18106" xr:uid="{00000000-0005-0000-0000-000094460000}"/>
    <cellStyle name="Normal 2 2 2 3 22 2 8" xfId="18107" xr:uid="{00000000-0005-0000-0000-000095460000}"/>
    <cellStyle name="Normal 2 2 2 3 22 2 9" xfId="18108" xr:uid="{00000000-0005-0000-0000-000096460000}"/>
    <cellStyle name="Normal 2 2 2 3 22 3" xfId="18109" xr:uid="{00000000-0005-0000-0000-000097460000}"/>
    <cellStyle name="Normal 2 2 2 3 22 3 10" xfId="18110" xr:uid="{00000000-0005-0000-0000-000098460000}"/>
    <cellStyle name="Normal 2 2 2 3 22 3 2" xfId="18111" xr:uid="{00000000-0005-0000-0000-000099460000}"/>
    <cellStyle name="Normal 2 2 2 3 22 3 3" xfId="18112" xr:uid="{00000000-0005-0000-0000-00009A460000}"/>
    <cellStyle name="Normal 2 2 2 3 22 3 4" xfId="18113" xr:uid="{00000000-0005-0000-0000-00009B460000}"/>
    <cellStyle name="Normal 2 2 2 3 22 3 5" xfId="18114" xr:uid="{00000000-0005-0000-0000-00009C460000}"/>
    <cellStyle name="Normal 2 2 2 3 22 3 6" xfId="18115" xr:uid="{00000000-0005-0000-0000-00009D460000}"/>
    <cellStyle name="Normal 2 2 2 3 22 3 7" xfId="18116" xr:uid="{00000000-0005-0000-0000-00009E460000}"/>
    <cellStyle name="Normal 2 2 2 3 22 3 8" xfId="18117" xr:uid="{00000000-0005-0000-0000-00009F460000}"/>
    <cellStyle name="Normal 2 2 2 3 22 3 9" xfId="18118" xr:uid="{00000000-0005-0000-0000-0000A0460000}"/>
    <cellStyle name="Normal 2 2 2 3 22 4" xfId="18119" xr:uid="{00000000-0005-0000-0000-0000A1460000}"/>
    <cellStyle name="Normal 2 2 2 3 22 4 10" xfId="18120" xr:uid="{00000000-0005-0000-0000-0000A2460000}"/>
    <cellStyle name="Normal 2 2 2 3 22 4 2" xfId="18121" xr:uid="{00000000-0005-0000-0000-0000A3460000}"/>
    <cellStyle name="Normal 2 2 2 3 22 4 3" xfId="18122" xr:uid="{00000000-0005-0000-0000-0000A4460000}"/>
    <cellStyle name="Normal 2 2 2 3 22 4 4" xfId="18123" xr:uid="{00000000-0005-0000-0000-0000A5460000}"/>
    <cellStyle name="Normal 2 2 2 3 22 4 5" xfId="18124" xr:uid="{00000000-0005-0000-0000-0000A6460000}"/>
    <cellStyle name="Normal 2 2 2 3 22 4 6" xfId="18125" xr:uid="{00000000-0005-0000-0000-0000A7460000}"/>
    <cellStyle name="Normal 2 2 2 3 22 4 7" xfId="18126" xr:uid="{00000000-0005-0000-0000-0000A8460000}"/>
    <cellStyle name="Normal 2 2 2 3 22 4 8" xfId="18127" xr:uid="{00000000-0005-0000-0000-0000A9460000}"/>
    <cellStyle name="Normal 2 2 2 3 22 4 9" xfId="18128" xr:uid="{00000000-0005-0000-0000-0000AA460000}"/>
    <cellStyle name="Normal 2 2 2 3 22 5" xfId="18129" xr:uid="{00000000-0005-0000-0000-0000AB460000}"/>
    <cellStyle name="Normal 2 2 2 3 22 5 10" xfId="18130" xr:uid="{00000000-0005-0000-0000-0000AC460000}"/>
    <cellStyle name="Normal 2 2 2 3 22 5 2" xfId="18131" xr:uid="{00000000-0005-0000-0000-0000AD460000}"/>
    <cellStyle name="Normal 2 2 2 3 22 5 3" xfId="18132" xr:uid="{00000000-0005-0000-0000-0000AE460000}"/>
    <cellStyle name="Normal 2 2 2 3 22 5 4" xfId="18133" xr:uid="{00000000-0005-0000-0000-0000AF460000}"/>
    <cellStyle name="Normal 2 2 2 3 22 5 5" xfId="18134" xr:uid="{00000000-0005-0000-0000-0000B0460000}"/>
    <cellStyle name="Normal 2 2 2 3 22 5 6" xfId="18135" xr:uid="{00000000-0005-0000-0000-0000B1460000}"/>
    <cellStyle name="Normal 2 2 2 3 22 5 7" xfId="18136" xr:uid="{00000000-0005-0000-0000-0000B2460000}"/>
    <cellStyle name="Normal 2 2 2 3 22 5 8" xfId="18137" xr:uid="{00000000-0005-0000-0000-0000B3460000}"/>
    <cellStyle name="Normal 2 2 2 3 22 5 9" xfId="18138" xr:uid="{00000000-0005-0000-0000-0000B4460000}"/>
    <cellStyle name="Normal 2 2 2 3 22 6" xfId="18139" xr:uid="{00000000-0005-0000-0000-0000B5460000}"/>
    <cellStyle name="Normal 2 2 2 3 22 7" xfId="18140" xr:uid="{00000000-0005-0000-0000-0000B6460000}"/>
    <cellStyle name="Normal 2 2 2 3 22 8" xfId="18141" xr:uid="{00000000-0005-0000-0000-0000B7460000}"/>
    <cellStyle name="Normal 2 2 2 3 22 9" xfId="18142" xr:uid="{00000000-0005-0000-0000-0000B8460000}"/>
    <cellStyle name="Normal 2 2 2 3 23" xfId="18143" xr:uid="{00000000-0005-0000-0000-0000B9460000}"/>
    <cellStyle name="Normal 2 2 2 3 23 10" xfId="18144" xr:uid="{00000000-0005-0000-0000-0000BA460000}"/>
    <cellStyle name="Normal 2 2 2 3 23 11" xfId="18145" xr:uid="{00000000-0005-0000-0000-0000BB460000}"/>
    <cellStyle name="Normal 2 2 2 3 23 12" xfId="18146" xr:uid="{00000000-0005-0000-0000-0000BC460000}"/>
    <cellStyle name="Normal 2 2 2 3 23 13" xfId="18147" xr:uid="{00000000-0005-0000-0000-0000BD460000}"/>
    <cellStyle name="Normal 2 2 2 3 23 14" xfId="18148" xr:uid="{00000000-0005-0000-0000-0000BE460000}"/>
    <cellStyle name="Normal 2 2 2 3 23 2" xfId="18149" xr:uid="{00000000-0005-0000-0000-0000BF460000}"/>
    <cellStyle name="Normal 2 2 2 3 23 2 10" xfId="18150" xr:uid="{00000000-0005-0000-0000-0000C0460000}"/>
    <cellStyle name="Normal 2 2 2 3 23 2 2" xfId="18151" xr:uid="{00000000-0005-0000-0000-0000C1460000}"/>
    <cellStyle name="Normal 2 2 2 3 23 2 3" xfId="18152" xr:uid="{00000000-0005-0000-0000-0000C2460000}"/>
    <cellStyle name="Normal 2 2 2 3 23 2 4" xfId="18153" xr:uid="{00000000-0005-0000-0000-0000C3460000}"/>
    <cellStyle name="Normal 2 2 2 3 23 2 5" xfId="18154" xr:uid="{00000000-0005-0000-0000-0000C4460000}"/>
    <cellStyle name="Normal 2 2 2 3 23 2 6" xfId="18155" xr:uid="{00000000-0005-0000-0000-0000C5460000}"/>
    <cellStyle name="Normal 2 2 2 3 23 2 7" xfId="18156" xr:uid="{00000000-0005-0000-0000-0000C6460000}"/>
    <cellStyle name="Normal 2 2 2 3 23 2 8" xfId="18157" xr:uid="{00000000-0005-0000-0000-0000C7460000}"/>
    <cellStyle name="Normal 2 2 2 3 23 2 9" xfId="18158" xr:uid="{00000000-0005-0000-0000-0000C8460000}"/>
    <cellStyle name="Normal 2 2 2 3 23 3" xfId="18159" xr:uid="{00000000-0005-0000-0000-0000C9460000}"/>
    <cellStyle name="Normal 2 2 2 3 23 3 10" xfId="18160" xr:uid="{00000000-0005-0000-0000-0000CA460000}"/>
    <cellStyle name="Normal 2 2 2 3 23 3 2" xfId="18161" xr:uid="{00000000-0005-0000-0000-0000CB460000}"/>
    <cellStyle name="Normal 2 2 2 3 23 3 3" xfId="18162" xr:uid="{00000000-0005-0000-0000-0000CC460000}"/>
    <cellStyle name="Normal 2 2 2 3 23 3 4" xfId="18163" xr:uid="{00000000-0005-0000-0000-0000CD460000}"/>
    <cellStyle name="Normal 2 2 2 3 23 3 5" xfId="18164" xr:uid="{00000000-0005-0000-0000-0000CE460000}"/>
    <cellStyle name="Normal 2 2 2 3 23 3 6" xfId="18165" xr:uid="{00000000-0005-0000-0000-0000CF460000}"/>
    <cellStyle name="Normal 2 2 2 3 23 3 7" xfId="18166" xr:uid="{00000000-0005-0000-0000-0000D0460000}"/>
    <cellStyle name="Normal 2 2 2 3 23 3 8" xfId="18167" xr:uid="{00000000-0005-0000-0000-0000D1460000}"/>
    <cellStyle name="Normal 2 2 2 3 23 3 9" xfId="18168" xr:uid="{00000000-0005-0000-0000-0000D2460000}"/>
    <cellStyle name="Normal 2 2 2 3 23 4" xfId="18169" xr:uid="{00000000-0005-0000-0000-0000D3460000}"/>
    <cellStyle name="Normal 2 2 2 3 23 4 10" xfId="18170" xr:uid="{00000000-0005-0000-0000-0000D4460000}"/>
    <cellStyle name="Normal 2 2 2 3 23 4 2" xfId="18171" xr:uid="{00000000-0005-0000-0000-0000D5460000}"/>
    <cellStyle name="Normal 2 2 2 3 23 4 3" xfId="18172" xr:uid="{00000000-0005-0000-0000-0000D6460000}"/>
    <cellStyle name="Normal 2 2 2 3 23 4 4" xfId="18173" xr:uid="{00000000-0005-0000-0000-0000D7460000}"/>
    <cellStyle name="Normal 2 2 2 3 23 4 5" xfId="18174" xr:uid="{00000000-0005-0000-0000-0000D8460000}"/>
    <cellStyle name="Normal 2 2 2 3 23 4 6" xfId="18175" xr:uid="{00000000-0005-0000-0000-0000D9460000}"/>
    <cellStyle name="Normal 2 2 2 3 23 4 7" xfId="18176" xr:uid="{00000000-0005-0000-0000-0000DA460000}"/>
    <cellStyle name="Normal 2 2 2 3 23 4 8" xfId="18177" xr:uid="{00000000-0005-0000-0000-0000DB460000}"/>
    <cellStyle name="Normal 2 2 2 3 23 4 9" xfId="18178" xr:uid="{00000000-0005-0000-0000-0000DC460000}"/>
    <cellStyle name="Normal 2 2 2 3 23 5" xfId="18179" xr:uid="{00000000-0005-0000-0000-0000DD460000}"/>
    <cellStyle name="Normal 2 2 2 3 23 5 10" xfId="18180" xr:uid="{00000000-0005-0000-0000-0000DE460000}"/>
    <cellStyle name="Normal 2 2 2 3 23 5 2" xfId="18181" xr:uid="{00000000-0005-0000-0000-0000DF460000}"/>
    <cellStyle name="Normal 2 2 2 3 23 5 3" xfId="18182" xr:uid="{00000000-0005-0000-0000-0000E0460000}"/>
    <cellStyle name="Normal 2 2 2 3 23 5 4" xfId="18183" xr:uid="{00000000-0005-0000-0000-0000E1460000}"/>
    <cellStyle name="Normal 2 2 2 3 23 5 5" xfId="18184" xr:uid="{00000000-0005-0000-0000-0000E2460000}"/>
    <cellStyle name="Normal 2 2 2 3 23 5 6" xfId="18185" xr:uid="{00000000-0005-0000-0000-0000E3460000}"/>
    <cellStyle name="Normal 2 2 2 3 23 5 7" xfId="18186" xr:uid="{00000000-0005-0000-0000-0000E4460000}"/>
    <cellStyle name="Normal 2 2 2 3 23 5 8" xfId="18187" xr:uid="{00000000-0005-0000-0000-0000E5460000}"/>
    <cellStyle name="Normal 2 2 2 3 23 5 9" xfId="18188" xr:uid="{00000000-0005-0000-0000-0000E6460000}"/>
    <cellStyle name="Normal 2 2 2 3 23 6" xfId="18189" xr:uid="{00000000-0005-0000-0000-0000E7460000}"/>
    <cellStyle name="Normal 2 2 2 3 23 7" xfId="18190" xr:uid="{00000000-0005-0000-0000-0000E8460000}"/>
    <cellStyle name="Normal 2 2 2 3 23 8" xfId="18191" xr:uid="{00000000-0005-0000-0000-0000E9460000}"/>
    <cellStyle name="Normal 2 2 2 3 23 9" xfId="18192" xr:uid="{00000000-0005-0000-0000-0000EA460000}"/>
    <cellStyle name="Normal 2 2 2 3 24" xfId="18193" xr:uid="{00000000-0005-0000-0000-0000EB460000}"/>
    <cellStyle name="Normal 2 2 2 3 24 10" xfId="18194" xr:uid="{00000000-0005-0000-0000-0000EC460000}"/>
    <cellStyle name="Normal 2 2 2 3 24 11" xfId="18195" xr:uid="{00000000-0005-0000-0000-0000ED460000}"/>
    <cellStyle name="Normal 2 2 2 3 24 12" xfId="18196" xr:uid="{00000000-0005-0000-0000-0000EE460000}"/>
    <cellStyle name="Normal 2 2 2 3 24 13" xfId="18197" xr:uid="{00000000-0005-0000-0000-0000EF460000}"/>
    <cellStyle name="Normal 2 2 2 3 24 14" xfId="18198" xr:uid="{00000000-0005-0000-0000-0000F0460000}"/>
    <cellStyle name="Normal 2 2 2 3 24 2" xfId="18199" xr:uid="{00000000-0005-0000-0000-0000F1460000}"/>
    <cellStyle name="Normal 2 2 2 3 24 2 10" xfId="18200" xr:uid="{00000000-0005-0000-0000-0000F2460000}"/>
    <cellStyle name="Normal 2 2 2 3 24 2 2" xfId="18201" xr:uid="{00000000-0005-0000-0000-0000F3460000}"/>
    <cellStyle name="Normal 2 2 2 3 24 2 3" xfId="18202" xr:uid="{00000000-0005-0000-0000-0000F4460000}"/>
    <cellStyle name="Normal 2 2 2 3 24 2 4" xfId="18203" xr:uid="{00000000-0005-0000-0000-0000F5460000}"/>
    <cellStyle name="Normal 2 2 2 3 24 2 5" xfId="18204" xr:uid="{00000000-0005-0000-0000-0000F6460000}"/>
    <cellStyle name="Normal 2 2 2 3 24 2 6" xfId="18205" xr:uid="{00000000-0005-0000-0000-0000F7460000}"/>
    <cellStyle name="Normal 2 2 2 3 24 2 7" xfId="18206" xr:uid="{00000000-0005-0000-0000-0000F8460000}"/>
    <cellStyle name="Normal 2 2 2 3 24 2 8" xfId="18207" xr:uid="{00000000-0005-0000-0000-0000F9460000}"/>
    <cellStyle name="Normal 2 2 2 3 24 2 9" xfId="18208" xr:uid="{00000000-0005-0000-0000-0000FA460000}"/>
    <cellStyle name="Normal 2 2 2 3 24 3" xfId="18209" xr:uid="{00000000-0005-0000-0000-0000FB460000}"/>
    <cellStyle name="Normal 2 2 2 3 24 3 10" xfId="18210" xr:uid="{00000000-0005-0000-0000-0000FC460000}"/>
    <cellStyle name="Normal 2 2 2 3 24 3 2" xfId="18211" xr:uid="{00000000-0005-0000-0000-0000FD460000}"/>
    <cellStyle name="Normal 2 2 2 3 24 3 3" xfId="18212" xr:uid="{00000000-0005-0000-0000-0000FE460000}"/>
    <cellStyle name="Normal 2 2 2 3 24 3 4" xfId="18213" xr:uid="{00000000-0005-0000-0000-0000FF460000}"/>
    <cellStyle name="Normal 2 2 2 3 24 3 5" xfId="18214" xr:uid="{00000000-0005-0000-0000-000000470000}"/>
    <cellStyle name="Normal 2 2 2 3 24 3 6" xfId="18215" xr:uid="{00000000-0005-0000-0000-000001470000}"/>
    <cellStyle name="Normal 2 2 2 3 24 3 7" xfId="18216" xr:uid="{00000000-0005-0000-0000-000002470000}"/>
    <cellStyle name="Normal 2 2 2 3 24 3 8" xfId="18217" xr:uid="{00000000-0005-0000-0000-000003470000}"/>
    <cellStyle name="Normal 2 2 2 3 24 3 9" xfId="18218" xr:uid="{00000000-0005-0000-0000-000004470000}"/>
    <cellStyle name="Normal 2 2 2 3 24 4" xfId="18219" xr:uid="{00000000-0005-0000-0000-000005470000}"/>
    <cellStyle name="Normal 2 2 2 3 24 4 10" xfId="18220" xr:uid="{00000000-0005-0000-0000-000006470000}"/>
    <cellStyle name="Normal 2 2 2 3 24 4 2" xfId="18221" xr:uid="{00000000-0005-0000-0000-000007470000}"/>
    <cellStyle name="Normal 2 2 2 3 24 4 3" xfId="18222" xr:uid="{00000000-0005-0000-0000-000008470000}"/>
    <cellStyle name="Normal 2 2 2 3 24 4 4" xfId="18223" xr:uid="{00000000-0005-0000-0000-000009470000}"/>
    <cellStyle name="Normal 2 2 2 3 24 4 5" xfId="18224" xr:uid="{00000000-0005-0000-0000-00000A470000}"/>
    <cellStyle name="Normal 2 2 2 3 24 4 6" xfId="18225" xr:uid="{00000000-0005-0000-0000-00000B470000}"/>
    <cellStyle name="Normal 2 2 2 3 24 4 7" xfId="18226" xr:uid="{00000000-0005-0000-0000-00000C470000}"/>
    <cellStyle name="Normal 2 2 2 3 24 4 8" xfId="18227" xr:uid="{00000000-0005-0000-0000-00000D470000}"/>
    <cellStyle name="Normal 2 2 2 3 24 4 9" xfId="18228" xr:uid="{00000000-0005-0000-0000-00000E470000}"/>
    <cellStyle name="Normal 2 2 2 3 24 5" xfId="18229" xr:uid="{00000000-0005-0000-0000-00000F470000}"/>
    <cellStyle name="Normal 2 2 2 3 24 5 10" xfId="18230" xr:uid="{00000000-0005-0000-0000-000010470000}"/>
    <cellStyle name="Normal 2 2 2 3 24 5 2" xfId="18231" xr:uid="{00000000-0005-0000-0000-000011470000}"/>
    <cellStyle name="Normal 2 2 2 3 24 5 3" xfId="18232" xr:uid="{00000000-0005-0000-0000-000012470000}"/>
    <cellStyle name="Normal 2 2 2 3 24 5 4" xfId="18233" xr:uid="{00000000-0005-0000-0000-000013470000}"/>
    <cellStyle name="Normal 2 2 2 3 24 5 5" xfId="18234" xr:uid="{00000000-0005-0000-0000-000014470000}"/>
    <cellStyle name="Normal 2 2 2 3 24 5 6" xfId="18235" xr:uid="{00000000-0005-0000-0000-000015470000}"/>
    <cellStyle name="Normal 2 2 2 3 24 5 7" xfId="18236" xr:uid="{00000000-0005-0000-0000-000016470000}"/>
    <cellStyle name="Normal 2 2 2 3 24 5 8" xfId="18237" xr:uid="{00000000-0005-0000-0000-000017470000}"/>
    <cellStyle name="Normal 2 2 2 3 24 5 9" xfId="18238" xr:uid="{00000000-0005-0000-0000-000018470000}"/>
    <cellStyle name="Normal 2 2 2 3 24 6" xfId="18239" xr:uid="{00000000-0005-0000-0000-000019470000}"/>
    <cellStyle name="Normal 2 2 2 3 24 7" xfId="18240" xr:uid="{00000000-0005-0000-0000-00001A470000}"/>
    <cellStyle name="Normal 2 2 2 3 24 8" xfId="18241" xr:uid="{00000000-0005-0000-0000-00001B470000}"/>
    <cellStyle name="Normal 2 2 2 3 24 9" xfId="18242" xr:uid="{00000000-0005-0000-0000-00001C470000}"/>
    <cellStyle name="Normal 2 2 2 3 25" xfId="18243" xr:uid="{00000000-0005-0000-0000-00001D470000}"/>
    <cellStyle name="Normal 2 2 2 3 25 10" xfId="18244" xr:uid="{00000000-0005-0000-0000-00001E470000}"/>
    <cellStyle name="Normal 2 2 2 3 25 11" xfId="18245" xr:uid="{00000000-0005-0000-0000-00001F470000}"/>
    <cellStyle name="Normal 2 2 2 3 25 12" xfId="18246" xr:uid="{00000000-0005-0000-0000-000020470000}"/>
    <cellStyle name="Normal 2 2 2 3 25 13" xfId="18247" xr:uid="{00000000-0005-0000-0000-000021470000}"/>
    <cellStyle name="Normal 2 2 2 3 25 14" xfId="18248" xr:uid="{00000000-0005-0000-0000-000022470000}"/>
    <cellStyle name="Normal 2 2 2 3 25 2" xfId="18249" xr:uid="{00000000-0005-0000-0000-000023470000}"/>
    <cellStyle name="Normal 2 2 2 3 25 2 10" xfId="18250" xr:uid="{00000000-0005-0000-0000-000024470000}"/>
    <cellStyle name="Normal 2 2 2 3 25 2 2" xfId="18251" xr:uid="{00000000-0005-0000-0000-000025470000}"/>
    <cellStyle name="Normal 2 2 2 3 25 2 3" xfId="18252" xr:uid="{00000000-0005-0000-0000-000026470000}"/>
    <cellStyle name="Normal 2 2 2 3 25 2 4" xfId="18253" xr:uid="{00000000-0005-0000-0000-000027470000}"/>
    <cellStyle name="Normal 2 2 2 3 25 2 5" xfId="18254" xr:uid="{00000000-0005-0000-0000-000028470000}"/>
    <cellStyle name="Normal 2 2 2 3 25 2 6" xfId="18255" xr:uid="{00000000-0005-0000-0000-000029470000}"/>
    <cellStyle name="Normal 2 2 2 3 25 2 7" xfId="18256" xr:uid="{00000000-0005-0000-0000-00002A470000}"/>
    <cellStyle name="Normal 2 2 2 3 25 2 8" xfId="18257" xr:uid="{00000000-0005-0000-0000-00002B470000}"/>
    <cellStyle name="Normal 2 2 2 3 25 2 9" xfId="18258" xr:uid="{00000000-0005-0000-0000-00002C470000}"/>
    <cellStyle name="Normal 2 2 2 3 25 3" xfId="18259" xr:uid="{00000000-0005-0000-0000-00002D470000}"/>
    <cellStyle name="Normal 2 2 2 3 25 3 10" xfId="18260" xr:uid="{00000000-0005-0000-0000-00002E470000}"/>
    <cellStyle name="Normal 2 2 2 3 25 3 2" xfId="18261" xr:uid="{00000000-0005-0000-0000-00002F470000}"/>
    <cellStyle name="Normal 2 2 2 3 25 3 3" xfId="18262" xr:uid="{00000000-0005-0000-0000-000030470000}"/>
    <cellStyle name="Normal 2 2 2 3 25 3 4" xfId="18263" xr:uid="{00000000-0005-0000-0000-000031470000}"/>
    <cellStyle name="Normal 2 2 2 3 25 3 5" xfId="18264" xr:uid="{00000000-0005-0000-0000-000032470000}"/>
    <cellStyle name="Normal 2 2 2 3 25 3 6" xfId="18265" xr:uid="{00000000-0005-0000-0000-000033470000}"/>
    <cellStyle name="Normal 2 2 2 3 25 3 7" xfId="18266" xr:uid="{00000000-0005-0000-0000-000034470000}"/>
    <cellStyle name="Normal 2 2 2 3 25 3 8" xfId="18267" xr:uid="{00000000-0005-0000-0000-000035470000}"/>
    <cellStyle name="Normal 2 2 2 3 25 3 9" xfId="18268" xr:uid="{00000000-0005-0000-0000-000036470000}"/>
    <cellStyle name="Normal 2 2 2 3 25 4" xfId="18269" xr:uid="{00000000-0005-0000-0000-000037470000}"/>
    <cellStyle name="Normal 2 2 2 3 25 4 10" xfId="18270" xr:uid="{00000000-0005-0000-0000-000038470000}"/>
    <cellStyle name="Normal 2 2 2 3 25 4 2" xfId="18271" xr:uid="{00000000-0005-0000-0000-000039470000}"/>
    <cellStyle name="Normal 2 2 2 3 25 4 3" xfId="18272" xr:uid="{00000000-0005-0000-0000-00003A470000}"/>
    <cellStyle name="Normal 2 2 2 3 25 4 4" xfId="18273" xr:uid="{00000000-0005-0000-0000-00003B470000}"/>
    <cellStyle name="Normal 2 2 2 3 25 4 5" xfId="18274" xr:uid="{00000000-0005-0000-0000-00003C470000}"/>
    <cellStyle name="Normal 2 2 2 3 25 4 6" xfId="18275" xr:uid="{00000000-0005-0000-0000-00003D470000}"/>
    <cellStyle name="Normal 2 2 2 3 25 4 7" xfId="18276" xr:uid="{00000000-0005-0000-0000-00003E470000}"/>
    <cellStyle name="Normal 2 2 2 3 25 4 8" xfId="18277" xr:uid="{00000000-0005-0000-0000-00003F470000}"/>
    <cellStyle name="Normal 2 2 2 3 25 4 9" xfId="18278" xr:uid="{00000000-0005-0000-0000-000040470000}"/>
    <cellStyle name="Normal 2 2 2 3 25 5" xfId="18279" xr:uid="{00000000-0005-0000-0000-000041470000}"/>
    <cellStyle name="Normal 2 2 2 3 25 5 10" xfId="18280" xr:uid="{00000000-0005-0000-0000-000042470000}"/>
    <cellStyle name="Normal 2 2 2 3 25 5 2" xfId="18281" xr:uid="{00000000-0005-0000-0000-000043470000}"/>
    <cellStyle name="Normal 2 2 2 3 25 5 3" xfId="18282" xr:uid="{00000000-0005-0000-0000-000044470000}"/>
    <cellStyle name="Normal 2 2 2 3 25 5 4" xfId="18283" xr:uid="{00000000-0005-0000-0000-000045470000}"/>
    <cellStyle name="Normal 2 2 2 3 25 5 5" xfId="18284" xr:uid="{00000000-0005-0000-0000-000046470000}"/>
    <cellStyle name="Normal 2 2 2 3 25 5 6" xfId="18285" xr:uid="{00000000-0005-0000-0000-000047470000}"/>
    <cellStyle name="Normal 2 2 2 3 25 5 7" xfId="18286" xr:uid="{00000000-0005-0000-0000-000048470000}"/>
    <cellStyle name="Normal 2 2 2 3 25 5 8" xfId="18287" xr:uid="{00000000-0005-0000-0000-000049470000}"/>
    <cellStyle name="Normal 2 2 2 3 25 5 9" xfId="18288" xr:uid="{00000000-0005-0000-0000-00004A470000}"/>
    <cellStyle name="Normal 2 2 2 3 25 6" xfId="18289" xr:uid="{00000000-0005-0000-0000-00004B470000}"/>
    <cellStyle name="Normal 2 2 2 3 25 7" xfId="18290" xr:uid="{00000000-0005-0000-0000-00004C470000}"/>
    <cellStyle name="Normal 2 2 2 3 25 8" xfId="18291" xr:uid="{00000000-0005-0000-0000-00004D470000}"/>
    <cellStyle name="Normal 2 2 2 3 25 9" xfId="18292" xr:uid="{00000000-0005-0000-0000-00004E470000}"/>
    <cellStyle name="Normal 2 2 2 3 26" xfId="18293" xr:uid="{00000000-0005-0000-0000-00004F470000}"/>
    <cellStyle name="Normal 2 2 2 3 26 10" xfId="18294" xr:uid="{00000000-0005-0000-0000-000050470000}"/>
    <cellStyle name="Normal 2 2 2 3 26 11" xfId="18295" xr:uid="{00000000-0005-0000-0000-000051470000}"/>
    <cellStyle name="Normal 2 2 2 3 26 12" xfId="18296" xr:uid="{00000000-0005-0000-0000-000052470000}"/>
    <cellStyle name="Normal 2 2 2 3 26 13" xfId="18297" xr:uid="{00000000-0005-0000-0000-000053470000}"/>
    <cellStyle name="Normal 2 2 2 3 26 14" xfId="18298" xr:uid="{00000000-0005-0000-0000-000054470000}"/>
    <cellStyle name="Normal 2 2 2 3 26 2" xfId="18299" xr:uid="{00000000-0005-0000-0000-000055470000}"/>
    <cellStyle name="Normal 2 2 2 3 26 2 10" xfId="18300" xr:uid="{00000000-0005-0000-0000-000056470000}"/>
    <cellStyle name="Normal 2 2 2 3 26 2 2" xfId="18301" xr:uid="{00000000-0005-0000-0000-000057470000}"/>
    <cellStyle name="Normal 2 2 2 3 26 2 3" xfId="18302" xr:uid="{00000000-0005-0000-0000-000058470000}"/>
    <cellStyle name="Normal 2 2 2 3 26 2 4" xfId="18303" xr:uid="{00000000-0005-0000-0000-000059470000}"/>
    <cellStyle name="Normal 2 2 2 3 26 2 5" xfId="18304" xr:uid="{00000000-0005-0000-0000-00005A470000}"/>
    <cellStyle name="Normal 2 2 2 3 26 2 6" xfId="18305" xr:uid="{00000000-0005-0000-0000-00005B470000}"/>
    <cellStyle name="Normal 2 2 2 3 26 2 7" xfId="18306" xr:uid="{00000000-0005-0000-0000-00005C470000}"/>
    <cellStyle name="Normal 2 2 2 3 26 2 8" xfId="18307" xr:uid="{00000000-0005-0000-0000-00005D470000}"/>
    <cellStyle name="Normal 2 2 2 3 26 2 9" xfId="18308" xr:uid="{00000000-0005-0000-0000-00005E470000}"/>
    <cellStyle name="Normal 2 2 2 3 26 3" xfId="18309" xr:uid="{00000000-0005-0000-0000-00005F470000}"/>
    <cellStyle name="Normal 2 2 2 3 26 3 10" xfId="18310" xr:uid="{00000000-0005-0000-0000-000060470000}"/>
    <cellStyle name="Normal 2 2 2 3 26 3 2" xfId="18311" xr:uid="{00000000-0005-0000-0000-000061470000}"/>
    <cellStyle name="Normal 2 2 2 3 26 3 3" xfId="18312" xr:uid="{00000000-0005-0000-0000-000062470000}"/>
    <cellStyle name="Normal 2 2 2 3 26 3 4" xfId="18313" xr:uid="{00000000-0005-0000-0000-000063470000}"/>
    <cellStyle name="Normal 2 2 2 3 26 3 5" xfId="18314" xr:uid="{00000000-0005-0000-0000-000064470000}"/>
    <cellStyle name="Normal 2 2 2 3 26 3 6" xfId="18315" xr:uid="{00000000-0005-0000-0000-000065470000}"/>
    <cellStyle name="Normal 2 2 2 3 26 3 7" xfId="18316" xr:uid="{00000000-0005-0000-0000-000066470000}"/>
    <cellStyle name="Normal 2 2 2 3 26 3 8" xfId="18317" xr:uid="{00000000-0005-0000-0000-000067470000}"/>
    <cellStyle name="Normal 2 2 2 3 26 3 9" xfId="18318" xr:uid="{00000000-0005-0000-0000-000068470000}"/>
    <cellStyle name="Normal 2 2 2 3 26 4" xfId="18319" xr:uid="{00000000-0005-0000-0000-000069470000}"/>
    <cellStyle name="Normal 2 2 2 3 26 4 10" xfId="18320" xr:uid="{00000000-0005-0000-0000-00006A470000}"/>
    <cellStyle name="Normal 2 2 2 3 26 4 2" xfId="18321" xr:uid="{00000000-0005-0000-0000-00006B470000}"/>
    <cellStyle name="Normal 2 2 2 3 26 4 3" xfId="18322" xr:uid="{00000000-0005-0000-0000-00006C470000}"/>
    <cellStyle name="Normal 2 2 2 3 26 4 4" xfId="18323" xr:uid="{00000000-0005-0000-0000-00006D470000}"/>
    <cellStyle name="Normal 2 2 2 3 26 4 5" xfId="18324" xr:uid="{00000000-0005-0000-0000-00006E470000}"/>
    <cellStyle name="Normal 2 2 2 3 26 4 6" xfId="18325" xr:uid="{00000000-0005-0000-0000-00006F470000}"/>
    <cellStyle name="Normal 2 2 2 3 26 4 7" xfId="18326" xr:uid="{00000000-0005-0000-0000-000070470000}"/>
    <cellStyle name="Normal 2 2 2 3 26 4 8" xfId="18327" xr:uid="{00000000-0005-0000-0000-000071470000}"/>
    <cellStyle name="Normal 2 2 2 3 26 4 9" xfId="18328" xr:uid="{00000000-0005-0000-0000-000072470000}"/>
    <cellStyle name="Normal 2 2 2 3 26 5" xfId="18329" xr:uid="{00000000-0005-0000-0000-000073470000}"/>
    <cellStyle name="Normal 2 2 2 3 26 5 10" xfId="18330" xr:uid="{00000000-0005-0000-0000-000074470000}"/>
    <cellStyle name="Normal 2 2 2 3 26 5 2" xfId="18331" xr:uid="{00000000-0005-0000-0000-000075470000}"/>
    <cellStyle name="Normal 2 2 2 3 26 5 3" xfId="18332" xr:uid="{00000000-0005-0000-0000-000076470000}"/>
    <cellStyle name="Normal 2 2 2 3 26 5 4" xfId="18333" xr:uid="{00000000-0005-0000-0000-000077470000}"/>
    <cellStyle name="Normal 2 2 2 3 26 5 5" xfId="18334" xr:uid="{00000000-0005-0000-0000-000078470000}"/>
    <cellStyle name="Normal 2 2 2 3 26 5 6" xfId="18335" xr:uid="{00000000-0005-0000-0000-000079470000}"/>
    <cellStyle name="Normal 2 2 2 3 26 5 7" xfId="18336" xr:uid="{00000000-0005-0000-0000-00007A470000}"/>
    <cellStyle name="Normal 2 2 2 3 26 5 8" xfId="18337" xr:uid="{00000000-0005-0000-0000-00007B470000}"/>
    <cellStyle name="Normal 2 2 2 3 26 5 9" xfId="18338" xr:uid="{00000000-0005-0000-0000-00007C470000}"/>
    <cellStyle name="Normal 2 2 2 3 26 6" xfId="18339" xr:uid="{00000000-0005-0000-0000-00007D470000}"/>
    <cellStyle name="Normal 2 2 2 3 26 7" xfId="18340" xr:uid="{00000000-0005-0000-0000-00007E470000}"/>
    <cellStyle name="Normal 2 2 2 3 26 8" xfId="18341" xr:uid="{00000000-0005-0000-0000-00007F470000}"/>
    <cellStyle name="Normal 2 2 2 3 26 9" xfId="18342" xr:uid="{00000000-0005-0000-0000-000080470000}"/>
    <cellStyle name="Normal 2 2 2 3 27" xfId="18343" xr:uid="{00000000-0005-0000-0000-000081470000}"/>
    <cellStyle name="Normal 2 2 2 3 27 10" xfId="18344" xr:uid="{00000000-0005-0000-0000-000082470000}"/>
    <cellStyle name="Normal 2 2 2 3 27 11" xfId="18345" xr:uid="{00000000-0005-0000-0000-000083470000}"/>
    <cellStyle name="Normal 2 2 2 3 27 12" xfId="18346" xr:uid="{00000000-0005-0000-0000-000084470000}"/>
    <cellStyle name="Normal 2 2 2 3 27 13" xfId="18347" xr:uid="{00000000-0005-0000-0000-000085470000}"/>
    <cellStyle name="Normal 2 2 2 3 27 14" xfId="18348" xr:uid="{00000000-0005-0000-0000-000086470000}"/>
    <cellStyle name="Normal 2 2 2 3 27 2" xfId="18349" xr:uid="{00000000-0005-0000-0000-000087470000}"/>
    <cellStyle name="Normal 2 2 2 3 27 2 10" xfId="18350" xr:uid="{00000000-0005-0000-0000-000088470000}"/>
    <cellStyle name="Normal 2 2 2 3 27 2 2" xfId="18351" xr:uid="{00000000-0005-0000-0000-000089470000}"/>
    <cellStyle name="Normal 2 2 2 3 27 2 3" xfId="18352" xr:uid="{00000000-0005-0000-0000-00008A470000}"/>
    <cellStyle name="Normal 2 2 2 3 27 2 4" xfId="18353" xr:uid="{00000000-0005-0000-0000-00008B470000}"/>
    <cellStyle name="Normal 2 2 2 3 27 2 5" xfId="18354" xr:uid="{00000000-0005-0000-0000-00008C470000}"/>
    <cellStyle name="Normal 2 2 2 3 27 2 6" xfId="18355" xr:uid="{00000000-0005-0000-0000-00008D470000}"/>
    <cellStyle name="Normal 2 2 2 3 27 2 7" xfId="18356" xr:uid="{00000000-0005-0000-0000-00008E470000}"/>
    <cellStyle name="Normal 2 2 2 3 27 2 8" xfId="18357" xr:uid="{00000000-0005-0000-0000-00008F470000}"/>
    <cellStyle name="Normal 2 2 2 3 27 2 9" xfId="18358" xr:uid="{00000000-0005-0000-0000-000090470000}"/>
    <cellStyle name="Normal 2 2 2 3 27 3" xfId="18359" xr:uid="{00000000-0005-0000-0000-000091470000}"/>
    <cellStyle name="Normal 2 2 2 3 27 3 10" xfId="18360" xr:uid="{00000000-0005-0000-0000-000092470000}"/>
    <cellStyle name="Normal 2 2 2 3 27 3 2" xfId="18361" xr:uid="{00000000-0005-0000-0000-000093470000}"/>
    <cellStyle name="Normal 2 2 2 3 27 3 3" xfId="18362" xr:uid="{00000000-0005-0000-0000-000094470000}"/>
    <cellStyle name="Normal 2 2 2 3 27 3 4" xfId="18363" xr:uid="{00000000-0005-0000-0000-000095470000}"/>
    <cellStyle name="Normal 2 2 2 3 27 3 5" xfId="18364" xr:uid="{00000000-0005-0000-0000-000096470000}"/>
    <cellStyle name="Normal 2 2 2 3 27 3 6" xfId="18365" xr:uid="{00000000-0005-0000-0000-000097470000}"/>
    <cellStyle name="Normal 2 2 2 3 27 3 7" xfId="18366" xr:uid="{00000000-0005-0000-0000-000098470000}"/>
    <cellStyle name="Normal 2 2 2 3 27 3 8" xfId="18367" xr:uid="{00000000-0005-0000-0000-000099470000}"/>
    <cellStyle name="Normal 2 2 2 3 27 3 9" xfId="18368" xr:uid="{00000000-0005-0000-0000-00009A470000}"/>
    <cellStyle name="Normal 2 2 2 3 27 4" xfId="18369" xr:uid="{00000000-0005-0000-0000-00009B470000}"/>
    <cellStyle name="Normal 2 2 2 3 27 4 10" xfId="18370" xr:uid="{00000000-0005-0000-0000-00009C470000}"/>
    <cellStyle name="Normal 2 2 2 3 27 4 2" xfId="18371" xr:uid="{00000000-0005-0000-0000-00009D470000}"/>
    <cellStyle name="Normal 2 2 2 3 27 4 3" xfId="18372" xr:uid="{00000000-0005-0000-0000-00009E470000}"/>
    <cellStyle name="Normal 2 2 2 3 27 4 4" xfId="18373" xr:uid="{00000000-0005-0000-0000-00009F470000}"/>
    <cellStyle name="Normal 2 2 2 3 27 4 5" xfId="18374" xr:uid="{00000000-0005-0000-0000-0000A0470000}"/>
    <cellStyle name="Normal 2 2 2 3 27 4 6" xfId="18375" xr:uid="{00000000-0005-0000-0000-0000A1470000}"/>
    <cellStyle name="Normal 2 2 2 3 27 4 7" xfId="18376" xr:uid="{00000000-0005-0000-0000-0000A2470000}"/>
    <cellStyle name="Normal 2 2 2 3 27 4 8" xfId="18377" xr:uid="{00000000-0005-0000-0000-0000A3470000}"/>
    <cellStyle name="Normal 2 2 2 3 27 4 9" xfId="18378" xr:uid="{00000000-0005-0000-0000-0000A4470000}"/>
    <cellStyle name="Normal 2 2 2 3 27 5" xfId="18379" xr:uid="{00000000-0005-0000-0000-0000A5470000}"/>
    <cellStyle name="Normal 2 2 2 3 27 5 10" xfId="18380" xr:uid="{00000000-0005-0000-0000-0000A6470000}"/>
    <cellStyle name="Normal 2 2 2 3 27 5 2" xfId="18381" xr:uid="{00000000-0005-0000-0000-0000A7470000}"/>
    <cellStyle name="Normal 2 2 2 3 27 5 3" xfId="18382" xr:uid="{00000000-0005-0000-0000-0000A8470000}"/>
    <cellStyle name="Normal 2 2 2 3 27 5 4" xfId="18383" xr:uid="{00000000-0005-0000-0000-0000A9470000}"/>
    <cellStyle name="Normal 2 2 2 3 27 5 5" xfId="18384" xr:uid="{00000000-0005-0000-0000-0000AA470000}"/>
    <cellStyle name="Normal 2 2 2 3 27 5 6" xfId="18385" xr:uid="{00000000-0005-0000-0000-0000AB470000}"/>
    <cellStyle name="Normal 2 2 2 3 27 5 7" xfId="18386" xr:uid="{00000000-0005-0000-0000-0000AC470000}"/>
    <cellStyle name="Normal 2 2 2 3 27 5 8" xfId="18387" xr:uid="{00000000-0005-0000-0000-0000AD470000}"/>
    <cellStyle name="Normal 2 2 2 3 27 5 9" xfId="18388" xr:uid="{00000000-0005-0000-0000-0000AE470000}"/>
    <cellStyle name="Normal 2 2 2 3 27 6" xfId="18389" xr:uid="{00000000-0005-0000-0000-0000AF470000}"/>
    <cellStyle name="Normal 2 2 2 3 27 7" xfId="18390" xr:uid="{00000000-0005-0000-0000-0000B0470000}"/>
    <cellStyle name="Normal 2 2 2 3 27 8" xfId="18391" xr:uid="{00000000-0005-0000-0000-0000B1470000}"/>
    <cellStyle name="Normal 2 2 2 3 27 9" xfId="18392" xr:uid="{00000000-0005-0000-0000-0000B2470000}"/>
    <cellStyle name="Normal 2 2 2 3 28" xfId="18393" xr:uid="{00000000-0005-0000-0000-0000B3470000}"/>
    <cellStyle name="Normal 2 2 2 3 28 10" xfId="18394" xr:uid="{00000000-0005-0000-0000-0000B4470000}"/>
    <cellStyle name="Normal 2 2 2 3 28 11" xfId="18395" xr:uid="{00000000-0005-0000-0000-0000B5470000}"/>
    <cellStyle name="Normal 2 2 2 3 28 12" xfId="18396" xr:uid="{00000000-0005-0000-0000-0000B6470000}"/>
    <cellStyle name="Normal 2 2 2 3 28 13" xfId="18397" xr:uid="{00000000-0005-0000-0000-0000B7470000}"/>
    <cellStyle name="Normal 2 2 2 3 28 14" xfId="18398" xr:uid="{00000000-0005-0000-0000-0000B8470000}"/>
    <cellStyle name="Normal 2 2 2 3 28 2" xfId="18399" xr:uid="{00000000-0005-0000-0000-0000B9470000}"/>
    <cellStyle name="Normal 2 2 2 3 28 2 10" xfId="18400" xr:uid="{00000000-0005-0000-0000-0000BA470000}"/>
    <cellStyle name="Normal 2 2 2 3 28 2 2" xfId="18401" xr:uid="{00000000-0005-0000-0000-0000BB470000}"/>
    <cellStyle name="Normal 2 2 2 3 28 2 3" xfId="18402" xr:uid="{00000000-0005-0000-0000-0000BC470000}"/>
    <cellStyle name="Normal 2 2 2 3 28 2 4" xfId="18403" xr:uid="{00000000-0005-0000-0000-0000BD470000}"/>
    <cellStyle name="Normal 2 2 2 3 28 2 5" xfId="18404" xr:uid="{00000000-0005-0000-0000-0000BE470000}"/>
    <cellStyle name="Normal 2 2 2 3 28 2 6" xfId="18405" xr:uid="{00000000-0005-0000-0000-0000BF470000}"/>
    <cellStyle name="Normal 2 2 2 3 28 2 7" xfId="18406" xr:uid="{00000000-0005-0000-0000-0000C0470000}"/>
    <cellStyle name="Normal 2 2 2 3 28 2 8" xfId="18407" xr:uid="{00000000-0005-0000-0000-0000C1470000}"/>
    <cellStyle name="Normal 2 2 2 3 28 2 9" xfId="18408" xr:uid="{00000000-0005-0000-0000-0000C2470000}"/>
    <cellStyle name="Normal 2 2 2 3 28 3" xfId="18409" xr:uid="{00000000-0005-0000-0000-0000C3470000}"/>
    <cellStyle name="Normal 2 2 2 3 28 3 10" xfId="18410" xr:uid="{00000000-0005-0000-0000-0000C4470000}"/>
    <cellStyle name="Normal 2 2 2 3 28 3 2" xfId="18411" xr:uid="{00000000-0005-0000-0000-0000C5470000}"/>
    <cellStyle name="Normal 2 2 2 3 28 3 3" xfId="18412" xr:uid="{00000000-0005-0000-0000-0000C6470000}"/>
    <cellStyle name="Normal 2 2 2 3 28 3 4" xfId="18413" xr:uid="{00000000-0005-0000-0000-0000C7470000}"/>
    <cellStyle name="Normal 2 2 2 3 28 3 5" xfId="18414" xr:uid="{00000000-0005-0000-0000-0000C8470000}"/>
    <cellStyle name="Normal 2 2 2 3 28 3 6" xfId="18415" xr:uid="{00000000-0005-0000-0000-0000C9470000}"/>
    <cellStyle name="Normal 2 2 2 3 28 3 7" xfId="18416" xr:uid="{00000000-0005-0000-0000-0000CA470000}"/>
    <cellStyle name="Normal 2 2 2 3 28 3 8" xfId="18417" xr:uid="{00000000-0005-0000-0000-0000CB470000}"/>
    <cellStyle name="Normal 2 2 2 3 28 3 9" xfId="18418" xr:uid="{00000000-0005-0000-0000-0000CC470000}"/>
    <cellStyle name="Normal 2 2 2 3 28 4" xfId="18419" xr:uid="{00000000-0005-0000-0000-0000CD470000}"/>
    <cellStyle name="Normal 2 2 2 3 28 4 10" xfId="18420" xr:uid="{00000000-0005-0000-0000-0000CE470000}"/>
    <cellStyle name="Normal 2 2 2 3 28 4 2" xfId="18421" xr:uid="{00000000-0005-0000-0000-0000CF470000}"/>
    <cellStyle name="Normal 2 2 2 3 28 4 3" xfId="18422" xr:uid="{00000000-0005-0000-0000-0000D0470000}"/>
    <cellStyle name="Normal 2 2 2 3 28 4 4" xfId="18423" xr:uid="{00000000-0005-0000-0000-0000D1470000}"/>
    <cellStyle name="Normal 2 2 2 3 28 4 5" xfId="18424" xr:uid="{00000000-0005-0000-0000-0000D2470000}"/>
    <cellStyle name="Normal 2 2 2 3 28 4 6" xfId="18425" xr:uid="{00000000-0005-0000-0000-0000D3470000}"/>
    <cellStyle name="Normal 2 2 2 3 28 4 7" xfId="18426" xr:uid="{00000000-0005-0000-0000-0000D4470000}"/>
    <cellStyle name="Normal 2 2 2 3 28 4 8" xfId="18427" xr:uid="{00000000-0005-0000-0000-0000D5470000}"/>
    <cellStyle name="Normal 2 2 2 3 28 4 9" xfId="18428" xr:uid="{00000000-0005-0000-0000-0000D6470000}"/>
    <cellStyle name="Normal 2 2 2 3 28 5" xfId="18429" xr:uid="{00000000-0005-0000-0000-0000D7470000}"/>
    <cellStyle name="Normal 2 2 2 3 28 5 10" xfId="18430" xr:uid="{00000000-0005-0000-0000-0000D8470000}"/>
    <cellStyle name="Normal 2 2 2 3 28 5 2" xfId="18431" xr:uid="{00000000-0005-0000-0000-0000D9470000}"/>
    <cellStyle name="Normal 2 2 2 3 28 5 3" xfId="18432" xr:uid="{00000000-0005-0000-0000-0000DA470000}"/>
    <cellStyle name="Normal 2 2 2 3 28 5 4" xfId="18433" xr:uid="{00000000-0005-0000-0000-0000DB470000}"/>
    <cellStyle name="Normal 2 2 2 3 28 5 5" xfId="18434" xr:uid="{00000000-0005-0000-0000-0000DC470000}"/>
    <cellStyle name="Normal 2 2 2 3 28 5 6" xfId="18435" xr:uid="{00000000-0005-0000-0000-0000DD470000}"/>
    <cellStyle name="Normal 2 2 2 3 28 5 7" xfId="18436" xr:uid="{00000000-0005-0000-0000-0000DE470000}"/>
    <cellStyle name="Normal 2 2 2 3 28 5 8" xfId="18437" xr:uid="{00000000-0005-0000-0000-0000DF470000}"/>
    <cellStyle name="Normal 2 2 2 3 28 5 9" xfId="18438" xr:uid="{00000000-0005-0000-0000-0000E0470000}"/>
    <cellStyle name="Normal 2 2 2 3 28 6" xfId="18439" xr:uid="{00000000-0005-0000-0000-0000E1470000}"/>
    <cellStyle name="Normal 2 2 2 3 28 7" xfId="18440" xr:uid="{00000000-0005-0000-0000-0000E2470000}"/>
    <cellStyle name="Normal 2 2 2 3 28 8" xfId="18441" xr:uid="{00000000-0005-0000-0000-0000E3470000}"/>
    <cellStyle name="Normal 2 2 2 3 28 9" xfId="18442" xr:uid="{00000000-0005-0000-0000-0000E4470000}"/>
    <cellStyle name="Normal 2 2 2 3 29" xfId="18443" xr:uid="{00000000-0005-0000-0000-0000E5470000}"/>
    <cellStyle name="Normal 2 2 2 3 29 10" xfId="18444" xr:uid="{00000000-0005-0000-0000-0000E6470000}"/>
    <cellStyle name="Normal 2 2 2 3 29 11" xfId="18445" xr:uid="{00000000-0005-0000-0000-0000E7470000}"/>
    <cellStyle name="Normal 2 2 2 3 29 12" xfId="18446" xr:uid="{00000000-0005-0000-0000-0000E8470000}"/>
    <cellStyle name="Normal 2 2 2 3 29 13" xfId="18447" xr:uid="{00000000-0005-0000-0000-0000E9470000}"/>
    <cellStyle name="Normal 2 2 2 3 29 14" xfId="18448" xr:uid="{00000000-0005-0000-0000-0000EA470000}"/>
    <cellStyle name="Normal 2 2 2 3 29 2" xfId="18449" xr:uid="{00000000-0005-0000-0000-0000EB470000}"/>
    <cellStyle name="Normal 2 2 2 3 29 2 10" xfId="18450" xr:uid="{00000000-0005-0000-0000-0000EC470000}"/>
    <cellStyle name="Normal 2 2 2 3 29 2 2" xfId="18451" xr:uid="{00000000-0005-0000-0000-0000ED470000}"/>
    <cellStyle name="Normal 2 2 2 3 29 2 3" xfId="18452" xr:uid="{00000000-0005-0000-0000-0000EE470000}"/>
    <cellStyle name="Normal 2 2 2 3 29 2 4" xfId="18453" xr:uid="{00000000-0005-0000-0000-0000EF470000}"/>
    <cellStyle name="Normal 2 2 2 3 29 2 5" xfId="18454" xr:uid="{00000000-0005-0000-0000-0000F0470000}"/>
    <cellStyle name="Normal 2 2 2 3 29 2 6" xfId="18455" xr:uid="{00000000-0005-0000-0000-0000F1470000}"/>
    <cellStyle name="Normal 2 2 2 3 29 2 7" xfId="18456" xr:uid="{00000000-0005-0000-0000-0000F2470000}"/>
    <cellStyle name="Normal 2 2 2 3 29 2 8" xfId="18457" xr:uid="{00000000-0005-0000-0000-0000F3470000}"/>
    <cellStyle name="Normal 2 2 2 3 29 2 9" xfId="18458" xr:uid="{00000000-0005-0000-0000-0000F4470000}"/>
    <cellStyle name="Normal 2 2 2 3 29 3" xfId="18459" xr:uid="{00000000-0005-0000-0000-0000F5470000}"/>
    <cellStyle name="Normal 2 2 2 3 29 3 10" xfId="18460" xr:uid="{00000000-0005-0000-0000-0000F6470000}"/>
    <cellStyle name="Normal 2 2 2 3 29 3 2" xfId="18461" xr:uid="{00000000-0005-0000-0000-0000F7470000}"/>
    <cellStyle name="Normal 2 2 2 3 29 3 3" xfId="18462" xr:uid="{00000000-0005-0000-0000-0000F8470000}"/>
    <cellStyle name="Normal 2 2 2 3 29 3 4" xfId="18463" xr:uid="{00000000-0005-0000-0000-0000F9470000}"/>
    <cellStyle name="Normal 2 2 2 3 29 3 5" xfId="18464" xr:uid="{00000000-0005-0000-0000-0000FA470000}"/>
    <cellStyle name="Normal 2 2 2 3 29 3 6" xfId="18465" xr:uid="{00000000-0005-0000-0000-0000FB470000}"/>
    <cellStyle name="Normal 2 2 2 3 29 3 7" xfId="18466" xr:uid="{00000000-0005-0000-0000-0000FC470000}"/>
    <cellStyle name="Normal 2 2 2 3 29 3 8" xfId="18467" xr:uid="{00000000-0005-0000-0000-0000FD470000}"/>
    <cellStyle name="Normal 2 2 2 3 29 3 9" xfId="18468" xr:uid="{00000000-0005-0000-0000-0000FE470000}"/>
    <cellStyle name="Normal 2 2 2 3 29 4" xfId="18469" xr:uid="{00000000-0005-0000-0000-0000FF470000}"/>
    <cellStyle name="Normal 2 2 2 3 29 4 10" xfId="18470" xr:uid="{00000000-0005-0000-0000-000000480000}"/>
    <cellStyle name="Normal 2 2 2 3 29 4 2" xfId="18471" xr:uid="{00000000-0005-0000-0000-000001480000}"/>
    <cellStyle name="Normal 2 2 2 3 29 4 3" xfId="18472" xr:uid="{00000000-0005-0000-0000-000002480000}"/>
    <cellStyle name="Normal 2 2 2 3 29 4 4" xfId="18473" xr:uid="{00000000-0005-0000-0000-000003480000}"/>
    <cellStyle name="Normal 2 2 2 3 29 4 5" xfId="18474" xr:uid="{00000000-0005-0000-0000-000004480000}"/>
    <cellStyle name="Normal 2 2 2 3 29 4 6" xfId="18475" xr:uid="{00000000-0005-0000-0000-000005480000}"/>
    <cellStyle name="Normal 2 2 2 3 29 4 7" xfId="18476" xr:uid="{00000000-0005-0000-0000-000006480000}"/>
    <cellStyle name="Normal 2 2 2 3 29 4 8" xfId="18477" xr:uid="{00000000-0005-0000-0000-000007480000}"/>
    <cellStyle name="Normal 2 2 2 3 29 4 9" xfId="18478" xr:uid="{00000000-0005-0000-0000-000008480000}"/>
    <cellStyle name="Normal 2 2 2 3 29 5" xfId="18479" xr:uid="{00000000-0005-0000-0000-000009480000}"/>
    <cellStyle name="Normal 2 2 2 3 29 5 10" xfId="18480" xr:uid="{00000000-0005-0000-0000-00000A480000}"/>
    <cellStyle name="Normal 2 2 2 3 29 5 2" xfId="18481" xr:uid="{00000000-0005-0000-0000-00000B480000}"/>
    <cellStyle name="Normal 2 2 2 3 29 5 3" xfId="18482" xr:uid="{00000000-0005-0000-0000-00000C480000}"/>
    <cellStyle name="Normal 2 2 2 3 29 5 4" xfId="18483" xr:uid="{00000000-0005-0000-0000-00000D480000}"/>
    <cellStyle name="Normal 2 2 2 3 29 5 5" xfId="18484" xr:uid="{00000000-0005-0000-0000-00000E480000}"/>
    <cellStyle name="Normal 2 2 2 3 29 5 6" xfId="18485" xr:uid="{00000000-0005-0000-0000-00000F480000}"/>
    <cellStyle name="Normal 2 2 2 3 29 5 7" xfId="18486" xr:uid="{00000000-0005-0000-0000-000010480000}"/>
    <cellStyle name="Normal 2 2 2 3 29 5 8" xfId="18487" xr:uid="{00000000-0005-0000-0000-000011480000}"/>
    <cellStyle name="Normal 2 2 2 3 29 5 9" xfId="18488" xr:uid="{00000000-0005-0000-0000-000012480000}"/>
    <cellStyle name="Normal 2 2 2 3 29 6" xfId="18489" xr:uid="{00000000-0005-0000-0000-000013480000}"/>
    <cellStyle name="Normal 2 2 2 3 29 7" xfId="18490" xr:uid="{00000000-0005-0000-0000-000014480000}"/>
    <cellStyle name="Normal 2 2 2 3 29 8" xfId="18491" xr:uid="{00000000-0005-0000-0000-000015480000}"/>
    <cellStyle name="Normal 2 2 2 3 29 9" xfId="18492" xr:uid="{00000000-0005-0000-0000-000016480000}"/>
    <cellStyle name="Normal 2 2 2 3 3" xfId="18493" xr:uid="{00000000-0005-0000-0000-000017480000}"/>
    <cellStyle name="Normal 2 2 2 3 3 10" xfId="18494" xr:uid="{00000000-0005-0000-0000-000018480000}"/>
    <cellStyle name="Normal 2 2 2 3 3 11" xfId="18495" xr:uid="{00000000-0005-0000-0000-000019480000}"/>
    <cellStyle name="Normal 2 2 2 3 3 12" xfId="18496" xr:uid="{00000000-0005-0000-0000-00001A480000}"/>
    <cellStyle name="Normal 2 2 2 3 3 13" xfId="18497" xr:uid="{00000000-0005-0000-0000-00001B480000}"/>
    <cellStyle name="Normal 2 2 2 3 3 14" xfId="18498" xr:uid="{00000000-0005-0000-0000-00001C480000}"/>
    <cellStyle name="Normal 2 2 2 3 3 15" xfId="18499" xr:uid="{00000000-0005-0000-0000-00001D480000}"/>
    <cellStyle name="Normal 2 2 2 3 3 16" xfId="18500" xr:uid="{00000000-0005-0000-0000-00001E480000}"/>
    <cellStyle name="Normal 2 2 2 3 3 2" xfId="18501" xr:uid="{00000000-0005-0000-0000-00001F480000}"/>
    <cellStyle name="Normal 2 2 2 3 3 2 10" xfId="18502" xr:uid="{00000000-0005-0000-0000-000020480000}"/>
    <cellStyle name="Normal 2 2 2 3 3 2 11" xfId="18503" xr:uid="{00000000-0005-0000-0000-000021480000}"/>
    <cellStyle name="Normal 2 2 2 3 3 2 12" xfId="18504" xr:uid="{00000000-0005-0000-0000-000022480000}"/>
    <cellStyle name="Normal 2 2 2 3 3 2 2" xfId="18505" xr:uid="{00000000-0005-0000-0000-000023480000}"/>
    <cellStyle name="Normal 2 2 2 3 3 2 3" xfId="18506" xr:uid="{00000000-0005-0000-0000-000024480000}"/>
    <cellStyle name="Normal 2 2 2 3 3 2 4" xfId="18507" xr:uid="{00000000-0005-0000-0000-000025480000}"/>
    <cellStyle name="Normal 2 2 2 3 3 2 5" xfId="18508" xr:uid="{00000000-0005-0000-0000-000026480000}"/>
    <cellStyle name="Normal 2 2 2 3 3 2 6" xfId="18509" xr:uid="{00000000-0005-0000-0000-000027480000}"/>
    <cellStyle name="Normal 2 2 2 3 3 2 7" xfId="18510" xr:uid="{00000000-0005-0000-0000-000028480000}"/>
    <cellStyle name="Normal 2 2 2 3 3 2 8" xfId="18511" xr:uid="{00000000-0005-0000-0000-000029480000}"/>
    <cellStyle name="Normal 2 2 2 3 3 2 9" xfId="18512" xr:uid="{00000000-0005-0000-0000-00002A480000}"/>
    <cellStyle name="Normal 2 2 2 3 3 3" xfId="18513" xr:uid="{00000000-0005-0000-0000-00002B480000}"/>
    <cellStyle name="Normal 2 2 2 3 3 3 10" xfId="18514" xr:uid="{00000000-0005-0000-0000-00002C480000}"/>
    <cellStyle name="Normal 2 2 2 3 3 3 2" xfId="18515" xr:uid="{00000000-0005-0000-0000-00002D480000}"/>
    <cellStyle name="Normal 2 2 2 3 3 3 3" xfId="18516" xr:uid="{00000000-0005-0000-0000-00002E480000}"/>
    <cellStyle name="Normal 2 2 2 3 3 3 4" xfId="18517" xr:uid="{00000000-0005-0000-0000-00002F480000}"/>
    <cellStyle name="Normal 2 2 2 3 3 3 5" xfId="18518" xr:uid="{00000000-0005-0000-0000-000030480000}"/>
    <cellStyle name="Normal 2 2 2 3 3 3 6" xfId="18519" xr:uid="{00000000-0005-0000-0000-000031480000}"/>
    <cellStyle name="Normal 2 2 2 3 3 3 7" xfId="18520" xr:uid="{00000000-0005-0000-0000-000032480000}"/>
    <cellStyle name="Normal 2 2 2 3 3 3 8" xfId="18521" xr:uid="{00000000-0005-0000-0000-000033480000}"/>
    <cellStyle name="Normal 2 2 2 3 3 3 9" xfId="18522" xr:uid="{00000000-0005-0000-0000-000034480000}"/>
    <cellStyle name="Normal 2 2 2 3 3 4" xfId="18523" xr:uid="{00000000-0005-0000-0000-000035480000}"/>
    <cellStyle name="Normal 2 2 2 3 3 4 10" xfId="18524" xr:uid="{00000000-0005-0000-0000-000036480000}"/>
    <cellStyle name="Normal 2 2 2 3 3 4 2" xfId="18525" xr:uid="{00000000-0005-0000-0000-000037480000}"/>
    <cellStyle name="Normal 2 2 2 3 3 4 3" xfId="18526" xr:uid="{00000000-0005-0000-0000-000038480000}"/>
    <cellStyle name="Normal 2 2 2 3 3 4 4" xfId="18527" xr:uid="{00000000-0005-0000-0000-000039480000}"/>
    <cellStyle name="Normal 2 2 2 3 3 4 5" xfId="18528" xr:uid="{00000000-0005-0000-0000-00003A480000}"/>
    <cellStyle name="Normal 2 2 2 3 3 4 6" xfId="18529" xr:uid="{00000000-0005-0000-0000-00003B480000}"/>
    <cellStyle name="Normal 2 2 2 3 3 4 7" xfId="18530" xr:uid="{00000000-0005-0000-0000-00003C480000}"/>
    <cellStyle name="Normal 2 2 2 3 3 4 8" xfId="18531" xr:uid="{00000000-0005-0000-0000-00003D480000}"/>
    <cellStyle name="Normal 2 2 2 3 3 4 9" xfId="18532" xr:uid="{00000000-0005-0000-0000-00003E480000}"/>
    <cellStyle name="Normal 2 2 2 3 3 5" xfId="18533" xr:uid="{00000000-0005-0000-0000-00003F480000}"/>
    <cellStyle name="Normal 2 2 2 3 3 5 10" xfId="18534" xr:uid="{00000000-0005-0000-0000-000040480000}"/>
    <cellStyle name="Normal 2 2 2 3 3 5 2" xfId="18535" xr:uid="{00000000-0005-0000-0000-000041480000}"/>
    <cellStyle name="Normal 2 2 2 3 3 5 3" xfId="18536" xr:uid="{00000000-0005-0000-0000-000042480000}"/>
    <cellStyle name="Normal 2 2 2 3 3 5 4" xfId="18537" xr:uid="{00000000-0005-0000-0000-000043480000}"/>
    <cellStyle name="Normal 2 2 2 3 3 5 5" xfId="18538" xr:uid="{00000000-0005-0000-0000-000044480000}"/>
    <cellStyle name="Normal 2 2 2 3 3 5 6" xfId="18539" xr:uid="{00000000-0005-0000-0000-000045480000}"/>
    <cellStyle name="Normal 2 2 2 3 3 5 7" xfId="18540" xr:uid="{00000000-0005-0000-0000-000046480000}"/>
    <cellStyle name="Normal 2 2 2 3 3 5 8" xfId="18541" xr:uid="{00000000-0005-0000-0000-000047480000}"/>
    <cellStyle name="Normal 2 2 2 3 3 5 9" xfId="18542" xr:uid="{00000000-0005-0000-0000-000048480000}"/>
    <cellStyle name="Normal 2 2 2 3 3 6" xfId="18543" xr:uid="{00000000-0005-0000-0000-000049480000}"/>
    <cellStyle name="Normal 2 2 2 3 3 7" xfId="18544" xr:uid="{00000000-0005-0000-0000-00004A480000}"/>
    <cellStyle name="Normal 2 2 2 3 3 8" xfId="18545" xr:uid="{00000000-0005-0000-0000-00004B480000}"/>
    <cellStyle name="Normal 2 2 2 3 3 9" xfId="18546" xr:uid="{00000000-0005-0000-0000-00004C480000}"/>
    <cellStyle name="Normal 2 2 2 3 30" xfId="18547" xr:uid="{00000000-0005-0000-0000-00004D480000}"/>
    <cellStyle name="Normal 2 2 2 3 30 10" xfId="18548" xr:uid="{00000000-0005-0000-0000-00004E480000}"/>
    <cellStyle name="Normal 2 2 2 3 30 11" xfId="18549" xr:uid="{00000000-0005-0000-0000-00004F480000}"/>
    <cellStyle name="Normal 2 2 2 3 30 12" xfId="18550" xr:uid="{00000000-0005-0000-0000-000050480000}"/>
    <cellStyle name="Normal 2 2 2 3 30 13" xfId="18551" xr:uid="{00000000-0005-0000-0000-000051480000}"/>
    <cellStyle name="Normal 2 2 2 3 30 14" xfId="18552" xr:uid="{00000000-0005-0000-0000-000052480000}"/>
    <cellStyle name="Normal 2 2 2 3 30 2" xfId="18553" xr:uid="{00000000-0005-0000-0000-000053480000}"/>
    <cellStyle name="Normal 2 2 2 3 30 2 10" xfId="18554" xr:uid="{00000000-0005-0000-0000-000054480000}"/>
    <cellStyle name="Normal 2 2 2 3 30 2 2" xfId="18555" xr:uid="{00000000-0005-0000-0000-000055480000}"/>
    <cellStyle name="Normal 2 2 2 3 30 2 3" xfId="18556" xr:uid="{00000000-0005-0000-0000-000056480000}"/>
    <cellStyle name="Normal 2 2 2 3 30 2 4" xfId="18557" xr:uid="{00000000-0005-0000-0000-000057480000}"/>
    <cellStyle name="Normal 2 2 2 3 30 2 5" xfId="18558" xr:uid="{00000000-0005-0000-0000-000058480000}"/>
    <cellStyle name="Normal 2 2 2 3 30 2 6" xfId="18559" xr:uid="{00000000-0005-0000-0000-000059480000}"/>
    <cellStyle name="Normal 2 2 2 3 30 2 7" xfId="18560" xr:uid="{00000000-0005-0000-0000-00005A480000}"/>
    <cellStyle name="Normal 2 2 2 3 30 2 8" xfId="18561" xr:uid="{00000000-0005-0000-0000-00005B480000}"/>
    <cellStyle name="Normal 2 2 2 3 30 2 9" xfId="18562" xr:uid="{00000000-0005-0000-0000-00005C480000}"/>
    <cellStyle name="Normal 2 2 2 3 30 3" xfId="18563" xr:uid="{00000000-0005-0000-0000-00005D480000}"/>
    <cellStyle name="Normal 2 2 2 3 30 3 10" xfId="18564" xr:uid="{00000000-0005-0000-0000-00005E480000}"/>
    <cellStyle name="Normal 2 2 2 3 30 3 2" xfId="18565" xr:uid="{00000000-0005-0000-0000-00005F480000}"/>
    <cellStyle name="Normal 2 2 2 3 30 3 3" xfId="18566" xr:uid="{00000000-0005-0000-0000-000060480000}"/>
    <cellStyle name="Normal 2 2 2 3 30 3 4" xfId="18567" xr:uid="{00000000-0005-0000-0000-000061480000}"/>
    <cellStyle name="Normal 2 2 2 3 30 3 5" xfId="18568" xr:uid="{00000000-0005-0000-0000-000062480000}"/>
    <cellStyle name="Normal 2 2 2 3 30 3 6" xfId="18569" xr:uid="{00000000-0005-0000-0000-000063480000}"/>
    <cellStyle name="Normal 2 2 2 3 30 3 7" xfId="18570" xr:uid="{00000000-0005-0000-0000-000064480000}"/>
    <cellStyle name="Normal 2 2 2 3 30 3 8" xfId="18571" xr:uid="{00000000-0005-0000-0000-000065480000}"/>
    <cellStyle name="Normal 2 2 2 3 30 3 9" xfId="18572" xr:uid="{00000000-0005-0000-0000-000066480000}"/>
    <cellStyle name="Normal 2 2 2 3 30 4" xfId="18573" xr:uid="{00000000-0005-0000-0000-000067480000}"/>
    <cellStyle name="Normal 2 2 2 3 30 4 10" xfId="18574" xr:uid="{00000000-0005-0000-0000-000068480000}"/>
    <cellStyle name="Normal 2 2 2 3 30 4 2" xfId="18575" xr:uid="{00000000-0005-0000-0000-000069480000}"/>
    <cellStyle name="Normal 2 2 2 3 30 4 3" xfId="18576" xr:uid="{00000000-0005-0000-0000-00006A480000}"/>
    <cellStyle name="Normal 2 2 2 3 30 4 4" xfId="18577" xr:uid="{00000000-0005-0000-0000-00006B480000}"/>
    <cellStyle name="Normal 2 2 2 3 30 4 5" xfId="18578" xr:uid="{00000000-0005-0000-0000-00006C480000}"/>
    <cellStyle name="Normal 2 2 2 3 30 4 6" xfId="18579" xr:uid="{00000000-0005-0000-0000-00006D480000}"/>
    <cellStyle name="Normal 2 2 2 3 30 4 7" xfId="18580" xr:uid="{00000000-0005-0000-0000-00006E480000}"/>
    <cellStyle name="Normal 2 2 2 3 30 4 8" xfId="18581" xr:uid="{00000000-0005-0000-0000-00006F480000}"/>
    <cellStyle name="Normal 2 2 2 3 30 4 9" xfId="18582" xr:uid="{00000000-0005-0000-0000-000070480000}"/>
    <cellStyle name="Normal 2 2 2 3 30 5" xfId="18583" xr:uid="{00000000-0005-0000-0000-000071480000}"/>
    <cellStyle name="Normal 2 2 2 3 30 5 10" xfId="18584" xr:uid="{00000000-0005-0000-0000-000072480000}"/>
    <cellStyle name="Normal 2 2 2 3 30 5 2" xfId="18585" xr:uid="{00000000-0005-0000-0000-000073480000}"/>
    <cellStyle name="Normal 2 2 2 3 30 5 3" xfId="18586" xr:uid="{00000000-0005-0000-0000-000074480000}"/>
    <cellStyle name="Normal 2 2 2 3 30 5 4" xfId="18587" xr:uid="{00000000-0005-0000-0000-000075480000}"/>
    <cellStyle name="Normal 2 2 2 3 30 5 5" xfId="18588" xr:uid="{00000000-0005-0000-0000-000076480000}"/>
    <cellStyle name="Normal 2 2 2 3 30 5 6" xfId="18589" xr:uid="{00000000-0005-0000-0000-000077480000}"/>
    <cellStyle name="Normal 2 2 2 3 30 5 7" xfId="18590" xr:uid="{00000000-0005-0000-0000-000078480000}"/>
    <cellStyle name="Normal 2 2 2 3 30 5 8" xfId="18591" xr:uid="{00000000-0005-0000-0000-000079480000}"/>
    <cellStyle name="Normal 2 2 2 3 30 5 9" xfId="18592" xr:uid="{00000000-0005-0000-0000-00007A480000}"/>
    <cellStyle name="Normal 2 2 2 3 30 6" xfId="18593" xr:uid="{00000000-0005-0000-0000-00007B480000}"/>
    <cellStyle name="Normal 2 2 2 3 30 7" xfId="18594" xr:uid="{00000000-0005-0000-0000-00007C480000}"/>
    <cellStyle name="Normal 2 2 2 3 30 8" xfId="18595" xr:uid="{00000000-0005-0000-0000-00007D480000}"/>
    <cellStyle name="Normal 2 2 2 3 30 9" xfId="18596" xr:uid="{00000000-0005-0000-0000-00007E480000}"/>
    <cellStyle name="Normal 2 2 2 3 31" xfId="18597" xr:uid="{00000000-0005-0000-0000-00007F480000}"/>
    <cellStyle name="Normal 2 2 2 3 31 10" xfId="18598" xr:uid="{00000000-0005-0000-0000-000080480000}"/>
    <cellStyle name="Normal 2 2 2 3 31 11" xfId="18599" xr:uid="{00000000-0005-0000-0000-000081480000}"/>
    <cellStyle name="Normal 2 2 2 3 31 12" xfId="18600" xr:uid="{00000000-0005-0000-0000-000082480000}"/>
    <cellStyle name="Normal 2 2 2 3 31 13" xfId="18601" xr:uid="{00000000-0005-0000-0000-000083480000}"/>
    <cellStyle name="Normal 2 2 2 3 31 14" xfId="18602" xr:uid="{00000000-0005-0000-0000-000084480000}"/>
    <cellStyle name="Normal 2 2 2 3 31 2" xfId="18603" xr:uid="{00000000-0005-0000-0000-000085480000}"/>
    <cellStyle name="Normal 2 2 2 3 31 2 10" xfId="18604" xr:uid="{00000000-0005-0000-0000-000086480000}"/>
    <cellStyle name="Normal 2 2 2 3 31 2 2" xfId="18605" xr:uid="{00000000-0005-0000-0000-000087480000}"/>
    <cellStyle name="Normal 2 2 2 3 31 2 3" xfId="18606" xr:uid="{00000000-0005-0000-0000-000088480000}"/>
    <cellStyle name="Normal 2 2 2 3 31 2 4" xfId="18607" xr:uid="{00000000-0005-0000-0000-000089480000}"/>
    <cellStyle name="Normal 2 2 2 3 31 2 5" xfId="18608" xr:uid="{00000000-0005-0000-0000-00008A480000}"/>
    <cellStyle name="Normal 2 2 2 3 31 2 6" xfId="18609" xr:uid="{00000000-0005-0000-0000-00008B480000}"/>
    <cellStyle name="Normal 2 2 2 3 31 2 7" xfId="18610" xr:uid="{00000000-0005-0000-0000-00008C480000}"/>
    <cellStyle name="Normal 2 2 2 3 31 2 8" xfId="18611" xr:uid="{00000000-0005-0000-0000-00008D480000}"/>
    <cellStyle name="Normal 2 2 2 3 31 2 9" xfId="18612" xr:uid="{00000000-0005-0000-0000-00008E480000}"/>
    <cellStyle name="Normal 2 2 2 3 31 3" xfId="18613" xr:uid="{00000000-0005-0000-0000-00008F480000}"/>
    <cellStyle name="Normal 2 2 2 3 31 3 10" xfId="18614" xr:uid="{00000000-0005-0000-0000-000090480000}"/>
    <cellStyle name="Normal 2 2 2 3 31 3 2" xfId="18615" xr:uid="{00000000-0005-0000-0000-000091480000}"/>
    <cellStyle name="Normal 2 2 2 3 31 3 3" xfId="18616" xr:uid="{00000000-0005-0000-0000-000092480000}"/>
    <cellStyle name="Normal 2 2 2 3 31 3 4" xfId="18617" xr:uid="{00000000-0005-0000-0000-000093480000}"/>
    <cellStyle name="Normal 2 2 2 3 31 3 5" xfId="18618" xr:uid="{00000000-0005-0000-0000-000094480000}"/>
    <cellStyle name="Normal 2 2 2 3 31 3 6" xfId="18619" xr:uid="{00000000-0005-0000-0000-000095480000}"/>
    <cellStyle name="Normal 2 2 2 3 31 3 7" xfId="18620" xr:uid="{00000000-0005-0000-0000-000096480000}"/>
    <cellStyle name="Normal 2 2 2 3 31 3 8" xfId="18621" xr:uid="{00000000-0005-0000-0000-000097480000}"/>
    <cellStyle name="Normal 2 2 2 3 31 3 9" xfId="18622" xr:uid="{00000000-0005-0000-0000-000098480000}"/>
    <cellStyle name="Normal 2 2 2 3 31 4" xfId="18623" xr:uid="{00000000-0005-0000-0000-000099480000}"/>
    <cellStyle name="Normal 2 2 2 3 31 4 10" xfId="18624" xr:uid="{00000000-0005-0000-0000-00009A480000}"/>
    <cellStyle name="Normal 2 2 2 3 31 4 2" xfId="18625" xr:uid="{00000000-0005-0000-0000-00009B480000}"/>
    <cellStyle name="Normal 2 2 2 3 31 4 3" xfId="18626" xr:uid="{00000000-0005-0000-0000-00009C480000}"/>
    <cellStyle name="Normal 2 2 2 3 31 4 4" xfId="18627" xr:uid="{00000000-0005-0000-0000-00009D480000}"/>
    <cellStyle name="Normal 2 2 2 3 31 4 5" xfId="18628" xr:uid="{00000000-0005-0000-0000-00009E480000}"/>
    <cellStyle name="Normal 2 2 2 3 31 4 6" xfId="18629" xr:uid="{00000000-0005-0000-0000-00009F480000}"/>
    <cellStyle name="Normal 2 2 2 3 31 4 7" xfId="18630" xr:uid="{00000000-0005-0000-0000-0000A0480000}"/>
    <cellStyle name="Normal 2 2 2 3 31 4 8" xfId="18631" xr:uid="{00000000-0005-0000-0000-0000A1480000}"/>
    <cellStyle name="Normal 2 2 2 3 31 4 9" xfId="18632" xr:uid="{00000000-0005-0000-0000-0000A2480000}"/>
    <cellStyle name="Normal 2 2 2 3 31 5" xfId="18633" xr:uid="{00000000-0005-0000-0000-0000A3480000}"/>
    <cellStyle name="Normal 2 2 2 3 31 5 10" xfId="18634" xr:uid="{00000000-0005-0000-0000-0000A4480000}"/>
    <cellStyle name="Normal 2 2 2 3 31 5 2" xfId="18635" xr:uid="{00000000-0005-0000-0000-0000A5480000}"/>
    <cellStyle name="Normal 2 2 2 3 31 5 3" xfId="18636" xr:uid="{00000000-0005-0000-0000-0000A6480000}"/>
    <cellStyle name="Normal 2 2 2 3 31 5 4" xfId="18637" xr:uid="{00000000-0005-0000-0000-0000A7480000}"/>
    <cellStyle name="Normal 2 2 2 3 31 5 5" xfId="18638" xr:uid="{00000000-0005-0000-0000-0000A8480000}"/>
    <cellStyle name="Normal 2 2 2 3 31 5 6" xfId="18639" xr:uid="{00000000-0005-0000-0000-0000A9480000}"/>
    <cellStyle name="Normal 2 2 2 3 31 5 7" xfId="18640" xr:uid="{00000000-0005-0000-0000-0000AA480000}"/>
    <cellStyle name="Normal 2 2 2 3 31 5 8" xfId="18641" xr:uid="{00000000-0005-0000-0000-0000AB480000}"/>
    <cellStyle name="Normal 2 2 2 3 31 5 9" xfId="18642" xr:uid="{00000000-0005-0000-0000-0000AC480000}"/>
    <cellStyle name="Normal 2 2 2 3 31 6" xfId="18643" xr:uid="{00000000-0005-0000-0000-0000AD480000}"/>
    <cellStyle name="Normal 2 2 2 3 31 7" xfId="18644" xr:uid="{00000000-0005-0000-0000-0000AE480000}"/>
    <cellStyle name="Normal 2 2 2 3 31 8" xfId="18645" xr:uid="{00000000-0005-0000-0000-0000AF480000}"/>
    <cellStyle name="Normal 2 2 2 3 31 9" xfId="18646" xr:uid="{00000000-0005-0000-0000-0000B0480000}"/>
    <cellStyle name="Normal 2 2 2 3 32" xfId="18647" xr:uid="{00000000-0005-0000-0000-0000B1480000}"/>
    <cellStyle name="Normal 2 2 2 3 32 10" xfId="18648" xr:uid="{00000000-0005-0000-0000-0000B2480000}"/>
    <cellStyle name="Normal 2 2 2 3 32 11" xfId="18649" xr:uid="{00000000-0005-0000-0000-0000B3480000}"/>
    <cellStyle name="Normal 2 2 2 3 32 12" xfId="18650" xr:uid="{00000000-0005-0000-0000-0000B4480000}"/>
    <cellStyle name="Normal 2 2 2 3 32 13" xfId="18651" xr:uid="{00000000-0005-0000-0000-0000B5480000}"/>
    <cellStyle name="Normal 2 2 2 3 32 14" xfId="18652" xr:uid="{00000000-0005-0000-0000-0000B6480000}"/>
    <cellStyle name="Normal 2 2 2 3 32 2" xfId="18653" xr:uid="{00000000-0005-0000-0000-0000B7480000}"/>
    <cellStyle name="Normal 2 2 2 3 32 2 10" xfId="18654" xr:uid="{00000000-0005-0000-0000-0000B8480000}"/>
    <cellStyle name="Normal 2 2 2 3 32 2 2" xfId="18655" xr:uid="{00000000-0005-0000-0000-0000B9480000}"/>
    <cellStyle name="Normal 2 2 2 3 32 2 3" xfId="18656" xr:uid="{00000000-0005-0000-0000-0000BA480000}"/>
    <cellStyle name="Normal 2 2 2 3 32 2 4" xfId="18657" xr:uid="{00000000-0005-0000-0000-0000BB480000}"/>
    <cellStyle name="Normal 2 2 2 3 32 2 5" xfId="18658" xr:uid="{00000000-0005-0000-0000-0000BC480000}"/>
    <cellStyle name="Normal 2 2 2 3 32 2 6" xfId="18659" xr:uid="{00000000-0005-0000-0000-0000BD480000}"/>
    <cellStyle name="Normal 2 2 2 3 32 2 7" xfId="18660" xr:uid="{00000000-0005-0000-0000-0000BE480000}"/>
    <cellStyle name="Normal 2 2 2 3 32 2 8" xfId="18661" xr:uid="{00000000-0005-0000-0000-0000BF480000}"/>
    <cellStyle name="Normal 2 2 2 3 32 2 9" xfId="18662" xr:uid="{00000000-0005-0000-0000-0000C0480000}"/>
    <cellStyle name="Normal 2 2 2 3 32 3" xfId="18663" xr:uid="{00000000-0005-0000-0000-0000C1480000}"/>
    <cellStyle name="Normal 2 2 2 3 32 3 10" xfId="18664" xr:uid="{00000000-0005-0000-0000-0000C2480000}"/>
    <cellStyle name="Normal 2 2 2 3 32 3 2" xfId="18665" xr:uid="{00000000-0005-0000-0000-0000C3480000}"/>
    <cellStyle name="Normal 2 2 2 3 32 3 3" xfId="18666" xr:uid="{00000000-0005-0000-0000-0000C4480000}"/>
    <cellStyle name="Normal 2 2 2 3 32 3 4" xfId="18667" xr:uid="{00000000-0005-0000-0000-0000C5480000}"/>
    <cellStyle name="Normal 2 2 2 3 32 3 5" xfId="18668" xr:uid="{00000000-0005-0000-0000-0000C6480000}"/>
    <cellStyle name="Normal 2 2 2 3 32 3 6" xfId="18669" xr:uid="{00000000-0005-0000-0000-0000C7480000}"/>
    <cellStyle name="Normal 2 2 2 3 32 3 7" xfId="18670" xr:uid="{00000000-0005-0000-0000-0000C8480000}"/>
    <cellStyle name="Normal 2 2 2 3 32 3 8" xfId="18671" xr:uid="{00000000-0005-0000-0000-0000C9480000}"/>
    <cellStyle name="Normal 2 2 2 3 32 3 9" xfId="18672" xr:uid="{00000000-0005-0000-0000-0000CA480000}"/>
    <cellStyle name="Normal 2 2 2 3 32 4" xfId="18673" xr:uid="{00000000-0005-0000-0000-0000CB480000}"/>
    <cellStyle name="Normal 2 2 2 3 32 4 10" xfId="18674" xr:uid="{00000000-0005-0000-0000-0000CC480000}"/>
    <cellStyle name="Normal 2 2 2 3 32 4 2" xfId="18675" xr:uid="{00000000-0005-0000-0000-0000CD480000}"/>
    <cellStyle name="Normal 2 2 2 3 32 4 3" xfId="18676" xr:uid="{00000000-0005-0000-0000-0000CE480000}"/>
    <cellStyle name="Normal 2 2 2 3 32 4 4" xfId="18677" xr:uid="{00000000-0005-0000-0000-0000CF480000}"/>
    <cellStyle name="Normal 2 2 2 3 32 4 5" xfId="18678" xr:uid="{00000000-0005-0000-0000-0000D0480000}"/>
    <cellStyle name="Normal 2 2 2 3 32 4 6" xfId="18679" xr:uid="{00000000-0005-0000-0000-0000D1480000}"/>
    <cellStyle name="Normal 2 2 2 3 32 4 7" xfId="18680" xr:uid="{00000000-0005-0000-0000-0000D2480000}"/>
    <cellStyle name="Normal 2 2 2 3 32 4 8" xfId="18681" xr:uid="{00000000-0005-0000-0000-0000D3480000}"/>
    <cellStyle name="Normal 2 2 2 3 32 4 9" xfId="18682" xr:uid="{00000000-0005-0000-0000-0000D4480000}"/>
    <cellStyle name="Normal 2 2 2 3 32 5" xfId="18683" xr:uid="{00000000-0005-0000-0000-0000D5480000}"/>
    <cellStyle name="Normal 2 2 2 3 32 5 10" xfId="18684" xr:uid="{00000000-0005-0000-0000-0000D6480000}"/>
    <cellStyle name="Normal 2 2 2 3 32 5 2" xfId="18685" xr:uid="{00000000-0005-0000-0000-0000D7480000}"/>
    <cellStyle name="Normal 2 2 2 3 32 5 3" xfId="18686" xr:uid="{00000000-0005-0000-0000-0000D8480000}"/>
    <cellStyle name="Normal 2 2 2 3 32 5 4" xfId="18687" xr:uid="{00000000-0005-0000-0000-0000D9480000}"/>
    <cellStyle name="Normal 2 2 2 3 32 5 5" xfId="18688" xr:uid="{00000000-0005-0000-0000-0000DA480000}"/>
    <cellStyle name="Normal 2 2 2 3 32 5 6" xfId="18689" xr:uid="{00000000-0005-0000-0000-0000DB480000}"/>
    <cellStyle name="Normal 2 2 2 3 32 5 7" xfId="18690" xr:uid="{00000000-0005-0000-0000-0000DC480000}"/>
    <cellStyle name="Normal 2 2 2 3 32 5 8" xfId="18691" xr:uid="{00000000-0005-0000-0000-0000DD480000}"/>
    <cellStyle name="Normal 2 2 2 3 32 5 9" xfId="18692" xr:uid="{00000000-0005-0000-0000-0000DE480000}"/>
    <cellStyle name="Normal 2 2 2 3 32 6" xfId="18693" xr:uid="{00000000-0005-0000-0000-0000DF480000}"/>
    <cellStyle name="Normal 2 2 2 3 32 7" xfId="18694" xr:uid="{00000000-0005-0000-0000-0000E0480000}"/>
    <cellStyle name="Normal 2 2 2 3 32 8" xfId="18695" xr:uid="{00000000-0005-0000-0000-0000E1480000}"/>
    <cellStyle name="Normal 2 2 2 3 32 9" xfId="18696" xr:uid="{00000000-0005-0000-0000-0000E2480000}"/>
    <cellStyle name="Normal 2 2 2 3 33" xfId="18697" xr:uid="{00000000-0005-0000-0000-0000E3480000}"/>
    <cellStyle name="Normal 2 2 2 3 33 10" xfId="18698" xr:uid="{00000000-0005-0000-0000-0000E4480000}"/>
    <cellStyle name="Normal 2 2 2 3 33 11" xfId="18699" xr:uid="{00000000-0005-0000-0000-0000E5480000}"/>
    <cellStyle name="Normal 2 2 2 3 33 12" xfId="18700" xr:uid="{00000000-0005-0000-0000-0000E6480000}"/>
    <cellStyle name="Normal 2 2 2 3 33 13" xfId="18701" xr:uid="{00000000-0005-0000-0000-0000E7480000}"/>
    <cellStyle name="Normal 2 2 2 3 33 14" xfId="18702" xr:uid="{00000000-0005-0000-0000-0000E8480000}"/>
    <cellStyle name="Normal 2 2 2 3 33 2" xfId="18703" xr:uid="{00000000-0005-0000-0000-0000E9480000}"/>
    <cellStyle name="Normal 2 2 2 3 33 2 10" xfId="18704" xr:uid="{00000000-0005-0000-0000-0000EA480000}"/>
    <cellStyle name="Normal 2 2 2 3 33 2 2" xfId="18705" xr:uid="{00000000-0005-0000-0000-0000EB480000}"/>
    <cellStyle name="Normal 2 2 2 3 33 2 3" xfId="18706" xr:uid="{00000000-0005-0000-0000-0000EC480000}"/>
    <cellStyle name="Normal 2 2 2 3 33 2 4" xfId="18707" xr:uid="{00000000-0005-0000-0000-0000ED480000}"/>
    <cellStyle name="Normal 2 2 2 3 33 2 5" xfId="18708" xr:uid="{00000000-0005-0000-0000-0000EE480000}"/>
    <cellStyle name="Normal 2 2 2 3 33 2 6" xfId="18709" xr:uid="{00000000-0005-0000-0000-0000EF480000}"/>
    <cellStyle name="Normal 2 2 2 3 33 2 7" xfId="18710" xr:uid="{00000000-0005-0000-0000-0000F0480000}"/>
    <cellStyle name="Normal 2 2 2 3 33 2 8" xfId="18711" xr:uid="{00000000-0005-0000-0000-0000F1480000}"/>
    <cellStyle name="Normal 2 2 2 3 33 2 9" xfId="18712" xr:uid="{00000000-0005-0000-0000-0000F2480000}"/>
    <cellStyle name="Normal 2 2 2 3 33 3" xfId="18713" xr:uid="{00000000-0005-0000-0000-0000F3480000}"/>
    <cellStyle name="Normal 2 2 2 3 33 3 10" xfId="18714" xr:uid="{00000000-0005-0000-0000-0000F4480000}"/>
    <cellStyle name="Normal 2 2 2 3 33 3 2" xfId="18715" xr:uid="{00000000-0005-0000-0000-0000F5480000}"/>
    <cellStyle name="Normal 2 2 2 3 33 3 3" xfId="18716" xr:uid="{00000000-0005-0000-0000-0000F6480000}"/>
    <cellStyle name="Normal 2 2 2 3 33 3 4" xfId="18717" xr:uid="{00000000-0005-0000-0000-0000F7480000}"/>
    <cellStyle name="Normal 2 2 2 3 33 3 5" xfId="18718" xr:uid="{00000000-0005-0000-0000-0000F8480000}"/>
    <cellStyle name="Normal 2 2 2 3 33 3 6" xfId="18719" xr:uid="{00000000-0005-0000-0000-0000F9480000}"/>
    <cellStyle name="Normal 2 2 2 3 33 3 7" xfId="18720" xr:uid="{00000000-0005-0000-0000-0000FA480000}"/>
    <cellStyle name="Normal 2 2 2 3 33 3 8" xfId="18721" xr:uid="{00000000-0005-0000-0000-0000FB480000}"/>
    <cellStyle name="Normal 2 2 2 3 33 3 9" xfId="18722" xr:uid="{00000000-0005-0000-0000-0000FC480000}"/>
    <cellStyle name="Normal 2 2 2 3 33 4" xfId="18723" xr:uid="{00000000-0005-0000-0000-0000FD480000}"/>
    <cellStyle name="Normal 2 2 2 3 33 4 10" xfId="18724" xr:uid="{00000000-0005-0000-0000-0000FE480000}"/>
    <cellStyle name="Normal 2 2 2 3 33 4 2" xfId="18725" xr:uid="{00000000-0005-0000-0000-0000FF480000}"/>
    <cellStyle name="Normal 2 2 2 3 33 4 3" xfId="18726" xr:uid="{00000000-0005-0000-0000-000000490000}"/>
    <cellStyle name="Normal 2 2 2 3 33 4 4" xfId="18727" xr:uid="{00000000-0005-0000-0000-000001490000}"/>
    <cellStyle name="Normal 2 2 2 3 33 4 5" xfId="18728" xr:uid="{00000000-0005-0000-0000-000002490000}"/>
    <cellStyle name="Normal 2 2 2 3 33 4 6" xfId="18729" xr:uid="{00000000-0005-0000-0000-000003490000}"/>
    <cellStyle name="Normal 2 2 2 3 33 4 7" xfId="18730" xr:uid="{00000000-0005-0000-0000-000004490000}"/>
    <cellStyle name="Normal 2 2 2 3 33 4 8" xfId="18731" xr:uid="{00000000-0005-0000-0000-000005490000}"/>
    <cellStyle name="Normal 2 2 2 3 33 4 9" xfId="18732" xr:uid="{00000000-0005-0000-0000-000006490000}"/>
    <cellStyle name="Normal 2 2 2 3 33 5" xfId="18733" xr:uid="{00000000-0005-0000-0000-000007490000}"/>
    <cellStyle name="Normal 2 2 2 3 33 5 10" xfId="18734" xr:uid="{00000000-0005-0000-0000-000008490000}"/>
    <cellStyle name="Normal 2 2 2 3 33 5 2" xfId="18735" xr:uid="{00000000-0005-0000-0000-000009490000}"/>
    <cellStyle name="Normal 2 2 2 3 33 5 3" xfId="18736" xr:uid="{00000000-0005-0000-0000-00000A490000}"/>
    <cellStyle name="Normal 2 2 2 3 33 5 4" xfId="18737" xr:uid="{00000000-0005-0000-0000-00000B490000}"/>
    <cellStyle name="Normal 2 2 2 3 33 5 5" xfId="18738" xr:uid="{00000000-0005-0000-0000-00000C490000}"/>
    <cellStyle name="Normal 2 2 2 3 33 5 6" xfId="18739" xr:uid="{00000000-0005-0000-0000-00000D490000}"/>
    <cellStyle name="Normal 2 2 2 3 33 5 7" xfId="18740" xr:uid="{00000000-0005-0000-0000-00000E490000}"/>
    <cellStyle name="Normal 2 2 2 3 33 5 8" xfId="18741" xr:uid="{00000000-0005-0000-0000-00000F490000}"/>
    <cellStyle name="Normal 2 2 2 3 33 5 9" xfId="18742" xr:uid="{00000000-0005-0000-0000-000010490000}"/>
    <cellStyle name="Normal 2 2 2 3 33 6" xfId="18743" xr:uid="{00000000-0005-0000-0000-000011490000}"/>
    <cellStyle name="Normal 2 2 2 3 33 7" xfId="18744" xr:uid="{00000000-0005-0000-0000-000012490000}"/>
    <cellStyle name="Normal 2 2 2 3 33 8" xfId="18745" xr:uid="{00000000-0005-0000-0000-000013490000}"/>
    <cellStyle name="Normal 2 2 2 3 33 9" xfId="18746" xr:uid="{00000000-0005-0000-0000-000014490000}"/>
    <cellStyle name="Normal 2 2 2 3 34" xfId="18747" xr:uid="{00000000-0005-0000-0000-000015490000}"/>
    <cellStyle name="Normal 2 2 2 3 34 10" xfId="18748" xr:uid="{00000000-0005-0000-0000-000016490000}"/>
    <cellStyle name="Normal 2 2 2 3 34 2" xfId="18749" xr:uid="{00000000-0005-0000-0000-000017490000}"/>
    <cellStyle name="Normal 2 2 2 3 34 3" xfId="18750" xr:uid="{00000000-0005-0000-0000-000018490000}"/>
    <cellStyle name="Normal 2 2 2 3 34 4" xfId="18751" xr:uid="{00000000-0005-0000-0000-000019490000}"/>
    <cellStyle name="Normal 2 2 2 3 34 5" xfId="18752" xr:uid="{00000000-0005-0000-0000-00001A490000}"/>
    <cellStyle name="Normal 2 2 2 3 34 6" xfId="18753" xr:uid="{00000000-0005-0000-0000-00001B490000}"/>
    <cellStyle name="Normal 2 2 2 3 34 7" xfId="18754" xr:uid="{00000000-0005-0000-0000-00001C490000}"/>
    <cellStyle name="Normal 2 2 2 3 34 8" xfId="18755" xr:uid="{00000000-0005-0000-0000-00001D490000}"/>
    <cellStyle name="Normal 2 2 2 3 34 9" xfId="18756" xr:uid="{00000000-0005-0000-0000-00001E490000}"/>
    <cellStyle name="Normal 2 2 2 3 35" xfId="18757" xr:uid="{00000000-0005-0000-0000-00001F490000}"/>
    <cellStyle name="Normal 2 2 2 3 35 10" xfId="18758" xr:uid="{00000000-0005-0000-0000-000020490000}"/>
    <cellStyle name="Normal 2 2 2 3 35 2" xfId="18759" xr:uid="{00000000-0005-0000-0000-000021490000}"/>
    <cellStyle name="Normal 2 2 2 3 35 3" xfId="18760" xr:uid="{00000000-0005-0000-0000-000022490000}"/>
    <cellStyle name="Normal 2 2 2 3 35 4" xfId="18761" xr:uid="{00000000-0005-0000-0000-000023490000}"/>
    <cellStyle name="Normal 2 2 2 3 35 5" xfId="18762" xr:uid="{00000000-0005-0000-0000-000024490000}"/>
    <cellStyle name="Normal 2 2 2 3 35 6" xfId="18763" xr:uid="{00000000-0005-0000-0000-000025490000}"/>
    <cellStyle name="Normal 2 2 2 3 35 7" xfId="18764" xr:uid="{00000000-0005-0000-0000-000026490000}"/>
    <cellStyle name="Normal 2 2 2 3 35 8" xfId="18765" xr:uid="{00000000-0005-0000-0000-000027490000}"/>
    <cellStyle name="Normal 2 2 2 3 35 9" xfId="18766" xr:uid="{00000000-0005-0000-0000-000028490000}"/>
    <cellStyle name="Normal 2 2 2 3 36" xfId="18767" xr:uid="{00000000-0005-0000-0000-000029490000}"/>
    <cellStyle name="Normal 2 2 2 3 36 10" xfId="18768" xr:uid="{00000000-0005-0000-0000-00002A490000}"/>
    <cellStyle name="Normal 2 2 2 3 36 2" xfId="18769" xr:uid="{00000000-0005-0000-0000-00002B490000}"/>
    <cellStyle name="Normal 2 2 2 3 36 3" xfId="18770" xr:uid="{00000000-0005-0000-0000-00002C490000}"/>
    <cellStyle name="Normal 2 2 2 3 36 4" xfId="18771" xr:uid="{00000000-0005-0000-0000-00002D490000}"/>
    <cellStyle name="Normal 2 2 2 3 36 5" xfId="18772" xr:uid="{00000000-0005-0000-0000-00002E490000}"/>
    <cellStyle name="Normal 2 2 2 3 36 6" xfId="18773" xr:uid="{00000000-0005-0000-0000-00002F490000}"/>
    <cellStyle name="Normal 2 2 2 3 36 7" xfId="18774" xr:uid="{00000000-0005-0000-0000-000030490000}"/>
    <cellStyle name="Normal 2 2 2 3 36 8" xfId="18775" xr:uid="{00000000-0005-0000-0000-000031490000}"/>
    <cellStyle name="Normal 2 2 2 3 36 9" xfId="18776" xr:uid="{00000000-0005-0000-0000-000032490000}"/>
    <cellStyle name="Normal 2 2 2 3 37" xfId="18777" xr:uid="{00000000-0005-0000-0000-000033490000}"/>
    <cellStyle name="Normal 2 2 2 3 37 10" xfId="18778" xr:uid="{00000000-0005-0000-0000-000034490000}"/>
    <cellStyle name="Normal 2 2 2 3 37 2" xfId="18779" xr:uid="{00000000-0005-0000-0000-000035490000}"/>
    <cellStyle name="Normal 2 2 2 3 37 3" xfId="18780" xr:uid="{00000000-0005-0000-0000-000036490000}"/>
    <cellStyle name="Normal 2 2 2 3 37 4" xfId="18781" xr:uid="{00000000-0005-0000-0000-000037490000}"/>
    <cellStyle name="Normal 2 2 2 3 37 5" xfId="18782" xr:uid="{00000000-0005-0000-0000-000038490000}"/>
    <cellStyle name="Normal 2 2 2 3 37 6" xfId="18783" xr:uid="{00000000-0005-0000-0000-000039490000}"/>
    <cellStyle name="Normal 2 2 2 3 37 7" xfId="18784" xr:uid="{00000000-0005-0000-0000-00003A490000}"/>
    <cellStyle name="Normal 2 2 2 3 37 8" xfId="18785" xr:uid="{00000000-0005-0000-0000-00003B490000}"/>
    <cellStyle name="Normal 2 2 2 3 37 9" xfId="18786" xr:uid="{00000000-0005-0000-0000-00003C490000}"/>
    <cellStyle name="Normal 2 2 2 3 38" xfId="18787" xr:uid="{00000000-0005-0000-0000-00003D490000}"/>
    <cellStyle name="Normal 2 2 2 3 39" xfId="18788" xr:uid="{00000000-0005-0000-0000-00003E490000}"/>
    <cellStyle name="Normal 2 2 2 3 4" xfId="18789" xr:uid="{00000000-0005-0000-0000-00003F490000}"/>
    <cellStyle name="Normal 2 2 2 3 4 10" xfId="18790" xr:uid="{00000000-0005-0000-0000-000040490000}"/>
    <cellStyle name="Normal 2 2 2 3 4 11" xfId="18791" xr:uid="{00000000-0005-0000-0000-000041490000}"/>
    <cellStyle name="Normal 2 2 2 3 4 12" xfId="18792" xr:uid="{00000000-0005-0000-0000-000042490000}"/>
    <cellStyle name="Normal 2 2 2 3 4 13" xfId="18793" xr:uid="{00000000-0005-0000-0000-000043490000}"/>
    <cellStyle name="Normal 2 2 2 3 4 14" xfId="18794" xr:uid="{00000000-0005-0000-0000-000044490000}"/>
    <cellStyle name="Normal 2 2 2 3 4 15" xfId="18795" xr:uid="{00000000-0005-0000-0000-000045490000}"/>
    <cellStyle name="Normal 2 2 2 3 4 16" xfId="18796" xr:uid="{00000000-0005-0000-0000-000046490000}"/>
    <cellStyle name="Normal 2 2 2 3 4 2" xfId="18797" xr:uid="{00000000-0005-0000-0000-000047490000}"/>
    <cellStyle name="Normal 2 2 2 3 4 2 10" xfId="18798" xr:uid="{00000000-0005-0000-0000-000048490000}"/>
    <cellStyle name="Normal 2 2 2 3 4 2 2" xfId="18799" xr:uid="{00000000-0005-0000-0000-000049490000}"/>
    <cellStyle name="Normal 2 2 2 3 4 2 3" xfId="18800" xr:uid="{00000000-0005-0000-0000-00004A490000}"/>
    <cellStyle name="Normal 2 2 2 3 4 2 4" xfId="18801" xr:uid="{00000000-0005-0000-0000-00004B490000}"/>
    <cellStyle name="Normal 2 2 2 3 4 2 5" xfId="18802" xr:uid="{00000000-0005-0000-0000-00004C490000}"/>
    <cellStyle name="Normal 2 2 2 3 4 2 6" xfId="18803" xr:uid="{00000000-0005-0000-0000-00004D490000}"/>
    <cellStyle name="Normal 2 2 2 3 4 2 7" xfId="18804" xr:uid="{00000000-0005-0000-0000-00004E490000}"/>
    <cellStyle name="Normal 2 2 2 3 4 2 8" xfId="18805" xr:uid="{00000000-0005-0000-0000-00004F490000}"/>
    <cellStyle name="Normal 2 2 2 3 4 2 9" xfId="18806" xr:uid="{00000000-0005-0000-0000-000050490000}"/>
    <cellStyle name="Normal 2 2 2 3 4 3" xfId="18807" xr:uid="{00000000-0005-0000-0000-000051490000}"/>
    <cellStyle name="Normal 2 2 2 3 4 3 10" xfId="18808" xr:uid="{00000000-0005-0000-0000-000052490000}"/>
    <cellStyle name="Normal 2 2 2 3 4 3 2" xfId="18809" xr:uid="{00000000-0005-0000-0000-000053490000}"/>
    <cellStyle name="Normal 2 2 2 3 4 3 3" xfId="18810" xr:uid="{00000000-0005-0000-0000-000054490000}"/>
    <cellStyle name="Normal 2 2 2 3 4 3 4" xfId="18811" xr:uid="{00000000-0005-0000-0000-000055490000}"/>
    <cellStyle name="Normal 2 2 2 3 4 3 5" xfId="18812" xr:uid="{00000000-0005-0000-0000-000056490000}"/>
    <cellStyle name="Normal 2 2 2 3 4 3 6" xfId="18813" xr:uid="{00000000-0005-0000-0000-000057490000}"/>
    <cellStyle name="Normal 2 2 2 3 4 3 7" xfId="18814" xr:uid="{00000000-0005-0000-0000-000058490000}"/>
    <cellStyle name="Normal 2 2 2 3 4 3 8" xfId="18815" xr:uid="{00000000-0005-0000-0000-000059490000}"/>
    <cellStyle name="Normal 2 2 2 3 4 3 9" xfId="18816" xr:uid="{00000000-0005-0000-0000-00005A490000}"/>
    <cellStyle name="Normal 2 2 2 3 4 4" xfId="18817" xr:uid="{00000000-0005-0000-0000-00005B490000}"/>
    <cellStyle name="Normal 2 2 2 3 4 4 10" xfId="18818" xr:uid="{00000000-0005-0000-0000-00005C490000}"/>
    <cellStyle name="Normal 2 2 2 3 4 4 2" xfId="18819" xr:uid="{00000000-0005-0000-0000-00005D490000}"/>
    <cellStyle name="Normal 2 2 2 3 4 4 3" xfId="18820" xr:uid="{00000000-0005-0000-0000-00005E490000}"/>
    <cellStyle name="Normal 2 2 2 3 4 4 4" xfId="18821" xr:uid="{00000000-0005-0000-0000-00005F490000}"/>
    <cellStyle name="Normal 2 2 2 3 4 4 5" xfId="18822" xr:uid="{00000000-0005-0000-0000-000060490000}"/>
    <cellStyle name="Normal 2 2 2 3 4 4 6" xfId="18823" xr:uid="{00000000-0005-0000-0000-000061490000}"/>
    <cellStyle name="Normal 2 2 2 3 4 4 7" xfId="18824" xr:uid="{00000000-0005-0000-0000-000062490000}"/>
    <cellStyle name="Normal 2 2 2 3 4 4 8" xfId="18825" xr:uid="{00000000-0005-0000-0000-000063490000}"/>
    <cellStyle name="Normal 2 2 2 3 4 4 9" xfId="18826" xr:uid="{00000000-0005-0000-0000-000064490000}"/>
    <cellStyle name="Normal 2 2 2 3 4 5" xfId="18827" xr:uid="{00000000-0005-0000-0000-000065490000}"/>
    <cellStyle name="Normal 2 2 2 3 4 5 10" xfId="18828" xr:uid="{00000000-0005-0000-0000-000066490000}"/>
    <cellStyle name="Normal 2 2 2 3 4 5 2" xfId="18829" xr:uid="{00000000-0005-0000-0000-000067490000}"/>
    <cellStyle name="Normal 2 2 2 3 4 5 3" xfId="18830" xr:uid="{00000000-0005-0000-0000-000068490000}"/>
    <cellStyle name="Normal 2 2 2 3 4 5 4" xfId="18831" xr:uid="{00000000-0005-0000-0000-000069490000}"/>
    <cellStyle name="Normal 2 2 2 3 4 5 5" xfId="18832" xr:uid="{00000000-0005-0000-0000-00006A490000}"/>
    <cellStyle name="Normal 2 2 2 3 4 5 6" xfId="18833" xr:uid="{00000000-0005-0000-0000-00006B490000}"/>
    <cellStyle name="Normal 2 2 2 3 4 5 7" xfId="18834" xr:uid="{00000000-0005-0000-0000-00006C490000}"/>
    <cellStyle name="Normal 2 2 2 3 4 5 8" xfId="18835" xr:uid="{00000000-0005-0000-0000-00006D490000}"/>
    <cellStyle name="Normal 2 2 2 3 4 5 9" xfId="18836" xr:uid="{00000000-0005-0000-0000-00006E490000}"/>
    <cellStyle name="Normal 2 2 2 3 4 6" xfId="18837" xr:uid="{00000000-0005-0000-0000-00006F490000}"/>
    <cellStyle name="Normal 2 2 2 3 4 7" xfId="18838" xr:uid="{00000000-0005-0000-0000-000070490000}"/>
    <cellStyle name="Normal 2 2 2 3 4 8" xfId="18839" xr:uid="{00000000-0005-0000-0000-000071490000}"/>
    <cellStyle name="Normal 2 2 2 3 4 9" xfId="18840" xr:uid="{00000000-0005-0000-0000-000072490000}"/>
    <cellStyle name="Normal 2 2 2 3 40" xfId="18841" xr:uid="{00000000-0005-0000-0000-000073490000}"/>
    <cellStyle name="Normal 2 2 2 3 41" xfId="18842" xr:uid="{00000000-0005-0000-0000-000074490000}"/>
    <cellStyle name="Normal 2 2 2 3 42" xfId="18843" xr:uid="{00000000-0005-0000-0000-000075490000}"/>
    <cellStyle name="Normal 2 2 2 3 43" xfId="18844" xr:uid="{00000000-0005-0000-0000-000076490000}"/>
    <cellStyle name="Normal 2 2 2 3 44" xfId="18845" xr:uid="{00000000-0005-0000-0000-000077490000}"/>
    <cellStyle name="Normal 2 2 2 3 45" xfId="18846" xr:uid="{00000000-0005-0000-0000-000078490000}"/>
    <cellStyle name="Normal 2 2 2 3 46" xfId="18847" xr:uid="{00000000-0005-0000-0000-000079490000}"/>
    <cellStyle name="Normal 2 2 2 3 47" xfId="18848" xr:uid="{00000000-0005-0000-0000-00007A490000}"/>
    <cellStyle name="Normal 2 2 2 3 48" xfId="18849" xr:uid="{00000000-0005-0000-0000-00007B490000}"/>
    <cellStyle name="Normal 2 2 2 3 49" xfId="30" xr:uid="{00000000-0005-0000-0000-00007C490000}"/>
    <cellStyle name="Normal 2 2 2 3 5" xfId="18850" xr:uid="{00000000-0005-0000-0000-00007D490000}"/>
    <cellStyle name="Normal 2 2 2 3 5 10" xfId="18851" xr:uid="{00000000-0005-0000-0000-00007E490000}"/>
    <cellStyle name="Normal 2 2 2 3 5 11" xfId="18852" xr:uid="{00000000-0005-0000-0000-00007F490000}"/>
    <cellStyle name="Normal 2 2 2 3 5 12" xfId="18853" xr:uid="{00000000-0005-0000-0000-000080490000}"/>
    <cellStyle name="Normal 2 2 2 3 5 13" xfId="18854" xr:uid="{00000000-0005-0000-0000-000081490000}"/>
    <cellStyle name="Normal 2 2 2 3 5 14" xfId="18855" xr:uid="{00000000-0005-0000-0000-000082490000}"/>
    <cellStyle name="Normal 2 2 2 3 5 15" xfId="18856" xr:uid="{00000000-0005-0000-0000-000083490000}"/>
    <cellStyle name="Normal 2 2 2 3 5 2" xfId="18857" xr:uid="{00000000-0005-0000-0000-000084490000}"/>
    <cellStyle name="Normal 2 2 2 3 5 2 10" xfId="18858" xr:uid="{00000000-0005-0000-0000-000085490000}"/>
    <cellStyle name="Normal 2 2 2 3 5 2 2" xfId="18859" xr:uid="{00000000-0005-0000-0000-000086490000}"/>
    <cellStyle name="Normal 2 2 2 3 5 2 3" xfId="18860" xr:uid="{00000000-0005-0000-0000-000087490000}"/>
    <cellStyle name="Normal 2 2 2 3 5 2 4" xfId="18861" xr:uid="{00000000-0005-0000-0000-000088490000}"/>
    <cellStyle name="Normal 2 2 2 3 5 2 5" xfId="18862" xr:uid="{00000000-0005-0000-0000-000089490000}"/>
    <cellStyle name="Normal 2 2 2 3 5 2 6" xfId="18863" xr:uid="{00000000-0005-0000-0000-00008A490000}"/>
    <cellStyle name="Normal 2 2 2 3 5 2 7" xfId="18864" xr:uid="{00000000-0005-0000-0000-00008B490000}"/>
    <cellStyle name="Normal 2 2 2 3 5 2 8" xfId="18865" xr:uid="{00000000-0005-0000-0000-00008C490000}"/>
    <cellStyle name="Normal 2 2 2 3 5 2 9" xfId="18866" xr:uid="{00000000-0005-0000-0000-00008D490000}"/>
    <cellStyle name="Normal 2 2 2 3 5 3" xfId="18867" xr:uid="{00000000-0005-0000-0000-00008E490000}"/>
    <cellStyle name="Normal 2 2 2 3 5 3 10" xfId="18868" xr:uid="{00000000-0005-0000-0000-00008F490000}"/>
    <cellStyle name="Normal 2 2 2 3 5 3 2" xfId="18869" xr:uid="{00000000-0005-0000-0000-000090490000}"/>
    <cellStyle name="Normal 2 2 2 3 5 3 3" xfId="18870" xr:uid="{00000000-0005-0000-0000-000091490000}"/>
    <cellStyle name="Normal 2 2 2 3 5 3 4" xfId="18871" xr:uid="{00000000-0005-0000-0000-000092490000}"/>
    <cellStyle name="Normal 2 2 2 3 5 3 5" xfId="18872" xr:uid="{00000000-0005-0000-0000-000093490000}"/>
    <cellStyle name="Normal 2 2 2 3 5 3 6" xfId="18873" xr:uid="{00000000-0005-0000-0000-000094490000}"/>
    <cellStyle name="Normal 2 2 2 3 5 3 7" xfId="18874" xr:uid="{00000000-0005-0000-0000-000095490000}"/>
    <cellStyle name="Normal 2 2 2 3 5 3 8" xfId="18875" xr:uid="{00000000-0005-0000-0000-000096490000}"/>
    <cellStyle name="Normal 2 2 2 3 5 3 9" xfId="18876" xr:uid="{00000000-0005-0000-0000-000097490000}"/>
    <cellStyle name="Normal 2 2 2 3 5 4" xfId="18877" xr:uid="{00000000-0005-0000-0000-000098490000}"/>
    <cellStyle name="Normal 2 2 2 3 5 4 10" xfId="18878" xr:uid="{00000000-0005-0000-0000-000099490000}"/>
    <cellStyle name="Normal 2 2 2 3 5 4 2" xfId="18879" xr:uid="{00000000-0005-0000-0000-00009A490000}"/>
    <cellStyle name="Normal 2 2 2 3 5 4 3" xfId="18880" xr:uid="{00000000-0005-0000-0000-00009B490000}"/>
    <cellStyle name="Normal 2 2 2 3 5 4 4" xfId="18881" xr:uid="{00000000-0005-0000-0000-00009C490000}"/>
    <cellStyle name="Normal 2 2 2 3 5 4 5" xfId="18882" xr:uid="{00000000-0005-0000-0000-00009D490000}"/>
    <cellStyle name="Normal 2 2 2 3 5 4 6" xfId="18883" xr:uid="{00000000-0005-0000-0000-00009E490000}"/>
    <cellStyle name="Normal 2 2 2 3 5 4 7" xfId="18884" xr:uid="{00000000-0005-0000-0000-00009F490000}"/>
    <cellStyle name="Normal 2 2 2 3 5 4 8" xfId="18885" xr:uid="{00000000-0005-0000-0000-0000A0490000}"/>
    <cellStyle name="Normal 2 2 2 3 5 4 9" xfId="18886" xr:uid="{00000000-0005-0000-0000-0000A1490000}"/>
    <cellStyle name="Normal 2 2 2 3 5 5" xfId="18887" xr:uid="{00000000-0005-0000-0000-0000A2490000}"/>
    <cellStyle name="Normal 2 2 2 3 5 5 10" xfId="18888" xr:uid="{00000000-0005-0000-0000-0000A3490000}"/>
    <cellStyle name="Normal 2 2 2 3 5 5 2" xfId="18889" xr:uid="{00000000-0005-0000-0000-0000A4490000}"/>
    <cellStyle name="Normal 2 2 2 3 5 5 3" xfId="18890" xr:uid="{00000000-0005-0000-0000-0000A5490000}"/>
    <cellStyle name="Normal 2 2 2 3 5 5 4" xfId="18891" xr:uid="{00000000-0005-0000-0000-0000A6490000}"/>
    <cellStyle name="Normal 2 2 2 3 5 5 5" xfId="18892" xr:uid="{00000000-0005-0000-0000-0000A7490000}"/>
    <cellStyle name="Normal 2 2 2 3 5 5 6" xfId="18893" xr:uid="{00000000-0005-0000-0000-0000A8490000}"/>
    <cellStyle name="Normal 2 2 2 3 5 5 7" xfId="18894" xr:uid="{00000000-0005-0000-0000-0000A9490000}"/>
    <cellStyle name="Normal 2 2 2 3 5 5 8" xfId="18895" xr:uid="{00000000-0005-0000-0000-0000AA490000}"/>
    <cellStyle name="Normal 2 2 2 3 5 5 9" xfId="18896" xr:uid="{00000000-0005-0000-0000-0000AB490000}"/>
    <cellStyle name="Normal 2 2 2 3 5 6" xfId="18897" xr:uid="{00000000-0005-0000-0000-0000AC490000}"/>
    <cellStyle name="Normal 2 2 2 3 5 7" xfId="18898" xr:uid="{00000000-0005-0000-0000-0000AD490000}"/>
    <cellStyle name="Normal 2 2 2 3 5 8" xfId="18899" xr:uid="{00000000-0005-0000-0000-0000AE490000}"/>
    <cellStyle name="Normal 2 2 2 3 5 9" xfId="18900" xr:uid="{00000000-0005-0000-0000-0000AF490000}"/>
    <cellStyle name="Normal 2 2 2 3 6" xfId="18901" xr:uid="{00000000-0005-0000-0000-0000B0490000}"/>
    <cellStyle name="Normal 2 2 2 3 6 10" xfId="18902" xr:uid="{00000000-0005-0000-0000-0000B1490000}"/>
    <cellStyle name="Normal 2 2 2 3 6 11" xfId="18903" xr:uid="{00000000-0005-0000-0000-0000B2490000}"/>
    <cellStyle name="Normal 2 2 2 3 6 12" xfId="18904" xr:uid="{00000000-0005-0000-0000-0000B3490000}"/>
    <cellStyle name="Normal 2 2 2 3 6 13" xfId="18905" xr:uid="{00000000-0005-0000-0000-0000B4490000}"/>
    <cellStyle name="Normal 2 2 2 3 6 14" xfId="18906" xr:uid="{00000000-0005-0000-0000-0000B5490000}"/>
    <cellStyle name="Normal 2 2 2 3 6 15" xfId="18907" xr:uid="{00000000-0005-0000-0000-0000B6490000}"/>
    <cellStyle name="Normal 2 2 2 3 6 2" xfId="18908" xr:uid="{00000000-0005-0000-0000-0000B7490000}"/>
    <cellStyle name="Normal 2 2 2 3 6 2 10" xfId="18909" xr:uid="{00000000-0005-0000-0000-0000B8490000}"/>
    <cellStyle name="Normal 2 2 2 3 6 2 2" xfId="18910" xr:uid="{00000000-0005-0000-0000-0000B9490000}"/>
    <cellStyle name="Normal 2 2 2 3 6 2 3" xfId="18911" xr:uid="{00000000-0005-0000-0000-0000BA490000}"/>
    <cellStyle name="Normal 2 2 2 3 6 2 4" xfId="18912" xr:uid="{00000000-0005-0000-0000-0000BB490000}"/>
    <cellStyle name="Normal 2 2 2 3 6 2 5" xfId="18913" xr:uid="{00000000-0005-0000-0000-0000BC490000}"/>
    <cellStyle name="Normal 2 2 2 3 6 2 6" xfId="18914" xr:uid="{00000000-0005-0000-0000-0000BD490000}"/>
    <cellStyle name="Normal 2 2 2 3 6 2 7" xfId="18915" xr:uid="{00000000-0005-0000-0000-0000BE490000}"/>
    <cellStyle name="Normal 2 2 2 3 6 2 8" xfId="18916" xr:uid="{00000000-0005-0000-0000-0000BF490000}"/>
    <cellStyle name="Normal 2 2 2 3 6 2 9" xfId="18917" xr:uid="{00000000-0005-0000-0000-0000C0490000}"/>
    <cellStyle name="Normal 2 2 2 3 6 3" xfId="18918" xr:uid="{00000000-0005-0000-0000-0000C1490000}"/>
    <cellStyle name="Normal 2 2 2 3 6 3 10" xfId="18919" xr:uid="{00000000-0005-0000-0000-0000C2490000}"/>
    <cellStyle name="Normal 2 2 2 3 6 3 2" xfId="18920" xr:uid="{00000000-0005-0000-0000-0000C3490000}"/>
    <cellStyle name="Normal 2 2 2 3 6 3 3" xfId="18921" xr:uid="{00000000-0005-0000-0000-0000C4490000}"/>
    <cellStyle name="Normal 2 2 2 3 6 3 4" xfId="18922" xr:uid="{00000000-0005-0000-0000-0000C5490000}"/>
    <cellStyle name="Normal 2 2 2 3 6 3 5" xfId="18923" xr:uid="{00000000-0005-0000-0000-0000C6490000}"/>
    <cellStyle name="Normal 2 2 2 3 6 3 6" xfId="18924" xr:uid="{00000000-0005-0000-0000-0000C7490000}"/>
    <cellStyle name="Normal 2 2 2 3 6 3 7" xfId="18925" xr:uid="{00000000-0005-0000-0000-0000C8490000}"/>
    <cellStyle name="Normal 2 2 2 3 6 3 8" xfId="18926" xr:uid="{00000000-0005-0000-0000-0000C9490000}"/>
    <cellStyle name="Normal 2 2 2 3 6 3 9" xfId="18927" xr:uid="{00000000-0005-0000-0000-0000CA490000}"/>
    <cellStyle name="Normal 2 2 2 3 6 4" xfId="18928" xr:uid="{00000000-0005-0000-0000-0000CB490000}"/>
    <cellStyle name="Normal 2 2 2 3 6 4 10" xfId="18929" xr:uid="{00000000-0005-0000-0000-0000CC490000}"/>
    <cellStyle name="Normal 2 2 2 3 6 4 2" xfId="18930" xr:uid="{00000000-0005-0000-0000-0000CD490000}"/>
    <cellStyle name="Normal 2 2 2 3 6 4 3" xfId="18931" xr:uid="{00000000-0005-0000-0000-0000CE490000}"/>
    <cellStyle name="Normal 2 2 2 3 6 4 4" xfId="18932" xr:uid="{00000000-0005-0000-0000-0000CF490000}"/>
    <cellStyle name="Normal 2 2 2 3 6 4 5" xfId="18933" xr:uid="{00000000-0005-0000-0000-0000D0490000}"/>
    <cellStyle name="Normal 2 2 2 3 6 4 6" xfId="18934" xr:uid="{00000000-0005-0000-0000-0000D1490000}"/>
    <cellStyle name="Normal 2 2 2 3 6 4 7" xfId="18935" xr:uid="{00000000-0005-0000-0000-0000D2490000}"/>
    <cellStyle name="Normal 2 2 2 3 6 4 8" xfId="18936" xr:uid="{00000000-0005-0000-0000-0000D3490000}"/>
    <cellStyle name="Normal 2 2 2 3 6 4 9" xfId="18937" xr:uid="{00000000-0005-0000-0000-0000D4490000}"/>
    <cellStyle name="Normal 2 2 2 3 6 5" xfId="18938" xr:uid="{00000000-0005-0000-0000-0000D5490000}"/>
    <cellStyle name="Normal 2 2 2 3 6 5 10" xfId="18939" xr:uid="{00000000-0005-0000-0000-0000D6490000}"/>
    <cellStyle name="Normal 2 2 2 3 6 5 2" xfId="18940" xr:uid="{00000000-0005-0000-0000-0000D7490000}"/>
    <cellStyle name="Normal 2 2 2 3 6 5 3" xfId="18941" xr:uid="{00000000-0005-0000-0000-0000D8490000}"/>
    <cellStyle name="Normal 2 2 2 3 6 5 4" xfId="18942" xr:uid="{00000000-0005-0000-0000-0000D9490000}"/>
    <cellStyle name="Normal 2 2 2 3 6 5 5" xfId="18943" xr:uid="{00000000-0005-0000-0000-0000DA490000}"/>
    <cellStyle name="Normal 2 2 2 3 6 5 6" xfId="18944" xr:uid="{00000000-0005-0000-0000-0000DB490000}"/>
    <cellStyle name="Normal 2 2 2 3 6 5 7" xfId="18945" xr:uid="{00000000-0005-0000-0000-0000DC490000}"/>
    <cellStyle name="Normal 2 2 2 3 6 5 8" xfId="18946" xr:uid="{00000000-0005-0000-0000-0000DD490000}"/>
    <cellStyle name="Normal 2 2 2 3 6 5 9" xfId="18947" xr:uid="{00000000-0005-0000-0000-0000DE490000}"/>
    <cellStyle name="Normal 2 2 2 3 6 6" xfId="18948" xr:uid="{00000000-0005-0000-0000-0000DF490000}"/>
    <cellStyle name="Normal 2 2 2 3 6 7" xfId="18949" xr:uid="{00000000-0005-0000-0000-0000E0490000}"/>
    <cellStyle name="Normal 2 2 2 3 6 8" xfId="18950" xr:uid="{00000000-0005-0000-0000-0000E1490000}"/>
    <cellStyle name="Normal 2 2 2 3 6 9" xfId="18951" xr:uid="{00000000-0005-0000-0000-0000E2490000}"/>
    <cellStyle name="Normal 2 2 2 3 7" xfId="18952" xr:uid="{00000000-0005-0000-0000-0000E3490000}"/>
    <cellStyle name="Normal 2 2 2 3 7 10" xfId="18953" xr:uid="{00000000-0005-0000-0000-0000E4490000}"/>
    <cellStyle name="Normal 2 2 2 3 7 11" xfId="18954" xr:uid="{00000000-0005-0000-0000-0000E5490000}"/>
    <cellStyle name="Normal 2 2 2 3 7 12" xfId="18955" xr:uid="{00000000-0005-0000-0000-0000E6490000}"/>
    <cellStyle name="Normal 2 2 2 3 7 13" xfId="18956" xr:uid="{00000000-0005-0000-0000-0000E7490000}"/>
    <cellStyle name="Normal 2 2 2 3 7 14" xfId="18957" xr:uid="{00000000-0005-0000-0000-0000E8490000}"/>
    <cellStyle name="Normal 2 2 2 3 7 15" xfId="18958" xr:uid="{00000000-0005-0000-0000-0000E9490000}"/>
    <cellStyle name="Normal 2 2 2 3 7 2" xfId="18959" xr:uid="{00000000-0005-0000-0000-0000EA490000}"/>
    <cellStyle name="Normal 2 2 2 3 7 2 10" xfId="18960" xr:uid="{00000000-0005-0000-0000-0000EB490000}"/>
    <cellStyle name="Normal 2 2 2 3 7 2 2" xfId="18961" xr:uid="{00000000-0005-0000-0000-0000EC490000}"/>
    <cellStyle name="Normal 2 2 2 3 7 2 3" xfId="18962" xr:uid="{00000000-0005-0000-0000-0000ED490000}"/>
    <cellStyle name="Normal 2 2 2 3 7 2 4" xfId="18963" xr:uid="{00000000-0005-0000-0000-0000EE490000}"/>
    <cellStyle name="Normal 2 2 2 3 7 2 5" xfId="18964" xr:uid="{00000000-0005-0000-0000-0000EF490000}"/>
    <cellStyle name="Normal 2 2 2 3 7 2 6" xfId="18965" xr:uid="{00000000-0005-0000-0000-0000F0490000}"/>
    <cellStyle name="Normal 2 2 2 3 7 2 7" xfId="18966" xr:uid="{00000000-0005-0000-0000-0000F1490000}"/>
    <cellStyle name="Normal 2 2 2 3 7 2 8" xfId="18967" xr:uid="{00000000-0005-0000-0000-0000F2490000}"/>
    <cellStyle name="Normal 2 2 2 3 7 2 9" xfId="18968" xr:uid="{00000000-0005-0000-0000-0000F3490000}"/>
    <cellStyle name="Normal 2 2 2 3 7 3" xfId="18969" xr:uid="{00000000-0005-0000-0000-0000F4490000}"/>
    <cellStyle name="Normal 2 2 2 3 7 3 10" xfId="18970" xr:uid="{00000000-0005-0000-0000-0000F5490000}"/>
    <cellStyle name="Normal 2 2 2 3 7 3 2" xfId="18971" xr:uid="{00000000-0005-0000-0000-0000F6490000}"/>
    <cellStyle name="Normal 2 2 2 3 7 3 3" xfId="18972" xr:uid="{00000000-0005-0000-0000-0000F7490000}"/>
    <cellStyle name="Normal 2 2 2 3 7 3 4" xfId="18973" xr:uid="{00000000-0005-0000-0000-0000F8490000}"/>
    <cellStyle name="Normal 2 2 2 3 7 3 5" xfId="18974" xr:uid="{00000000-0005-0000-0000-0000F9490000}"/>
    <cellStyle name="Normal 2 2 2 3 7 3 6" xfId="18975" xr:uid="{00000000-0005-0000-0000-0000FA490000}"/>
    <cellStyle name="Normal 2 2 2 3 7 3 7" xfId="18976" xr:uid="{00000000-0005-0000-0000-0000FB490000}"/>
    <cellStyle name="Normal 2 2 2 3 7 3 8" xfId="18977" xr:uid="{00000000-0005-0000-0000-0000FC490000}"/>
    <cellStyle name="Normal 2 2 2 3 7 3 9" xfId="18978" xr:uid="{00000000-0005-0000-0000-0000FD490000}"/>
    <cellStyle name="Normal 2 2 2 3 7 4" xfId="18979" xr:uid="{00000000-0005-0000-0000-0000FE490000}"/>
    <cellStyle name="Normal 2 2 2 3 7 4 10" xfId="18980" xr:uid="{00000000-0005-0000-0000-0000FF490000}"/>
    <cellStyle name="Normal 2 2 2 3 7 4 2" xfId="18981" xr:uid="{00000000-0005-0000-0000-0000004A0000}"/>
    <cellStyle name="Normal 2 2 2 3 7 4 3" xfId="18982" xr:uid="{00000000-0005-0000-0000-0000014A0000}"/>
    <cellStyle name="Normal 2 2 2 3 7 4 4" xfId="18983" xr:uid="{00000000-0005-0000-0000-0000024A0000}"/>
    <cellStyle name="Normal 2 2 2 3 7 4 5" xfId="18984" xr:uid="{00000000-0005-0000-0000-0000034A0000}"/>
    <cellStyle name="Normal 2 2 2 3 7 4 6" xfId="18985" xr:uid="{00000000-0005-0000-0000-0000044A0000}"/>
    <cellStyle name="Normal 2 2 2 3 7 4 7" xfId="18986" xr:uid="{00000000-0005-0000-0000-0000054A0000}"/>
    <cellStyle name="Normal 2 2 2 3 7 4 8" xfId="18987" xr:uid="{00000000-0005-0000-0000-0000064A0000}"/>
    <cellStyle name="Normal 2 2 2 3 7 4 9" xfId="18988" xr:uid="{00000000-0005-0000-0000-0000074A0000}"/>
    <cellStyle name="Normal 2 2 2 3 7 5" xfId="18989" xr:uid="{00000000-0005-0000-0000-0000084A0000}"/>
    <cellStyle name="Normal 2 2 2 3 7 5 10" xfId="18990" xr:uid="{00000000-0005-0000-0000-0000094A0000}"/>
    <cellStyle name="Normal 2 2 2 3 7 5 2" xfId="18991" xr:uid="{00000000-0005-0000-0000-00000A4A0000}"/>
    <cellStyle name="Normal 2 2 2 3 7 5 3" xfId="18992" xr:uid="{00000000-0005-0000-0000-00000B4A0000}"/>
    <cellStyle name="Normal 2 2 2 3 7 5 4" xfId="18993" xr:uid="{00000000-0005-0000-0000-00000C4A0000}"/>
    <cellStyle name="Normal 2 2 2 3 7 5 5" xfId="18994" xr:uid="{00000000-0005-0000-0000-00000D4A0000}"/>
    <cellStyle name="Normal 2 2 2 3 7 5 6" xfId="18995" xr:uid="{00000000-0005-0000-0000-00000E4A0000}"/>
    <cellStyle name="Normal 2 2 2 3 7 5 7" xfId="18996" xr:uid="{00000000-0005-0000-0000-00000F4A0000}"/>
    <cellStyle name="Normal 2 2 2 3 7 5 8" xfId="18997" xr:uid="{00000000-0005-0000-0000-0000104A0000}"/>
    <cellStyle name="Normal 2 2 2 3 7 5 9" xfId="18998" xr:uid="{00000000-0005-0000-0000-0000114A0000}"/>
    <cellStyle name="Normal 2 2 2 3 7 6" xfId="18999" xr:uid="{00000000-0005-0000-0000-0000124A0000}"/>
    <cellStyle name="Normal 2 2 2 3 7 7" xfId="19000" xr:uid="{00000000-0005-0000-0000-0000134A0000}"/>
    <cellStyle name="Normal 2 2 2 3 7 8" xfId="19001" xr:uid="{00000000-0005-0000-0000-0000144A0000}"/>
    <cellStyle name="Normal 2 2 2 3 7 9" xfId="19002" xr:uid="{00000000-0005-0000-0000-0000154A0000}"/>
    <cellStyle name="Normal 2 2 2 3 8" xfId="19003" xr:uid="{00000000-0005-0000-0000-0000164A0000}"/>
    <cellStyle name="Normal 2 2 2 3 8 10" xfId="19004" xr:uid="{00000000-0005-0000-0000-0000174A0000}"/>
    <cellStyle name="Normal 2 2 2 3 8 11" xfId="19005" xr:uid="{00000000-0005-0000-0000-0000184A0000}"/>
    <cellStyle name="Normal 2 2 2 3 8 12" xfId="19006" xr:uid="{00000000-0005-0000-0000-0000194A0000}"/>
    <cellStyle name="Normal 2 2 2 3 8 13" xfId="19007" xr:uid="{00000000-0005-0000-0000-00001A4A0000}"/>
    <cellStyle name="Normal 2 2 2 3 8 14" xfId="19008" xr:uid="{00000000-0005-0000-0000-00001B4A0000}"/>
    <cellStyle name="Normal 2 2 2 3 8 2" xfId="19009" xr:uid="{00000000-0005-0000-0000-00001C4A0000}"/>
    <cellStyle name="Normal 2 2 2 3 8 2 10" xfId="19010" xr:uid="{00000000-0005-0000-0000-00001D4A0000}"/>
    <cellStyle name="Normal 2 2 2 3 8 2 2" xfId="19011" xr:uid="{00000000-0005-0000-0000-00001E4A0000}"/>
    <cellStyle name="Normal 2 2 2 3 8 2 3" xfId="19012" xr:uid="{00000000-0005-0000-0000-00001F4A0000}"/>
    <cellStyle name="Normal 2 2 2 3 8 2 4" xfId="19013" xr:uid="{00000000-0005-0000-0000-0000204A0000}"/>
    <cellStyle name="Normal 2 2 2 3 8 2 5" xfId="19014" xr:uid="{00000000-0005-0000-0000-0000214A0000}"/>
    <cellStyle name="Normal 2 2 2 3 8 2 6" xfId="19015" xr:uid="{00000000-0005-0000-0000-0000224A0000}"/>
    <cellStyle name="Normal 2 2 2 3 8 2 7" xfId="19016" xr:uid="{00000000-0005-0000-0000-0000234A0000}"/>
    <cellStyle name="Normal 2 2 2 3 8 2 8" xfId="19017" xr:uid="{00000000-0005-0000-0000-0000244A0000}"/>
    <cellStyle name="Normal 2 2 2 3 8 2 9" xfId="19018" xr:uid="{00000000-0005-0000-0000-0000254A0000}"/>
    <cellStyle name="Normal 2 2 2 3 8 3" xfId="19019" xr:uid="{00000000-0005-0000-0000-0000264A0000}"/>
    <cellStyle name="Normal 2 2 2 3 8 3 10" xfId="19020" xr:uid="{00000000-0005-0000-0000-0000274A0000}"/>
    <cellStyle name="Normal 2 2 2 3 8 3 2" xfId="19021" xr:uid="{00000000-0005-0000-0000-0000284A0000}"/>
    <cellStyle name="Normal 2 2 2 3 8 3 3" xfId="19022" xr:uid="{00000000-0005-0000-0000-0000294A0000}"/>
    <cellStyle name="Normal 2 2 2 3 8 3 4" xfId="19023" xr:uid="{00000000-0005-0000-0000-00002A4A0000}"/>
    <cellStyle name="Normal 2 2 2 3 8 3 5" xfId="19024" xr:uid="{00000000-0005-0000-0000-00002B4A0000}"/>
    <cellStyle name="Normal 2 2 2 3 8 3 6" xfId="19025" xr:uid="{00000000-0005-0000-0000-00002C4A0000}"/>
    <cellStyle name="Normal 2 2 2 3 8 3 7" xfId="19026" xr:uid="{00000000-0005-0000-0000-00002D4A0000}"/>
    <cellStyle name="Normal 2 2 2 3 8 3 8" xfId="19027" xr:uid="{00000000-0005-0000-0000-00002E4A0000}"/>
    <cellStyle name="Normal 2 2 2 3 8 3 9" xfId="19028" xr:uid="{00000000-0005-0000-0000-00002F4A0000}"/>
    <cellStyle name="Normal 2 2 2 3 8 4" xfId="19029" xr:uid="{00000000-0005-0000-0000-0000304A0000}"/>
    <cellStyle name="Normal 2 2 2 3 8 4 10" xfId="19030" xr:uid="{00000000-0005-0000-0000-0000314A0000}"/>
    <cellStyle name="Normal 2 2 2 3 8 4 2" xfId="19031" xr:uid="{00000000-0005-0000-0000-0000324A0000}"/>
    <cellStyle name="Normal 2 2 2 3 8 4 3" xfId="19032" xr:uid="{00000000-0005-0000-0000-0000334A0000}"/>
    <cellStyle name="Normal 2 2 2 3 8 4 4" xfId="19033" xr:uid="{00000000-0005-0000-0000-0000344A0000}"/>
    <cellStyle name="Normal 2 2 2 3 8 4 5" xfId="19034" xr:uid="{00000000-0005-0000-0000-0000354A0000}"/>
    <cellStyle name="Normal 2 2 2 3 8 4 6" xfId="19035" xr:uid="{00000000-0005-0000-0000-0000364A0000}"/>
    <cellStyle name="Normal 2 2 2 3 8 4 7" xfId="19036" xr:uid="{00000000-0005-0000-0000-0000374A0000}"/>
    <cellStyle name="Normal 2 2 2 3 8 4 8" xfId="19037" xr:uid="{00000000-0005-0000-0000-0000384A0000}"/>
    <cellStyle name="Normal 2 2 2 3 8 4 9" xfId="19038" xr:uid="{00000000-0005-0000-0000-0000394A0000}"/>
    <cellStyle name="Normal 2 2 2 3 8 5" xfId="19039" xr:uid="{00000000-0005-0000-0000-00003A4A0000}"/>
    <cellStyle name="Normal 2 2 2 3 8 5 10" xfId="19040" xr:uid="{00000000-0005-0000-0000-00003B4A0000}"/>
    <cellStyle name="Normal 2 2 2 3 8 5 2" xfId="19041" xr:uid="{00000000-0005-0000-0000-00003C4A0000}"/>
    <cellStyle name="Normal 2 2 2 3 8 5 3" xfId="19042" xr:uid="{00000000-0005-0000-0000-00003D4A0000}"/>
    <cellStyle name="Normal 2 2 2 3 8 5 4" xfId="19043" xr:uid="{00000000-0005-0000-0000-00003E4A0000}"/>
    <cellStyle name="Normal 2 2 2 3 8 5 5" xfId="19044" xr:uid="{00000000-0005-0000-0000-00003F4A0000}"/>
    <cellStyle name="Normal 2 2 2 3 8 5 6" xfId="19045" xr:uid="{00000000-0005-0000-0000-0000404A0000}"/>
    <cellStyle name="Normal 2 2 2 3 8 5 7" xfId="19046" xr:uid="{00000000-0005-0000-0000-0000414A0000}"/>
    <cellStyle name="Normal 2 2 2 3 8 5 8" xfId="19047" xr:uid="{00000000-0005-0000-0000-0000424A0000}"/>
    <cellStyle name="Normal 2 2 2 3 8 5 9" xfId="19048" xr:uid="{00000000-0005-0000-0000-0000434A0000}"/>
    <cellStyle name="Normal 2 2 2 3 8 6" xfId="19049" xr:uid="{00000000-0005-0000-0000-0000444A0000}"/>
    <cellStyle name="Normal 2 2 2 3 8 7" xfId="19050" xr:uid="{00000000-0005-0000-0000-0000454A0000}"/>
    <cellStyle name="Normal 2 2 2 3 8 8" xfId="19051" xr:uid="{00000000-0005-0000-0000-0000464A0000}"/>
    <cellStyle name="Normal 2 2 2 3 8 9" xfId="19052" xr:uid="{00000000-0005-0000-0000-0000474A0000}"/>
    <cellStyle name="Normal 2 2 2 3 9" xfId="19053" xr:uid="{00000000-0005-0000-0000-0000484A0000}"/>
    <cellStyle name="Normal 2 2 2 3 9 10" xfId="19054" xr:uid="{00000000-0005-0000-0000-0000494A0000}"/>
    <cellStyle name="Normal 2 2 2 3 9 11" xfId="19055" xr:uid="{00000000-0005-0000-0000-00004A4A0000}"/>
    <cellStyle name="Normal 2 2 2 3 9 12" xfId="19056" xr:uid="{00000000-0005-0000-0000-00004B4A0000}"/>
    <cellStyle name="Normal 2 2 2 3 9 13" xfId="19057" xr:uid="{00000000-0005-0000-0000-00004C4A0000}"/>
    <cellStyle name="Normal 2 2 2 3 9 14" xfId="19058" xr:uid="{00000000-0005-0000-0000-00004D4A0000}"/>
    <cellStyle name="Normal 2 2 2 3 9 2" xfId="19059" xr:uid="{00000000-0005-0000-0000-00004E4A0000}"/>
    <cellStyle name="Normal 2 2 2 3 9 2 10" xfId="19060" xr:uid="{00000000-0005-0000-0000-00004F4A0000}"/>
    <cellStyle name="Normal 2 2 2 3 9 2 2" xfId="19061" xr:uid="{00000000-0005-0000-0000-0000504A0000}"/>
    <cellStyle name="Normal 2 2 2 3 9 2 3" xfId="19062" xr:uid="{00000000-0005-0000-0000-0000514A0000}"/>
    <cellStyle name="Normal 2 2 2 3 9 2 4" xfId="19063" xr:uid="{00000000-0005-0000-0000-0000524A0000}"/>
    <cellStyle name="Normal 2 2 2 3 9 2 5" xfId="19064" xr:uid="{00000000-0005-0000-0000-0000534A0000}"/>
    <cellStyle name="Normal 2 2 2 3 9 2 6" xfId="19065" xr:uid="{00000000-0005-0000-0000-0000544A0000}"/>
    <cellStyle name="Normal 2 2 2 3 9 2 7" xfId="19066" xr:uid="{00000000-0005-0000-0000-0000554A0000}"/>
    <cellStyle name="Normal 2 2 2 3 9 2 8" xfId="19067" xr:uid="{00000000-0005-0000-0000-0000564A0000}"/>
    <cellStyle name="Normal 2 2 2 3 9 2 9" xfId="19068" xr:uid="{00000000-0005-0000-0000-0000574A0000}"/>
    <cellStyle name="Normal 2 2 2 3 9 3" xfId="19069" xr:uid="{00000000-0005-0000-0000-0000584A0000}"/>
    <cellStyle name="Normal 2 2 2 3 9 3 10" xfId="19070" xr:uid="{00000000-0005-0000-0000-0000594A0000}"/>
    <cellStyle name="Normal 2 2 2 3 9 3 2" xfId="19071" xr:uid="{00000000-0005-0000-0000-00005A4A0000}"/>
    <cellStyle name="Normal 2 2 2 3 9 3 3" xfId="19072" xr:uid="{00000000-0005-0000-0000-00005B4A0000}"/>
    <cellStyle name="Normal 2 2 2 3 9 3 4" xfId="19073" xr:uid="{00000000-0005-0000-0000-00005C4A0000}"/>
    <cellStyle name="Normal 2 2 2 3 9 3 5" xfId="19074" xr:uid="{00000000-0005-0000-0000-00005D4A0000}"/>
    <cellStyle name="Normal 2 2 2 3 9 3 6" xfId="19075" xr:uid="{00000000-0005-0000-0000-00005E4A0000}"/>
    <cellStyle name="Normal 2 2 2 3 9 3 7" xfId="19076" xr:uid="{00000000-0005-0000-0000-00005F4A0000}"/>
    <cellStyle name="Normal 2 2 2 3 9 3 8" xfId="19077" xr:uid="{00000000-0005-0000-0000-0000604A0000}"/>
    <cellStyle name="Normal 2 2 2 3 9 3 9" xfId="19078" xr:uid="{00000000-0005-0000-0000-0000614A0000}"/>
    <cellStyle name="Normal 2 2 2 3 9 4" xfId="19079" xr:uid="{00000000-0005-0000-0000-0000624A0000}"/>
    <cellStyle name="Normal 2 2 2 3 9 4 10" xfId="19080" xr:uid="{00000000-0005-0000-0000-0000634A0000}"/>
    <cellStyle name="Normal 2 2 2 3 9 4 2" xfId="19081" xr:uid="{00000000-0005-0000-0000-0000644A0000}"/>
    <cellStyle name="Normal 2 2 2 3 9 4 3" xfId="19082" xr:uid="{00000000-0005-0000-0000-0000654A0000}"/>
    <cellStyle name="Normal 2 2 2 3 9 4 4" xfId="19083" xr:uid="{00000000-0005-0000-0000-0000664A0000}"/>
    <cellStyle name="Normal 2 2 2 3 9 4 5" xfId="19084" xr:uid="{00000000-0005-0000-0000-0000674A0000}"/>
    <cellStyle name="Normal 2 2 2 3 9 4 6" xfId="19085" xr:uid="{00000000-0005-0000-0000-0000684A0000}"/>
    <cellStyle name="Normal 2 2 2 3 9 4 7" xfId="19086" xr:uid="{00000000-0005-0000-0000-0000694A0000}"/>
    <cellStyle name="Normal 2 2 2 3 9 4 8" xfId="19087" xr:uid="{00000000-0005-0000-0000-00006A4A0000}"/>
    <cellStyle name="Normal 2 2 2 3 9 4 9" xfId="19088" xr:uid="{00000000-0005-0000-0000-00006B4A0000}"/>
    <cellStyle name="Normal 2 2 2 3 9 5" xfId="19089" xr:uid="{00000000-0005-0000-0000-00006C4A0000}"/>
    <cellStyle name="Normal 2 2 2 3 9 5 10" xfId="19090" xr:uid="{00000000-0005-0000-0000-00006D4A0000}"/>
    <cellStyle name="Normal 2 2 2 3 9 5 2" xfId="19091" xr:uid="{00000000-0005-0000-0000-00006E4A0000}"/>
    <cellStyle name="Normal 2 2 2 3 9 5 3" xfId="19092" xr:uid="{00000000-0005-0000-0000-00006F4A0000}"/>
    <cellStyle name="Normal 2 2 2 3 9 5 4" xfId="19093" xr:uid="{00000000-0005-0000-0000-0000704A0000}"/>
    <cellStyle name="Normal 2 2 2 3 9 5 5" xfId="19094" xr:uid="{00000000-0005-0000-0000-0000714A0000}"/>
    <cellStyle name="Normal 2 2 2 3 9 5 6" xfId="19095" xr:uid="{00000000-0005-0000-0000-0000724A0000}"/>
    <cellStyle name="Normal 2 2 2 3 9 5 7" xfId="19096" xr:uid="{00000000-0005-0000-0000-0000734A0000}"/>
    <cellStyle name="Normal 2 2 2 3 9 5 8" xfId="19097" xr:uid="{00000000-0005-0000-0000-0000744A0000}"/>
    <cellStyle name="Normal 2 2 2 3 9 5 9" xfId="19098" xr:uid="{00000000-0005-0000-0000-0000754A0000}"/>
    <cellStyle name="Normal 2 2 2 3 9 6" xfId="19099" xr:uid="{00000000-0005-0000-0000-0000764A0000}"/>
    <cellStyle name="Normal 2 2 2 3 9 7" xfId="19100" xr:uid="{00000000-0005-0000-0000-0000774A0000}"/>
    <cellStyle name="Normal 2 2 2 3 9 8" xfId="19101" xr:uid="{00000000-0005-0000-0000-0000784A0000}"/>
    <cellStyle name="Normal 2 2 2 3 9 9" xfId="19102" xr:uid="{00000000-0005-0000-0000-0000794A0000}"/>
    <cellStyle name="Normal 2 2 2 30" xfId="19103" xr:uid="{00000000-0005-0000-0000-00007A4A0000}"/>
    <cellStyle name="Normal 2 2 2 30 10" xfId="19104" xr:uid="{00000000-0005-0000-0000-00007B4A0000}"/>
    <cellStyle name="Normal 2 2 2 30 11" xfId="19105" xr:uid="{00000000-0005-0000-0000-00007C4A0000}"/>
    <cellStyle name="Normal 2 2 2 30 12" xfId="19106" xr:uid="{00000000-0005-0000-0000-00007D4A0000}"/>
    <cellStyle name="Normal 2 2 2 30 13" xfId="19107" xr:uid="{00000000-0005-0000-0000-00007E4A0000}"/>
    <cellStyle name="Normal 2 2 2 30 14" xfId="19108" xr:uid="{00000000-0005-0000-0000-00007F4A0000}"/>
    <cellStyle name="Normal 2 2 2 30 2" xfId="19109" xr:uid="{00000000-0005-0000-0000-0000804A0000}"/>
    <cellStyle name="Normal 2 2 2 30 2 10" xfId="19110" xr:uid="{00000000-0005-0000-0000-0000814A0000}"/>
    <cellStyle name="Normal 2 2 2 30 2 2" xfId="19111" xr:uid="{00000000-0005-0000-0000-0000824A0000}"/>
    <cellStyle name="Normal 2 2 2 30 2 3" xfId="19112" xr:uid="{00000000-0005-0000-0000-0000834A0000}"/>
    <cellStyle name="Normal 2 2 2 30 2 4" xfId="19113" xr:uid="{00000000-0005-0000-0000-0000844A0000}"/>
    <cellStyle name="Normal 2 2 2 30 2 5" xfId="19114" xr:uid="{00000000-0005-0000-0000-0000854A0000}"/>
    <cellStyle name="Normal 2 2 2 30 2 6" xfId="19115" xr:uid="{00000000-0005-0000-0000-0000864A0000}"/>
    <cellStyle name="Normal 2 2 2 30 2 7" xfId="19116" xr:uid="{00000000-0005-0000-0000-0000874A0000}"/>
    <cellStyle name="Normal 2 2 2 30 2 8" xfId="19117" xr:uid="{00000000-0005-0000-0000-0000884A0000}"/>
    <cellStyle name="Normal 2 2 2 30 2 9" xfId="19118" xr:uid="{00000000-0005-0000-0000-0000894A0000}"/>
    <cellStyle name="Normal 2 2 2 30 3" xfId="19119" xr:uid="{00000000-0005-0000-0000-00008A4A0000}"/>
    <cellStyle name="Normal 2 2 2 30 3 10" xfId="19120" xr:uid="{00000000-0005-0000-0000-00008B4A0000}"/>
    <cellStyle name="Normal 2 2 2 30 3 2" xfId="19121" xr:uid="{00000000-0005-0000-0000-00008C4A0000}"/>
    <cellStyle name="Normal 2 2 2 30 3 3" xfId="19122" xr:uid="{00000000-0005-0000-0000-00008D4A0000}"/>
    <cellStyle name="Normal 2 2 2 30 3 4" xfId="19123" xr:uid="{00000000-0005-0000-0000-00008E4A0000}"/>
    <cellStyle name="Normal 2 2 2 30 3 5" xfId="19124" xr:uid="{00000000-0005-0000-0000-00008F4A0000}"/>
    <cellStyle name="Normal 2 2 2 30 3 6" xfId="19125" xr:uid="{00000000-0005-0000-0000-0000904A0000}"/>
    <cellStyle name="Normal 2 2 2 30 3 7" xfId="19126" xr:uid="{00000000-0005-0000-0000-0000914A0000}"/>
    <cellStyle name="Normal 2 2 2 30 3 8" xfId="19127" xr:uid="{00000000-0005-0000-0000-0000924A0000}"/>
    <cellStyle name="Normal 2 2 2 30 3 9" xfId="19128" xr:uid="{00000000-0005-0000-0000-0000934A0000}"/>
    <cellStyle name="Normal 2 2 2 30 4" xfId="19129" xr:uid="{00000000-0005-0000-0000-0000944A0000}"/>
    <cellStyle name="Normal 2 2 2 30 4 10" xfId="19130" xr:uid="{00000000-0005-0000-0000-0000954A0000}"/>
    <cellStyle name="Normal 2 2 2 30 4 2" xfId="19131" xr:uid="{00000000-0005-0000-0000-0000964A0000}"/>
    <cellStyle name="Normal 2 2 2 30 4 3" xfId="19132" xr:uid="{00000000-0005-0000-0000-0000974A0000}"/>
    <cellStyle name="Normal 2 2 2 30 4 4" xfId="19133" xr:uid="{00000000-0005-0000-0000-0000984A0000}"/>
    <cellStyle name="Normal 2 2 2 30 4 5" xfId="19134" xr:uid="{00000000-0005-0000-0000-0000994A0000}"/>
    <cellStyle name="Normal 2 2 2 30 4 6" xfId="19135" xr:uid="{00000000-0005-0000-0000-00009A4A0000}"/>
    <cellStyle name="Normal 2 2 2 30 4 7" xfId="19136" xr:uid="{00000000-0005-0000-0000-00009B4A0000}"/>
    <cellStyle name="Normal 2 2 2 30 4 8" xfId="19137" xr:uid="{00000000-0005-0000-0000-00009C4A0000}"/>
    <cellStyle name="Normal 2 2 2 30 4 9" xfId="19138" xr:uid="{00000000-0005-0000-0000-00009D4A0000}"/>
    <cellStyle name="Normal 2 2 2 30 5" xfId="19139" xr:uid="{00000000-0005-0000-0000-00009E4A0000}"/>
    <cellStyle name="Normal 2 2 2 30 5 10" xfId="19140" xr:uid="{00000000-0005-0000-0000-00009F4A0000}"/>
    <cellStyle name="Normal 2 2 2 30 5 2" xfId="19141" xr:uid="{00000000-0005-0000-0000-0000A04A0000}"/>
    <cellStyle name="Normal 2 2 2 30 5 3" xfId="19142" xr:uid="{00000000-0005-0000-0000-0000A14A0000}"/>
    <cellStyle name="Normal 2 2 2 30 5 4" xfId="19143" xr:uid="{00000000-0005-0000-0000-0000A24A0000}"/>
    <cellStyle name="Normal 2 2 2 30 5 5" xfId="19144" xr:uid="{00000000-0005-0000-0000-0000A34A0000}"/>
    <cellStyle name="Normal 2 2 2 30 5 6" xfId="19145" xr:uid="{00000000-0005-0000-0000-0000A44A0000}"/>
    <cellStyle name="Normal 2 2 2 30 5 7" xfId="19146" xr:uid="{00000000-0005-0000-0000-0000A54A0000}"/>
    <cellStyle name="Normal 2 2 2 30 5 8" xfId="19147" xr:uid="{00000000-0005-0000-0000-0000A64A0000}"/>
    <cellStyle name="Normal 2 2 2 30 5 9" xfId="19148" xr:uid="{00000000-0005-0000-0000-0000A74A0000}"/>
    <cellStyle name="Normal 2 2 2 30 6" xfId="19149" xr:uid="{00000000-0005-0000-0000-0000A84A0000}"/>
    <cellStyle name="Normal 2 2 2 30 7" xfId="19150" xr:uid="{00000000-0005-0000-0000-0000A94A0000}"/>
    <cellStyle name="Normal 2 2 2 30 8" xfId="19151" xr:uid="{00000000-0005-0000-0000-0000AA4A0000}"/>
    <cellStyle name="Normal 2 2 2 30 9" xfId="19152" xr:uid="{00000000-0005-0000-0000-0000AB4A0000}"/>
    <cellStyle name="Normal 2 2 2 31" xfId="19153" xr:uid="{00000000-0005-0000-0000-0000AC4A0000}"/>
    <cellStyle name="Normal 2 2 2 31 10" xfId="19154" xr:uid="{00000000-0005-0000-0000-0000AD4A0000}"/>
    <cellStyle name="Normal 2 2 2 31 11" xfId="19155" xr:uid="{00000000-0005-0000-0000-0000AE4A0000}"/>
    <cellStyle name="Normal 2 2 2 31 12" xfId="19156" xr:uid="{00000000-0005-0000-0000-0000AF4A0000}"/>
    <cellStyle name="Normal 2 2 2 31 13" xfId="19157" xr:uid="{00000000-0005-0000-0000-0000B04A0000}"/>
    <cellStyle name="Normal 2 2 2 31 14" xfId="19158" xr:uid="{00000000-0005-0000-0000-0000B14A0000}"/>
    <cellStyle name="Normal 2 2 2 31 2" xfId="19159" xr:uid="{00000000-0005-0000-0000-0000B24A0000}"/>
    <cellStyle name="Normal 2 2 2 31 2 10" xfId="19160" xr:uid="{00000000-0005-0000-0000-0000B34A0000}"/>
    <cellStyle name="Normal 2 2 2 31 2 2" xfId="19161" xr:uid="{00000000-0005-0000-0000-0000B44A0000}"/>
    <cellStyle name="Normal 2 2 2 31 2 3" xfId="19162" xr:uid="{00000000-0005-0000-0000-0000B54A0000}"/>
    <cellStyle name="Normal 2 2 2 31 2 4" xfId="19163" xr:uid="{00000000-0005-0000-0000-0000B64A0000}"/>
    <cellStyle name="Normal 2 2 2 31 2 5" xfId="19164" xr:uid="{00000000-0005-0000-0000-0000B74A0000}"/>
    <cellStyle name="Normal 2 2 2 31 2 6" xfId="19165" xr:uid="{00000000-0005-0000-0000-0000B84A0000}"/>
    <cellStyle name="Normal 2 2 2 31 2 7" xfId="19166" xr:uid="{00000000-0005-0000-0000-0000B94A0000}"/>
    <cellStyle name="Normal 2 2 2 31 2 8" xfId="19167" xr:uid="{00000000-0005-0000-0000-0000BA4A0000}"/>
    <cellStyle name="Normal 2 2 2 31 2 9" xfId="19168" xr:uid="{00000000-0005-0000-0000-0000BB4A0000}"/>
    <cellStyle name="Normal 2 2 2 31 3" xfId="19169" xr:uid="{00000000-0005-0000-0000-0000BC4A0000}"/>
    <cellStyle name="Normal 2 2 2 31 3 10" xfId="19170" xr:uid="{00000000-0005-0000-0000-0000BD4A0000}"/>
    <cellStyle name="Normal 2 2 2 31 3 2" xfId="19171" xr:uid="{00000000-0005-0000-0000-0000BE4A0000}"/>
    <cellStyle name="Normal 2 2 2 31 3 3" xfId="19172" xr:uid="{00000000-0005-0000-0000-0000BF4A0000}"/>
    <cellStyle name="Normal 2 2 2 31 3 4" xfId="19173" xr:uid="{00000000-0005-0000-0000-0000C04A0000}"/>
    <cellStyle name="Normal 2 2 2 31 3 5" xfId="19174" xr:uid="{00000000-0005-0000-0000-0000C14A0000}"/>
    <cellStyle name="Normal 2 2 2 31 3 6" xfId="19175" xr:uid="{00000000-0005-0000-0000-0000C24A0000}"/>
    <cellStyle name="Normal 2 2 2 31 3 7" xfId="19176" xr:uid="{00000000-0005-0000-0000-0000C34A0000}"/>
    <cellStyle name="Normal 2 2 2 31 3 8" xfId="19177" xr:uid="{00000000-0005-0000-0000-0000C44A0000}"/>
    <cellStyle name="Normal 2 2 2 31 3 9" xfId="19178" xr:uid="{00000000-0005-0000-0000-0000C54A0000}"/>
    <cellStyle name="Normal 2 2 2 31 4" xfId="19179" xr:uid="{00000000-0005-0000-0000-0000C64A0000}"/>
    <cellStyle name="Normal 2 2 2 31 4 10" xfId="19180" xr:uid="{00000000-0005-0000-0000-0000C74A0000}"/>
    <cellStyle name="Normal 2 2 2 31 4 2" xfId="19181" xr:uid="{00000000-0005-0000-0000-0000C84A0000}"/>
    <cellStyle name="Normal 2 2 2 31 4 3" xfId="19182" xr:uid="{00000000-0005-0000-0000-0000C94A0000}"/>
    <cellStyle name="Normal 2 2 2 31 4 4" xfId="19183" xr:uid="{00000000-0005-0000-0000-0000CA4A0000}"/>
    <cellStyle name="Normal 2 2 2 31 4 5" xfId="19184" xr:uid="{00000000-0005-0000-0000-0000CB4A0000}"/>
    <cellStyle name="Normal 2 2 2 31 4 6" xfId="19185" xr:uid="{00000000-0005-0000-0000-0000CC4A0000}"/>
    <cellStyle name="Normal 2 2 2 31 4 7" xfId="19186" xr:uid="{00000000-0005-0000-0000-0000CD4A0000}"/>
    <cellStyle name="Normal 2 2 2 31 4 8" xfId="19187" xr:uid="{00000000-0005-0000-0000-0000CE4A0000}"/>
    <cellStyle name="Normal 2 2 2 31 4 9" xfId="19188" xr:uid="{00000000-0005-0000-0000-0000CF4A0000}"/>
    <cellStyle name="Normal 2 2 2 31 5" xfId="19189" xr:uid="{00000000-0005-0000-0000-0000D04A0000}"/>
    <cellStyle name="Normal 2 2 2 31 5 10" xfId="19190" xr:uid="{00000000-0005-0000-0000-0000D14A0000}"/>
    <cellStyle name="Normal 2 2 2 31 5 2" xfId="19191" xr:uid="{00000000-0005-0000-0000-0000D24A0000}"/>
    <cellStyle name="Normal 2 2 2 31 5 3" xfId="19192" xr:uid="{00000000-0005-0000-0000-0000D34A0000}"/>
    <cellStyle name="Normal 2 2 2 31 5 4" xfId="19193" xr:uid="{00000000-0005-0000-0000-0000D44A0000}"/>
    <cellStyle name="Normal 2 2 2 31 5 5" xfId="19194" xr:uid="{00000000-0005-0000-0000-0000D54A0000}"/>
    <cellStyle name="Normal 2 2 2 31 5 6" xfId="19195" xr:uid="{00000000-0005-0000-0000-0000D64A0000}"/>
    <cellStyle name="Normal 2 2 2 31 5 7" xfId="19196" xr:uid="{00000000-0005-0000-0000-0000D74A0000}"/>
    <cellStyle name="Normal 2 2 2 31 5 8" xfId="19197" xr:uid="{00000000-0005-0000-0000-0000D84A0000}"/>
    <cellStyle name="Normal 2 2 2 31 5 9" xfId="19198" xr:uid="{00000000-0005-0000-0000-0000D94A0000}"/>
    <cellStyle name="Normal 2 2 2 31 6" xfId="19199" xr:uid="{00000000-0005-0000-0000-0000DA4A0000}"/>
    <cellStyle name="Normal 2 2 2 31 7" xfId="19200" xr:uid="{00000000-0005-0000-0000-0000DB4A0000}"/>
    <cellStyle name="Normal 2 2 2 31 8" xfId="19201" xr:uid="{00000000-0005-0000-0000-0000DC4A0000}"/>
    <cellStyle name="Normal 2 2 2 31 9" xfId="19202" xr:uid="{00000000-0005-0000-0000-0000DD4A0000}"/>
    <cellStyle name="Normal 2 2 2 32" xfId="19203" xr:uid="{00000000-0005-0000-0000-0000DE4A0000}"/>
    <cellStyle name="Normal 2 2 2 32 10" xfId="19204" xr:uid="{00000000-0005-0000-0000-0000DF4A0000}"/>
    <cellStyle name="Normal 2 2 2 32 11" xfId="19205" xr:uid="{00000000-0005-0000-0000-0000E04A0000}"/>
    <cellStyle name="Normal 2 2 2 32 12" xfId="19206" xr:uid="{00000000-0005-0000-0000-0000E14A0000}"/>
    <cellStyle name="Normal 2 2 2 32 13" xfId="19207" xr:uid="{00000000-0005-0000-0000-0000E24A0000}"/>
    <cellStyle name="Normal 2 2 2 32 14" xfId="19208" xr:uid="{00000000-0005-0000-0000-0000E34A0000}"/>
    <cellStyle name="Normal 2 2 2 32 2" xfId="19209" xr:uid="{00000000-0005-0000-0000-0000E44A0000}"/>
    <cellStyle name="Normal 2 2 2 32 2 10" xfId="19210" xr:uid="{00000000-0005-0000-0000-0000E54A0000}"/>
    <cellStyle name="Normal 2 2 2 32 2 2" xfId="19211" xr:uid="{00000000-0005-0000-0000-0000E64A0000}"/>
    <cellStyle name="Normal 2 2 2 32 2 3" xfId="19212" xr:uid="{00000000-0005-0000-0000-0000E74A0000}"/>
    <cellStyle name="Normal 2 2 2 32 2 4" xfId="19213" xr:uid="{00000000-0005-0000-0000-0000E84A0000}"/>
    <cellStyle name="Normal 2 2 2 32 2 5" xfId="19214" xr:uid="{00000000-0005-0000-0000-0000E94A0000}"/>
    <cellStyle name="Normal 2 2 2 32 2 6" xfId="19215" xr:uid="{00000000-0005-0000-0000-0000EA4A0000}"/>
    <cellStyle name="Normal 2 2 2 32 2 7" xfId="19216" xr:uid="{00000000-0005-0000-0000-0000EB4A0000}"/>
    <cellStyle name="Normal 2 2 2 32 2 8" xfId="19217" xr:uid="{00000000-0005-0000-0000-0000EC4A0000}"/>
    <cellStyle name="Normal 2 2 2 32 2 9" xfId="19218" xr:uid="{00000000-0005-0000-0000-0000ED4A0000}"/>
    <cellStyle name="Normal 2 2 2 32 3" xfId="19219" xr:uid="{00000000-0005-0000-0000-0000EE4A0000}"/>
    <cellStyle name="Normal 2 2 2 32 3 10" xfId="19220" xr:uid="{00000000-0005-0000-0000-0000EF4A0000}"/>
    <cellStyle name="Normal 2 2 2 32 3 2" xfId="19221" xr:uid="{00000000-0005-0000-0000-0000F04A0000}"/>
    <cellStyle name="Normal 2 2 2 32 3 3" xfId="19222" xr:uid="{00000000-0005-0000-0000-0000F14A0000}"/>
    <cellStyle name="Normal 2 2 2 32 3 4" xfId="19223" xr:uid="{00000000-0005-0000-0000-0000F24A0000}"/>
    <cellStyle name="Normal 2 2 2 32 3 5" xfId="19224" xr:uid="{00000000-0005-0000-0000-0000F34A0000}"/>
    <cellStyle name="Normal 2 2 2 32 3 6" xfId="19225" xr:uid="{00000000-0005-0000-0000-0000F44A0000}"/>
    <cellStyle name="Normal 2 2 2 32 3 7" xfId="19226" xr:uid="{00000000-0005-0000-0000-0000F54A0000}"/>
    <cellStyle name="Normal 2 2 2 32 3 8" xfId="19227" xr:uid="{00000000-0005-0000-0000-0000F64A0000}"/>
    <cellStyle name="Normal 2 2 2 32 3 9" xfId="19228" xr:uid="{00000000-0005-0000-0000-0000F74A0000}"/>
    <cellStyle name="Normal 2 2 2 32 4" xfId="19229" xr:uid="{00000000-0005-0000-0000-0000F84A0000}"/>
    <cellStyle name="Normal 2 2 2 32 4 10" xfId="19230" xr:uid="{00000000-0005-0000-0000-0000F94A0000}"/>
    <cellStyle name="Normal 2 2 2 32 4 2" xfId="19231" xr:uid="{00000000-0005-0000-0000-0000FA4A0000}"/>
    <cellStyle name="Normal 2 2 2 32 4 3" xfId="19232" xr:uid="{00000000-0005-0000-0000-0000FB4A0000}"/>
    <cellStyle name="Normal 2 2 2 32 4 4" xfId="19233" xr:uid="{00000000-0005-0000-0000-0000FC4A0000}"/>
    <cellStyle name="Normal 2 2 2 32 4 5" xfId="19234" xr:uid="{00000000-0005-0000-0000-0000FD4A0000}"/>
    <cellStyle name="Normal 2 2 2 32 4 6" xfId="19235" xr:uid="{00000000-0005-0000-0000-0000FE4A0000}"/>
    <cellStyle name="Normal 2 2 2 32 4 7" xfId="19236" xr:uid="{00000000-0005-0000-0000-0000FF4A0000}"/>
    <cellStyle name="Normal 2 2 2 32 4 8" xfId="19237" xr:uid="{00000000-0005-0000-0000-0000004B0000}"/>
    <cellStyle name="Normal 2 2 2 32 4 9" xfId="19238" xr:uid="{00000000-0005-0000-0000-0000014B0000}"/>
    <cellStyle name="Normal 2 2 2 32 5" xfId="19239" xr:uid="{00000000-0005-0000-0000-0000024B0000}"/>
    <cellStyle name="Normal 2 2 2 32 5 10" xfId="19240" xr:uid="{00000000-0005-0000-0000-0000034B0000}"/>
    <cellStyle name="Normal 2 2 2 32 5 2" xfId="19241" xr:uid="{00000000-0005-0000-0000-0000044B0000}"/>
    <cellStyle name="Normal 2 2 2 32 5 3" xfId="19242" xr:uid="{00000000-0005-0000-0000-0000054B0000}"/>
    <cellStyle name="Normal 2 2 2 32 5 4" xfId="19243" xr:uid="{00000000-0005-0000-0000-0000064B0000}"/>
    <cellStyle name="Normal 2 2 2 32 5 5" xfId="19244" xr:uid="{00000000-0005-0000-0000-0000074B0000}"/>
    <cellStyle name="Normal 2 2 2 32 5 6" xfId="19245" xr:uid="{00000000-0005-0000-0000-0000084B0000}"/>
    <cellStyle name="Normal 2 2 2 32 5 7" xfId="19246" xr:uid="{00000000-0005-0000-0000-0000094B0000}"/>
    <cellStyle name="Normal 2 2 2 32 5 8" xfId="19247" xr:uid="{00000000-0005-0000-0000-00000A4B0000}"/>
    <cellStyle name="Normal 2 2 2 32 5 9" xfId="19248" xr:uid="{00000000-0005-0000-0000-00000B4B0000}"/>
    <cellStyle name="Normal 2 2 2 32 6" xfId="19249" xr:uid="{00000000-0005-0000-0000-00000C4B0000}"/>
    <cellStyle name="Normal 2 2 2 32 7" xfId="19250" xr:uid="{00000000-0005-0000-0000-00000D4B0000}"/>
    <cellStyle name="Normal 2 2 2 32 8" xfId="19251" xr:uid="{00000000-0005-0000-0000-00000E4B0000}"/>
    <cellStyle name="Normal 2 2 2 32 9" xfId="19252" xr:uid="{00000000-0005-0000-0000-00000F4B0000}"/>
    <cellStyle name="Normal 2 2 2 33" xfId="19253" xr:uid="{00000000-0005-0000-0000-0000104B0000}"/>
    <cellStyle name="Normal 2 2 2 33 10" xfId="19254" xr:uid="{00000000-0005-0000-0000-0000114B0000}"/>
    <cellStyle name="Normal 2 2 2 33 11" xfId="19255" xr:uid="{00000000-0005-0000-0000-0000124B0000}"/>
    <cellStyle name="Normal 2 2 2 33 12" xfId="19256" xr:uid="{00000000-0005-0000-0000-0000134B0000}"/>
    <cellStyle name="Normal 2 2 2 33 13" xfId="19257" xr:uid="{00000000-0005-0000-0000-0000144B0000}"/>
    <cellStyle name="Normal 2 2 2 33 14" xfId="19258" xr:uid="{00000000-0005-0000-0000-0000154B0000}"/>
    <cellStyle name="Normal 2 2 2 33 2" xfId="19259" xr:uid="{00000000-0005-0000-0000-0000164B0000}"/>
    <cellStyle name="Normal 2 2 2 33 2 10" xfId="19260" xr:uid="{00000000-0005-0000-0000-0000174B0000}"/>
    <cellStyle name="Normal 2 2 2 33 2 2" xfId="19261" xr:uid="{00000000-0005-0000-0000-0000184B0000}"/>
    <cellStyle name="Normal 2 2 2 33 2 3" xfId="19262" xr:uid="{00000000-0005-0000-0000-0000194B0000}"/>
    <cellStyle name="Normal 2 2 2 33 2 4" xfId="19263" xr:uid="{00000000-0005-0000-0000-00001A4B0000}"/>
    <cellStyle name="Normal 2 2 2 33 2 5" xfId="19264" xr:uid="{00000000-0005-0000-0000-00001B4B0000}"/>
    <cellStyle name="Normal 2 2 2 33 2 6" xfId="19265" xr:uid="{00000000-0005-0000-0000-00001C4B0000}"/>
    <cellStyle name="Normal 2 2 2 33 2 7" xfId="19266" xr:uid="{00000000-0005-0000-0000-00001D4B0000}"/>
    <cellStyle name="Normal 2 2 2 33 2 8" xfId="19267" xr:uid="{00000000-0005-0000-0000-00001E4B0000}"/>
    <cellStyle name="Normal 2 2 2 33 2 9" xfId="19268" xr:uid="{00000000-0005-0000-0000-00001F4B0000}"/>
    <cellStyle name="Normal 2 2 2 33 3" xfId="19269" xr:uid="{00000000-0005-0000-0000-0000204B0000}"/>
    <cellStyle name="Normal 2 2 2 33 3 10" xfId="19270" xr:uid="{00000000-0005-0000-0000-0000214B0000}"/>
    <cellStyle name="Normal 2 2 2 33 3 2" xfId="19271" xr:uid="{00000000-0005-0000-0000-0000224B0000}"/>
    <cellStyle name="Normal 2 2 2 33 3 3" xfId="19272" xr:uid="{00000000-0005-0000-0000-0000234B0000}"/>
    <cellStyle name="Normal 2 2 2 33 3 4" xfId="19273" xr:uid="{00000000-0005-0000-0000-0000244B0000}"/>
    <cellStyle name="Normal 2 2 2 33 3 5" xfId="19274" xr:uid="{00000000-0005-0000-0000-0000254B0000}"/>
    <cellStyle name="Normal 2 2 2 33 3 6" xfId="19275" xr:uid="{00000000-0005-0000-0000-0000264B0000}"/>
    <cellStyle name="Normal 2 2 2 33 3 7" xfId="19276" xr:uid="{00000000-0005-0000-0000-0000274B0000}"/>
    <cellStyle name="Normal 2 2 2 33 3 8" xfId="19277" xr:uid="{00000000-0005-0000-0000-0000284B0000}"/>
    <cellStyle name="Normal 2 2 2 33 3 9" xfId="19278" xr:uid="{00000000-0005-0000-0000-0000294B0000}"/>
    <cellStyle name="Normal 2 2 2 33 4" xfId="19279" xr:uid="{00000000-0005-0000-0000-00002A4B0000}"/>
    <cellStyle name="Normal 2 2 2 33 4 10" xfId="19280" xr:uid="{00000000-0005-0000-0000-00002B4B0000}"/>
    <cellStyle name="Normal 2 2 2 33 4 2" xfId="19281" xr:uid="{00000000-0005-0000-0000-00002C4B0000}"/>
    <cellStyle name="Normal 2 2 2 33 4 3" xfId="19282" xr:uid="{00000000-0005-0000-0000-00002D4B0000}"/>
    <cellStyle name="Normal 2 2 2 33 4 4" xfId="19283" xr:uid="{00000000-0005-0000-0000-00002E4B0000}"/>
    <cellStyle name="Normal 2 2 2 33 4 5" xfId="19284" xr:uid="{00000000-0005-0000-0000-00002F4B0000}"/>
    <cellStyle name="Normal 2 2 2 33 4 6" xfId="19285" xr:uid="{00000000-0005-0000-0000-0000304B0000}"/>
    <cellStyle name="Normal 2 2 2 33 4 7" xfId="19286" xr:uid="{00000000-0005-0000-0000-0000314B0000}"/>
    <cellStyle name="Normal 2 2 2 33 4 8" xfId="19287" xr:uid="{00000000-0005-0000-0000-0000324B0000}"/>
    <cellStyle name="Normal 2 2 2 33 4 9" xfId="19288" xr:uid="{00000000-0005-0000-0000-0000334B0000}"/>
    <cellStyle name="Normal 2 2 2 33 5" xfId="19289" xr:uid="{00000000-0005-0000-0000-0000344B0000}"/>
    <cellStyle name="Normal 2 2 2 33 5 10" xfId="19290" xr:uid="{00000000-0005-0000-0000-0000354B0000}"/>
    <cellStyle name="Normal 2 2 2 33 5 2" xfId="19291" xr:uid="{00000000-0005-0000-0000-0000364B0000}"/>
    <cellStyle name="Normal 2 2 2 33 5 3" xfId="19292" xr:uid="{00000000-0005-0000-0000-0000374B0000}"/>
    <cellStyle name="Normal 2 2 2 33 5 4" xfId="19293" xr:uid="{00000000-0005-0000-0000-0000384B0000}"/>
    <cellStyle name="Normal 2 2 2 33 5 5" xfId="19294" xr:uid="{00000000-0005-0000-0000-0000394B0000}"/>
    <cellStyle name="Normal 2 2 2 33 5 6" xfId="19295" xr:uid="{00000000-0005-0000-0000-00003A4B0000}"/>
    <cellStyle name="Normal 2 2 2 33 5 7" xfId="19296" xr:uid="{00000000-0005-0000-0000-00003B4B0000}"/>
    <cellStyle name="Normal 2 2 2 33 5 8" xfId="19297" xr:uid="{00000000-0005-0000-0000-00003C4B0000}"/>
    <cellStyle name="Normal 2 2 2 33 5 9" xfId="19298" xr:uid="{00000000-0005-0000-0000-00003D4B0000}"/>
    <cellStyle name="Normal 2 2 2 33 6" xfId="19299" xr:uid="{00000000-0005-0000-0000-00003E4B0000}"/>
    <cellStyle name="Normal 2 2 2 33 7" xfId="19300" xr:uid="{00000000-0005-0000-0000-00003F4B0000}"/>
    <cellStyle name="Normal 2 2 2 33 8" xfId="19301" xr:uid="{00000000-0005-0000-0000-0000404B0000}"/>
    <cellStyle name="Normal 2 2 2 33 9" xfId="19302" xr:uid="{00000000-0005-0000-0000-0000414B0000}"/>
    <cellStyle name="Normal 2 2 2 34" xfId="19303" xr:uid="{00000000-0005-0000-0000-0000424B0000}"/>
    <cellStyle name="Normal 2 2 2 34 10" xfId="19304" xr:uid="{00000000-0005-0000-0000-0000434B0000}"/>
    <cellStyle name="Normal 2 2 2 34 11" xfId="19305" xr:uid="{00000000-0005-0000-0000-0000444B0000}"/>
    <cellStyle name="Normal 2 2 2 34 12" xfId="19306" xr:uid="{00000000-0005-0000-0000-0000454B0000}"/>
    <cellStyle name="Normal 2 2 2 34 13" xfId="19307" xr:uid="{00000000-0005-0000-0000-0000464B0000}"/>
    <cellStyle name="Normal 2 2 2 34 14" xfId="19308" xr:uid="{00000000-0005-0000-0000-0000474B0000}"/>
    <cellStyle name="Normal 2 2 2 34 2" xfId="19309" xr:uid="{00000000-0005-0000-0000-0000484B0000}"/>
    <cellStyle name="Normal 2 2 2 34 2 10" xfId="19310" xr:uid="{00000000-0005-0000-0000-0000494B0000}"/>
    <cellStyle name="Normal 2 2 2 34 2 2" xfId="19311" xr:uid="{00000000-0005-0000-0000-00004A4B0000}"/>
    <cellStyle name="Normal 2 2 2 34 2 3" xfId="19312" xr:uid="{00000000-0005-0000-0000-00004B4B0000}"/>
    <cellStyle name="Normal 2 2 2 34 2 4" xfId="19313" xr:uid="{00000000-0005-0000-0000-00004C4B0000}"/>
    <cellStyle name="Normal 2 2 2 34 2 5" xfId="19314" xr:uid="{00000000-0005-0000-0000-00004D4B0000}"/>
    <cellStyle name="Normal 2 2 2 34 2 6" xfId="19315" xr:uid="{00000000-0005-0000-0000-00004E4B0000}"/>
    <cellStyle name="Normal 2 2 2 34 2 7" xfId="19316" xr:uid="{00000000-0005-0000-0000-00004F4B0000}"/>
    <cellStyle name="Normal 2 2 2 34 2 8" xfId="19317" xr:uid="{00000000-0005-0000-0000-0000504B0000}"/>
    <cellStyle name="Normal 2 2 2 34 2 9" xfId="19318" xr:uid="{00000000-0005-0000-0000-0000514B0000}"/>
    <cellStyle name="Normal 2 2 2 34 3" xfId="19319" xr:uid="{00000000-0005-0000-0000-0000524B0000}"/>
    <cellStyle name="Normal 2 2 2 34 3 10" xfId="19320" xr:uid="{00000000-0005-0000-0000-0000534B0000}"/>
    <cellStyle name="Normal 2 2 2 34 3 2" xfId="19321" xr:uid="{00000000-0005-0000-0000-0000544B0000}"/>
    <cellStyle name="Normal 2 2 2 34 3 3" xfId="19322" xr:uid="{00000000-0005-0000-0000-0000554B0000}"/>
    <cellStyle name="Normal 2 2 2 34 3 4" xfId="19323" xr:uid="{00000000-0005-0000-0000-0000564B0000}"/>
    <cellStyle name="Normal 2 2 2 34 3 5" xfId="19324" xr:uid="{00000000-0005-0000-0000-0000574B0000}"/>
    <cellStyle name="Normal 2 2 2 34 3 6" xfId="19325" xr:uid="{00000000-0005-0000-0000-0000584B0000}"/>
    <cellStyle name="Normal 2 2 2 34 3 7" xfId="19326" xr:uid="{00000000-0005-0000-0000-0000594B0000}"/>
    <cellStyle name="Normal 2 2 2 34 3 8" xfId="19327" xr:uid="{00000000-0005-0000-0000-00005A4B0000}"/>
    <cellStyle name="Normal 2 2 2 34 3 9" xfId="19328" xr:uid="{00000000-0005-0000-0000-00005B4B0000}"/>
    <cellStyle name="Normal 2 2 2 34 4" xfId="19329" xr:uid="{00000000-0005-0000-0000-00005C4B0000}"/>
    <cellStyle name="Normal 2 2 2 34 4 10" xfId="19330" xr:uid="{00000000-0005-0000-0000-00005D4B0000}"/>
    <cellStyle name="Normal 2 2 2 34 4 2" xfId="19331" xr:uid="{00000000-0005-0000-0000-00005E4B0000}"/>
    <cellStyle name="Normal 2 2 2 34 4 3" xfId="19332" xr:uid="{00000000-0005-0000-0000-00005F4B0000}"/>
    <cellStyle name="Normal 2 2 2 34 4 4" xfId="19333" xr:uid="{00000000-0005-0000-0000-0000604B0000}"/>
    <cellStyle name="Normal 2 2 2 34 4 5" xfId="19334" xr:uid="{00000000-0005-0000-0000-0000614B0000}"/>
    <cellStyle name="Normal 2 2 2 34 4 6" xfId="19335" xr:uid="{00000000-0005-0000-0000-0000624B0000}"/>
    <cellStyle name="Normal 2 2 2 34 4 7" xfId="19336" xr:uid="{00000000-0005-0000-0000-0000634B0000}"/>
    <cellStyle name="Normal 2 2 2 34 4 8" xfId="19337" xr:uid="{00000000-0005-0000-0000-0000644B0000}"/>
    <cellStyle name="Normal 2 2 2 34 4 9" xfId="19338" xr:uid="{00000000-0005-0000-0000-0000654B0000}"/>
    <cellStyle name="Normal 2 2 2 34 5" xfId="19339" xr:uid="{00000000-0005-0000-0000-0000664B0000}"/>
    <cellStyle name="Normal 2 2 2 34 5 10" xfId="19340" xr:uid="{00000000-0005-0000-0000-0000674B0000}"/>
    <cellStyle name="Normal 2 2 2 34 5 2" xfId="19341" xr:uid="{00000000-0005-0000-0000-0000684B0000}"/>
    <cellStyle name="Normal 2 2 2 34 5 3" xfId="19342" xr:uid="{00000000-0005-0000-0000-0000694B0000}"/>
    <cellStyle name="Normal 2 2 2 34 5 4" xfId="19343" xr:uid="{00000000-0005-0000-0000-00006A4B0000}"/>
    <cellStyle name="Normal 2 2 2 34 5 5" xfId="19344" xr:uid="{00000000-0005-0000-0000-00006B4B0000}"/>
    <cellStyle name="Normal 2 2 2 34 5 6" xfId="19345" xr:uid="{00000000-0005-0000-0000-00006C4B0000}"/>
    <cellStyle name="Normal 2 2 2 34 5 7" xfId="19346" xr:uid="{00000000-0005-0000-0000-00006D4B0000}"/>
    <cellStyle name="Normal 2 2 2 34 5 8" xfId="19347" xr:uid="{00000000-0005-0000-0000-00006E4B0000}"/>
    <cellStyle name="Normal 2 2 2 34 5 9" xfId="19348" xr:uid="{00000000-0005-0000-0000-00006F4B0000}"/>
    <cellStyle name="Normal 2 2 2 34 6" xfId="19349" xr:uid="{00000000-0005-0000-0000-0000704B0000}"/>
    <cellStyle name="Normal 2 2 2 34 7" xfId="19350" xr:uid="{00000000-0005-0000-0000-0000714B0000}"/>
    <cellStyle name="Normal 2 2 2 34 8" xfId="19351" xr:uid="{00000000-0005-0000-0000-0000724B0000}"/>
    <cellStyle name="Normal 2 2 2 34 9" xfId="19352" xr:uid="{00000000-0005-0000-0000-0000734B0000}"/>
    <cellStyle name="Normal 2 2 2 35" xfId="19353" xr:uid="{00000000-0005-0000-0000-0000744B0000}"/>
    <cellStyle name="Normal 2 2 2 35 10" xfId="19354" xr:uid="{00000000-0005-0000-0000-0000754B0000}"/>
    <cellStyle name="Normal 2 2 2 35 11" xfId="19355" xr:uid="{00000000-0005-0000-0000-0000764B0000}"/>
    <cellStyle name="Normal 2 2 2 35 12" xfId="19356" xr:uid="{00000000-0005-0000-0000-0000774B0000}"/>
    <cellStyle name="Normal 2 2 2 35 13" xfId="19357" xr:uid="{00000000-0005-0000-0000-0000784B0000}"/>
    <cellStyle name="Normal 2 2 2 35 14" xfId="19358" xr:uid="{00000000-0005-0000-0000-0000794B0000}"/>
    <cellStyle name="Normal 2 2 2 35 2" xfId="19359" xr:uid="{00000000-0005-0000-0000-00007A4B0000}"/>
    <cellStyle name="Normal 2 2 2 35 2 10" xfId="19360" xr:uid="{00000000-0005-0000-0000-00007B4B0000}"/>
    <cellStyle name="Normal 2 2 2 35 2 2" xfId="19361" xr:uid="{00000000-0005-0000-0000-00007C4B0000}"/>
    <cellStyle name="Normal 2 2 2 35 2 3" xfId="19362" xr:uid="{00000000-0005-0000-0000-00007D4B0000}"/>
    <cellStyle name="Normal 2 2 2 35 2 4" xfId="19363" xr:uid="{00000000-0005-0000-0000-00007E4B0000}"/>
    <cellStyle name="Normal 2 2 2 35 2 5" xfId="19364" xr:uid="{00000000-0005-0000-0000-00007F4B0000}"/>
    <cellStyle name="Normal 2 2 2 35 2 6" xfId="19365" xr:uid="{00000000-0005-0000-0000-0000804B0000}"/>
    <cellStyle name="Normal 2 2 2 35 2 7" xfId="19366" xr:uid="{00000000-0005-0000-0000-0000814B0000}"/>
    <cellStyle name="Normal 2 2 2 35 2 8" xfId="19367" xr:uid="{00000000-0005-0000-0000-0000824B0000}"/>
    <cellStyle name="Normal 2 2 2 35 2 9" xfId="19368" xr:uid="{00000000-0005-0000-0000-0000834B0000}"/>
    <cellStyle name="Normal 2 2 2 35 3" xfId="19369" xr:uid="{00000000-0005-0000-0000-0000844B0000}"/>
    <cellStyle name="Normal 2 2 2 35 3 10" xfId="19370" xr:uid="{00000000-0005-0000-0000-0000854B0000}"/>
    <cellStyle name="Normal 2 2 2 35 3 2" xfId="19371" xr:uid="{00000000-0005-0000-0000-0000864B0000}"/>
    <cellStyle name="Normal 2 2 2 35 3 3" xfId="19372" xr:uid="{00000000-0005-0000-0000-0000874B0000}"/>
    <cellStyle name="Normal 2 2 2 35 3 4" xfId="19373" xr:uid="{00000000-0005-0000-0000-0000884B0000}"/>
    <cellStyle name="Normal 2 2 2 35 3 5" xfId="19374" xr:uid="{00000000-0005-0000-0000-0000894B0000}"/>
    <cellStyle name="Normal 2 2 2 35 3 6" xfId="19375" xr:uid="{00000000-0005-0000-0000-00008A4B0000}"/>
    <cellStyle name="Normal 2 2 2 35 3 7" xfId="19376" xr:uid="{00000000-0005-0000-0000-00008B4B0000}"/>
    <cellStyle name="Normal 2 2 2 35 3 8" xfId="19377" xr:uid="{00000000-0005-0000-0000-00008C4B0000}"/>
    <cellStyle name="Normal 2 2 2 35 3 9" xfId="19378" xr:uid="{00000000-0005-0000-0000-00008D4B0000}"/>
    <cellStyle name="Normal 2 2 2 35 4" xfId="19379" xr:uid="{00000000-0005-0000-0000-00008E4B0000}"/>
    <cellStyle name="Normal 2 2 2 35 4 10" xfId="19380" xr:uid="{00000000-0005-0000-0000-00008F4B0000}"/>
    <cellStyle name="Normal 2 2 2 35 4 2" xfId="19381" xr:uid="{00000000-0005-0000-0000-0000904B0000}"/>
    <cellStyle name="Normal 2 2 2 35 4 3" xfId="19382" xr:uid="{00000000-0005-0000-0000-0000914B0000}"/>
    <cellStyle name="Normal 2 2 2 35 4 4" xfId="19383" xr:uid="{00000000-0005-0000-0000-0000924B0000}"/>
    <cellStyle name="Normal 2 2 2 35 4 5" xfId="19384" xr:uid="{00000000-0005-0000-0000-0000934B0000}"/>
    <cellStyle name="Normal 2 2 2 35 4 6" xfId="19385" xr:uid="{00000000-0005-0000-0000-0000944B0000}"/>
    <cellStyle name="Normal 2 2 2 35 4 7" xfId="19386" xr:uid="{00000000-0005-0000-0000-0000954B0000}"/>
    <cellStyle name="Normal 2 2 2 35 4 8" xfId="19387" xr:uid="{00000000-0005-0000-0000-0000964B0000}"/>
    <cellStyle name="Normal 2 2 2 35 4 9" xfId="19388" xr:uid="{00000000-0005-0000-0000-0000974B0000}"/>
    <cellStyle name="Normal 2 2 2 35 5" xfId="19389" xr:uid="{00000000-0005-0000-0000-0000984B0000}"/>
    <cellStyle name="Normal 2 2 2 35 5 10" xfId="19390" xr:uid="{00000000-0005-0000-0000-0000994B0000}"/>
    <cellStyle name="Normal 2 2 2 35 5 2" xfId="19391" xr:uid="{00000000-0005-0000-0000-00009A4B0000}"/>
    <cellStyle name="Normal 2 2 2 35 5 3" xfId="19392" xr:uid="{00000000-0005-0000-0000-00009B4B0000}"/>
    <cellStyle name="Normal 2 2 2 35 5 4" xfId="19393" xr:uid="{00000000-0005-0000-0000-00009C4B0000}"/>
    <cellStyle name="Normal 2 2 2 35 5 5" xfId="19394" xr:uid="{00000000-0005-0000-0000-00009D4B0000}"/>
    <cellStyle name="Normal 2 2 2 35 5 6" xfId="19395" xr:uid="{00000000-0005-0000-0000-00009E4B0000}"/>
    <cellStyle name="Normal 2 2 2 35 5 7" xfId="19396" xr:uid="{00000000-0005-0000-0000-00009F4B0000}"/>
    <cellStyle name="Normal 2 2 2 35 5 8" xfId="19397" xr:uid="{00000000-0005-0000-0000-0000A04B0000}"/>
    <cellStyle name="Normal 2 2 2 35 5 9" xfId="19398" xr:uid="{00000000-0005-0000-0000-0000A14B0000}"/>
    <cellStyle name="Normal 2 2 2 35 6" xfId="19399" xr:uid="{00000000-0005-0000-0000-0000A24B0000}"/>
    <cellStyle name="Normal 2 2 2 35 7" xfId="19400" xr:uid="{00000000-0005-0000-0000-0000A34B0000}"/>
    <cellStyle name="Normal 2 2 2 35 8" xfId="19401" xr:uid="{00000000-0005-0000-0000-0000A44B0000}"/>
    <cellStyle name="Normal 2 2 2 35 9" xfId="19402" xr:uid="{00000000-0005-0000-0000-0000A54B0000}"/>
    <cellStyle name="Normal 2 2 2 36" xfId="19403" xr:uid="{00000000-0005-0000-0000-0000A64B0000}"/>
    <cellStyle name="Normal 2 2 2 36 10" xfId="19404" xr:uid="{00000000-0005-0000-0000-0000A74B0000}"/>
    <cellStyle name="Normal 2 2 2 36 2" xfId="19405" xr:uid="{00000000-0005-0000-0000-0000A84B0000}"/>
    <cellStyle name="Normal 2 2 2 36 3" xfId="19406" xr:uid="{00000000-0005-0000-0000-0000A94B0000}"/>
    <cellStyle name="Normal 2 2 2 36 4" xfId="19407" xr:uid="{00000000-0005-0000-0000-0000AA4B0000}"/>
    <cellStyle name="Normal 2 2 2 36 5" xfId="19408" xr:uid="{00000000-0005-0000-0000-0000AB4B0000}"/>
    <cellStyle name="Normal 2 2 2 36 6" xfId="19409" xr:uid="{00000000-0005-0000-0000-0000AC4B0000}"/>
    <cellStyle name="Normal 2 2 2 36 7" xfId="19410" xr:uid="{00000000-0005-0000-0000-0000AD4B0000}"/>
    <cellStyle name="Normal 2 2 2 36 8" xfId="19411" xr:uid="{00000000-0005-0000-0000-0000AE4B0000}"/>
    <cellStyle name="Normal 2 2 2 36 9" xfId="19412" xr:uid="{00000000-0005-0000-0000-0000AF4B0000}"/>
    <cellStyle name="Normal 2 2 2 37" xfId="19413" xr:uid="{00000000-0005-0000-0000-0000B04B0000}"/>
    <cellStyle name="Normal 2 2 2 37 10" xfId="19414" xr:uid="{00000000-0005-0000-0000-0000B14B0000}"/>
    <cellStyle name="Normal 2 2 2 37 2" xfId="19415" xr:uid="{00000000-0005-0000-0000-0000B24B0000}"/>
    <cellStyle name="Normal 2 2 2 37 3" xfId="19416" xr:uid="{00000000-0005-0000-0000-0000B34B0000}"/>
    <cellStyle name="Normal 2 2 2 37 4" xfId="19417" xr:uid="{00000000-0005-0000-0000-0000B44B0000}"/>
    <cellStyle name="Normal 2 2 2 37 5" xfId="19418" xr:uid="{00000000-0005-0000-0000-0000B54B0000}"/>
    <cellStyle name="Normal 2 2 2 37 6" xfId="19419" xr:uid="{00000000-0005-0000-0000-0000B64B0000}"/>
    <cellStyle name="Normal 2 2 2 37 7" xfId="19420" xr:uid="{00000000-0005-0000-0000-0000B74B0000}"/>
    <cellStyle name="Normal 2 2 2 37 8" xfId="19421" xr:uid="{00000000-0005-0000-0000-0000B84B0000}"/>
    <cellStyle name="Normal 2 2 2 37 9" xfId="19422" xr:uid="{00000000-0005-0000-0000-0000B94B0000}"/>
    <cellStyle name="Normal 2 2 2 38" xfId="19423" xr:uid="{00000000-0005-0000-0000-0000BA4B0000}"/>
    <cellStyle name="Normal 2 2 2 38 10" xfId="19424" xr:uid="{00000000-0005-0000-0000-0000BB4B0000}"/>
    <cellStyle name="Normal 2 2 2 38 2" xfId="19425" xr:uid="{00000000-0005-0000-0000-0000BC4B0000}"/>
    <cellStyle name="Normal 2 2 2 38 3" xfId="19426" xr:uid="{00000000-0005-0000-0000-0000BD4B0000}"/>
    <cellStyle name="Normal 2 2 2 38 4" xfId="19427" xr:uid="{00000000-0005-0000-0000-0000BE4B0000}"/>
    <cellStyle name="Normal 2 2 2 38 5" xfId="19428" xr:uid="{00000000-0005-0000-0000-0000BF4B0000}"/>
    <cellStyle name="Normal 2 2 2 38 6" xfId="19429" xr:uid="{00000000-0005-0000-0000-0000C04B0000}"/>
    <cellStyle name="Normal 2 2 2 38 7" xfId="19430" xr:uid="{00000000-0005-0000-0000-0000C14B0000}"/>
    <cellStyle name="Normal 2 2 2 38 8" xfId="19431" xr:uid="{00000000-0005-0000-0000-0000C24B0000}"/>
    <cellStyle name="Normal 2 2 2 38 9" xfId="19432" xr:uid="{00000000-0005-0000-0000-0000C34B0000}"/>
    <cellStyle name="Normal 2 2 2 39" xfId="19433" xr:uid="{00000000-0005-0000-0000-0000C44B0000}"/>
    <cellStyle name="Normal 2 2 2 39 10" xfId="19434" xr:uid="{00000000-0005-0000-0000-0000C54B0000}"/>
    <cellStyle name="Normal 2 2 2 39 2" xfId="19435" xr:uid="{00000000-0005-0000-0000-0000C64B0000}"/>
    <cellStyle name="Normal 2 2 2 39 3" xfId="19436" xr:uid="{00000000-0005-0000-0000-0000C74B0000}"/>
    <cellStyle name="Normal 2 2 2 39 4" xfId="19437" xr:uid="{00000000-0005-0000-0000-0000C84B0000}"/>
    <cellStyle name="Normal 2 2 2 39 5" xfId="19438" xr:uid="{00000000-0005-0000-0000-0000C94B0000}"/>
    <cellStyle name="Normal 2 2 2 39 6" xfId="19439" xr:uid="{00000000-0005-0000-0000-0000CA4B0000}"/>
    <cellStyle name="Normal 2 2 2 39 7" xfId="19440" xr:uid="{00000000-0005-0000-0000-0000CB4B0000}"/>
    <cellStyle name="Normal 2 2 2 39 8" xfId="19441" xr:uid="{00000000-0005-0000-0000-0000CC4B0000}"/>
    <cellStyle name="Normal 2 2 2 39 9" xfId="19442" xr:uid="{00000000-0005-0000-0000-0000CD4B0000}"/>
    <cellStyle name="Normal 2 2 2 4" xfId="19443" xr:uid="{00000000-0005-0000-0000-0000CE4B0000}"/>
    <cellStyle name="Normal 2 2 2 4 10" xfId="19444" xr:uid="{00000000-0005-0000-0000-0000CF4B0000}"/>
    <cellStyle name="Normal 2 2 2 4 11" xfId="19445" xr:uid="{00000000-0005-0000-0000-0000D04B0000}"/>
    <cellStyle name="Normal 2 2 2 4 12" xfId="19446" xr:uid="{00000000-0005-0000-0000-0000D14B0000}"/>
    <cellStyle name="Normal 2 2 2 4 13" xfId="19447" xr:uid="{00000000-0005-0000-0000-0000D24B0000}"/>
    <cellStyle name="Normal 2 2 2 4 14" xfId="19448" xr:uid="{00000000-0005-0000-0000-0000D34B0000}"/>
    <cellStyle name="Normal 2 2 2 4 15" xfId="19449" xr:uid="{00000000-0005-0000-0000-0000D44B0000}"/>
    <cellStyle name="Normal 2 2 2 4 16" xfId="19450" xr:uid="{00000000-0005-0000-0000-0000D54B0000}"/>
    <cellStyle name="Normal 2 2 2 4 17" xfId="19451" xr:uid="{00000000-0005-0000-0000-0000D64B0000}"/>
    <cellStyle name="Normal 2 2 2 4 18" xfId="19452" xr:uid="{00000000-0005-0000-0000-0000D74B0000}"/>
    <cellStyle name="Normal 2 2 2 4 19" xfId="19453" xr:uid="{00000000-0005-0000-0000-0000D84B0000}"/>
    <cellStyle name="Normal 2 2 2 4 2" xfId="19454" xr:uid="{00000000-0005-0000-0000-0000D94B0000}"/>
    <cellStyle name="Normal 2 2 2 4 2 10" xfId="19455" xr:uid="{00000000-0005-0000-0000-0000DA4B0000}"/>
    <cellStyle name="Normal 2 2 2 4 2 10 10" xfId="19456" xr:uid="{00000000-0005-0000-0000-0000DB4B0000}"/>
    <cellStyle name="Normal 2 2 2 4 2 10 11" xfId="19457" xr:uid="{00000000-0005-0000-0000-0000DC4B0000}"/>
    <cellStyle name="Normal 2 2 2 4 2 10 12" xfId="19458" xr:uid="{00000000-0005-0000-0000-0000DD4B0000}"/>
    <cellStyle name="Normal 2 2 2 4 2 10 13" xfId="19459" xr:uid="{00000000-0005-0000-0000-0000DE4B0000}"/>
    <cellStyle name="Normal 2 2 2 4 2 10 14" xfId="19460" xr:uid="{00000000-0005-0000-0000-0000DF4B0000}"/>
    <cellStyle name="Normal 2 2 2 4 2 10 2" xfId="19461" xr:uid="{00000000-0005-0000-0000-0000E04B0000}"/>
    <cellStyle name="Normal 2 2 2 4 2 10 2 10" xfId="19462" xr:uid="{00000000-0005-0000-0000-0000E14B0000}"/>
    <cellStyle name="Normal 2 2 2 4 2 10 2 2" xfId="19463" xr:uid="{00000000-0005-0000-0000-0000E24B0000}"/>
    <cellStyle name="Normal 2 2 2 4 2 10 2 3" xfId="19464" xr:uid="{00000000-0005-0000-0000-0000E34B0000}"/>
    <cellStyle name="Normal 2 2 2 4 2 10 2 4" xfId="19465" xr:uid="{00000000-0005-0000-0000-0000E44B0000}"/>
    <cellStyle name="Normal 2 2 2 4 2 10 2 5" xfId="19466" xr:uid="{00000000-0005-0000-0000-0000E54B0000}"/>
    <cellStyle name="Normal 2 2 2 4 2 10 2 6" xfId="19467" xr:uid="{00000000-0005-0000-0000-0000E64B0000}"/>
    <cellStyle name="Normal 2 2 2 4 2 10 2 7" xfId="19468" xr:uid="{00000000-0005-0000-0000-0000E74B0000}"/>
    <cellStyle name="Normal 2 2 2 4 2 10 2 8" xfId="19469" xr:uid="{00000000-0005-0000-0000-0000E84B0000}"/>
    <cellStyle name="Normal 2 2 2 4 2 10 2 9" xfId="19470" xr:uid="{00000000-0005-0000-0000-0000E94B0000}"/>
    <cellStyle name="Normal 2 2 2 4 2 10 3" xfId="19471" xr:uid="{00000000-0005-0000-0000-0000EA4B0000}"/>
    <cellStyle name="Normal 2 2 2 4 2 10 3 10" xfId="19472" xr:uid="{00000000-0005-0000-0000-0000EB4B0000}"/>
    <cellStyle name="Normal 2 2 2 4 2 10 3 2" xfId="19473" xr:uid="{00000000-0005-0000-0000-0000EC4B0000}"/>
    <cellStyle name="Normal 2 2 2 4 2 10 3 3" xfId="19474" xr:uid="{00000000-0005-0000-0000-0000ED4B0000}"/>
    <cellStyle name="Normal 2 2 2 4 2 10 3 4" xfId="19475" xr:uid="{00000000-0005-0000-0000-0000EE4B0000}"/>
    <cellStyle name="Normal 2 2 2 4 2 10 3 5" xfId="19476" xr:uid="{00000000-0005-0000-0000-0000EF4B0000}"/>
    <cellStyle name="Normal 2 2 2 4 2 10 3 6" xfId="19477" xr:uid="{00000000-0005-0000-0000-0000F04B0000}"/>
    <cellStyle name="Normal 2 2 2 4 2 10 3 7" xfId="19478" xr:uid="{00000000-0005-0000-0000-0000F14B0000}"/>
    <cellStyle name="Normal 2 2 2 4 2 10 3 8" xfId="19479" xr:uid="{00000000-0005-0000-0000-0000F24B0000}"/>
    <cellStyle name="Normal 2 2 2 4 2 10 3 9" xfId="19480" xr:uid="{00000000-0005-0000-0000-0000F34B0000}"/>
    <cellStyle name="Normal 2 2 2 4 2 10 4" xfId="19481" xr:uid="{00000000-0005-0000-0000-0000F44B0000}"/>
    <cellStyle name="Normal 2 2 2 4 2 10 4 10" xfId="19482" xr:uid="{00000000-0005-0000-0000-0000F54B0000}"/>
    <cellStyle name="Normal 2 2 2 4 2 10 4 2" xfId="19483" xr:uid="{00000000-0005-0000-0000-0000F64B0000}"/>
    <cellStyle name="Normal 2 2 2 4 2 10 4 3" xfId="19484" xr:uid="{00000000-0005-0000-0000-0000F74B0000}"/>
    <cellStyle name="Normal 2 2 2 4 2 10 4 4" xfId="19485" xr:uid="{00000000-0005-0000-0000-0000F84B0000}"/>
    <cellStyle name="Normal 2 2 2 4 2 10 4 5" xfId="19486" xr:uid="{00000000-0005-0000-0000-0000F94B0000}"/>
    <cellStyle name="Normal 2 2 2 4 2 10 4 6" xfId="19487" xr:uid="{00000000-0005-0000-0000-0000FA4B0000}"/>
    <cellStyle name="Normal 2 2 2 4 2 10 4 7" xfId="19488" xr:uid="{00000000-0005-0000-0000-0000FB4B0000}"/>
    <cellStyle name="Normal 2 2 2 4 2 10 4 8" xfId="19489" xr:uid="{00000000-0005-0000-0000-0000FC4B0000}"/>
    <cellStyle name="Normal 2 2 2 4 2 10 4 9" xfId="19490" xr:uid="{00000000-0005-0000-0000-0000FD4B0000}"/>
    <cellStyle name="Normal 2 2 2 4 2 10 5" xfId="19491" xr:uid="{00000000-0005-0000-0000-0000FE4B0000}"/>
    <cellStyle name="Normal 2 2 2 4 2 10 5 10" xfId="19492" xr:uid="{00000000-0005-0000-0000-0000FF4B0000}"/>
    <cellStyle name="Normal 2 2 2 4 2 10 5 2" xfId="19493" xr:uid="{00000000-0005-0000-0000-0000004C0000}"/>
    <cellStyle name="Normal 2 2 2 4 2 10 5 3" xfId="19494" xr:uid="{00000000-0005-0000-0000-0000014C0000}"/>
    <cellStyle name="Normal 2 2 2 4 2 10 5 4" xfId="19495" xr:uid="{00000000-0005-0000-0000-0000024C0000}"/>
    <cellStyle name="Normal 2 2 2 4 2 10 5 5" xfId="19496" xr:uid="{00000000-0005-0000-0000-0000034C0000}"/>
    <cellStyle name="Normal 2 2 2 4 2 10 5 6" xfId="19497" xr:uid="{00000000-0005-0000-0000-0000044C0000}"/>
    <cellStyle name="Normal 2 2 2 4 2 10 5 7" xfId="19498" xr:uid="{00000000-0005-0000-0000-0000054C0000}"/>
    <cellStyle name="Normal 2 2 2 4 2 10 5 8" xfId="19499" xr:uid="{00000000-0005-0000-0000-0000064C0000}"/>
    <cellStyle name="Normal 2 2 2 4 2 10 5 9" xfId="19500" xr:uid="{00000000-0005-0000-0000-0000074C0000}"/>
    <cellStyle name="Normal 2 2 2 4 2 10 6" xfId="19501" xr:uid="{00000000-0005-0000-0000-0000084C0000}"/>
    <cellStyle name="Normal 2 2 2 4 2 10 7" xfId="19502" xr:uid="{00000000-0005-0000-0000-0000094C0000}"/>
    <cellStyle name="Normal 2 2 2 4 2 10 8" xfId="19503" xr:uid="{00000000-0005-0000-0000-00000A4C0000}"/>
    <cellStyle name="Normal 2 2 2 4 2 10 9" xfId="19504" xr:uid="{00000000-0005-0000-0000-00000B4C0000}"/>
    <cellStyle name="Normal 2 2 2 4 2 11" xfId="19505" xr:uid="{00000000-0005-0000-0000-00000C4C0000}"/>
    <cellStyle name="Normal 2 2 2 4 2 11 10" xfId="19506" xr:uid="{00000000-0005-0000-0000-00000D4C0000}"/>
    <cellStyle name="Normal 2 2 2 4 2 11 11" xfId="19507" xr:uid="{00000000-0005-0000-0000-00000E4C0000}"/>
    <cellStyle name="Normal 2 2 2 4 2 11 12" xfId="19508" xr:uid="{00000000-0005-0000-0000-00000F4C0000}"/>
    <cellStyle name="Normal 2 2 2 4 2 11 13" xfId="19509" xr:uid="{00000000-0005-0000-0000-0000104C0000}"/>
    <cellStyle name="Normal 2 2 2 4 2 11 14" xfId="19510" xr:uid="{00000000-0005-0000-0000-0000114C0000}"/>
    <cellStyle name="Normal 2 2 2 4 2 11 2" xfId="19511" xr:uid="{00000000-0005-0000-0000-0000124C0000}"/>
    <cellStyle name="Normal 2 2 2 4 2 11 2 10" xfId="19512" xr:uid="{00000000-0005-0000-0000-0000134C0000}"/>
    <cellStyle name="Normal 2 2 2 4 2 11 2 2" xfId="19513" xr:uid="{00000000-0005-0000-0000-0000144C0000}"/>
    <cellStyle name="Normal 2 2 2 4 2 11 2 3" xfId="19514" xr:uid="{00000000-0005-0000-0000-0000154C0000}"/>
    <cellStyle name="Normal 2 2 2 4 2 11 2 4" xfId="19515" xr:uid="{00000000-0005-0000-0000-0000164C0000}"/>
    <cellStyle name="Normal 2 2 2 4 2 11 2 5" xfId="19516" xr:uid="{00000000-0005-0000-0000-0000174C0000}"/>
    <cellStyle name="Normal 2 2 2 4 2 11 2 6" xfId="19517" xr:uid="{00000000-0005-0000-0000-0000184C0000}"/>
    <cellStyle name="Normal 2 2 2 4 2 11 2 7" xfId="19518" xr:uid="{00000000-0005-0000-0000-0000194C0000}"/>
    <cellStyle name="Normal 2 2 2 4 2 11 2 8" xfId="19519" xr:uid="{00000000-0005-0000-0000-00001A4C0000}"/>
    <cellStyle name="Normal 2 2 2 4 2 11 2 9" xfId="19520" xr:uid="{00000000-0005-0000-0000-00001B4C0000}"/>
    <cellStyle name="Normal 2 2 2 4 2 11 3" xfId="19521" xr:uid="{00000000-0005-0000-0000-00001C4C0000}"/>
    <cellStyle name="Normal 2 2 2 4 2 11 3 10" xfId="19522" xr:uid="{00000000-0005-0000-0000-00001D4C0000}"/>
    <cellStyle name="Normal 2 2 2 4 2 11 3 2" xfId="19523" xr:uid="{00000000-0005-0000-0000-00001E4C0000}"/>
    <cellStyle name="Normal 2 2 2 4 2 11 3 3" xfId="19524" xr:uid="{00000000-0005-0000-0000-00001F4C0000}"/>
    <cellStyle name="Normal 2 2 2 4 2 11 3 4" xfId="19525" xr:uid="{00000000-0005-0000-0000-0000204C0000}"/>
    <cellStyle name="Normal 2 2 2 4 2 11 3 5" xfId="19526" xr:uid="{00000000-0005-0000-0000-0000214C0000}"/>
    <cellStyle name="Normal 2 2 2 4 2 11 3 6" xfId="19527" xr:uid="{00000000-0005-0000-0000-0000224C0000}"/>
    <cellStyle name="Normal 2 2 2 4 2 11 3 7" xfId="19528" xr:uid="{00000000-0005-0000-0000-0000234C0000}"/>
    <cellStyle name="Normal 2 2 2 4 2 11 3 8" xfId="19529" xr:uid="{00000000-0005-0000-0000-0000244C0000}"/>
    <cellStyle name="Normal 2 2 2 4 2 11 3 9" xfId="19530" xr:uid="{00000000-0005-0000-0000-0000254C0000}"/>
    <cellStyle name="Normal 2 2 2 4 2 11 4" xfId="19531" xr:uid="{00000000-0005-0000-0000-0000264C0000}"/>
    <cellStyle name="Normal 2 2 2 4 2 11 4 10" xfId="19532" xr:uid="{00000000-0005-0000-0000-0000274C0000}"/>
    <cellStyle name="Normal 2 2 2 4 2 11 4 2" xfId="19533" xr:uid="{00000000-0005-0000-0000-0000284C0000}"/>
    <cellStyle name="Normal 2 2 2 4 2 11 4 3" xfId="19534" xr:uid="{00000000-0005-0000-0000-0000294C0000}"/>
    <cellStyle name="Normal 2 2 2 4 2 11 4 4" xfId="19535" xr:uid="{00000000-0005-0000-0000-00002A4C0000}"/>
    <cellStyle name="Normal 2 2 2 4 2 11 4 5" xfId="19536" xr:uid="{00000000-0005-0000-0000-00002B4C0000}"/>
    <cellStyle name="Normal 2 2 2 4 2 11 4 6" xfId="19537" xr:uid="{00000000-0005-0000-0000-00002C4C0000}"/>
    <cellStyle name="Normal 2 2 2 4 2 11 4 7" xfId="19538" xr:uid="{00000000-0005-0000-0000-00002D4C0000}"/>
    <cellStyle name="Normal 2 2 2 4 2 11 4 8" xfId="19539" xr:uid="{00000000-0005-0000-0000-00002E4C0000}"/>
    <cellStyle name="Normal 2 2 2 4 2 11 4 9" xfId="19540" xr:uid="{00000000-0005-0000-0000-00002F4C0000}"/>
    <cellStyle name="Normal 2 2 2 4 2 11 5" xfId="19541" xr:uid="{00000000-0005-0000-0000-0000304C0000}"/>
    <cellStyle name="Normal 2 2 2 4 2 11 5 10" xfId="19542" xr:uid="{00000000-0005-0000-0000-0000314C0000}"/>
    <cellStyle name="Normal 2 2 2 4 2 11 5 2" xfId="19543" xr:uid="{00000000-0005-0000-0000-0000324C0000}"/>
    <cellStyle name="Normal 2 2 2 4 2 11 5 3" xfId="19544" xr:uid="{00000000-0005-0000-0000-0000334C0000}"/>
    <cellStyle name="Normal 2 2 2 4 2 11 5 4" xfId="19545" xr:uid="{00000000-0005-0000-0000-0000344C0000}"/>
    <cellStyle name="Normal 2 2 2 4 2 11 5 5" xfId="19546" xr:uid="{00000000-0005-0000-0000-0000354C0000}"/>
    <cellStyle name="Normal 2 2 2 4 2 11 5 6" xfId="19547" xr:uid="{00000000-0005-0000-0000-0000364C0000}"/>
    <cellStyle name="Normal 2 2 2 4 2 11 5 7" xfId="19548" xr:uid="{00000000-0005-0000-0000-0000374C0000}"/>
    <cellStyle name="Normal 2 2 2 4 2 11 5 8" xfId="19549" xr:uid="{00000000-0005-0000-0000-0000384C0000}"/>
    <cellStyle name="Normal 2 2 2 4 2 11 5 9" xfId="19550" xr:uid="{00000000-0005-0000-0000-0000394C0000}"/>
    <cellStyle name="Normal 2 2 2 4 2 11 6" xfId="19551" xr:uid="{00000000-0005-0000-0000-00003A4C0000}"/>
    <cellStyle name="Normal 2 2 2 4 2 11 7" xfId="19552" xr:uid="{00000000-0005-0000-0000-00003B4C0000}"/>
    <cellStyle name="Normal 2 2 2 4 2 11 8" xfId="19553" xr:uid="{00000000-0005-0000-0000-00003C4C0000}"/>
    <cellStyle name="Normal 2 2 2 4 2 11 9" xfId="19554" xr:uid="{00000000-0005-0000-0000-00003D4C0000}"/>
    <cellStyle name="Normal 2 2 2 4 2 12" xfId="19555" xr:uid="{00000000-0005-0000-0000-00003E4C0000}"/>
    <cellStyle name="Normal 2 2 2 4 2 12 10" xfId="19556" xr:uid="{00000000-0005-0000-0000-00003F4C0000}"/>
    <cellStyle name="Normal 2 2 2 4 2 12 11" xfId="19557" xr:uid="{00000000-0005-0000-0000-0000404C0000}"/>
    <cellStyle name="Normal 2 2 2 4 2 12 12" xfId="19558" xr:uid="{00000000-0005-0000-0000-0000414C0000}"/>
    <cellStyle name="Normal 2 2 2 4 2 12 13" xfId="19559" xr:uid="{00000000-0005-0000-0000-0000424C0000}"/>
    <cellStyle name="Normal 2 2 2 4 2 12 14" xfId="19560" xr:uid="{00000000-0005-0000-0000-0000434C0000}"/>
    <cellStyle name="Normal 2 2 2 4 2 12 2" xfId="19561" xr:uid="{00000000-0005-0000-0000-0000444C0000}"/>
    <cellStyle name="Normal 2 2 2 4 2 12 2 10" xfId="19562" xr:uid="{00000000-0005-0000-0000-0000454C0000}"/>
    <cellStyle name="Normal 2 2 2 4 2 12 2 2" xfId="19563" xr:uid="{00000000-0005-0000-0000-0000464C0000}"/>
    <cellStyle name="Normal 2 2 2 4 2 12 2 3" xfId="19564" xr:uid="{00000000-0005-0000-0000-0000474C0000}"/>
    <cellStyle name="Normal 2 2 2 4 2 12 2 4" xfId="19565" xr:uid="{00000000-0005-0000-0000-0000484C0000}"/>
    <cellStyle name="Normal 2 2 2 4 2 12 2 5" xfId="19566" xr:uid="{00000000-0005-0000-0000-0000494C0000}"/>
    <cellStyle name="Normal 2 2 2 4 2 12 2 6" xfId="19567" xr:uid="{00000000-0005-0000-0000-00004A4C0000}"/>
    <cellStyle name="Normal 2 2 2 4 2 12 2 7" xfId="19568" xr:uid="{00000000-0005-0000-0000-00004B4C0000}"/>
    <cellStyle name="Normal 2 2 2 4 2 12 2 8" xfId="19569" xr:uid="{00000000-0005-0000-0000-00004C4C0000}"/>
    <cellStyle name="Normal 2 2 2 4 2 12 2 9" xfId="19570" xr:uid="{00000000-0005-0000-0000-00004D4C0000}"/>
    <cellStyle name="Normal 2 2 2 4 2 12 3" xfId="19571" xr:uid="{00000000-0005-0000-0000-00004E4C0000}"/>
    <cellStyle name="Normal 2 2 2 4 2 12 3 10" xfId="19572" xr:uid="{00000000-0005-0000-0000-00004F4C0000}"/>
    <cellStyle name="Normal 2 2 2 4 2 12 3 2" xfId="19573" xr:uid="{00000000-0005-0000-0000-0000504C0000}"/>
    <cellStyle name="Normal 2 2 2 4 2 12 3 3" xfId="19574" xr:uid="{00000000-0005-0000-0000-0000514C0000}"/>
    <cellStyle name="Normal 2 2 2 4 2 12 3 4" xfId="19575" xr:uid="{00000000-0005-0000-0000-0000524C0000}"/>
    <cellStyle name="Normal 2 2 2 4 2 12 3 5" xfId="19576" xr:uid="{00000000-0005-0000-0000-0000534C0000}"/>
    <cellStyle name="Normal 2 2 2 4 2 12 3 6" xfId="19577" xr:uid="{00000000-0005-0000-0000-0000544C0000}"/>
    <cellStyle name="Normal 2 2 2 4 2 12 3 7" xfId="19578" xr:uid="{00000000-0005-0000-0000-0000554C0000}"/>
    <cellStyle name="Normal 2 2 2 4 2 12 3 8" xfId="19579" xr:uid="{00000000-0005-0000-0000-0000564C0000}"/>
    <cellStyle name="Normal 2 2 2 4 2 12 3 9" xfId="19580" xr:uid="{00000000-0005-0000-0000-0000574C0000}"/>
    <cellStyle name="Normal 2 2 2 4 2 12 4" xfId="19581" xr:uid="{00000000-0005-0000-0000-0000584C0000}"/>
    <cellStyle name="Normal 2 2 2 4 2 12 4 10" xfId="19582" xr:uid="{00000000-0005-0000-0000-0000594C0000}"/>
    <cellStyle name="Normal 2 2 2 4 2 12 4 2" xfId="19583" xr:uid="{00000000-0005-0000-0000-00005A4C0000}"/>
    <cellStyle name="Normal 2 2 2 4 2 12 4 3" xfId="19584" xr:uid="{00000000-0005-0000-0000-00005B4C0000}"/>
    <cellStyle name="Normal 2 2 2 4 2 12 4 4" xfId="19585" xr:uid="{00000000-0005-0000-0000-00005C4C0000}"/>
    <cellStyle name="Normal 2 2 2 4 2 12 4 5" xfId="19586" xr:uid="{00000000-0005-0000-0000-00005D4C0000}"/>
    <cellStyle name="Normal 2 2 2 4 2 12 4 6" xfId="19587" xr:uid="{00000000-0005-0000-0000-00005E4C0000}"/>
    <cellStyle name="Normal 2 2 2 4 2 12 4 7" xfId="19588" xr:uid="{00000000-0005-0000-0000-00005F4C0000}"/>
    <cellStyle name="Normal 2 2 2 4 2 12 4 8" xfId="19589" xr:uid="{00000000-0005-0000-0000-0000604C0000}"/>
    <cellStyle name="Normal 2 2 2 4 2 12 4 9" xfId="19590" xr:uid="{00000000-0005-0000-0000-0000614C0000}"/>
    <cellStyle name="Normal 2 2 2 4 2 12 5" xfId="19591" xr:uid="{00000000-0005-0000-0000-0000624C0000}"/>
    <cellStyle name="Normal 2 2 2 4 2 12 5 10" xfId="19592" xr:uid="{00000000-0005-0000-0000-0000634C0000}"/>
    <cellStyle name="Normal 2 2 2 4 2 12 5 2" xfId="19593" xr:uid="{00000000-0005-0000-0000-0000644C0000}"/>
    <cellStyle name="Normal 2 2 2 4 2 12 5 3" xfId="19594" xr:uid="{00000000-0005-0000-0000-0000654C0000}"/>
    <cellStyle name="Normal 2 2 2 4 2 12 5 4" xfId="19595" xr:uid="{00000000-0005-0000-0000-0000664C0000}"/>
    <cellStyle name="Normal 2 2 2 4 2 12 5 5" xfId="19596" xr:uid="{00000000-0005-0000-0000-0000674C0000}"/>
    <cellStyle name="Normal 2 2 2 4 2 12 5 6" xfId="19597" xr:uid="{00000000-0005-0000-0000-0000684C0000}"/>
    <cellStyle name="Normal 2 2 2 4 2 12 5 7" xfId="19598" xr:uid="{00000000-0005-0000-0000-0000694C0000}"/>
    <cellStyle name="Normal 2 2 2 4 2 12 5 8" xfId="19599" xr:uid="{00000000-0005-0000-0000-00006A4C0000}"/>
    <cellStyle name="Normal 2 2 2 4 2 12 5 9" xfId="19600" xr:uid="{00000000-0005-0000-0000-00006B4C0000}"/>
    <cellStyle name="Normal 2 2 2 4 2 12 6" xfId="19601" xr:uid="{00000000-0005-0000-0000-00006C4C0000}"/>
    <cellStyle name="Normal 2 2 2 4 2 12 7" xfId="19602" xr:uid="{00000000-0005-0000-0000-00006D4C0000}"/>
    <cellStyle name="Normal 2 2 2 4 2 12 8" xfId="19603" xr:uid="{00000000-0005-0000-0000-00006E4C0000}"/>
    <cellStyle name="Normal 2 2 2 4 2 12 9" xfId="19604" xr:uid="{00000000-0005-0000-0000-00006F4C0000}"/>
    <cellStyle name="Normal 2 2 2 4 2 13" xfId="19605" xr:uid="{00000000-0005-0000-0000-0000704C0000}"/>
    <cellStyle name="Normal 2 2 2 4 2 13 10" xfId="19606" xr:uid="{00000000-0005-0000-0000-0000714C0000}"/>
    <cellStyle name="Normal 2 2 2 4 2 13 11" xfId="19607" xr:uid="{00000000-0005-0000-0000-0000724C0000}"/>
    <cellStyle name="Normal 2 2 2 4 2 13 12" xfId="19608" xr:uid="{00000000-0005-0000-0000-0000734C0000}"/>
    <cellStyle name="Normal 2 2 2 4 2 13 13" xfId="19609" xr:uid="{00000000-0005-0000-0000-0000744C0000}"/>
    <cellStyle name="Normal 2 2 2 4 2 13 14" xfId="19610" xr:uid="{00000000-0005-0000-0000-0000754C0000}"/>
    <cellStyle name="Normal 2 2 2 4 2 13 2" xfId="19611" xr:uid="{00000000-0005-0000-0000-0000764C0000}"/>
    <cellStyle name="Normal 2 2 2 4 2 13 2 10" xfId="19612" xr:uid="{00000000-0005-0000-0000-0000774C0000}"/>
    <cellStyle name="Normal 2 2 2 4 2 13 2 2" xfId="19613" xr:uid="{00000000-0005-0000-0000-0000784C0000}"/>
    <cellStyle name="Normal 2 2 2 4 2 13 2 3" xfId="19614" xr:uid="{00000000-0005-0000-0000-0000794C0000}"/>
    <cellStyle name="Normal 2 2 2 4 2 13 2 4" xfId="19615" xr:uid="{00000000-0005-0000-0000-00007A4C0000}"/>
    <cellStyle name="Normal 2 2 2 4 2 13 2 5" xfId="19616" xr:uid="{00000000-0005-0000-0000-00007B4C0000}"/>
    <cellStyle name="Normal 2 2 2 4 2 13 2 6" xfId="19617" xr:uid="{00000000-0005-0000-0000-00007C4C0000}"/>
    <cellStyle name="Normal 2 2 2 4 2 13 2 7" xfId="19618" xr:uid="{00000000-0005-0000-0000-00007D4C0000}"/>
    <cellStyle name="Normal 2 2 2 4 2 13 2 8" xfId="19619" xr:uid="{00000000-0005-0000-0000-00007E4C0000}"/>
    <cellStyle name="Normal 2 2 2 4 2 13 2 9" xfId="19620" xr:uid="{00000000-0005-0000-0000-00007F4C0000}"/>
    <cellStyle name="Normal 2 2 2 4 2 13 3" xfId="19621" xr:uid="{00000000-0005-0000-0000-0000804C0000}"/>
    <cellStyle name="Normal 2 2 2 4 2 13 3 10" xfId="19622" xr:uid="{00000000-0005-0000-0000-0000814C0000}"/>
    <cellStyle name="Normal 2 2 2 4 2 13 3 2" xfId="19623" xr:uid="{00000000-0005-0000-0000-0000824C0000}"/>
    <cellStyle name="Normal 2 2 2 4 2 13 3 3" xfId="19624" xr:uid="{00000000-0005-0000-0000-0000834C0000}"/>
    <cellStyle name="Normal 2 2 2 4 2 13 3 4" xfId="19625" xr:uid="{00000000-0005-0000-0000-0000844C0000}"/>
    <cellStyle name="Normal 2 2 2 4 2 13 3 5" xfId="19626" xr:uid="{00000000-0005-0000-0000-0000854C0000}"/>
    <cellStyle name="Normal 2 2 2 4 2 13 3 6" xfId="19627" xr:uid="{00000000-0005-0000-0000-0000864C0000}"/>
    <cellStyle name="Normal 2 2 2 4 2 13 3 7" xfId="19628" xr:uid="{00000000-0005-0000-0000-0000874C0000}"/>
    <cellStyle name="Normal 2 2 2 4 2 13 3 8" xfId="19629" xr:uid="{00000000-0005-0000-0000-0000884C0000}"/>
    <cellStyle name="Normal 2 2 2 4 2 13 3 9" xfId="19630" xr:uid="{00000000-0005-0000-0000-0000894C0000}"/>
    <cellStyle name="Normal 2 2 2 4 2 13 4" xfId="19631" xr:uid="{00000000-0005-0000-0000-00008A4C0000}"/>
    <cellStyle name="Normal 2 2 2 4 2 13 4 10" xfId="19632" xr:uid="{00000000-0005-0000-0000-00008B4C0000}"/>
    <cellStyle name="Normal 2 2 2 4 2 13 4 2" xfId="19633" xr:uid="{00000000-0005-0000-0000-00008C4C0000}"/>
    <cellStyle name="Normal 2 2 2 4 2 13 4 3" xfId="19634" xr:uid="{00000000-0005-0000-0000-00008D4C0000}"/>
    <cellStyle name="Normal 2 2 2 4 2 13 4 4" xfId="19635" xr:uid="{00000000-0005-0000-0000-00008E4C0000}"/>
    <cellStyle name="Normal 2 2 2 4 2 13 4 5" xfId="19636" xr:uid="{00000000-0005-0000-0000-00008F4C0000}"/>
    <cellStyle name="Normal 2 2 2 4 2 13 4 6" xfId="19637" xr:uid="{00000000-0005-0000-0000-0000904C0000}"/>
    <cellStyle name="Normal 2 2 2 4 2 13 4 7" xfId="19638" xr:uid="{00000000-0005-0000-0000-0000914C0000}"/>
    <cellStyle name="Normal 2 2 2 4 2 13 4 8" xfId="19639" xr:uid="{00000000-0005-0000-0000-0000924C0000}"/>
    <cellStyle name="Normal 2 2 2 4 2 13 4 9" xfId="19640" xr:uid="{00000000-0005-0000-0000-0000934C0000}"/>
    <cellStyle name="Normal 2 2 2 4 2 13 5" xfId="19641" xr:uid="{00000000-0005-0000-0000-0000944C0000}"/>
    <cellStyle name="Normal 2 2 2 4 2 13 5 10" xfId="19642" xr:uid="{00000000-0005-0000-0000-0000954C0000}"/>
    <cellStyle name="Normal 2 2 2 4 2 13 5 2" xfId="19643" xr:uid="{00000000-0005-0000-0000-0000964C0000}"/>
    <cellStyle name="Normal 2 2 2 4 2 13 5 3" xfId="19644" xr:uid="{00000000-0005-0000-0000-0000974C0000}"/>
    <cellStyle name="Normal 2 2 2 4 2 13 5 4" xfId="19645" xr:uid="{00000000-0005-0000-0000-0000984C0000}"/>
    <cellStyle name="Normal 2 2 2 4 2 13 5 5" xfId="19646" xr:uid="{00000000-0005-0000-0000-0000994C0000}"/>
    <cellStyle name="Normal 2 2 2 4 2 13 5 6" xfId="19647" xr:uid="{00000000-0005-0000-0000-00009A4C0000}"/>
    <cellStyle name="Normal 2 2 2 4 2 13 5 7" xfId="19648" xr:uid="{00000000-0005-0000-0000-00009B4C0000}"/>
    <cellStyle name="Normal 2 2 2 4 2 13 5 8" xfId="19649" xr:uid="{00000000-0005-0000-0000-00009C4C0000}"/>
    <cellStyle name="Normal 2 2 2 4 2 13 5 9" xfId="19650" xr:uid="{00000000-0005-0000-0000-00009D4C0000}"/>
    <cellStyle name="Normal 2 2 2 4 2 13 6" xfId="19651" xr:uid="{00000000-0005-0000-0000-00009E4C0000}"/>
    <cellStyle name="Normal 2 2 2 4 2 13 7" xfId="19652" xr:uid="{00000000-0005-0000-0000-00009F4C0000}"/>
    <cellStyle name="Normal 2 2 2 4 2 13 8" xfId="19653" xr:uid="{00000000-0005-0000-0000-0000A04C0000}"/>
    <cellStyle name="Normal 2 2 2 4 2 13 9" xfId="19654" xr:uid="{00000000-0005-0000-0000-0000A14C0000}"/>
    <cellStyle name="Normal 2 2 2 4 2 14" xfId="19655" xr:uid="{00000000-0005-0000-0000-0000A24C0000}"/>
    <cellStyle name="Normal 2 2 2 4 2 14 10" xfId="19656" xr:uid="{00000000-0005-0000-0000-0000A34C0000}"/>
    <cellStyle name="Normal 2 2 2 4 2 14 11" xfId="19657" xr:uid="{00000000-0005-0000-0000-0000A44C0000}"/>
    <cellStyle name="Normal 2 2 2 4 2 14 12" xfId="19658" xr:uid="{00000000-0005-0000-0000-0000A54C0000}"/>
    <cellStyle name="Normal 2 2 2 4 2 14 13" xfId="19659" xr:uid="{00000000-0005-0000-0000-0000A64C0000}"/>
    <cellStyle name="Normal 2 2 2 4 2 14 14" xfId="19660" xr:uid="{00000000-0005-0000-0000-0000A74C0000}"/>
    <cellStyle name="Normal 2 2 2 4 2 14 2" xfId="19661" xr:uid="{00000000-0005-0000-0000-0000A84C0000}"/>
    <cellStyle name="Normal 2 2 2 4 2 14 2 10" xfId="19662" xr:uid="{00000000-0005-0000-0000-0000A94C0000}"/>
    <cellStyle name="Normal 2 2 2 4 2 14 2 2" xfId="19663" xr:uid="{00000000-0005-0000-0000-0000AA4C0000}"/>
    <cellStyle name="Normal 2 2 2 4 2 14 2 3" xfId="19664" xr:uid="{00000000-0005-0000-0000-0000AB4C0000}"/>
    <cellStyle name="Normal 2 2 2 4 2 14 2 4" xfId="19665" xr:uid="{00000000-0005-0000-0000-0000AC4C0000}"/>
    <cellStyle name="Normal 2 2 2 4 2 14 2 5" xfId="19666" xr:uid="{00000000-0005-0000-0000-0000AD4C0000}"/>
    <cellStyle name="Normal 2 2 2 4 2 14 2 6" xfId="19667" xr:uid="{00000000-0005-0000-0000-0000AE4C0000}"/>
    <cellStyle name="Normal 2 2 2 4 2 14 2 7" xfId="19668" xr:uid="{00000000-0005-0000-0000-0000AF4C0000}"/>
    <cellStyle name="Normal 2 2 2 4 2 14 2 8" xfId="19669" xr:uid="{00000000-0005-0000-0000-0000B04C0000}"/>
    <cellStyle name="Normal 2 2 2 4 2 14 2 9" xfId="19670" xr:uid="{00000000-0005-0000-0000-0000B14C0000}"/>
    <cellStyle name="Normal 2 2 2 4 2 14 3" xfId="19671" xr:uid="{00000000-0005-0000-0000-0000B24C0000}"/>
    <cellStyle name="Normal 2 2 2 4 2 14 3 10" xfId="19672" xr:uid="{00000000-0005-0000-0000-0000B34C0000}"/>
    <cellStyle name="Normal 2 2 2 4 2 14 3 2" xfId="19673" xr:uid="{00000000-0005-0000-0000-0000B44C0000}"/>
    <cellStyle name="Normal 2 2 2 4 2 14 3 3" xfId="19674" xr:uid="{00000000-0005-0000-0000-0000B54C0000}"/>
    <cellStyle name="Normal 2 2 2 4 2 14 3 4" xfId="19675" xr:uid="{00000000-0005-0000-0000-0000B64C0000}"/>
    <cellStyle name="Normal 2 2 2 4 2 14 3 5" xfId="19676" xr:uid="{00000000-0005-0000-0000-0000B74C0000}"/>
    <cellStyle name="Normal 2 2 2 4 2 14 3 6" xfId="19677" xr:uid="{00000000-0005-0000-0000-0000B84C0000}"/>
    <cellStyle name="Normal 2 2 2 4 2 14 3 7" xfId="19678" xr:uid="{00000000-0005-0000-0000-0000B94C0000}"/>
    <cellStyle name="Normal 2 2 2 4 2 14 3 8" xfId="19679" xr:uid="{00000000-0005-0000-0000-0000BA4C0000}"/>
    <cellStyle name="Normal 2 2 2 4 2 14 3 9" xfId="19680" xr:uid="{00000000-0005-0000-0000-0000BB4C0000}"/>
    <cellStyle name="Normal 2 2 2 4 2 14 4" xfId="19681" xr:uid="{00000000-0005-0000-0000-0000BC4C0000}"/>
    <cellStyle name="Normal 2 2 2 4 2 14 4 10" xfId="19682" xr:uid="{00000000-0005-0000-0000-0000BD4C0000}"/>
    <cellStyle name="Normal 2 2 2 4 2 14 4 2" xfId="19683" xr:uid="{00000000-0005-0000-0000-0000BE4C0000}"/>
    <cellStyle name="Normal 2 2 2 4 2 14 4 3" xfId="19684" xr:uid="{00000000-0005-0000-0000-0000BF4C0000}"/>
    <cellStyle name="Normal 2 2 2 4 2 14 4 4" xfId="19685" xr:uid="{00000000-0005-0000-0000-0000C04C0000}"/>
    <cellStyle name="Normal 2 2 2 4 2 14 4 5" xfId="19686" xr:uid="{00000000-0005-0000-0000-0000C14C0000}"/>
    <cellStyle name="Normal 2 2 2 4 2 14 4 6" xfId="19687" xr:uid="{00000000-0005-0000-0000-0000C24C0000}"/>
    <cellStyle name="Normal 2 2 2 4 2 14 4 7" xfId="19688" xr:uid="{00000000-0005-0000-0000-0000C34C0000}"/>
    <cellStyle name="Normal 2 2 2 4 2 14 4 8" xfId="19689" xr:uid="{00000000-0005-0000-0000-0000C44C0000}"/>
    <cellStyle name="Normal 2 2 2 4 2 14 4 9" xfId="19690" xr:uid="{00000000-0005-0000-0000-0000C54C0000}"/>
    <cellStyle name="Normal 2 2 2 4 2 14 5" xfId="19691" xr:uid="{00000000-0005-0000-0000-0000C64C0000}"/>
    <cellStyle name="Normal 2 2 2 4 2 14 5 10" xfId="19692" xr:uid="{00000000-0005-0000-0000-0000C74C0000}"/>
    <cellStyle name="Normal 2 2 2 4 2 14 5 2" xfId="19693" xr:uid="{00000000-0005-0000-0000-0000C84C0000}"/>
    <cellStyle name="Normal 2 2 2 4 2 14 5 3" xfId="19694" xr:uid="{00000000-0005-0000-0000-0000C94C0000}"/>
    <cellStyle name="Normal 2 2 2 4 2 14 5 4" xfId="19695" xr:uid="{00000000-0005-0000-0000-0000CA4C0000}"/>
    <cellStyle name="Normal 2 2 2 4 2 14 5 5" xfId="19696" xr:uid="{00000000-0005-0000-0000-0000CB4C0000}"/>
    <cellStyle name="Normal 2 2 2 4 2 14 5 6" xfId="19697" xr:uid="{00000000-0005-0000-0000-0000CC4C0000}"/>
    <cellStyle name="Normal 2 2 2 4 2 14 5 7" xfId="19698" xr:uid="{00000000-0005-0000-0000-0000CD4C0000}"/>
    <cellStyle name="Normal 2 2 2 4 2 14 5 8" xfId="19699" xr:uid="{00000000-0005-0000-0000-0000CE4C0000}"/>
    <cellStyle name="Normal 2 2 2 4 2 14 5 9" xfId="19700" xr:uid="{00000000-0005-0000-0000-0000CF4C0000}"/>
    <cellStyle name="Normal 2 2 2 4 2 14 6" xfId="19701" xr:uid="{00000000-0005-0000-0000-0000D04C0000}"/>
    <cellStyle name="Normal 2 2 2 4 2 14 7" xfId="19702" xr:uid="{00000000-0005-0000-0000-0000D14C0000}"/>
    <cellStyle name="Normal 2 2 2 4 2 14 8" xfId="19703" xr:uid="{00000000-0005-0000-0000-0000D24C0000}"/>
    <cellStyle name="Normal 2 2 2 4 2 14 9" xfId="19704" xr:uid="{00000000-0005-0000-0000-0000D34C0000}"/>
    <cellStyle name="Normal 2 2 2 4 2 15" xfId="19705" xr:uid="{00000000-0005-0000-0000-0000D44C0000}"/>
    <cellStyle name="Normal 2 2 2 4 2 15 10" xfId="19706" xr:uid="{00000000-0005-0000-0000-0000D54C0000}"/>
    <cellStyle name="Normal 2 2 2 4 2 15 11" xfId="19707" xr:uid="{00000000-0005-0000-0000-0000D64C0000}"/>
    <cellStyle name="Normal 2 2 2 4 2 15 12" xfId="19708" xr:uid="{00000000-0005-0000-0000-0000D74C0000}"/>
    <cellStyle name="Normal 2 2 2 4 2 15 13" xfId="19709" xr:uid="{00000000-0005-0000-0000-0000D84C0000}"/>
    <cellStyle name="Normal 2 2 2 4 2 15 14" xfId="19710" xr:uid="{00000000-0005-0000-0000-0000D94C0000}"/>
    <cellStyle name="Normal 2 2 2 4 2 15 2" xfId="19711" xr:uid="{00000000-0005-0000-0000-0000DA4C0000}"/>
    <cellStyle name="Normal 2 2 2 4 2 15 2 10" xfId="19712" xr:uid="{00000000-0005-0000-0000-0000DB4C0000}"/>
    <cellStyle name="Normal 2 2 2 4 2 15 2 2" xfId="19713" xr:uid="{00000000-0005-0000-0000-0000DC4C0000}"/>
    <cellStyle name="Normal 2 2 2 4 2 15 2 3" xfId="19714" xr:uid="{00000000-0005-0000-0000-0000DD4C0000}"/>
    <cellStyle name="Normal 2 2 2 4 2 15 2 4" xfId="19715" xr:uid="{00000000-0005-0000-0000-0000DE4C0000}"/>
    <cellStyle name="Normal 2 2 2 4 2 15 2 5" xfId="19716" xr:uid="{00000000-0005-0000-0000-0000DF4C0000}"/>
    <cellStyle name="Normal 2 2 2 4 2 15 2 6" xfId="19717" xr:uid="{00000000-0005-0000-0000-0000E04C0000}"/>
    <cellStyle name="Normal 2 2 2 4 2 15 2 7" xfId="19718" xr:uid="{00000000-0005-0000-0000-0000E14C0000}"/>
    <cellStyle name="Normal 2 2 2 4 2 15 2 8" xfId="19719" xr:uid="{00000000-0005-0000-0000-0000E24C0000}"/>
    <cellStyle name="Normal 2 2 2 4 2 15 2 9" xfId="19720" xr:uid="{00000000-0005-0000-0000-0000E34C0000}"/>
    <cellStyle name="Normal 2 2 2 4 2 15 3" xfId="19721" xr:uid="{00000000-0005-0000-0000-0000E44C0000}"/>
    <cellStyle name="Normal 2 2 2 4 2 15 3 10" xfId="19722" xr:uid="{00000000-0005-0000-0000-0000E54C0000}"/>
    <cellStyle name="Normal 2 2 2 4 2 15 3 2" xfId="19723" xr:uid="{00000000-0005-0000-0000-0000E64C0000}"/>
    <cellStyle name="Normal 2 2 2 4 2 15 3 3" xfId="19724" xr:uid="{00000000-0005-0000-0000-0000E74C0000}"/>
    <cellStyle name="Normal 2 2 2 4 2 15 3 4" xfId="19725" xr:uid="{00000000-0005-0000-0000-0000E84C0000}"/>
    <cellStyle name="Normal 2 2 2 4 2 15 3 5" xfId="19726" xr:uid="{00000000-0005-0000-0000-0000E94C0000}"/>
    <cellStyle name="Normal 2 2 2 4 2 15 3 6" xfId="19727" xr:uid="{00000000-0005-0000-0000-0000EA4C0000}"/>
    <cellStyle name="Normal 2 2 2 4 2 15 3 7" xfId="19728" xr:uid="{00000000-0005-0000-0000-0000EB4C0000}"/>
    <cellStyle name="Normal 2 2 2 4 2 15 3 8" xfId="19729" xr:uid="{00000000-0005-0000-0000-0000EC4C0000}"/>
    <cellStyle name="Normal 2 2 2 4 2 15 3 9" xfId="19730" xr:uid="{00000000-0005-0000-0000-0000ED4C0000}"/>
    <cellStyle name="Normal 2 2 2 4 2 15 4" xfId="19731" xr:uid="{00000000-0005-0000-0000-0000EE4C0000}"/>
    <cellStyle name="Normal 2 2 2 4 2 15 4 10" xfId="19732" xr:uid="{00000000-0005-0000-0000-0000EF4C0000}"/>
    <cellStyle name="Normal 2 2 2 4 2 15 4 2" xfId="19733" xr:uid="{00000000-0005-0000-0000-0000F04C0000}"/>
    <cellStyle name="Normal 2 2 2 4 2 15 4 3" xfId="19734" xr:uid="{00000000-0005-0000-0000-0000F14C0000}"/>
    <cellStyle name="Normal 2 2 2 4 2 15 4 4" xfId="19735" xr:uid="{00000000-0005-0000-0000-0000F24C0000}"/>
    <cellStyle name="Normal 2 2 2 4 2 15 4 5" xfId="19736" xr:uid="{00000000-0005-0000-0000-0000F34C0000}"/>
    <cellStyle name="Normal 2 2 2 4 2 15 4 6" xfId="19737" xr:uid="{00000000-0005-0000-0000-0000F44C0000}"/>
    <cellStyle name="Normal 2 2 2 4 2 15 4 7" xfId="19738" xr:uid="{00000000-0005-0000-0000-0000F54C0000}"/>
    <cellStyle name="Normal 2 2 2 4 2 15 4 8" xfId="19739" xr:uid="{00000000-0005-0000-0000-0000F64C0000}"/>
    <cellStyle name="Normal 2 2 2 4 2 15 4 9" xfId="19740" xr:uid="{00000000-0005-0000-0000-0000F74C0000}"/>
    <cellStyle name="Normal 2 2 2 4 2 15 5" xfId="19741" xr:uid="{00000000-0005-0000-0000-0000F84C0000}"/>
    <cellStyle name="Normal 2 2 2 4 2 15 5 10" xfId="19742" xr:uid="{00000000-0005-0000-0000-0000F94C0000}"/>
    <cellStyle name="Normal 2 2 2 4 2 15 5 2" xfId="19743" xr:uid="{00000000-0005-0000-0000-0000FA4C0000}"/>
    <cellStyle name="Normal 2 2 2 4 2 15 5 3" xfId="19744" xr:uid="{00000000-0005-0000-0000-0000FB4C0000}"/>
    <cellStyle name="Normal 2 2 2 4 2 15 5 4" xfId="19745" xr:uid="{00000000-0005-0000-0000-0000FC4C0000}"/>
    <cellStyle name="Normal 2 2 2 4 2 15 5 5" xfId="19746" xr:uid="{00000000-0005-0000-0000-0000FD4C0000}"/>
    <cellStyle name="Normal 2 2 2 4 2 15 5 6" xfId="19747" xr:uid="{00000000-0005-0000-0000-0000FE4C0000}"/>
    <cellStyle name="Normal 2 2 2 4 2 15 5 7" xfId="19748" xr:uid="{00000000-0005-0000-0000-0000FF4C0000}"/>
    <cellStyle name="Normal 2 2 2 4 2 15 5 8" xfId="19749" xr:uid="{00000000-0005-0000-0000-0000004D0000}"/>
    <cellStyle name="Normal 2 2 2 4 2 15 5 9" xfId="19750" xr:uid="{00000000-0005-0000-0000-0000014D0000}"/>
    <cellStyle name="Normal 2 2 2 4 2 15 6" xfId="19751" xr:uid="{00000000-0005-0000-0000-0000024D0000}"/>
    <cellStyle name="Normal 2 2 2 4 2 15 7" xfId="19752" xr:uid="{00000000-0005-0000-0000-0000034D0000}"/>
    <cellStyle name="Normal 2 2 2 4 2 15 8" xfId="19753" xr:uid="{00000000-0005-0000-0000-0000044D0000}"/>
    <cellStyle name="Normal 2 2 2 4 2 15 9" xfId="19754" xr:uid="{00000000-0005-0000-0000-0000054D0000}"/>
    <cellStyle name="Normal 2 2 2 4 2 16" xfId="19755" xr:uid="{00000000-0005-0000-0000-0000064D0000}"/>
    <cellStyle name="Normal 2 2 2 4 2 16 10" xfId="19756" xr:uid="{00000000-0005-0000-0000-0000074D0000}"/>
    <cellStyle name="Normal 2 2 2 4 2 16 11" xfId="19757" xr:uid="{00000000-0005-0000-0000-0000084D0000}"/>
    <cellStyle name="Normal 2 2 2 4 2 16 12" xfId="19758" xr:uid="{00000000-0005-0000-0000-0000094D0000}"/>
    <cellStyle name="Normal 2 2 2 4 2 16 13" xfId="19759" xr:uid="{00000000-0005-0000-0000-00000A4D0000}"/>
    <cellStyle name="Normal 2 2 2 4 2 16 14" xfId="19760" xr:uid="{00000000-0005-0000-0000-00000B4D0000}"/>
    <cellStyle name="Normal 2 2 2 4 2 16 2" xfId="19761" xr:uid="{00000000-0005-0000-0000-00000C4D0000}"/>
    <cellStyle name="Normal 2 2 2 4 2 16 2 10" xfId="19762" xr:uid="{00000000-0005-0000-0000-00000D4D0000}"/>
    <cellStyle name="Normal 2 2 2 4 2 16 2 2" xfId="19763" xr:uid="{00000000-0005-0000-0000-00000E4D0000}"/>
    <cellStyle name="Normal 2 2 2 4 2 16 2 3" xfId="19764" xr:uid="{00000000-0005-0000-0000-00000F4D0000}"/>
    <cellStyle name="Normal 2 2 2 4 2 16 2 4" xfId="19765" xr:uid="{00000000-0005-0000-0000-0000104D0000}"/>
    <cellStyle name="Normal 2 2 2 4 2 16 2 5" xfId="19766" xr:uid="{00000000-0005-0000-0000-0000114D0000}"/>
    <cellStyle name="Normal 2 2 2 4 2 16 2 6" xfId="19767" xr:uid="{00000000-0005-0000-0000-0000124D0000}"/>
    <cellStyle name="Normal 2 2 2 4 2 16 2 7" xfId="19768" xr:uid="{00000000-0005-0000-0000-0000134D0000}"/>
    <cellStyle name="Normal 2 2 2 4 2 16 2 8" xfId="19769" xr:uid="{00000000-0005-0000-0000-0000144D0000}"/>
    <cellStyle name="Normal 2 2 2 4 2 16 2 9" xfId="19770" xr:uid="{00000000-0005-0000-0000-0000154D0000}"/>
    <cellStyle name="Normal 2 2 2 4 2 16 3" xfId="19771" xr:uid="{00000000-0005-0000-0000-0000164D0000}"/>
    <cellStyle name="Normal 2 2 2 4 2 16 3 10" xfId="19772" xr:uid="{00000000-0005-0000-0000-0000174D0000}"/>
    <cellStyle name="Normal 2 2 2 4 2 16 3 2" xfId="19773" xr:uid="{00000000-0005-0000-0000-0000184D0000}"/>
    <cellStyle name="Normal 2 2 2 4 2 16 3 3" xfId="19774" xr:uid="{00000000-0005-0000-0000-0000194D0000}"/>
    <cellStyle name="Normal 2 2 2 4 2 16 3 4" xfId="19775" xr:uid="{00000000-0005-0000-0000-00001A4D0000}"/>
    <cellStyle name="Normal 2 2 2 4 2 16 3 5" xfId="19776" xr:uid="{00000000-0005-0000-0000-00001B4D0000}"/>
    <cellStyle name="Normal 2 2 2 4 2 16 3 6" xfId="19777" xr:uid="{00000000-0005-0000-0000-00001C4D0000}"/>
    <cellStyle name="Normal 2 2 2 4 2 16 3 7" xfId="19778" xr:uid="{00000000-0005-0000-0000-00001D4D0000}"/>
    <cellStyle name="Normal 2 2 2 4 2 16 3 8" xfId="19779" xr:uid="{00000000-0005-0000-0000-00001E4D0000}"/>
    <cellStyle name="Normal 2 2 2 4 2 16 3 9" xfId="19780" xr:uid="{00000000-0005-0000-0000-00001F4D0000}"/>
    <cellStyle name="Normal 2 2 2 4 2 16 4" xfId="19781" xr:uid="{00000000-0005-0000-0000-0000204D0000}"/>
    <cellStyle name="Normal 2 2 2 4 2 16 4 10" xfId="19782" xr:uid="{00000000-0005-0000-0000-0000214D0000}"/>
    <cellStyle name="Normal 2 2 2 4 2 16 4 2" xfId="19783" xr:uid="{00000000-0005-0000-0000-0000224D0000}"/>
    <cellStyle name="Normal 2 2 2 4 2 16 4 3" xfId="19784" xr:uid="{00000000-0005-0000-0000-0000234D0000}"/>
    <cellStyle name="Normal 2 2 2 4 2 16 4 4" xfId="19785" xr:uid="{00000000-0005-0000-0000-0000244D0000}"/>
    <cellStyle name="Normal 2 2 2 4 2 16 4 5" xfId="19786" xr:uid="{00000000-0005-0000-0000-0000254D0000}"/>
    <cellStyle name="Normal 2 2 2 4 2 16 4 6" xfId="19787" xr:uid="{00000000-0005-0000-0000-0000264D0000}"/>
    <cellStyle name="Normal 2 2 2 4 2 16 4 7" xfId="19788" xr:uid="{00000000-0005-0000-0000-0000274D0000}"/>
    <cellStyle name="Normal 2 2 2 4 2 16 4 8" xfId="19789" xr:uid="{00000000-0005-0000-0000-0000284D0000}"/>
    <cellStyle name="Normal 2 2 2 4 2 16 4 9" xfId="19790" xr:uid="{00000000-0005-0000-0000-0000294D0000}"/>
    <cellStyle name="Normal 2 2 2 4 2 16 5" xfId="19791" xr:uid="{00000000-0005-0000-0000-00002A4D0000}"/>
    <cellStyle name="Normal 2 2 2 4 2 16 5 10" xfId="19792" xr:uid="{00000000-0005-0000-0000-00002B4D0000}"/>
    <cellStyle name="Normal 2 2 2 4 2 16 5 2" xfId="19793" xr:uid="{00000000-0005-0000-0000-00002C4D0000}"/>
    <cellStyle name="Normal 2 2 2 4 2 16 5 3" xfId="19794" xr:uid="{00000000-0005-0000-0000-00002D4D0000}"/>
    <cellStyle name="Normal 2 2 2 4 2 16 5 4" xfId="19795" xr:uid="{00000000-0005-0000-0000-00002E4D0000}"/>
    <cellStyle name="Normal 2 2 2 4 2 16 5 5" xfId="19796" xr:uid="{00000000-0005-0000-0000-00002F4D0000}"/>
    <cellStyle name="Normal 2 2 2 4 2 16 5 6" xfId="19797" xr:uid="{00000000-0005-0000-0000-0000304D0000}"/>
    <cellStyle name="Normal 2 2 2 4 2 16 5 7" xfId="19798" xr:uid="{00000000-0005-0000-0000-0000314D0000}"/>
    <cellStyle name="Normal 2 2 2 4 2 16 5 8" xfId="19799" xr:uid="{00000000-0005-0000-0000-0000324D0000}"/>
    <cellStyle name="Normal 2 2 2 4 2 16 5 9" xfId="19800" xr:uid="{00000000-0005-0000-0000-0000334D0000}"/>
    <cellStyle name="Normal 2 2 2 4 2 16 6" xfId="19801" xr:uid="{00000000-0005-0000-0000-0000344D0000}"/>
    <cellStyle name="Normal 2 2 2 4 2 16 7" xfId="19802" xr:uid="{00000000-0005-0000-0000-0000354D0000}"/>
    <cellStyle name="Normal 2 2 2 4 2 16 8" xfId="19803" xr:uid="{00000000-0005-0000-0000-0000364D0000}"/>
    <cellStyle name="Normal 2 2 2 4 2 16 9" xfId="19804" xr:uid="{00000000-0005-0000-0000-0000374D0000}"/>
    <cellStyle name="Normal 2 2 2 4 2 17" xfId="19805" xr:uid="{00000000-0005-0000-0000-0000384D0000}"/>
    <cellStyle name="Normal 2 2 2 4 2 17 10" xfId="19806" xr:uid="{00000000-0005-0000-0000-0000394D0000}"/>
    <cellStyle name="Normal 2 2 2 4 2 17 11" xfId="19807" xr:uid="{00000000-0005-0000-0000-00003A4D0000}"/>
    <cellStyle name="Normal 2 2 2 4 2 17 12" xfId="19808" xr:uid="{00000000-0005-0000-0000-00003B4D0000}"/>
    <cellStyle name="Normal 2 2 2 4 2 17 13" xfId="19809" xr:uid="{00000000-0005-0000-0000-00003C4D0000}"/>
    <cellStyle name="Normal 2 2 2 4 2 17 14" xfId="19810" xr:uid="{00000000-0005-0000-0000-00003D4D0000}"/>
    <cellStyle name="Normal 2 2 2 4 2 17 2" xfId="19811" xr:uid="{00000000-0005-0000-0000-00003E4D0000}"/>
    <cellStyle name="Normal 2 2 2 4 2 17 2 10" xfId="19812" xr:uid="{00000000-0005-0000-0000-00003F4D0000}"/>
    <cellStyle name="Normal 2 2 2 4 2 17 2 2" xfId="19813" xr:uid="{00000000-0005-0000-0000-0000404D0000}"/>
    <cellStyle name="Normal 2 2 2 4 2 17 2 3" xfId="19814" xr:uid="{00000000-0005-0000-0000-0000414D0000}"/>
    <cellStyle name="Normal 2 2 2 4 2 17 2 4" xfId="19815" xr:uid="{00000000-0005-0000-0000-0000424D0000}"/>
    <cellStyle name="Normal 2 2 2 4 2 17 2 5" xfId="19816" xr:uid="{00000000-0005-0000-0000-0000434D0000}"/>
    <cellStyle name="Normal 2 2 2 4 2 17 2 6" xfId="19817" xr:uid="{00000000-0005-0000-0000-0000444D0000}"/>
    <cellStyle name="Normal 2 2 2 4 2 17 2 7" xfId="19818" xr:uid="{00000000-0005-0000-0000-0000454D0000}"/>
    <cellStyle name="Normal 2 2 2 4 2 17 2 8" xfId="19819" xr:uid="{00000000-0005-0000-0000-0000464D0000}"/>
    <cellStyle name="Normal 2 2 2 4 2 17 2 9" xfId="19820" xr:uid="{00000000-0005-0000-0000-0000474D0000}"/>
    <cellStyle name="Normal 2 2 2 4 2 17 3" xfId="19821" xr:uid="{00000000-0005-0000-0000-0000484D0000}"/>
    <cellStyle name="Normal 2 2 2 4 2 17 3 10" xfId="19822" xr:uid="{00000000-0005-0000-0000-0000494D0000}"/>
    <cellStyle name="Normal 2 2 2 4 2 17 3 2" xfId="19823" xr:uid="{00000000-0005-0000-0000-00004A4D0000}"/>
    <cellStyle name="Normal 2 2 2 4 2 17 3 3" xfId="19824" xr:uid="{00000000-0005-0000-0000-00004B4D0000}"/>
    <cellStyle name="Normal 2 2 2 4 2 17 3 4" xfId="19825" xr:uid="{00000000-0005-0000-0000-00004C4D0000}"/>
    <cellStyle name="Normal 2 2 2 4 2 17 3 5" xfId="19826" xr:uid="{00000000-0005-0000-0000-00004D4D0000}"/>
    <cellStyle name="Normal 2 2 2 4 2 17 3 6" xfId="19827" xr:uid="{00000000-0005-0000-0000-00004E4D0000}"/>
    <cellStyle name="Normal 2 2 2 4 2 17 3 7" xfId="19828" xr:uid="{00000000-0005-0000-0000-00004F4D0000}"/>
    <cellStyle name="Normal 2 2 2 4 2 17 3 8" xfId="19829" xr:uid="{00000000-0005-0000-0000-0000504D0000}"/>
    <cellStyle name="Normal 2 2 2 4 2 17 3 9" xfId="19830" xr:uid="{00000000-0005-0000-0000-0000514D0000}"/>
    <cellStyle name="Normal 2 2 2 4 2 17 4" xfId="19831" xr:uid="{00000000-0005-0000-0000-0000524D0000}"/>
    <cellStyle name="Normal 2 2 2 4 2 17 4 10" xfId="19832" xr:uid="{00000000-0005-0000-0000-0000534D0000}"/>
    <cellStyle name="Normal 2 2 2 4 2 17 4 2" xfId="19833" xr:uid="{00000000-0005-0000-0000-0000544D0000}"/>
    <cellStyle name="Normal 2 2 2 4 2 17 4 3" xfId="19834" xr:uid="{00000000-0005-0000-0000-0000554D0000}"/>
    <cellStyle name="Normal 2 2 2 4 2 17 4 4" xfId="19835" xr:uid="{00000000-0005-0000-0000-0000564D0000}"/>
    <cellStyle name="Normal 2 2 2 4 2 17 4 5" xfId="19836" xr:uid="{00000000-0005-0000-0000-0000574D0000}"/>
    <cellStyle name="Normal 2 2 2 4 2 17 4 6" xfId="19837" xr:uid="{00000000-0005-0000-0000-0000584D0000}"/>
    <cellStyle name="Normal 2 2 2 4 2 17 4 7" xfId="19838" xr:uid="{00000000-0005-0000-0000-0000594D0000}"/>
    <cellStyle name="Normal 2 2 2 4 2 17 4 8" xfId="19839" xr:uid="{00000000-0005-0000-0000-00005A4D0000}"/>
    <cellStyle name="Normal 2 2 2 4 2 17 4 9" xfId="19840" xr:uid="{00000000-0005-0000-0000-00005B4D0000}"/>
    <cellStyle name="Normal 2 2 2 4 2 17 5" xfId="19841" xr:uid="{00000000-0005-0000-0000-00005C4D0000}"/>
    <cellStyle name="Normal 2 2 2 4 2 17 5 10" xfId="19842" xr:uid="{00000000-0005-0000-0000-00005D4D0000}"/>
    <cellStyle name="Normal 2 2 2 4 2 17 5 2" xfId="19843" xr:uid="{00000000-0005-0000-0000-00005E4D0000}"/>
    <cellStyle name="Normal 2 2 2 4 2 17 5 3" xfId="19844" xr:uid="{00000000-0005-0000-0000-00005F4D0000}"/>
    <cellStyle name="Normal 2 2 2 4 2 17 5 4" xfId="19845" xr:uid="{00000000-0005-0000-0000-0000604D0000}"/>
    <cellStyle name="Normal 2 2 2 4 2 17 5 5" xfId="19846" xr:uid="{00000000-0005-0000-0000-0000614D0000}"/>
    <cellStyle name="Normal 2 2 2 4 2 17 5 6" xfId="19847" xr:uid="{00000000-0005-0000-0000-0000624D0000}"/>
    <cellStyle name="Normal 2 2 2 4 2 17 5 7" xfId="19848" xr:uid="{00000000-0005-0000-0000-0000634D0000}"/>
    <cellStyle name="Normal 2 2 2 4 2 17 5 8" xfId="19849" xr:uid="{00000000-0005-0000-0000-0000644D0000}"/>
    <cellStyle name="Normal 2 2 2 4 2 17 5 9" xfId="19850" xr:uid="{00000000-0005-0000-0000-0000654D0000}"/>
    <cellStyle name="Normal 2 2 2 4 2 17 6" xfId="19851" xr:uid="{00000000-0005-0000-0000-0000664D0000}"/>
    <cellStyle name="Normal 2 2 2 4 2 17 7" xfId="19852" xr:uid="{00000000-0005-0000-0000-0000674D0000}"/>
    <cellStyle name="Normal 2 2 2 4 2 17 8" xfId="19853" xr:uid="{00000000-0005-0000-0000-0000684D0000}"/>
    <cellStyle name="Normal 2 2 2 4 2 17 9" xfId="19854" xr:uid="{00000000-0005-0000-0000-0000694D0000}"/>
    <cellStyle name="Normal 2 2 2 4 2 18" xfId="19855" xr:uid="{00000000-0005-0000-0000-00006A4D0000}"/>
    <cellStyle name="Normal 2 2 2 4 2 18 10" xfId="19856" xr:uid="{00000000-0005-0000-0000-00006B4D0000}"/>
    <cellStyle name="Normal 2 2 2 4 2 18 11" xfId="19857" xr:uid="{00000000-0005-0000-0000-00006C4D0000}"/>
    <cellStyle name="Normal 2 2 2 4 2 18 12" xfId="19858" xr:uid="{00000000-0005-0000-0000-00006D4D0000}"/>
    <cellStyle name="Normal 2 2 2 4 2 18 13" xfId="19859" xr:uid="{00000000-0005-0000-0000-00006E4D0000}"/>
    <cellStyle name="Normal 2 2 2 4 2 18 14" xfId="19860" xr:uid="{00000000-0005-0000-0000-00006F4D0000}"/>
    <cellStyle name="Normal 2 2 2 4 2 18 2" xfId="19861" xr:uid="{00000000-0005-0000-0000-0000704D0000}"/>
    <cellStyle name="Normal 2 2 2 4 2 18 2 10" xfId="19862" xr:uid="{00000000-0005-0000-0000-0000714D0000}"/>
    <cellStyle name="Normal 2 2 2 4 2 18 2 2" xfId="19863" xr:uid="{00000000-0005-0000-0000-0000724D0000}"/>
    <cellStyle name="Normal 2 2 2 4 2 18 2 3" xfId="19864" xr:uid="{00000000-0005-0000-0000-0000734D0000}"/>
    <cellStyle name="Normal 2 2 2 4 2 18 2 4" xfId="19865" xr:uid="{00000000-0005-0000-0000-0000744D0000}"/>
    <cellStyle name="Normal 2 2 2 4 2 18 2 5" xfId="19866" xr:uid="{00000000-0005-0000-0000-0000754D0000}"/>
    <cellStyle name="Normal 2 2 2 4 2 18 2 6" xfId="19867" xr:uid="{00000000-0005-0000-0000-0000764D0000}"/>
    <cellStyle name="Normal 2 2 2 4 2 18 2 7" xfId="19868" xr:uid="{00000000-0005-0000-0000-0000774D0000}"/>
    <cellStyle name="Normal 2 2 2 4 2 18 2 8" xfId="19869" xr:uid="{00000000-0005-0000-0000-0000784D0000}"/>
    <cellStyle name="Normal 2 2 2 4 2 18 2 9" xfId="19870" xr:uid="{00000000-0005-0000-0000-0000794D0000}"/>
    <cellStyle name="Normal 2 2 2 4 2 18 3" xfId="19871" xr:uid="{00000000-0005-0000-0000-00007A4D0000}"/>
    <cellStyle name="Normal 2 2 2 4 2 18 3 10" xfId="19872" xr:uid="{00000000-0005-0000-0000-00007B4D0000}"/>
    <cellStyle name="Normal 2 2 2 4 2 18 3 2" xfId="19873" xr:uid="{00000000-0005-0000-0000-00007C4D0000}"/>
    <cellStyle name="Normal 2 2 2 4 2 18 3 3" xfId="19874" xr:uid="{00000000-0005-0000-0000-00007D4D0000}"/>
    <cellStyle name="Normal 2 2 2 4 2 18 3 4" xfId="19875" xr:uid="{00000000-0005-0000-0000-00007E4D0000}"/>
    <cellStyle name="Normal 2 2 2 4 2 18 3 5" xfId="19876" xr:uid="{00000000-0005-0000-0000-00007F4D0000}"/>
    <cellStyle name="Normal 2 2 2 4 2 18 3 6" xfId="19877" xr:uid="{00000000-0005-0000-0000-0000804D0000}"/>
    <cellStyle name="Normal 2 2 2 4 2 18 3 7" xfId="19878" xr:uid="{00000000-0005-0000-0000-0000814D0000}"/>
    <cellStyle name="Normal 2 2 2 4 2 18 3 8" xfId="19879" xr:uid="{00000000-0005-0000-0000-0000824D0000}"/>
    <cellStyle name="Normal 2 2 2 4 2 18 3 9" xfId="19880" xr:uid="{00000000-0005-0000-0000-0000834D0000}"/>
    <cellStyle name="Normal 2 2 2 4 2 18 4" xfId="19881" xr:uid="{00000000-0005-0000-0000-0000844D0000}"/>
    <cellStyle name="Normal 2 2 2 4 2 18 4 10" xfId="19882" xr:uid="{00000000-0005-0000-0000-0000854D0000}"/>
    <cellStyle name="Normal 2 2 2 4 2 18 4 2" xfId="19883" xr:uid="{00000000-0005-0000-0000-0000864D0000}"/>
    <cellStyle name="Normal 2 2 2 4 2 18 4 3" xfId="19884" xr:uid="{00000000-0005-0000-0000-0000874D0000}"/>
    <cellStyle name="Normal 2 2 2 4 2 18 4 4" xfId="19885" xr:uid="{00000000-0005-0000-0000-0000884D0000}"/>
    <cellStyle name="Normal 2 2 2 4 2 18 4 5" xfId="19886" xr:uid="{00000000-0005-0000-0000-0000894D0000}"/>
    <cellStyle name="Normal 2 2 2 4 2 18 4 6" xfId="19887" xr:uid="{00000000-0005-0000-0000-00008A4D0000}"/>
    <cellStyle name="Normal 2 2 2 4 2 18 4 7" xfId="19888" xr:uid="{00000000-0005-0000-0000-00008B4D0000}"/>
    <cellStyle name="Normal 2 2 2 4 2 18 4 8" xfId="19889" xr:uid="{00000000-0005-0000-0000-00008C4D0000}"/>
    <cellStyle name="Normal 2 2 2 4 2 18 4 9" xfId="19890" xr:uid="{00000000-0005-0000-0000-00008D4D0000}"/>
    <cellStyle name="Normal 2 2 2 4 2 18 5" xfId="19891" xr:uid="{00000000-0005-0000-0000-00008E4D0000}"/>
    <cellStyle name="Normal 2 2 2 4 2 18 5 10" xfId="19892" xr:uid="{00000000-0005-0000-0000-00008F4D0000}"/>
    <cellStyle name="Normal 2 2 2 4 2 18 5 2" xfId="19893" xr:uid="{00000000-0005-0000-0000-0000904D0000}"/>
    <cellStyle name="Normal 2 2 2 4 2 18 5 3" xfId="19894" xr:uid="{00000000-0005-0000-0000-0000914D0000}"/>
    <cellStyle name="Normal 2 2 2 4 2 18 5 4" xfId="19895" xr:uid="{00000000-0005-0000-0000-0000924D0000}"/>
    <cellStyle name="Normal 2 2 2 4 2 18 5 5" xfId="19896" xr:uid="{00000000-0005-0000-0000-0000934D0000}"/>
    <cellStyle name="Normal 2 2 2 4 2 18 5 6" xfId="19897" xr:uid="{00000000-0005-0000-0000-0000944D0000}"/>
    <cellStyle name="Normal 2 2 2 4 2 18 5 7" xfId="19898" xr:uid="{00000000-0005-0000-0000-0000954D0000}"/>
    <cellStyle name="Normal 2 2 2 4 2 18 5 8" xfId="19899" xr:uid="{00000000-0005-0000-0000-0000964D0000}"/>
    <cellStyle name="Normal 2 2 2 4 2 18 5 9" xfId="19900" xr:uid="{00000000-0005-0000-0000-0000974D0000}"/>
    <cellStyle name="Normal 2 2 2 4 2 18 6" xfId="19901" xr:uid="{00000000-0005-0000-0000-0000984D0000}"/>
    <cellStyle name="Normal 2 2 2 4 2 18 7" xfId="19902" xr:uid="{00000000-0005-0000-0000-0000994D0000}"/>
    <cellStyle name="Normal 2 2 2 4 2 18 8" xfId="19903" xr:uid="{00000000-0005-0000-0000-00009A4D0000}"/>
    <cellStyle name="Normal 2 2 2 4 2 18 9" xfId="19904" xr:uid="{00000000-0005-0000-0000-00009B4D0000}"/>
    <cellStyle name="Normal 2 2 2 4 2 19" xfId="19905" xr:uid="{00000000-0005-0000-0000-00009C4D0000}"/>
    <cellStyle name="Normal 2 2 2 4 2 19 10" xfId="19906" xr:uid="{00000000-0005-0000-0000-00009D4D0000}"/>
    <cellStyle name="Normal 2 2 2 4 2 19 11" xfId="19907" xr:uid="{00000000-0005-0000-0000-00009E4D0000}"/>
    <cellStyle name="Normal 2 2 2 4 2 19 12" xfId="19908" xr:uid="{00000000-0005-0000-0000-00009F4D0000}"/>
    <cellStyle name="Normal 2 2 2 4 2 19 13" xfId="19909" xr:uid="{00000000-0005-0000-0000-0000A04D0000}"/>
    <cellStyle name="Normal 2 2 2 4 2 19 14" xfId="19910" xr:uid="{00000000-0005-0000-0000-0000A14D0000}"/>
    <cellStyle name="Normal 2 2 2 4 2 19 2" xfId="19911" xr:uid="{00000000-0005-0000-0000-0000A24D0000}"/>
    <cellStyle name="Normal 2 2 2 4 2 19 2 10" xfId="19912" xr:uid="{00000000-0005-0000-0000-0000A34D0000}"/>
    <cellStyle name="Normal 2 2 2 4 2 19 2 2" xfId="19913" xr:uid="{00000000-0005-0000-0000-0000A44D0000}"/>
    <cellStyle name="Normal 2 2 2 4 2 19 2 3" xfId="19914" xr:uid="{00000000-0005-0000-0000-0000A54D0000}"/>
    <cellStyle name="Normal 2 2 2 4 2 19 2 4" xfId="19915" xr:uid="{00000000-0005-0000-0000-0000A64D0000}"/>
    <cellStyle name="Normal 2 2 2 4 2 19 2 5" xfId="19916" xr:uid="{00000000-0005-0000-0000-0000A74D0000}"/>
    <cellStyle name="Normal 2 2 2 4 2 19 2 6" xfId="19917" xr:uid="{00000000-0005-0000-0000-0000A84D0000}"/>
    <cellStyle name="Normal 2 2 2 4 2 19 2 7" xfId="19918" xr:uid="{00000000-0005-0000-0000-0000A94D0000}"/>
    <cellStyle name="Normal 2 2 2 4 2 19 2 8" xfId="19919" xr:uid="{00000000-0005-0000-0000-0000AA4D0000}"/>
    <cellStyle name="Normal 2 2 2 4 2 19 2 9" xfId="19920" xr:uid="{00000000-0005-0000-0000-0000AB4D0000}"/>
    <cellStyle name="Normal 2 2 2 4 2 19 3" xfId="19921" xr:uid="{00000000-0005-0000-0000-0000AC4D0000}"/>
    <cellStyle name="Normal 2 2 2 4 2 19 3 10" xfId="19922" xr:uid="{00000000-0005-0000-0000-0000AD4D0000}"/>
    <cellStyle name="Normal 2 2 2 4 2 19 3 2" xfId="19923" xr:uid="{00000000-0005-0000-0000-0000AE4D0000}"/>
    <cellStyle name="Normal 2 2 2 4 2 19 3 3" xfId="19924" xr:uid="{00000000-0005-0000-0000-0000AF4D0000}"/>
    <cellStyle name="Normal 2 2 2 4 2 19 3 4" xfId="19925" xr:uid="{00000000-0005-0000-0000-0000B04D0000}"/>
    <cellStyle name="Normal 2 2 2 4 2 19 3 5" xfId="19926" xr:uid="{00000000-0005-0000-0000-0000B14D0000}"/>
    <cellStyle name="Normal 2 2 2 4 2 19 3 6" xfId="19927" xr:uid="{00000000-0005-0000-0000-0000B24D0000}"/>
    <cellStyle name="Normal 2 2 2 4 2 19 3 7" xfId="19928" xr:uid="{00000000-0005-0000-0000-0000B34D0000}"/>
    <cellStyle name="Normal 2 2 2 4 2 19 3 8" xfId="19929" xr:uid="{00000000-0005-0000-0000-0000B44D0000}"/>
    <cellStyle name="Normal 2 2 2 4 2 19 3 9" xfId="19930" xr:uid="{00000000-0005-0000-0000-0000B54D0000}"/>
    <cellStyle name="Normal 2 2 2 4 2 19 4" xfId="19931" xr:uid="{00000000-0005-0000-0000-0000B64D0000}"/>
    <cellStyle name="Normal 2 2 2 4 2 19 4 10" xfId="19932" xr:uid="{00000000-0005-0000-0000-0000B74D0000}"/>
    <cellStyle name="Normal 2 2 2 4 2 19 4 2" xfId="19933" xr:uid="{00000000-0005-0000-0000-0000B84D0000}"/>
    <cellStyle name="Normal 2 2 2 4 2 19 4 3" xfId="19934" xr:uid="{00000000-0005-0000-0000-0000B94D0000}"/>
    <cellStyle name="Normal 2 2 2 4 2 19 4 4" xfId="19935" xr:uid="{00000000-0005-0000-0000-0000BA4D0000}"/>
    <cellStyle name="Normal 2 2 2 4 2 19 4 5" xfId="19936" xr:uid="{00000000-0005-0000-0000-0000BB4D0000}"/>
    <cellStyle name="Normal 2 2 2 4 2 19 4 6" xfId="19937" xr:uid="{00000000-0005-0000-0000-0000BC4D0000}"/>
    <cellStyle name="Normal 2 2 2 4 2 19 4 7" xfId="19938" xr:uid="{00000000-0005-0000-0000-0000BD4D0000}"/>
    <cellStyle name="Normal 2 2 2 4 2 19 4 8" xfId="19939" xr:uid="{00000000-0005-0000-0000-0000BE4D0000}"/>
    <cellStyle name="Normal 2 2 2 4 2 19 4 9" xfId="19940" xr:uid="{00000000-0005-0000-0000-0000BF4D0000}"/>
    <cellStyle name="Normal 2 2 2 4 2 19 5" xfId="19941" xr:uid="{00000000-0005-0000-0000-0000C04D0000}"/>
    <cellStyle name="Normal 2 2 2 4 2 19 5 10" xfId="19942" xr:uid="{00000000-0005-0000-0000-0000C14D0000}"/>
    <cellStyle name="Normal 2 2 2 4 2 19 5 2" xfId="19943" xr:uid="{00000000-0005-0000-0000-0000C24D0000}"/>
    <cellStyle name="Normal 2 2 2 4 2 19 5 3" xfId="19944" xr:uid="{00000000-0005-0000-0000-0000C34D0000}"/>
    <cellStyle name="Normal 2 2 2 4 2 19 5 4" xfId="19945" xr:uid="{00000000-0005-0000-0000-0000C44D0000}"/>
    <cellStyle name="Normal 2 2 2 4 2 19 5 5" xfId="19946" xr:uid="{00000000-0005-0000-0000-0000C54D0000}"/>
    <cellStyle name="Normal 2 2 2 4 2 19 5 6" xfId="19947" xr:uid="{00000000-0005-0000-0000-0000C64D0000}"/>
    <cellStyle name="Normal 2 2 2 4 2 19 5 7" xfId="19948" xr:uid="{00000000-0005-0000-0000-0000C74D0000}"/>
    <cellStyle name="Normal 2 2 2 4 2 19 5 8" xfId="19949" xr:uid="{00000000-0005-0000-0000-0000C84D0000}"/>
    <cellStyle name="Normal 2 2 2 4 2 19 5 9" xfId="19950" xr:uid="{00000000-0005-0000-0000-0000C94D0000}"/>
    <cellStyle name="Normal 2 2 2 4 2 19 6" xfId="19951" xr:uid="{00000000-0005-0000-0000-0000CA4D0000}"/>
    <cellStyle name="Normal 2 2 2 4 2 19 7" xfId="19952" xr:uid="{00000000-0005-0000-0000-0000CB4D0000}"/>
    <cellStyle name="Normal 2 2 2 4 2 19 8" xfId="19953" xr:uid="{00000000-0005-0000-0000-0000CC4D0000}"/>
    <cellStyle name="Normal 2 2 2 4 2 19 9" xfId="19954" xr:uid="{00000000-0005-0000-0000-0000CD4D0000}"/>
    <cellStyle name="Normal 2 2 2 4 2 2" xfId="19955" xr:uid="{00000000-0005-0000-0000-0000CE4D0000}"/>
    <cellStyle name="Normal 2 2 2 4 2 2 10" xfId="19956" xr:uid="{00000000-0005-0000-0000-0000CF4D0000}"/>
    <cellStyle name="Normal 2 2 2 4 2 2 11" xfId="19957" xr:uid="{00000000-0005-0000-0000-0000D04D0000}"/>
    <cellStyle name="Normal 2 2 2 4 2 2 12" xfId="19958" xr:uid="{00000000-0005-0000-0000-0000D14D0000}"/>
    <cellStyle name="Normal 2 2 2 4 2 2 13" xfId="19959" xr:uid="{00000000-0005-0000-0000-0000D24D0000}"/>
    <cellStyle name="Normal 2 2 2 4 2 2 14" xfId="19960" xr:uid="{00000000-0005-0000-0000-0000D34D0000}"/>
    <cellStyle name="Normal 2 2 2 4 2 2 15" xfId="19961" xr:uid="{00000000-0005-0000-0000-0000D44D0000}"/>
    <cellStyle name="Normal 2 2 2 4 2 2 16" xfId="19962" xr:uid="{00000000-0005-0000-0000-0000D54D0000}"/>
    <cellStyle name="Normal 2 2 2 4 2 2 17" xfId="19963" xr:uid="{00000000-0005-0000-0000-0000D64D0000}"/>
    <cellStyle name="Normal 2 2 2 4 2 2 18" xfId="19964" xr:uid="{00000000-0005-0000-0000-0000D74D0000}"/>
    <cellStyle name="Normal 2 2 2 4 2 2 19" xfId="19965" xr:uid="{00000000-0005-0000-0000-0000D84D0000}"/>
    <cellStyle name="Normal 2 2 2 4 2 2 2" xfId="19966" xr:uid="{00000000-0005-0000-0000-0000D94D0000}"/>
    <cellStyle name="Normal 2 2 2 4 2 2 20" xfId="19967" xr:uid="{00000000-0005-0000-0000-0000DA4D0000}"/>
    <cellStyle name="Normal 2 2 2 4 2 2 21" xfId="19968" xr:uid="{00000000-0005-0000-0000-0000DB4D0000}"/>
    <cellStyle name="Normal 2 2 2 4 2 2 21 10" xfId="19969" xr:uid="{00000000-0005-0000-0000-0000DC4D0000}"/>
    <cellStyle name="Normal 2 2 2 4 2 2 21 2" xfId="19970" xr:uid="{00000000-0005-0000-0000-0000DD4D0000}"/>
    <cellStyle name="Normal 2 2 2 4 2 2 21 3" xfId="19971" xr:uid="{00000000-0005-0000-0000-0000DE4D0000}"/>
    <cellStyle name="Normal 2 2 2 4 2 2 21 4" xfId="19972" xr:uid="{00000000-0005-0000-0000-0000DF4D0000}"/>
    <cellStyle name="Normal 2 2 2 4 2 2 21 5" xfId="19973" xr:uid="{00000000-0005-0000-0000-0000E04D0000}"/>
    <cellStyle name="Normal 2 2 2 4 2 2 21 6" xfId="19974" xr:uid="{00000000-0005-0000-0000-0000E14D0000}"/>
    <cellStyle name="Normal 2 2 2 4 2 2 21 7" xfId="19975" xr:uid="{00000000-0005-0000-0000-0000E24D0000}"/>
    <cellStyle name="Normal 2 2 2 4 2 2 21 8" xfId="19976" xr:uid="{00000000-0005-0000-0000-0000E34D0000}"/>
    <cellStyle name="Normal 2 2 2 4 2 2 21 9" xfId="19977" xr:uid="{00000000-0005-0000-0000-0000E44D0000}"/>
    <cellStyle name="Normal 2 2 2 4 2 2 22" xfId="19978" xr:uid="{00000000-0005-0000-0000-0000E54D0000}"/>
    <cellStyle name="Normal 2 2 2 4 2 2 22 10" xfId="19979" xr:uid="{00000000-0005-0000-0000-0000E64D0000}"/>
    <cellStyle name="Normal 2 2 2 4 2 2 22 2" xfId="19980" xr:uid="{00000000-0005-0000-0000-0000E74D0000}"/>
    <cellStyle name="Normal 2 2 2 4 2 2 22 3" xfId="19981" xr:uid="{00000000-0005-0000-0000-0000E84D0000}"/>
    <cellStyle name="Normal 2 2 2 4 2 2 22 4" xfId="19982" xr:uid="{00000000-0005-0000-0000-0000E94D0000}"/>
    <cellStyle name="Normal 2 2 2 4 2 2 22 5" xfId="19983" xr:uid="{00000000-0005-0000-0000-0000EA4D0000}"/>
    <cellStyle name="Normal 2 2 2 4 2 2 22 6" xfId="19984" xr:uid="{00000000-0005-0000-0000-0000EB4D0000}"/>
    <cellStyle name="Normal 2 2 2 4 2 2 22 7" xfId="19985" xr:uid="{00000000-0005-0000-0000-0000EC4D0000}"/>
    <cellStyle name="Normal 2 2 2 4 2 2 22 8" xfId="19986" xr:uid="{00000000-0005-0000-0000-0000ED4D0000}"/>
    <cellStyle name="Normal 2 2 2 4 2 2 22 9" xfId="19987" xr:uid="{00000000-0005-0000-0000-0000EE4D0000}"/>
    <cellStyle name="Normal 2 2 2 4 2 2 23" xfId="19988" xr:uid="{00000000-0005-0000-0000-0000EF4D0000}"/>
    <cellStyle name="Normal 2 2 2 4 2 2 23 10" xfId="19989" xr:uid="{00000000-0005-0000-0000-0000F04D0000}"/>
    <cellStyle name="Normal 2 2 2 4 2 2 23 2" xfId="19990" xr:uid="{00000000-0005-0000-0000-0000F14D0000}"/>
    <cellStyle name="Normal 2 2 2 4 2 2 23 3" xfId="19991" xr:uid="{00000000-0005-0000-0000-0000F24D0000}"/>
    <cellStyle name="Normal 2 2 2 4 2 2 23 4" xfId="19992" xr:uid="{00000000-0005-0000-0000-0000F34D0000}"/>
    <cellStyle name="Normal 2 2 2 4 2 2 23 5" xfId="19993" xr:uid="{00000000-0005-0000-0000-0000F44D0000}"/>
    <cellStyle name="Normal 2 2 2 4 2 2 23 6" xfId="19994" xr:uid="{00000000-0005-0000-0000-0000F54D0000}"/>
    <cellStyle name="Normal 2 2 2 4 2 2 23 7" xfId="19995" xr:uid="{00000000-0005-0000-0000-0000F64D0000}"/>
    <cellStyle name="Normal 2 2 2 4 2 2 23 8" xfId="19996" xr:uid="{00000000-0005-0000-0000-0000F74D0000}"/>
    <cellStyle name="Normal 2 2 2 4 2 2 23 9" xfId="19997" xr:uid="{00000000-0005-0000-0000-0000F84D0000}"/>
    <cellStyle name="Normal 2 2 2 4 2 2 24" xfId="19998" xr:uid="{00000000-0005-0000-0000-0000F94D0000}"/>
    <cellStyle name="Normal 2 2 2 4 2 2 24 10" xfId="19999" xr:uid="{00000000-0005-0000-0000-0000FA4D0000}"/>
    <cellStyle name="Normal 2 2 2 4 2 2 24 2" xfId="20000" xr:uid="{00000000-0005-0000-0000-0000FB4D0000}"/>
    <cellStyle name="Normal 2 2 2 4 2 2 24 3" xfId="20001" xr:uid="{00000000-0005-0000-0000-0000FC4D0000}"/>
    <cellStyle name="Normal 2 2 2 4 2 2 24 4" xfId="20002" xr:uid="{00000000-0005-0000-0000-0000FD4D0000}"/>
    <cellStyle name="Normal 2 2 2 4 2 2 24 5" xfId="20003" xr:uid="{00000000-0005-0000-0000-0000FE4D0000}"/>
    <cellStyle name="Normal 2 2 2 4 2 2 24 6" xfId="20004" xr:uid="{00000000-0005-0000-0000-0000FF4D0000}"/>
    <cellStyle name="Normal 2 2 2 4 2 2 24 7" xfId="20005" xr:uid="{00000000-0005-0000-0000-0000004E0000}"/>
    <cellStyle name="Normal 2 2 2 4 2 2 24 8" xfId="20006" xr:uid="{00000000-0005-0000-0000-0000014E0000}"/>
    <cellStyle name="Normal 2 2 2 4 2 2 24 9" xfId="20007" xr:uid="{00000000-0005-0000-0000-0000024E0000}"/>
    <cellStyle name="Normal 2 2 2 4 2 2 25" xfId="20008" xr:uid="{00000000-0005-0000-0000-0000034E0000}"/>
    <cellStyle name="Normal 2 2 2 4 2 2 26" xfId="20009" xr:uid="{00000000-0005-0000-0000-0000044E0000}"/>
    <cellStyle name="Normal 2 2 2 4 2 2 27" xfId="20010" xr:uid="{00000000-0005-0000-0000-0000054E0000}"/>
    <cellStyle name="Normal 2 2 2 4 2 2 28" xfId="20011" xr:uid="{00000000-0005-0000-0000-0000064E0000}"/>
    <cellStyle name="Normal 2 2 2 4 2 2 29" xfId="20012" xr:uid="{00000000-0005-0000-0000-0000074E0000}"/>
    <cellStyle name="Normal 2 2 2 4 2 2 3" xfId="20013" xr:uid="{00000000-0005-0000-0000-0000084E0000}"/>
    <cellStyle name="Normal 2 2 2 4 2 2 30" xfId="20014" xr:uid="{00000000-0005-0000-0000-0000094E0000}"/>
    <cellStyle name="Normal 2 2 2 4 2 2 31" xfId="20015" xr:uid="{00000000-0005-0000-0000-00000A4E0000}"/>
    <cellStyle name="Normal 2 2 2 4 2 2 32" xfId="20016" xr:uid="{00000000-0005-0000-0000-00000B4E0000}"/>
    <cellStyle name="Normal 2 2 2 4 2 2 33" xfId="20017" xr:uid="{00000000-0005-0000-0000-00000C4E0000}"/>
    <cellStyle name="Normal 2 2 2 4 2 2 34" xfId="20018" xr:uid="{00000000-0005-0000-0000-00000D4E0000}"/>
    <cellStyle name="Normal 2 2 2 4 2 2 35" xfId="20019" xr:uid="{00000000-0005-0000-0000-00000E4E0000}"/>
    <cellStyle name="Normal 2 2 2 4 2 2 4" xfId="20020" xr:uid="{00000000-0005-0000-0000-00000F4E0000}"/>
    <cellStyle name="Normal 2 2 2 4 2 2 5" xfId="20021" xr:uid="{00000000-0005-0000-0000-0000104E0000}"/>
    <cellStyle name="Normal 2 2 2 4 2 2 6" xfId="20022" xr:uid="{00000000-0005-0000-0000-0000114E0000}"/>
    <cellStyle name="Normal 2 2 2 4 2 2 7" xfId="20023" xr:uid="{00000000-0005-0000-0000-0000124E0000}"/>
    <cellStyle name="Normal 2 2 2 4 2 2 8" xfId="20024" xr:uid="{00000000-0005-0000-0000-0000134E0000}"/>
    <cellStyle name="Normal 2 2 2 4 2 2 9" xfId="20025" xr:uid="{00000000-0005-0000-0000-0000144E0000}"/>
    <cellStyle name="Normal 2 2 2 4 2 20" xfId="20026" xr:uid="{00000000-0005-0000-0000-0000154E0000}"/>
    <cellStyle name="Normal 2 2 2 4 2 20 10" xfId="20027" xr:uid="{00000000-0005-0000-0000-0000164E0000}"/>
    <cellStyle name="Normal 2 2 2 4 2 20 11" xfId="20028" xr:uid="{00000000-0005-0000-0000-0000174E0000}"/>
    <cellStyle name="Normal 2 2 2 4 2 20 12" xfId="20029" xr:uid="{00000000-0005-0000-0000-0000184E0000}"/>
    <cellStyle name="Normal 2 2 2 4 2 20 13" xfId="20030" xr:uid="{00000000-0005-0000-0000-0000194E0000}"/>
    <cellStyle name="Normal 2 2 2 4 2 20 14" xfId="20031" xr:uid="{00000000-0005-0000-0000-00001A4E0000}"/>
    <cellStyle name="Normal 2 2 2 4 2 20 2" xfId="20032" xr:uid="{00000000-0005-0000-0000-00001B4E0000}"/>
    <cellStyle name="Normal 2 2 2 4 2 20 2 10" xfId="20033" xr:uid="{00000000-0005-0000-0000-00001C4E0000}"/>
    <cellStyle name="Normal 2 2 2 4 2 20 2 2" xfId="20034" xr:uid="{00000000-0005-0000-0000-00001D4E0000}"/>
    <cellStyle name="Normal 2 2 2 4 2 20 2 3" xfId="20035" xr:uid="{00000000-0005-0000-0000-00001E4E0000}"/>
    <cellStyle name="Normal 2 2 2 4 2 20 2 4" xfId="20036" xr:uid="{00000000-0005-0000-0000-00001F4E0000}"/>
    <cellStyle name="Normal 2 2 2 4 2 20 2 5" xfId="20037" xr:uid="{00000000-0005-0000-0000-0000204E0000}"/>
    <cellStyle name="Normal 2 2 2 4 2 20 2 6" xfId="20038" xr:uid="{00000000-0005-0000-0000-0000214E0000}"/>
    <cellStyle name="Normal 2 2 2 4 2 20 2 7" xfId="20039" xr:uid="{00000000-0005-0000-0000-0000224E0000}"/>
    <cellStyle name="Normal 2 2 2 4 2 20 2 8" xfId="20040" xr:uid="{00000000-0005-0000-0000-0000234E0000}"/>
    <cellStyle name="Normal 2 2 2 4 2 20 2 9" xfId="20041" xr:uid="{00000000-0005-0000-0000-0000244E0000}"/>
    <cellStyle name="Normal 2 2 2 4 2 20 3" xfId="20042" xr:uid="{00000000-0005-0000-0000-0000254E0000}"/>
    <cellStyle name="Normal 2 2 2 4 2 20 3 10" xfId="20043" xr:uid="{00000000-0005-0000-0000-0000264E0000}"/>
    <cellStyle name="Normal 2 2 2 4 2 20 3 2" xfId="20044" xr:uid="{00000000-0005-0000-0000-0000274E0000}"/>
    <cellStyle name="Normal 2 2 2 4 2 20 3 3" xfId="20045" xr:uid="{00000000-0005-0000-0000-0000284E0000}"/>
    <cellStyle name="Normal 2 2 2 4 2 20 3 4" xfId="20046" xr:uid="{00000000-0005-0000-0000-0000294E0000}"/>
    <cellStyle name="Normal 2 2 2 4 2 20 3 5" xfId="20047" xr:uid="{00000000-0005-0000-0000-00002A4E0000}"/>
    <cellStyle name="Normal 2 2 2 4 2 20 3 6" xfId="20048" xr:uid="{00000000-0005-0000-0000-00002B4E0000}"/>
    <cellStyle name="Normal 2 2 2 4 2 20 3 7" xfId="20049" xr:uid="{00000000-0005-0000-0000-00002C4E0000}"/>
    <cellStyle name="Normal 2 2 2 4 2 20 3 8" xfId="20050" xr:uid="{00000000-0005-0000-0000-00002D4E0000}"/>
    <cellStyle name="Normal 2 2 2 4 2 20 3 9" xfId="20051" xr:uid="{00000000-0005-0000-0000-00002E4E0000}"/>
    <cellStyle name="Normal 2 2 2 4 2 20 4" xfId="20052" xr:uid="{00000000-0005-0000-0000-00002F4E0000}"/>
    <cellStyle name="Normal 2 2 2 4 2 20 4 10" xfId="20053" xr:uid="{00000000-0005-0000-0000-0000304E0000}"/>
    <cellStyle name="Normal 2 2 2 4 2 20 4 2" xfId="20054" xr:uid="{00000000-0005-0000-0000-0000314E0000}"/>
    <cellStyle name="Normal 2 2 2 4 2 20 4 3" xfId="20055" xr:uid="{00000000-0005-0000-0000-0000324E0000}"/>
    <cellStyle name="Normal 2 2 2 4 2 20 4 4" xfId="20056" xr:uid="{00000000-0005-0000-0000-0000334E0000}"/>
    <cellStyle name="Normal 2 2 2 4 2 20 4 5" xfId="20057" xr:uid="{00000000-0005-0000-0000-0000344E0000}"/>
    <cellStyle name="Normal 2 2 2 4 2 20 4 6" xfId="20058" xr:uid="{00000000-0005-0000-0000-0000354E0000}"/>
    <cellStyle name="Normal 2 2 2 4 2 20 4 7" xfId="20059" xr:uid="{00000000-0005-0000-0000-0000364E0000}"/>
    <cellStyle name="Normal 2 2 2 4 2 20 4 8" xfId="20060" xr:uid="{00000000-0005-0000-0000-0000374E0000}"/>
    <cellStyle name="Normal 2 2 2 4 2 20 4 9" xfId="20061" xr:uid="{00000000-0005-0000-0000-0000384E0000}"/>
    <cellStyle name="Normal 2 2 2 4 2 20 5" xfId="20062" xr:uid="{00000000-0005-0000-0000-0000394E0000}"/>
    <cellStyle name="Normal 2 2 2 4 2 20 5 10" xfId="20063" xr:uid="{00000000-0005-0000-0000-00003A4E0000}"/>
    <cellStyle name="Normal 2 2 2 4 2 20 5 2" xfId="20064" xr:uid="{00000000-0005-0000-0000-00003B4E0000}"/>
    <cellStyle name="Normal 2 2 2 4 2 20 5 3" xfId="20065" xr:uid="{00000000-0005-0000-0000-00003C4E0000}"/>
    <cellStyle name="Normal 2 2 2 4 2 20 5 4" xfId="20066" xr:uid="{00000000-0005-0000-0000-00003D4E0000}"/>
    <cellStyle name="Normal 2 2 2 4 2 20 5 5" xfId="20067" xr:uid="{00000000-0005-0000-0000-00003E4E0000}"/>
    <cellStyle name="Normal 2 2 2 4 2 20 5 6" xfId="20068" xr:uid="{00000000-0005-0000-0000-00003F4E0000}"/>
    <cellStyle name="Normal 2 2 2 4 2 20 5 7" xfId="20069" xr:uid="{00000000-0005-0000-0000-0000404E0000}"/>
    <cellStyle name="Normal 2 2 2 4 2 20 5 8" xfId="20070" xr:uid="{00000000-0005-0000-0000-0000414E0000}"/>
    <cellStyle name="Normal 2 2 2 4 2 20 5 9" xfId="20071" xr:uid="{00000000-0005-0000-0000-0000424E0000}"/>
    <cellStyle name="Normal 2 2 2 4 2 20 6" xfId="20072" xr:uid="{00000000-0005-0000-0000-0000434E0000}"/>
    <cellStyle name="Normal 2 2 2 4 2 20 7" xfId="20073" xr:uid="{00000000-0005-0000-0000-0000444E0000}"/>
    <cellStyle name="Normal 2 2 2 4 2 20 8" xfId="20074" xr:uid="{00000000-0005-0000-0000-0000454E0000}"/>
    <cellStyle name="Normal 2 2 2 4 2 20 9" xfId="20075" xr:uid="{00000000-0005-0000-0000-0000464E0000}"/>
    <cellStyle name="Normal 2 2 2 4 2 21" xfId="20076" xr:uid="{00000000-0005-0000-0000-0000474E0000}"/>
    <cellStyle name="Normal 2 2 2 4 2 22" xfId="20077" xr:uid="{00000000-0005-0000-0000-0000484E0000}"/>
    <cellStyle name="Normal 2 2 2 4 2 3" xfId="20078" xr:uid="{00000000-0005-0000-0000-0000494E0000}"/>
    <cellStyle name="Normal 2 2 2 4 2 3 10" xfId="20079" xr:uid="{00000000-0005-0000-0000-00004A4E0000}"/>
    <cellStyle name="Normal 2 2 2 4 2 3 11" xfId="20080" xr:uid="{00000000-0005-0000-0000-00004B4E0000}"/>
    <cellStyle name="Normal 2 2 2 4 2 3 12" xfId="20081" xr:uid="{00000000-0005-0000-0000-00004C4E0000}"/>
    <cellStyle name="Normal 2 2 2 4 2 3 13" xfId="20082" xr:uid="{00000000-0005-0000-0000-00004D4E0000}"/>
    <cellStyle name="Normal 2 2 2 4 2 3 14" xfId="20083" xr:uid="{00000000-0005-0000-0000-00004E4E0000}"/>
    <cellStyle name="Normal 2 2 2 4 2 3 2" xfId="20084" xr:uid="{00000000-0005-0000-0000-00004F4E0000}"/>
    <cellStyle name="Normal 2 2 2 4 2 3 2 10" xfId="20085" xr:uid="{00000000-0005-0000-0000-0000504E0000}"/>
    <cellStyle name="Normal 2 2 2 4 2 3 2 2" xfId="20086" xr:uid="{00000000-0005-0000-0000-0000514E0000}"/>
    <cellStyle name="Normal 2 2 2 4 2 3 2 3" xfId="20087" xr:uid="{00000000-0005-0000-0000-0000524E0000}"/>
    <cellStyle name="Normal 2 2 2 4 2 3 2 4" xfId="20088" xr:uid="{00000000-0005-0000-0000-0000534E0000}"/>
    <cellStyle name="Normal 2 2 2 4 2 3 2 5" xfId="20089" xr:uid="{00000000-0005-0000-0000-0000544E0000}"/>
    <cellStyle name="Normal 2 2 2 4 2 3 2 6" xfId="20090" xr:uid="{00000000-0005-0000-0000-0000554E0000}"/>
    <cellStyle name="Normal 2 2 2 4 2 3 2 7" xfId="20091" xr:uid="{00000000-0005-0000-0000-0000564E0000}"/>
    <cellStyle name="Normal 2 2 2 4 2 3 2 8" xfId="20092" xr:uid="{00000000-0005-0000-0000-0000574E0000}"/>
    <cellStyle name="Normal 2 2 2 4 2 3 2 9" xfId="20093" xr:uid="{00000000-0005-0000-0000-0000584E0000}"/>
    <cellStyle name="Normal 2 2 2 4 2 3 3" xfId="20094" xr:uid="{00000000-0005-0000-0000-0000594E0000}"/>
    <cellStyle name="Normal 2 2 2 4 2 3 3 10" xfId="20095" xr:uid="{00000000-0005-0000-0000-00005A4E0000}"/>
    <cellStyle name="Normal 2 2 2 4 2 3 3 2" xfId="20096" xr:uid="{00000000-0005-0000-0000-00005B4E0000}"/>
    <cellStyle name="Normal 2 2 2 4 2 3 3 3" xfId="20097" xr:uid="{00000000-0005-0000-0000-00005C4E0000}"/>
    <cellStyle name="Normal 2 2 2 4 2 3 3 4" xfId="20098" xr:uid="{00000000-0005-0000-0000-00005D4E0000}"/>
    <cellStyle name="Normal 2 2 2 4 2 3 3 5" xfId="20099" xr:uid="{00000000-0005-0000-0000-00005E4E0000}"/>
    <cellStyle name="Normal 2 2 2 4 2 3 3 6" xfId="20100" xr:uid="{00000000-0005-0000-0000-00005F4E0000}"/>
    <cellStyle name="Normal 2 2 2 4 2 3 3 7" xfId="20101" xr:uid="{00000000-0005-0000-0000-0000604E0000}"/>
    <cellStyle name="Normal 2 2 2 4 2 3 3 8" xfId="20102" xr:uid="{00000000-0005-0000-0000-0000614E0000}"/>
    <cellStyle name="Normal 2 2 2 4 2 3 3 9" xfId="20103" xr:uid="{00000000-0005-0000-0000-0000624E0000}"/>
    <cellStyle name="Normal 2 2 2 4 2 3 4" xfId="20104" xr:uid="{00000000-0005-0000-0000-0000634E0000}"/>
    <cellStyle name="Normal 2 2 2 4 2 3 4 10" xfId="20105" xr:uid="{00000000-0005-0000-0000-0000644E0000}"/>
    <cellStyle name="Normal 2 2 2 4 2 3 4 2" xfId="20106" xr:uid="{00000000-0005-0000-0000-0000654E0000}"/>
    <cellStyle name="Normal 2 2 2 4 2 3 4 3" xfId="20107" xr:uid="{00000000-0005-0000-0000-0000664E0000}"/>
    <cellStyle name="Normal 2 2 2 4 2 3 4 4" xfId="20108" xr:uid="{00000000-0005-0000-0000-0000674E0000}"/>
    <cellStyle name="Normal 2 2 2 4 2 3 4 5" xfId="20109" xr:uid="{00000000-0005-0000-0000-0000684E0000}"/>
    <cellStyle name="Normal 2 2 2 4 2 3 4 6" xfId="20110" xr:uid="{00000000-0005-0000-0000-0000694E0000}"/>
    <cellStyle name="Normal 2 2 2 4 2 3 4 7" xfId="20111" xr:uid="{00000000-0005-0000-0000-00006A4E0000}"/>
    <cellStyle name="Normal 2 2 2 4 2 3 4 8" xfId="20112" xr:uid="{00000000-0005-0000-0000-00006B4E0000}"/>
    <cellStyle name="Normal 2 2 2 4 2 3 4 9" xfId="20113" xr:uid="{00000000-0005-0000-0000-00006C4E0000}"/>
    <cellStyle name="Normal 2 2 2 4 2 3 5" xfId="20114" xr:uid="{00000000-0005-0000-0000-00006D4E0000}"/>
    <cellStyle name="Normal 2 2 2 4 2 3 5 10" xfId="20115" xr:uid="{00000000-0005-0000-0000-00006E4E0000}"/>
    <cellStyle name="Normal 2 2 2 4 2 3 5 2" xfId="20116" xr:uid="{00000000-0005-0000-0000-00006F4E0000}"/>
    <cellStyle name="Normal 2 2 2 4 2 3 5 3" xfId="20117" xr:uid="{00000000-0005-0000-0000-0000704E0000}"/>
    <cellStyle name="Normal 2 2 2 4 2 3 5 4" xfId="20118" xr:uid="{00000000-0005-0000-0000-0000714E0000}"/>
    <cellStyle name="Normal 2 2 2 4 2 3 5 5" xfId="20119" xr:uid="{00000000-0005-0000-0000-0000724E0000}"/>
    <cellStyle name="Normal 2 2 2 4 2 3 5 6" xfId="20120" xr:uid="{00000000-0005-0000-0000-0000734E0000}"/>
    <cellStyle name="Normal 2 2 2 4 2 3 5 7" xfId="20121" xr:uid="{00000000-0005-0000-0000-0000744E0000}"/>
    <cellStyle name="Normal 2 2 2 4 2 3 5 8" xfId="20122" xr:uid="{00000000-0005-0000-0000-0000754E0000}"/>
    <cellStyle name="Normal 2 2 2 4 2 3 5 9" xfId="20123" xr:uid="{00000000-0005-0000-0000-0000764E0000}"/>
    <cellStyle name="Normal 2 2 2 4 2 3 6" xfId="20124" xr:uid="{00000000-0005-0000-0000-0000774E0000}"/>
    <cellStyle name="Normal 2 2 2 4 2 3 7" xfId="20125" xr:uid="{00000000-0005-0000-0000-0000784E0000}"/>
    <cellStyle name="Normal 2 2 2 4 2 3 8" xfId="20126" xr:uid="{00000000-0005-0000-0000-0000794E0000}"/>
    <cellStyle name="Normal 2 2 2 4 2 3 9" xfId="20127" xr:uid="{00000000-0005-0000-0000-00007A4E0000}"/>
    <cellStyle name="Normal 2 2 2 4 2 4" xfId="20128" xr:uid="{00000000-0005-0000-0000-00007B4E0000}"/>
    <cellStyle name="Normal 2 2 2 4 2 4 10" xfId="20129" xr:uid="{00000000-0005-0000-0000-00007C4E0000}"/>
    <cellStyle name="Normal 2 2 2 4 2 4 11" xfId="20130" xr:uid="{00000000-0005-0000-0000-00007D4E0000}"/>
    <cellStyle name="Normal 2 2 2 4 2 4 12" xfId="20131" xr:uid="{00000000-0005-0000-0000-00007E4E0000}"/>
    <cellStyle name="Normal 2 2 2 4 2 4 13" xfId="20132" xr:uid="{00000000-0005-0000-0000-00007F4E0000}"/>
    <cellStyle name="Normal 2 2 2 4 2 4 14" xfId="20133" xr:uid="{00000000-0005-0000-0000-0000804E0000}"/>
    <cellStyle name="Normal 2 2 2 4 2 4 2" xfId="20134" xr:uid="{00000000-0005-0000-0000-0000814E0000}"/>
    <cellStyle name="Normal 2 2 2 4 2 4 2 10" xfId="20135" xr:uid="{00000000-0005-0000-0000-0000824E0000}"/>
    <cellStyle name="Normal 2 2 2 4 2 4 2 2" xfId="20136" xr:uid="{00000000-0005-0000-0000-0000834E0000}"/>
    <cellStyle name="Normal 2 2 2 4 2 4 2 3" xfId="20137" xr:uid="{00000000-0005-0000-0000-0000844E0000}"/>
    <cellStyle name="Normal 2 2 2 4 2 4 2 4" xfId="20138" xr:uid="{00000000-0005-0000-0000-0000854E0000}"/>
    <cellStyle name="Normal 2 2 2 4 2 4 2 5" xfId="20139" xr:uid="{00000000-0005-0000-0000-0000864E0000}"/>
    <cellStyle name="Normal 2 2 2 4 2 4 2 6" xfId="20140" xr:uid="{00000000-0005-0000-0000-0000874E0000}"/>
    <cellStyle name="Normal 2 2 2 4 2 4 2 7" xfId="20141" xr:uid="{00000000-0005-0000-0000-0000884E0000}"/>
    <cellStyle name="Normal 2 2 2 4 2 4 2 8" xfId="20142" xr:uid="{00000000-0005-0000-0000-0000894E0000}"/>
    <cellStyle name="Normal 2 2 2 4 2 4 2 9" xfId="20143" xr:uid="{00000000-0005-0000-0000-00008A4E0000}"/>
    <cellStyle name="Normal 2 2 2 4 2 4 3" xfId="20144" xr:uid="{00000000-0005-0000-0000-00008B4E0000}"/>
    <cellStyle name="Normal 2 2 2 4 2 4 3 10" xfId="20145" xr:uid="{00000000-0005-0000-0000-00008C4E0000}"/>
    <cellStyle name="Normal 2 2 2 4 2 4 3 2" xfId="20146" xr:uid="{00000000-0005-0000-0000-00008D4E0000}"/>
    <cellStyle name="Normal 2 2 2 4 2 4 3 3" xfId="20147" xr:uid="{00000000-0005-0000-0000-00008E4E0000}"/>
    <cellStyle name="Normal 2 2 2 4 2 4 3 4" xfId="20148" xr:uid="{00000000-0005-0000-0000-00008F4E0000}"/>
    <cellStyle name="Normal 2 2 2 4 2 4 3 5" xfId="20149" xr:uid="{00000000-0005-0000-0000-0000904E0000}"/>
    <cellStyle name="Normal 2 2 2 4 2 4 3 6" xfId="20150" xr:uid="{00000000-0005-0000-0000-0000914E0000}"/>
    <cellStyle name="Normal 2 2 2 4 2 4 3 7" xfId="20151" xr:uid="{00000000-0005-0000-0000-0000924E0000}"/>
    <cellStyle name="Normal 2 2 2 4 2 4 3 8" xfId="20152" xr:uid="{00000000-0005-0000-0000-0000934E0000}"/>
    <cellStyle name="Normal 2 2 2 4 2 4 3 9" xfId="20153" xr:uid="{00000000-0005-0000-0000-0000944E0000}"/>
    <cellStyle name="Normal 2 2 2 4 2 4 4" xfId="20154" xr:uid="{00000000-0005-0000-0000-0000954E0000}"/>
    <cellStyle name="Normal 2 2 2 4 2 4 4 10" xfId="20155" xr:uid="{00000000-0005-0000-0000-0000964E0000}"/>
    <cellStyle name="Normal 2 2 2 4 2 4 4 2" xfId="20156" xr:uid="{00000000-0005-0000-0000-0000974E0000}"/>
    <cellStyle name="Normal 2 2 2 4 2 4 4 3" xfId="20157" xr:uid="{00000000-0005-0000-0000-0000984E0000}"/>
    <cellStyle name="Normal 2 2 2 4 2 4 4 4" xfId="20158" xr:uid="{00000000-0005-0000-0000-0000994E0000}"/>
    <cellStyle name="Normal 2 2 2 4 2 4 4 5" xfId="20159" xr:uid="{00000000-0005-0000-0000-00009A4E0000}"/>
    <cellStyle name="Normal 2 2 2 4 2 4 4 6" xfId="20160" xr:uid="{00000000-0005-0000-0000-00009B4E0000}"/>
    <cellStyle name="Normal 2 2 2 4 2 4 4 7" xfId="20161" xr:uid="{00000000-0005-0000-0000-00009C4E0000}"/>
    <cellStyle name="Normal 2 2 2 4 2 4 4 8" xfId="20162" xr:uid="{00000000-0005-0000-0000-00009D4E0000}"/>
    <cellStyle name="Normal 2 2 2 4 2 4 4 9" xfId="20163" xr:uid="{00000000-0005-0000-0000-00009E4E0000}"/>
    <cellStyle name="Normal 2 2 2 4 2 4 5" xfId="20164" xr:uid="{00000000-0005-0000-0000-00009F4E0000}"/>
    <cellStyle name="Normal 2 2 2 4 2 4 5 10" xfId="20165" xr:uid="{00000000-0005-0000-0000-0000A04E0000}"/>
    <cellStyle name="Normal 2 2 2 4 2 4 5 2" xfId="20166" xr:uid="{00000000-0005-0000-0000-0000A14E0000}"/>
    <cellStyle name="Normal 2 2 2 4 2 4 5 3" xfId="20167" xr:uid="{00000000-0005-0000-0000-0000A24E0000}"/>
    <cellStyle name="Normal 2 2 2 4 2 4 5 4" xfId="20168" xr:uid="{00000000-0005-0000-0000-0000A34E0000}"/>
    <cellStyle name="Normal 2 2 2 4 2 4 5 5" xfId="20169" xr:uid="{00000000-0005-0000-0000-0000A44E0000}"/>
    <cellStyle name="Normal 2 2 2 4 2 4 5 6" xfId="20170" xr:uid="{00000000-0005-0000-0000-0000A54E0000}"/>
    <cellStyle name="Normal 2 2 2 4 2 4 5 7" xfId="20171" xr:uid="{00000000-0005-0000-0000-0000A64E0000}"/>
    <cellStyle name="Normal 2 2 2 4 2 4 5 8" xfId="20172" xr:uid="{00000000-0005-0000-0000-0000A74E0000}"/>
    <cellStyle name="Normal 2 2 2 4 2 4 5 9" xfId="20173" xr:uid="{00000000-0005-0000-0000-0000A84E0000}"/>
    <cellStyle name="Normal 2 2 2 4 2 4 6" xfId="20174" xr:uid="{00000000-0005-0000-0000-0000A94E0000}"/>
    <cellStyle name="Normal 2 2 2 4 2 4 7" xfId="20175" xr:uid="{00000000-0005-0000-0000-0000AA4E0000}"/>
    <cellStyle name="Normal 2 2 2 4 2 4 8" xfId="20176" xr:uid="{00000000-0005-0000-0000-0000AB4E0000}"/>
    <cellStyle name="Normal 2 2 2 4 2 4 9" xfId="20177" xr:uid="{00000000-0005-0000-0000-0000AC4E0000}"/>
    <cellStyle name="Normal 2 2 2 4 2 5" xfId="20178" xr:uid="{00000000-0005-0000-0000-0000AD4E0000}"/>
    <cellStyle name="Normal 2 2 2 4 2 5 10" xfId="20179" xr:uid="{00000000-0005-0000-0000-0000AE4E0000}"/>
    <cellStyle name="Normal 2 2 2 4 2 5 11" xfId="20180" xr:uid="{00000000-0005-0000-0000-0000AF4E0000}"/>
    <cellStyle name="Normal 2 2 2 4 2 5 12" xfId="20181" xr:uid="{00000000-0005-0000-0000-0000B04E0000}"/>
    <cellStyle name="Normal 2 2 2 4 2 5 13" xfId="20182" xr:uid="{00000000-0005-0000-0000-0000B14E0000}"/>
    <cellStyle name="Normal 2 2 2 4 2 5 14" xfId="20183" xr:uid="{00000000-0005-0000-0000-0000B24E0000}"/>
    <cellStyle name="Normal 2 2 2 4 2 5 2" xfId="20184" xr:uid="{00000000-0005-0000-0000-0000B34E0000}"/>
    <cellStyle name="Normal 2 2 2 4 2 5 2 10" xfId="20185" xr:uid="{00000000-0005-0000-0000-0000B44E0000}"/>
    <cellStyle name="Normal 2 2 2 4 2 5 2 2" xfId="20186" xr:uid="{00000000-0005-0000-0000-0000B54E0000}"/>
    <cellStyle name="Normal 2 2 2 4 2 5 2 3" xfId="20187" xr:uid="{00000000-0005-0000-0000-0000B64E0000}"/>
    <cellStyle name="Normal 2 2 2 4 2 5 2 4" xfId="20188" xr:uid="{00000000-0005-0000-0000-0000B74E0000}"/>
    <cellStyle name="Normal 2 2 2 4 2 5 2 5" xfId="20189" xr:uid="{00000000-0005-0000-0000-0000B84E0000}"/>
    <cellStyle name="Normal 2 2 2 4 2 5 2 6" xfId="20190" xr:uid="{00000000-0005-0000-0000-0000B94E0000}"/>
    <cellStyle name="Normal 2 2 2 4 2 5 2 7" xfId="20191" xr:uid="{00000000-0005-0000-0000-0000BA4E0000}"/>
    <cellStyle name="Normal 2 2 2 4 2 5 2 8" xfId="20192" xr:uid="{00000000-0005-0000-0000-0000BB4E0000}"/>
    <cellStyle name="Normal 2 2 2 4 2 5 2 9" xfId="20193" xr:uid="{00000000-0005-0000-0000-0000BC4E0000}"/>
    <cellStyle name="Normal 2 2 2 4 2 5 3" xfId="20194" xr:uid="{00000000-0005-0000-0000-0000BD4E0000}"/>
    <cellStyle name="Normal 2 2 2 4 2 5 3 10" xfId="20195" xr:uid="{00000000-0005-0000-0000-0000BE4E0000}"/>
    <cellStyle name="Normal 2 2 2 4 2 5 3 2" xfId="20196" xr:uid="{00000000-0005-0000-0000-0000BF4E0000}"/>
    <cellStyle name="Normal 2 2 2 4 2 5 3 3" xfId="20197" xr:uid="{00000000-0005-0000-0000-0000C04E0000}"/>
    <cellStyle name="Normal 2 2 2 4 2 5 3 4" xfId="20198" xr:uid="{00000000-0005-0000-0000-0000C14E0000}"/>
    <cellStyle name="Normal 2 2 2 4 2 5 3 5" xfId="20199" xr:uid="{00000000-0005-0000-0000-0000C24E0000}"/>
    <cellStyle name="Normal 2 2 2 4 2 5 3 6" xfId="20200" xr:uid="{00000000-0005-0000-0000-0000C34E0000}"/>
    <cellStyle name="Normal 2 2 2 4 2 5 3 7" xfId="20201" xr:uid="{00000000-0005-0000-0000-0000C44E0000}"/>
    <cellStyle name="Normal 2 2 2 4 2 5 3 8" xfId="20202" xr:uid="{00000000-0005-0000-0000-0000C54E0000}"/>
    <cellStyle name="Normal 2 2 2 4 2 5 3 9" xfId="20203" xr:uid="{00000000-0005-0000-0000-0000C64E0000}"/>
    <cellStyle name="Normal 2 2 2 4 2 5 4" xfId="20204" xr:uid="{00000000-0005-0000-0000-0000C74E0000}"/>
    <cellStyle name="Normal 2 2 2 4 2 5 4 10" xfId="20205" xr:uid="{00000000-0005-0000-0000-0000C84E0000}"/>
    <cellStyle name="Normal 2 2 2 4 2 5 4 2" xfId="20206" xr:uid="{00000000-0005-0000-0000-0000C94E0000}"/>
    <cellStyle name="Normal 2 2 2 4 2 5 4 3" xfId="20207" xr:uid="{00000000-0005-0000-0000-0000CA4E0000}"/>
    <cellStyle name="Normal 2 2 2 4 2 5 4 4" xfId="20208" xr:uid="{00000000-0005-0000-0000-0000CB4E0000}"/>
    <cellStyle name="Normal 2 2 2 4 2 5 4 5" xfId="20209" xr:uid="{00000000-0005-0000-0000-0000CC4E0000}"/>
    <cellStyle name="Normal 2 2 2 4 2 5 4 6" xfId="20210" xr:uid="{00000000-0005-0000-0000-0000CD4E0000}"/>
    <cellStyle name="Normal 2 2 2 4 2 5 4 7" xfId="20211" xr:uid="{00000000-0005-0000-0000-0000CE4E0000}"/>
    <cellStyle name="Normal 2 2 2 4 2 5 4 8" xfId="20212" xr:uid="{00000000-0005-0000-0000-0000CF4E0000}"/>
    <cellStyle name="Normal 2 2 2 4 2 5 4 9" xfId="20213" xr:uid="{00000000-0005-0000-0000-0000D04E0000}"/>
    <cellStyle name="Normal 2 2 2 4 2 5 5" xfId="20214" xr:uid="{00000000-0005-0000-0000-0000D14E0000}"/>
    <cellStyle name="Normal 2 2 2 4 2 5 5 10" xfId="20215" xr:uid="{00000000-0005-0000-0000-0000D24E0000}"/>
    <cellStyle name="Normal 2 2 2 4 2 5 5 2" xfId="20216" xr:uid="{00000000-0005-0000-0000-0000D34E0000}"/>
    <cellStyle name="Normal 2 2 2 4 2 5 5 3" xfId="20217" xr:uid="{00000000-0005-0000-0000-0000D44E0000}"/>
    <cellStyle name="Normal 2 2 2 4 2 5 5 4" xfId="20218" xr:uid="{00000000-0005-0000-0000-0000D54E0000}"/>
    <cellStyle name="Normal 2 2 2 4 2 5 5 5" xfId="20219" xr:uid="{00000000-0005-0000-0000-0000D64E0000}"/>
    <cellStyle name="Normal 2 2 2 4 2 5 5 6" xfId="20220" xr:uid="{00000000-0005-0000-0000-0000D74E0000}"/>
    <cellStyle name="Normal 2 2 2 4 2 5 5 7" xfId="20221" xr:uid="{00000000-0005-0000-0000-0000D84E0000}"/>
    <cellStyle name="Normal 2 2 2 4 2 5 5 8" xfId="20222" xr:uid="{00000000-0005-0000-0000-0000D94E0000}"/>
    <cellStyle name="Normal 2 2 2 4 2 5 5 9" xfId="20223" xr:uid="{00000000-0005-0000-0000-0000DA4E0000}"/>
    <cellStyle name="Normal 2 2 2 4 2 5 6" xfId="20224" xr:uid="{00000000-0005-0000-0000-0000DB4E0000}"/>
    <cellStyle name="Normal 2 2 2 4 2 5 7" xfId="20225" xr:uid="{00000000-0005-0000-0000-0000DC4E0000}"/>
    <cellStyle name="Normal 2 2 2 4 2 5 8" xfId="20226" xr:uid="{00000000-0005-0000-0000-0000DD4E0000}"/>
    <cellStyle name="Normal 2 2 2 4 2 5 9" xfId="20227" xr:uid="{00000000-0005-0000-0000-0000DE4E0000}"/>
    <cellStyle name="Normal 2 2 2 4 2 6" xfId="20228" xr:uid="{00000000-0005-0000-0000-0000DF4E0000}"/>
    <cellStyle name="Normal 2 2 2 4 2 6 10" xfId="20229" xr:uid="{00000000-0005-0000-0000-0000E04E0000}"/>
    <cellStyle name="Normal 2 2 2 4 2 6 11" xfId="20230" xr:uid="{00000000-0005-0000-0000-0000E14E0000}"/>
    <cellStyle name="Normal 2 2 2 4 2 6 12" xfId="20231" xr:uid="{00000000-0005-0000-0000-0000E24E0000}"/>
    <cellStyle name="Normal 2 2 2 4 2 6 13" xfId="20232" xr:uid="{00000000-0005-0000-0000-0000E34E0000}"/>
    <cellStyle name="Normal 2 2 2 4 2 6 14" xfId="20233" xr:uid="{00000000-0005-0000-0000-0000E44E0000}"/>
    <cellStyle name="Normal 2 2 2 4 2 6 2" xfId="20234" xr:uid="{00000000-0005-0000-0000-0000E54E0000}"/>
    <cellStyle name="Normal 2 2 2 4 2 6 2 10" xfId="20235" xr:uid="{00000000-0005-0000-0000-0000E64E0000}"/>
    <cellStyle name="Normal 2 2 2 4 2 6 2 2" xfId="20236" xr:uid="{00000000-0005-0000-0000-0000E74E0000}"/>
    <cellStyle name="Normal 2 2 2 4 2 6 2 3" xfId="20237" xr:uid="{00000000-0005-0000-0000-0000E84E0000}"/>
    <cellStyle name="Normal 2 2 2 4 2 6 2 4" xfId="20238" xr:uid="{00000000-0005-0000-0000-0000E94E0000}"/>
    <cellStyle name="Normal 2 2 2 4 2 6 2 5" xfId="20239" xr:uid="{00000000-0005-0000-0000-0000EA4E0000}"/>
    <cellStyle name="Normal 2 2 2 4 2 6 2 6" xfId="20240" xr:uid="{00000000-0005-0000-0000-0000EB4E0000}"/>
    <cellStyle name="Normal 2 2 2 4 2 6 2 7" xfId="20241" xr:uid="{00000000-0005-0000-0000-0000EC4E0000}"/>
    <cellStyle name="Normal 2 2 2 4 2 6 2 8" xfId="20242" xr:uid="{00000000-0005-0000-0000-0000ED4E0000}"/>
    <cellStyle name="Normal 2 2 2 4 2 6 2 9" xfId="20243" xr:uid="{00000000-0005-0000-0000-0000EE4E0000}"/>
    <cellStyle name="Normal 2 2 2 4 2 6 3" xfId="20244" xr:uid="{00000000-0005-0000-0000-0000EF4E0000}"/>
    <cellStyle name="Normal 2 2 2 4 2 6 3 10" xfId="20245" xr:uid="{00000000-0005-0000-0000-0000F04E0000}"/>
    <cellStyle name="Normal 2 2 2 4 2 6 3 2" xfId="20246" xr:uid="{00000000-0005-0000-0000-0000F14E0000}"/>
    <cellStyle name="Normal 2 2 2 4 2 6 3 3" xfId="20247" xr:uid="{00000000-0005-0000-0000-0000F24E0000}"/>
    <cellStyle name="Normal 2 2 2 4 2 6 3 4" xfId="20248" xr:uid="{00000000-0005-0000-0000-0000F34E0000}"/>
    <cellStyle name="Normal 2 2 2 4 2 6 3 5" xfId="20249" xr:uid="{00000000-0005-0000-0000-0000F44E0000}"/>
    <cellStyle name="Normal 2 2 2 4 2 6 3 6" xfId="20250" xr:uid="{00000000-0005-0000-0000-0000F54E0000}"/>
    <cellStyle name="Normal 2 2 2 4 2 6 3 7" xfId="20251" xr:uid="{00000000-0005-0000-0000-0000F64E0000}"/>
    <cellStyle name="Normal 2 2 2 4 2 6 3 8" xfId="20252" xr:uid="{00000000-0005-0000-0000-0000F74E0000}"/>
    <cellStyle name="Normal 2 2 2 4 2 6 3 9" xfId="20253" xr:uid="{00000000-0005-0000-0000-0000F84E0000}"/>
    <cellStyle name="Normal 2 2 2 4 2 6 4" xfId="20254" xr:uid="{00000000-0005-0000-0000-0000F94E0000}"/>
    <cellStyle name="Normal 2 2 2 4 2 6 4 10" xfId="20255" xr:uid="{00000000-0005-0000-0000-0000FA4E0000}"/>
    <cellStyle name="Normal 2 2 2 4 2 6 4 2" xfId="20256" xr:uid="{00000000-0005-0000-0000-0000FB4E0000}"/>
    <cellStyle name="Normal 2 2 2 4 2 6 4 3" xfId="20257" xr:uid="{00000000-0005-0000-0000-0000FC4E0000}"/>
    <cellStyle name="Normal 2 2 2 4 2 6 4 4" xfId="20258" xr:uid="{00000000-0005-0000-0000-0000FD4E0000}"/>
    <cellStyle name="Normal 2 2 2 4 2 6 4 5" xfId="20259" xr:uid="{00000000-0005-0000-0000-0000FE4E0000}"/>
    <cellStyle name="Normal 2 2 2 4 2 6 4 6" xfId="20260" xr:uid="{00000000-0005-0000-0000-0000FF4E0000}"/>
    <cellStyle name="Normal 2 2 2 4 2 6 4 7" xfId="20261" xr:uid="{00000000-0005-0000-0000-0000004F0000}"/>
    <cellStyle name="Normal 2 2 2 4 2 6 4 8" xfId="20262" xr:uid="{00000000-0005-0000-0000-0000014F0000}"/>
    <cellStyle name="Normal 2 2 2 4 2 6 4 9" xfId="20263" xr:uid="{00000000-0005-0000-0000-0000024F0000}"/>
    <cellStyle name="Normal 2 2 2 4 2 6 5" xfId="20264" xr:uid="{00000000-0005-0000-0000-0000034F0000}"/>
    <cellStyle name="Normal 2 2 2 4 2 6 5 10" xfId="20265" xr:uid="{00000000-0005-0000-0000-0000044F0000}"/>
    <cellStyle name="Normal 2 2 2 4 2 6 5 2" xfId="20266" xr:uid="{00000000-0005-0000-0000-0000054F0000}"/>
    <cellStyle name="Normal 2 2 2 4 2 6 5 3" xfId="20267" xr:uid="{00000000-0005-0000-0000-0000064F0000}"/>
    <cellStyle name="Normal 2 2 2 4 2 6 5 4" xfId="20268" xr:uid="{00000000-0005-0000-0000-0000074F0000}"/>
    <cellStyle name="Normal 2 2 2 4 2 6 5 5" xfId="20269" xr:uid="{00000000-0005-0000-0000-0000084F0000}"/>
    <cellStyle name="Normal 2 2 2 4 2 6 5 6" xfId="20270" xr:uid="{00000000-0005-0000-0000-0000094F0000}"/>
    <cellStyle name="Normal 2 2 2 4 2 6 5 7" xfId="20271" xr:uid="{00000000-0005-0000-0000-00000A4F0000}"/>
    <cellStyle name="Normal 2 2 2 4 2 6 5 8" xfId="20272" xr:uid="{00000000-0005-0000-0000-00000B4F0000}"/>
    <cellStyle name="Normal 2 2 2 4 2 6 5 9" xfId="20273" xr:uid="{00000000-0005-0000-0000-00000C4F0000}"/>
    <cellStyle name="Normal 2 2 2 4 2 6 6" xfId="20274" xr:uid="{00000000-0005-0000-0000-00000D4F0000}"/>
    <cellStyle name="Normal 2 2 2 4 2 6 7" xfId="20275" xr:uid="{00000000-0005-0000-0000-00000E4F0000}"/>
    <cellStyle name="Normal 2 2 2 4 2 6 8" xfId="20276" xr:uid="{00000000-0005-0000-0000-00000F4F0000}"/>
    <cellStyle name="Normal 2 2 2 4 2 6 9" xfId="20277" xr:uid="{00000000-0005-0000-0000-0000104F0000}"/>
    <cellStyle name="Normal 2 2 2 4 2 7" xfId="20278" xr:uid="{00000000-0005-0000-0000-0000114F0000}"/>
    <cellStyle name="Normal 2 2 2 4 2 7 10" xfId="20279" xr:uid="{00000000-0005-0000-0000-0000124F0000}"/>
    <cellStyle name="Normal 2 2 2 4 2 7 11" xfId="20280" xr:uid="{00000000-0005-0000-0000-0000134F0000}"/>
    <cellStyle name="Normal 2 2 2 4 2 7 12" xfId="20281" xr:uid="{00000000-0005-0000-0000-0000144F0000}"/>
    <cellStyle name="Normal 2 2 2 4 2 7 13" xfId="20282" xr:uid="{00000000-0005-0000-0000-0000154F0000}"/>
    <cellStyle name="Normal 2 2 2 4 2 7 14" xfId="20283" xr:uid="{00000000-0005-0000-0000-0000164F0000}"/>
    <cellStyle name="Normal 2 2 2 4 2 7 2" xfId="20284" xr:uid="{00000000-0005-0000-0000-0000174F0000}"/>
    <cellStyle name="Normal 2 2 2 4 2 7 2 10" xfId="20285" xr:uid="{00000000-0005-0000-0000-0000184F0000}"/>
    <cellStyle name="Normal 2 2 2 4 2 7 2 2" xfId="20286" xr:uid="{00000000-0005-0000-0000-0000194F0000}"/>
    <cellStyle name="Normal 2 2 2 4 2 7 2 3" xfId="20287" xr:uid="{00000000-0005-0000-0000-00001A4F0000}"/>
    <cellStyle name="Normal 2 2 2 4 2 7 2 4" xfId="20288" xr:uid="{00000000-0005-0000-0000-00001B4F0000}"/>
    <cellStyle name="Normal 2 2 2 4 2 7 2 5" xfId="20289" xr:uid="{00000000-0005-0000-0000-00001C4F0000}"/>
    <cellStyle name="Normal 2 2 2 4 2 7 2 6" xfId="20290" xr:uid="{00000000-0005-0000-0000-00001D4F0000}"/>
    <cellStyle name="Normal 2 2 2 4 2 7 2 7" xfId="20291" xr:uid="{00000000-0005-0000-0000-00001E4F0000}"/>
    <cellStyle name="Normal 2 2 2 4 2 7 2 8" xfId="20292" xr:uid="{00000000-0005-0000-0000-00001F4F0000}"/>
    <cellStyle name="Normal 2 2 2 4 2 7 2 9" xfId="20293" xr:uid="{00000000-0005-0000-0000-0000204F0000}"/>
    <cellStyle name="Normal 2 2 2 4 2 7 3" xfId="20294" xr:uid="{00000000-0005-0000-0000-0000214F0000}"/>
    <cellStyle name="Normal 2 2 2 4 2 7 3 10" xfId="20295" xr:uid="{00000000-0005-0000-0000-0000224F0000}"/>
    <cellStyle name="Normal 2 2 2 4 2 7 3 2" xfId="20296" xr:uid="{00000000-0005-0000-0000-0000234F0000}"/>
    <cellStyle name="Normal 2 2 2 4 2 7 3 3" xfId="20297" xr:uid="{00000000-0005-0000-0000-0000244F0000}"/>
    <cellStyle name="Normal 2 2 2 4 2 7 3 4" xfId="20298" xr:uid="{00000000-0005-0000-0000-0000254F0000}"/>
    <cellStyle name="Normal 2 2 2 4 2 7 3 5" xfId="20299" xr:uid="{00000000-0005-0000-0000-0000264F0000}"/>
    <cellStyle name="Normal 2 2 2 4 2 7 3 6" xfId="20300" xr:uid="{00000000-0005-0000-0000-0000274F0000}"/>
    <cellStyle name="Normal 2 2 2 4 2 7 3 7" xfId="20301" xr:uid="{00000000-0005-0000-0000-0000284F0000}"/>
    <cellStyle name="Normal 2 2 2 4 2 7 3 8" xfId="20302" xr:uid="{00000000-0005-0000-0000-0000294F0000}"/>
    <cellStyle name="Normal 2 2 2 4 2 7 3 9" xfId="20303" xr:uid="{00000000-0005-0000-0000-00002A4F0000}"/>
    <cellStyle name="Normal 2 2 2 4 2 7 4" xfId="20304" xr:uid="{00000000-0005-0000-0000-00002B4F0000}"/>
    <cellStyle name="Normal 2 2 2 4 2 7 4 10" xfId="20305" xr:uid="{00000000-0005-0000-0000-00002C4F0000}"/>
    <cellStyle name="Normal 2 2 2 4 2 7 4 2" xfId="20306" xr:uid="{00000000-0005-0000-0000-00002D4F0000}"/>
    <cellStyle name="Normal 2 2 2 4 2 7 4 3" xfId="20307" xr:uid="{00000000-0005-0000-0000-00002E4F0000}"/>
    <cellStyle name="Normal 2 2 2 4 2 7 4 4" xfId="20308" xr:uid="{00000000-0005-0000-0000-00002F4F0000}"/>
    <cellStyle name="Normal 2 2 2 4 2 7 4 5" xfId="20309" xr:uid="{00000000-0005-0000-0000-0000304F0000}"/>
    <cellStyle name="Normal 2 2 2 4 2 7 4 6" xfId="20310" xr:uid="{00000000-0005-0000-0000-0000314F0000}"/>
    <cellStyle name="Normal 2 2 2 4 2 7 4 7" xfId="20311" xr:uid="{00000000-0005-0000-0000-0000324F0000}"/>
    <cellStyle name="Normal 2 2 2 4 2 7 4 8" xfId="20312" xr:uid="{00000000-0005-0000-0000-0000334F0000}"/>
    <cellStyle name="Normal 2 2 2 4 2 7 4 9" xfId="20313" xr:uid="{00000000-0005-0000-0000-0000344F0000}"/>
    <cellStyle name="Normal 2 2 2 4 2 7 5" xfId="20314" xr:uid="{00000000-0005-0000-0000-0000354F0000}"/>
    <cellStyle name="Normal 2 2 2 4 2 7 5 10" xfId="20315" xr:uid="{00000000-0005-0000-0000-0000364F0000}"/>
    <cellStyle name="Normal 2 2 2 4 2 7 5 2" xfId="20316" xr:uid="{00000000-0005-0000-0000-0000374F0000}"/>
    <cellStyle name="Normal 2 2 2 4 2 7 5 3" xfId="20317" xr:uid="{00000000-0005-0000-0000-0000384F0000}"/>
    <cellStyle name="Normal 2 2 2 4 2 7 5 4" xfId="20318" xr:uid="{00000000-0005-0000-0000-0000394F0000}"/>
    <cellStyle name="Normal 2 2 2 4 2 7 5 5" xfId="20319" xr:uid="{00000000-0005-0000-0000-00003A4F0000}"/>
    <cellStyle name="Normal 2 2 2 4 2 7 5 6" xfId="20320" xr:uid="{00000000-0005-0000-0000-00003B4F0000}"/>
    <cellStyle name="Normal 2 2 2 4 2 7 5 7" xfId="20321" xr:uid="{00000000-0005-0000-0000-00003C4F0000}"/>
    <cellStyle name="Normal 2 2 2 4 2 7 5 8" xfId="20322" xr:uid="{00000000-0005-0000-0000-00003D4F0000}"/>
    <cellStyle name="Normal 2 2 2 4 2 7 5 9" xfId="20323" xr:uid="{00000000-0005-0000-0000-00003E4F0000}"/>
    <cellStyle name="Normal 2 2 2 4 2 7 6" xfId="20324" xr:uid="{00000000-0005-0000-0000-00003F4F0000}"/>
    <cellStyle name="Normal 2 2 2 4 2 7 7" xfId="20325" xr:uid="{00000000-0005-0000-0000-0000404F0000}"/>
    <cellStyle name="Normal 2 2 2 4 2 7 8" xfId="20326" xr:uid="{00000000-0005-0000-0000-0000414F0000}"/>
    <cellStyle name="Normal 2 2 2 4 2 7 9" xfId="20327" xr:uid="{00000000-0005-0000-0000-0000424F0000}"/>
    <cellStyle name="Normal 2 2 2 4 2 8" xfId="20328" xr:uid="{00000000-0005-0000-0000-0000434F0000}"/>
    <cellStyle name="Normal 2 2 2 4 2 8 10" xfId="20329" xr:uid="{00000000-0005-0000-0000-0000444F0000}"/>
    <cellStyle name="Normal 2 2 2 4 2 8 11" xfId="20330" xr:uid="{00000000-0005-0000-0000-0000454F0000}"/>
    <cellStyle name="Normal 2 2 2 4 2 8 12" xfId="20331" xr:uid="{00000000-0005-0000-0000-0000464F0000}"/>
    <cellStyle name="Normal 2 2 2 4 2 8 13" xfId="20332" xr:uid="{00000000-0005-0000-0000-0000474F0000}"/>
    <cellStyle name="Normal 2 2 2 4 2 8 14" xfId="20333" xr:uid="{00000000-0005-0000-0000-0000484F0000}"/>
    <cellStyle name="Normal 2 2 2 4 2 8 2" xfId="20334" xr:uid="{00000000-0005-0000-0000-0000494F0000}"/>
    <cellStyle name="Normal 2 2 2 4 2 8 2 10" xfId="20335" xr:uid="{00000000-0005-0000-0000-00004A4F0000}"/>
    <cellStyle name="Normal 2 2 2 4 2 8 2 2" xfId="20336" xr:uid="{00000000-0005-0000-0000-00004B4F0000}"/>
    <cellStyle name="Normal 2 2 2 4 2 8 2 3" xfId="20337" xr:uid="{00000000-0005-0000-0000-00004C4F0000}"/>
    <cellStyle name="Normal 2 2 2 4 2 8 2 4" xfId="20338" xr:uid="{00000000-0005-0000-0000-00004D4F0000}"/>
    <cellStyle name="Normal 2 2 2 4 2 8 2 5" xfId="20339" xr:uid="{00000000-0005-0000-0000-00004E4F0000}"/>
    <cellStyle name="Normal 2 2 2 4 2 8 2 6" xfId="20340" xr:uid="{00000000-0005-0000-0000-00004F4F0000}"/>
    <cellStyle name="Normal 2 2 2 4 2 8 2 7" xfId="20341" xr:uid="{00000000-0005-0000-0000-0000504F0000}"/>
    <cellStyle name="Normal 2 2 2 4 2 8 2 8" xfId="20342" xr:uid="{00000000-0005-0000-0000-0000514F0000}"/>
    <cellStyle name="Normal 2 2 2 4 2 8 2 9" xfId="20343" xr:uid="{00000000-0005-0000-0000-0000524F0000}"/>
    <cellStyle name="Normal 2 2 2 4 2 8 3" xfId="20344" xr:uid="{00000000-0005-0000-0000-0000534F0000}"/>
    <cellStyle name="Normal 2 2 2 4 2 8 3 10" xfId="20345" xr:uid="{00000000-0005-0000-0000-0000544F0000}"/>
    <cellStyle name="Normal 2 2 2 4 2 8 3 2" xfId="20346" xr:uid="{00000000-0005-0000-0000-0000554F0000}"/>
    <cellStyle name="Normal 2 2 2 4 2 8 3 3" xfId="20347" xr:uid="{00000000-0005-0000-0000-0000564F0000}"/>
    <cellStyle name="Normal 2 2 2 4 2 8 3 4" xfId="20348" xr:uid="{00000000-0005-0000-0000-0000574F0000}"/>
    <cellStyle name="Normal 2 2 2 4 2 8 3 5" xfId="20349" xr:uid="{00000000-0005-0000-0000-0000584F0000}"/>
    <cellStyle name="Normal 2 2 2 4 2 8 3 6" xfId="20350" xr:uid="{00000000-0005-0000-0000-0000594F0000}"/>
    <cellStyle name="Normal 2 2 2 4 2 8 3 7" xfId="20351" xr:uid="{00000000-0005-0000-0000-00005A4F0000}"/>
    <cellStyle name="Normal 2 2 2 4 2 8 3 8" xfId="20352" xr:uid="{00000000-0005-0000-0000-00005B4F0000}"/>
    <cellStyle name="Normal 2 2 2 4 2 8 3 9" xfId="20353" xr:uid="{00000000-0005-0000-0000-00005C4F0000}"/>
    <cellStyle name="Normal 2 2 2 4 2 8 4" xfId="20354" xr:uid="{00000000-0005-0000-0000-00005D4F0000}"/>
    <cellStyle name="Normal 2 2 2 4 2 8 4 10" xfId="20355" xr:uid="{00000000-0005-0000-0000-00005E4F0000}"/>
    <cellStyle name="Normal 2 2 2 4 2 8 4 2" xfId="20356" xr:uid="{00000000-0005-0000-0000-00005F4F0000}"/>
    <cellStyle name="Normal 2 2 2 4 2 8 4 3" xfId="20357" xr:uid="{00000000-0005-0000-0000-0000604F0000}"/>
    <cellStyle name="Normal 2 2 2 4 2 8 4 4" xfId="20358" xr:uid="{00000000-0005-0000-0000-0000614F0000}"/>
    <cellStyle name="Normal 2 2 2 4 2 8 4 5" xfId="20359" xr:uid="{00000000-0005-0000-0000-0000624F0000}"/>
    <cellStyle name="Normal 2 2 2 4 2 8 4 6" xfId="20360" xr:uid="{00000000-0005-0000-0000-0000634F0000}"/>
    <cellStyle name="Normal 2 2 2 4 2 8 4 7" xfId="20361" xr:uid="{00000000-0005-0000-0000-0000644F0000}"/>
    <cellStyle name="Normal 2 2 2 4 2 8 4 8" xfId="20362" xr:uid="{00000000-0005-0000-0000-0000654F0000}"/>
    <cellStyle name="Normal 2 2 2 4 2 8 4 9" xfId="20363" xr:uid="{00000000-0005-0000-0000-0000664F0000}"/>
    <cellStyle name="Normal 2 2 2 4 2 8 5" xfId="20364" xr:uid="{00000000-0005-0000-0000-0000674F0000}"/>
    <cellStyle name="Normal 2 2 2 4 2 8 5 10" xfId="20365" xr:uid="{00000000-0005-0000-0000-0000684F0000}"/>
    <cellStyle name="Normal 2 2 2 4 2 8 5 2" xfId="20366" xr:uid="{00000000-0005-0000-0000-0000694F0000}"/>
    <cellStyle name="Normal 2 2 2 4 2 8 5 3" xfId="20367" xr:uid="{00000000-0005-0000-0000-00006A4F0000}"/>
    <cellStyle name="Normal 2 2 2 4 2 8 5 4" xfId="20368" xr:uid="{00000000-0005-0000-0000-00006B4F0000}"/>
    <cellStyle name="Normal 2 2 2 4 2 8 5 5" xfId="20369" xr:uid="{00000000-0005-0000-0000-00006C4F0000}"/>
    <cellStyle name="Normal 2 2 2 4 2 8 5 6" xfId="20370" xr:uid="{00000000-0005-0000-0000-00006D4F0000}"/>
    <cellStyle name="Normal 2 2 2 4 2 8 5 7" xfId="20371" xr:uid="{00000000-0005-0000-0000-00006E4F0000}"/>
    <cellStyle name="Normal 2 2 2 4 2 8 5 8" xfId="20372" xr:uid="{00000000-0005-0000-0000-00006F4F0000}"/>
    <cellStyle name="Normal 2 2 2 4 2 8 5 9" xfId="20373" xr:uid="{00000000-0005-0000-0000-0000704F0000}"/>
    <cellStyle name="Normal 2 2 2 4 2 8 6" xfId="20374" xr:uid="{00000000-0005-0000-0000-0000714F0000}"/>
    <cellStyle name="Normal 2 2 2 4 2 8 7" xfId="20375" xr:uid="{00000000-0005-0000-0000-0000724F0000}"/>
    <cellStyle name="Normal 2 2 2 4 2 8 8" xfId="20376" xr:uid="{00000000-0005-0000-0000-0000734F0000}"/>
    <cellStyle name="Normal 2 2 2 4 2 8 9" xfId="20377" xr:uid="{00000000-0005-0000-0000-0000744F0000}"/>
    <cellStyle name="Normal 2 2 2 4 2 9" xfId="20378" xr:uid="{00000000-0005-0000-0000-0000754F0000}"/>
    <cellStyle name="Normal 2 2 2 4 2 9 10" xfId="20379" xr:uid="{00000000-0005-0000-0000-0000764F0000}"/>
    <cellStyle name="Normal 2 2 2 4 2 9 11" xfId="20380" xr:uid="{00000000-0005-0000-0000-0000774F0000}"/>
    <cellStyle name="Normal 2 2 2 4 2 9 12" xfId="20381" xr:uid="{00000000-0005-0000-0000-0000784F0000}"/>
    <cellStyle name="Normal 2 2 2 4 2 9 13" xfId="20382" xr:uid="{00000000-0005-0000-0000-0000794F0000}"/>
    <cellStyle name="Normal 2 2 2 4 2 9 14" xfId="20383" xr:uid="{00000000-0005-0000-0000-00007A4F0000}"/>
    <cellStyle name="Normal 2 2 2 4 2 9 2" xfId="20384" xr:uid="{00000000-0005-0000-0000-00007B4F0000}"/>
    <cellStyle name="Normal 2 2 2 4 2 9 2 10" xfId="20385" xr:uid="{00000000-0005-0000-0000-00007C4F0000}"/>
    <cellStyle name="Normal 2 2 2 4 2 9 2 2" xfId="20386" xr:uid="{00000000-0005-0000-0000-00007D4F0000}"/>
    <cellStyle name="Normal 2 2 2 4 2 9 2 3" xfId="20387" xr:uid="{00000000-0005-0000-0000-00007E4F0000}"/>
    <cellStyle name="Normal 2 2 2 4 2 9 2 4" xfId="20388" xr:uid="{00000000-0005-0000-0000-00007F4F0000}"/>
    <cellStyle name="Normal 2 2 2 4 2 9 2 5" xfId="20389" xr:uid="{00000000-0005-0000-0000-0000804F0000}"/>
    <cellStyle name="Normal 2 2 2 4 2 9 2 6" xfId="20390" xr:uid="{00000000-0005-0000-0000-0000814F0000}"/>
    <cellStyle name="Normal 2 2 2 4 2 9 2 7" xfId="20391" xr:uid="{00000000-0005-0000-0000-0000824F0000}"/>
    <cellStyle name="Normal 2 2 2 4 2 9 2 8" xfId="20392" xr:uid="{00000000-0005-0000-0000-0000834F0000}"/>
    <cellStyle name="Normal 2 2 2 4 2 9 2 9" xfId="20393" xr:uid="{00000000-0005-0000-0000-0000844F0000}"/>
    <cellStyle name="Normal 2 2 2 4 2 9 3" xfId="20394" xr:uid="{00000000-0005-0000-0000-0000854F0000}"/>
    <cellStyle name="Normal 2 2 2 4 2 9 3 10" xfId="20395" xr:uid="{00000000-0005-0000-0000-0000864F0000}"/>
    <cellStyle name="Normal 2 2 2 4 2 9 3 2" xfId="20396" xr:uid="{00000000-0005-0000-0000-0000874F0000}"/>
    <cellStyle name="Normal 2 2 2 4 2 9 3 3" xfId="20397" xr:uid="{00000000-0005-0000-0000-0000884F0000}"/>
    <cellStyle name="Normal 2 2 2 4 2 9 3 4" xfId="20398" xr:uid="{00000000-0005-0000-0000-0000894F0000}"/>
    <cellStyle name="Normal 2 2 2 4 2 9 3 5" xfId="20399" xr:uid="{00000000-0005-0000-0000-00008A4F0000}"/>
    <cellStyle name="Normal 2 2 2 4 2 9 3 6" xfId="20400" xr:uid="{00000000-0005-0000-0000-00008B4F0000}"/>
    <cellStyle name="Normal 2 2 2 4 2 9 3 7" xfId="20401" xr:uid="{00000000-0005-0000-0000-00008C4F0000}"/>
    <cellStyle name="Normal 2 2 2 4 2 9 3 8" xfId="20402" xr:uid="{00000000-0005-0000-0000-00008D4F0000}"/>
    <cellStyle name="Normal 2 2 2 4 2 9 3 9" xfId="20403" xr:uid="{00000000-0005-0000-0000-00008E4F0000}"/>
    <cellStyle name="Normal 2 2 2 4 2 9 4" xfId="20404" xr:uid="{00000000-0005-0000-0000-00008F4F0000}"/>
    <cellStyle name="Normal 2 2 2 4 2 9 4 10" xfId="20405" xr:uid="{00000000-0005-0000-0000-0000904F0000}"/>
    <cellStyle name="Normal 2 2 2 4 2 9 4 2" xfId="20406" xr:uid="{00000000-0005-0000-0000-0000914F0000}"/>
    <cellStyle name="Normal 2 2 2 4 2 9 4 3" xfId="20407" xr:uid="{00000000-0005-0000-0000-0000924F0000}"/>
    <cellStyle name="Normal 2 2 2 4 2 9 4 4" xfId="20408" xr:uid="{00000000-0005-0000-0000-0000934F0000}"/>
    <cellStyle name="Normal 2 2 2 4 2 9 4 5" xfId="20409" xr:uid="{00000000-0005-0000-0000-0000944F0000}"/>
    <cellStyle name="Normal 2 2 2 4 2 9 4 6" xfId="20410" xr:uid="{00000000-0005-0000-0000-0000954F0000}"/>
    <cellStyle name="Normal 2 2 2 4 2 9 4 7" xfId="20411" xr:uid="{00000000-0005-0000-0000-0000964F0000}"/>
    <cellStyle name="Normal 2 2 2 4 2 9 4 8" xfId="20412" xr:uid="{00000000-0005-0000-0000-0000974F0000}"/>
    <cellStyle name="Normal 2 2 2 4 2 9 4 9" xfId="20413" xr:uid="{00000000-0005-0000-0000-0000984F0000}"/>
    <cellStyle name="Normal 2 2 2 4 2 9 5" xfId="20414" xr:uid="{00000000-0005-0000-0000-0000994F0000}"/>
    <cellStyle name="Normal 2 2 2 4 2 9 5 10" xfId="20415" xr:uid="{00000000-0005-0000-0000-00009A4F0000}"/>
    <cellStyle name="Normal 2 2 2 4 2 9 5 2" xfId="20416" xr:uid="{00000000-0005-0000-0000-00009B4F0000}"/>
    <cellStyle name="Normal 2 2 2 4 2 9 5 3" xfId="20417" xr:uid="{00000000-0005-0000-0000-00009C4F0000}"/>
    <cellStyle name="Normal 2 2 2 4 2 9 5 4" xfId="20418" xr:uid="{00000000-0005-0000-0000-00009D4F0000}"/>
    <cellStyle name="Normal 2 2 2 4 2 9 5 5" xfId="20419" xr:uid="{00000000-0005-0000-0000-00009E4F0000}"/>
    <cellStyle name="Normal 2 2 2 4 2 9 5 6" xfId="20420" xr:uid="{00000000-0005-0000-0000-00009F4F0000}"/>
    <cellStyle name="Normal 2 2 2 4 2 9 5 7" xfId="20421" xr:uid="{00000000-0005-0000-0000-0000A04F0000}"/>
    <cellStyle name="Normal 2 2 2 4 2 9 5 8" xfId="20422" xr:uid="{00000000-0005-0000-0000-0000A14F0000}"/>
    <cellStyle name="Normal 2 2 2 4 2 9 5 9" xfId="20423" xr:uid="{00000000-0005-0000-0000-0000A24F0000}"/>
    <cellStyle name="Normal 2 2 2 4 2 9 6" xfId="20424" xr:uid="{00000000-0005-0000-0000-0000A34F0000}"/>
    <cellStyle name="Normal 2 2 2 4 2 9 7" xfId="20425" xr:uid="{00000000-0005-0000-0000-0000A44F0000}"/>
    <cellStyle name="Normal 2 2 2 4 2 9 8" xfId="20426" xr:uid="{00000000-0005-0000-0000-0000A54F0000}"/>
    <cellStyle name="Normal 2 2 2 4 2 9 9" xfId="20427" xr:uid="{00000000-0005-0000-0000-0000A64F0000}"/>
    <cellStyle name="Normal 2 2 2 4 20" xfId="20428" xr:uid="{00000000-0005-0000-0000-0000A74F0000}"/>
    <cellStyle name="Normal 2 2 2 4 21" xfId="20429" xr:uid="{00000000-0005-0000-0000-0000A84F0000}"/>
    <cellStyle name="Normal 2 2 2 4 22" xfId="20430" xr:uid="{00000000-0005-0000-0000-0000A94F0000}"/>
    <cellStyle name="Normal 2 2 2 4 23" xfId="20431" xr:uid="{00000000-0005-0000-0000-0000AA4F0000}"/>
    <cellStyle name="Normal 2 2 2 4 24" xfId="20432" xr:uid="{00000000-0005-0000-0000-0000AB4F0000}"/>
    <cellStyle name="Normal 2 2 2 4 25" xfId="20433" xr:uid="{00000000-0005-0000-0000-0000AC4F0000}"/>
    <cellStyle name="Normal 2 2 2 4 26" xfId="20434" xr:uid="{00000000-0005-0000-0000-0000AD4F0000}"/>
    <cellStyle name="Normal 2 2 2 4 27" xfId="20435" xr:uid="{00000000-0005-0000-0000-0000AE4F0000}"/>
    <cellStyle name="Normal 2 2 2 4 28" xfId="20436" xr:uid="{00000000-0005-0000-0000-0000AF4F0000}"/>
    <cellStyle name="Normal 2 2 2 4 29" xfId="20437" xr:uid="{00000000-0005-0000-0000-0000B04F0000}"/>
    <cellStyle name="Normal 2 2 2 4 3" xfId="20438" xr:uid="{00000000-0005-0000-0000-0000B14F0000}"/>
    <cellStyle name="Normal 2 2 2 4 3 2" xfId="20439" xr:uid="{00000000-0005-0000-0000-0000B24F0000}"/>
    <cellStyle name="Normal 2 2 2 4 3 3" xfId="20440" xr:uid="{00000000-0005-0000-0000-0000B34F0000}"/>
    <cellStyle name="Normal 2 2 2 4 30" xfId="20441" xr:uid="{00000000-0005-0000-0000-0000B44F0000}"/>
    <cellStyle name="Normal 2 2 2 4 31" xfId="20442" xr:uid="{00000000-0005-0000-0000-0000B54F0000}"/>
    <cellStyle name="Normal 2 2 2 4 32" xfId="20443" xr:uid="{00000000-0005-0000-0000-0000B64F0000}"/>
    <cellStyle name="Normal 2 2 2 4 33" xfId="20444" xr:uid="{00000000-0005-0000-0000-0000B74F0000}"/>
    <cellStyle name="Normal 2 2 2 4 34" xfId="20445" xr:uid="{00000000-0005-0000-0000-0000B84F0000}"/>
    <cellStyle name="Normal 2 2 2 4 34 10" xfId="20446" xr:uid="{00000000-0005-0000-0000-0000B94F0000}"/>
    <cellStyle name="Normal 2 2 2 4 34 2" xfId="20447" xr:uid="{00000000-0005-0000-0000-0000BA4F0000}"/>
    <cellStyle name="Normal 2 2 2 4 34 3" xfId="20448" xr:uid="{00000000-0005-0000-0000-0000BB4F0000}"/>
    <cellStyle name="Normal 2 2 2 4 34 4" xfId="20449" xr:uid="{00000000-0005-0000-0000-0000BC4F0000}"/>
    <cellStyle name="Normal 2 2 2 4 34 5" xfId="20450" xr:uid="{00000000-0005-0000-0000-0000BD4F0000}"/>
    <cellStyle name="Normal 2 2 2 4 34 6" xfId="20451" xr:uid="{00000000-0005-0000-0000-0000BE4F0000}"/>
    <cellStyle name="Normal 2 2 2 4 34 7" xfId="20452" xr:uid="{00000000-0005-0000-0000-0000BF4F0000}"/>
    <cellStyle name="Normal 2 2 2 4 34 8" xfId="20453" xr:uid="{00000000-0005-0000-0000-0000C04F0000}"/>
    <cellStyle name="Normal 2 2 2 4 34 9" xfId="20454" xr:uid="{00000000-0005-0000-0000-0000C14F0000}"/>
    <cellStyle name="Normal 2 2 2 4 35" xfId="20455" xr:uid="{00000000-0005-0000-0000-0000C24F0000}"/>
    <cellStyle name="Normal 2 2 2 4 35 10" xfId="20456" xr:uid="{00000000-0005-0000-0000-0000C34F0000}"/>
    <cellStyle name="Normal 2 2 2 4 35 2" xfId="20457" xr:uid="{00000000-0005-0000-0000-0000C44F0000}"/>
    <cellStyle name="Normal 2 2 2 4 35 3" xfId="20458" xr:uid="{00000000-0005-0000-0000-0000C54F0000}"/>
    <cellStyle name="Normal 2 2 2 4 35 4" xfId="20459" xr:uid="{00000000-0005-0000-0000-0000C64F0000}"/>
    <cellStyle name="Normal 2 2 2 4 35 5" xfId="20460" xr:uid="{00000000-0005-0000-0000-0000C74F0000}"/>
    <cellStyle name="Normal 2 2 2 4 35 6" xfId="20461" xr:uid="{00000000-0005-0000-0000-0000C84F0000}"/>
    <cellStyle name="Normal 2 2 2 4 35 7" xfId="20462" xr:uid="{00000000-0005-0000-0000-0000C94F0000}"/>
    <cellStyle name="Normal 2 2 2 4 35 8" xfId="20463" xr:uid="{00000000-0005-0000-0000-0000CA4F0000}"/>
    <cellStyle name="Normal 2 2 2 4 35 9" xfId="20464" xr:uid="{00000000-0005-0000-0000-0000CB4F0000}"/>
    <cellStyle name="Normal 2 2 2 4 36" xfId="20465" xr:uid="{00000000-0005-0000-0000-0000CC4F0000}"/>
    <cellStyle name="Normal 2 2 2 4 36 10" xfId="20466" xr:uid="{00000000-0005-0000-0000-0000CD4F0000}"/>
    <cellStyle name="Normal 2 2 2 4 36 2" xfId="20467" xr:uid="{00000000-0005-0000-0000-0000CE4F0000}"/>
    <cellStyle name="Normal 2 2 2 4 36 3" xfId="20468" xr:uid="{00000000-0005-0000-0000-0000CF4F0000}"/>
    <cellStyle name="Normal 2 2 2 4 36 4" xfId="20469" xr:uid="{00000000-0005-0000-0000-0000D04F0000}"/>
    <cellStyle name="Normal 2 2 2 4 36 5" xfId="20470" xr:uid="{00000000-0005-0000-0000-0000D14F0000}"/>
    <cellStyle name="Normal 2 2 2 4 36 6" xfId="20471" xr:uid="{00000000-0005-0000-0000-0000D24F0000}"/>
    <cellStyle name="Normal 2 2 2 4 36 7" xfId="20472" xr:uid="{00000000-0005-0000-0000-0000D34F0000}"/>
    <cellStyle name="Normal 2 2 2 4 36 8" xfId="20473" xr:uid="{00000000-0005-0000-0000-0000D44F0000}"/>
    <cellStyle name="Normal 2 2 2 4 36 9" xfId="20474" xr:uid="{00000000-0005-0000-0000-0000D54F0000}"/>
    <cellStyle name="Normal 2 2 2 4 37" xfId="20475" xr:uid="{00000000-0005-0000-0000-0000D64F0000}"/>
    <cellStyle name="Normal 2 2 2 4 37 10" xfId="20476" xr:uid="{00000000-0005-0000-0000-0000D74F0000}"/>
    <cellStyle name="Normal 2 2 2 4 37 2" xfId="20477" xr:uid="{00000000-0005-0000-0000-0000D84F0000}"/>
    <cellStyle name="Normal 2 2 2 4 37 3" xfId="20478" xr:uid="{00000000-0005-0000-0000-0000D94F0000}"/>
    <cellStyle name="Normal 2 2 2 4 37 4" xfId="20479" xr:uid="{00000000-0005-0000-0000-0000DA4F0000}"/>
    <cellStyle name="Normal 2 2 2 4 37 5" xfId="20480" xr:uid="{00000000-0005-0000-0000-0000DB4F0000}"/>
    <cellStyle name="Normal 2 2 2 4 37 6" xfId="20481" xr:uid="{00000000-0005-0000-0000-0000DC4F0000}"/>
    <cellStyle name="Normal 2 2 2 4 37 7" xfId="20482" xr:uid="{00000000-0005-0000-0000-0000DD4F0000}"/>
    <cellStyle name="Normal 2 2 2 4 37 8" xfId="20483" xr:uid="{00000000-0005-0000-0000-0000DE4F0000}"/>
    <cellStyle name="Normal 2 2 2 4 37 9" xfId="20484" xr:uid="{00000000-0005-0000-0000-0000DF4F0000}"/>
    <cellStyle name="Normal 2 2 2 4 38" xfId="20485" xr:uid="{00000000-0005-0000-0000-0000E04F0000}"/>
    <cellStyle name="Normal 2 2 2 4 39" xfId="20486" xr:uid="{00000000-0005-0000-0000-0000E14F0000}"/>
    <cellStyle name="Normal 2 2 2 4 4" xfId="20487" xr:uid="{00000000-0005-0000-0000-0000E24F0000}"/>
    <cellStyle name="Normal 2 2 2 4 40" xfId="20488" xr:uid="{00000000-0005-0000-0000-0000E34F0000}"/>
    <cellStyle name="Normal 2 2 2 4 41" xfId="20489" xr:uid="{00000000-0005-0000-0000-0000E44F0000}"/>
    <cellStyle name="Normal 2 2 2 4 42" xfId="20490" xr:uid="{00000000-0005-0000-0000-0000E54F0000}"/>
    <cellStyle name="Normal 2 2 2 4 43" xfId="20491" xr:uid="{00000000-0005-0000-0000-0000E64F0000}"/>
    <cellStyle name="Normal 2 2 2 4 44" xfId="20492" xr:uid="{00000000-0005-0000-0000-0000E74F0000}"/>
    <cellStyle name="Normal 2 2 2 4 45" xfId="20493" xr:uid="{00000000-0005-0000-0000-0000E84F0000}"/>
    <cellStyle name="Normal 2 2 2 4 46" xfId="20494" xr:uid="{00000000-0005-0000-0000-0000E94F0000}"/>
    <cellStyle name="Normal 2 2 2 4 47" xfId="20495" xr:uid="{00000000-0005-0000-0000-0000EA4F0000}"/>
    <cellStyle name="Normal 2 2 2 4 48" xfId="20496" xr:uid="{00000000-0005-0000-0000-0000EB4F0000}"/>
    <cellStyle name="Normal 2 2 2 4 5" xfId="20497" xr:uid="{00000000-0005-0000-0000-0000EC4F0000}"/>
    <cellStyle name="Normal 2 2 2 4 6" xfId="20498" xr:uid="{00000000-0005-0000-0000-0000ED4F0000}"/>
    <cellStyle name="Normal 2 2 2 4 7" xfId="20499" xr:uid="{00000000-0005-0000-0000-0000EE4F0000}"/>
    <cellStyle name="Normal 2 2 2 4 8" xfId="20500" xr:uid="{00000000-0005-0000-0000-0000EF4F0000}"/>
    <cellStyle name="Normal 2 2 2 4 9" xfId="20501" xr:uid="{00000000-0005-0000-0000-0000F04F0000}"/>
    <cellStyle name="Normal 2 2 2 40" xfId="20502" xr:uid="{00000000-0005-0000-0000-0000F14F0000}"/>
    <cellStyle name="Normal 2 2 2 40 10" xfId="20503" xr:uid="{00000000-0005-0000-0000-0000F24F0000}"/>
    <cellStyle name="Normal 2 2 2 40 2" xfId="20504" xr:uid="{00000000-0005-0000-0000-0000F34F0000}"/>
    <cellStyle name="Normal 2 2 2 40 3" xfId="20505" xr:uid="{00000000-0005-0000-0000-0000F44F0000}"/>
    <cellStyle name="Normal 2 2 2 40 4" xfId="20506" xr:uid="{00000000-0005-0000-0000-0000F54F0000}"/>
    <cellStyle name="Normal 2 2 2 40 5" xfId="20507" xr:uid="{00000000-0005-0000-0000-0000F64F0000}"/>
    <cellStyle name="Normal 2 2 2 40 6" xfId="20508" xr:uid="{00000000-0005-0000-0000-0000F74F0000}"/>
    <cellStyle name="Normal 2 2 2 40 7" xfId="20509" xr:uid="{00000000-0005-0000-0000-0000F84F0000}"/>
    <cellStyle name="Normal 2 2 2 40 8" xfId="20510" xr:uid="{00000000-0005-0000-0000-0000F94F0000}"/>
    <cellStyle name="Normal 2 2 2 40 9" xfId="20511" xr:uid="{00000000-0005-0000-0000-0000FA4F0000}"/>
    <cellStyle name="Normal 2 2 2 41" xfId="20512" xr:uid="{00000000-0005-0000-0000-0000FB4F0000}"/>
    <cellStyle name="Normal 2 2 2 42" xfId="20513" xr:uid="{00000000-0005-0000-0000-0000FC4F0000}"/>
    <cellStyle name="Normal 2 2 2 43" xfId="20514" xr:uid="{00000000-0005-0000-0000-0000FD4F0000}"/>
    <cellStyle name="Normal 2 2 2 44" xfId="20515" xr:uid="{00000000-0005-0000-0000-0000FE4F0000}"/>
    <cellStyle name="Normal 2 2 2 45" xfId="20516" xr:uid="{00000000-0005-0000-0000-0000FF4F0000}"/>
    <cellStyle name="Normal 2 2 2 46" xfId="20517" xr:uid="{00000000-0005-0000-0000-000000500000}"/>
    <cellStyle name="Normal 2 2 2 47" xfId="20518" xr:uid="{00000000-0005-0000-0000-000001500000}"/>
    <cellStyle name="Normal 2 2 2 48" xfId="20519" xr:uid="{00000000-0005-0000-0000-000002500000}"/>
    <cellStyle name="Normal 2 2 2 49" xfId="20520" xr:uid="{00000000-0005-0000-0000-000003500000}"/>
    <cellStyle name="Normal 2 2 2 5" xfId="20521" xr:uid="{00000000-0005-0000-0000-000004500000}"/>
    <cellStyle name="Normal 2 2 2 5 10" xfId="20522" xr:uid="{00000000-0005-0000-0000-000005500000}"/>
    <cellStyle name="Normal 2 2 2 5 11" xfId="20523" xr:uid="{00000000-0005-0000-0000-000006500000}"/>
    <cellStyle name="Normal 2 2 2 5 12" xfId="20524" xr:uid="{00000000-0005-0000-0000-000007500000}"/>
    <cellStyle name="Normal 2 2 2 5 13" xfId="20525" xr:uid="{00000000-0005-0000-0000-000008500000}"/>
    <cellStyle name="Normal 2 2 2 5 14" xfId="20526" xr:uid="{00000000-0005-0000-0000-000009500000}"/>
    <cellStyle name="Normal 2 2 2 5 15" xfId="20527" xr:uid="{00000000-0005-0000-0000-00000A500000}"/>
    <cellStyle name="Normal 2 2 2 5 16" xfId="20528" xr:uid="{00000000-0005-0000-0000-00000B500000}"/>
    <cellStyle name="Normal 2 2 2 5 17" xfId="20529" xr:uid="{00000000-0005-0000-0000-00000C500000}"/>
    <cellStyle name="Normal 2 2 2 5 18" xfId="20530" xr:uid="{00000000-0005-0000-0000-00000D500000}"/>
    <cellStyle name="Normal 2 2 2 5 19" xfId="20531" xr:uid="{00000000-0005-0000-0000-00000E500000}"/>
    <cellStyle name="Normal 2 2 2 5 2" xfId="20532" xr:uid="{00000000-0005-0000-0000-00000F500000}"/>
    <cellStyle name="Normal 2 2 2 5 2 10" xfId="20533" xr:uid="{00000000-0005-0000-0000-000010500000}"/>
    <cellStyle name="Normal 2 2 2 5 2 10 10" xfId="20534" xr:uid="{00000000-0005-0000-0000-000011500000}"/>
    <cellStyle name="Normal 2 2 2 5 2 10 11" xfId="20535" xr:uid="{00000000-0005-0000-0000-000012500000}"/>
    <cellStyle name="Normal 2 2 2 5 2 10 12" xfId="20536" xr:uid="{00000000-0005-0000-0000-000013500000}"/>
    <cellStyle name="Normal 2 2 2 5 2 10 13" xfId="20537" xr:uid="{00000000-0005-0000-0000-000014500000}"/>
    <cellStyle name="Normal 2 2 2 5 2 10 14" xfId="20538" xr:uid="{00000000-0005-0000-0000-000015500000}"/>
    <cellStyle name="Normal 2 2 2 5 2 10 2" xfId="20539" xr:uid="{00000000-0005-0000-0000-000016500000}"/>
    <cellStyle name="Normal 2 2 2 5 2 10 2 10" xfId="20540" xr:uid="{00000000-0005-0000-0000-000017500000}"/>
    <cellStyle name="Normal 2 2 2 5 2 10 2 2" xfId="20541" xr:uid="{00000000-0005-0000-0000-000018500000}"/>
    <cellStyle name="Normal 2 2 2 5 2 10 2 3" xfId="20542" xr:uid="{00000000-0005-0000-0000-000019500000}"/>
    <cellStyle name="Normal 2 2 2 5 2 10 2 4" xfId="20543" xr:uid="{00000000-0005-0000-0000-00001A500000}"/>
    <cellStyle name="Normal 2 2 2 5 2 10 2 5" xfId="20544" xr:uid="{00000000-0005-0000-0000-00001B500000}"/>
    <cellStyle name="Normal 2 2 2 5 2 10 2 6" xfId="20545" xr:uid="{00000000-0005-0000-0000-00001C500000}"/>
    <cellStyle name="Normal 2 2 2 5 2 10 2 7" xfId="20546" xr:uid="{00000000-0005-0000-0000-00001D500000}"/>
    <cellStyle name="Normal 2 2 2 5 2 10 2 8" xfId="20547" xr:uid="{00000000-0005-0000-0000-00001E500000}"/>
    <cellStyle name="Normal 2 2 2 5 2 10 2 9" xfId="20548" xr:uid="{00000000-0005-0000-0000-00001F500000}"/>
    <cellStyle name="Normal 2 2 2 5 2 10 3" xfId="20549" xr:uid="{00000000-0005-0000-0000-000020500000}"/>
    <cellStyle name="Normal 2 2 2 5 2 10 3 10" xfId="20550" xr:uid="{00000000-0005-0000-0000-000021500000}"/>
    <cellStyle name="Normal 2 2 2 5 2 10 3 2" xfId="20551" xr:uid="{00000000-0005-0000-0000-000022500000}"/>
    <cellStyle name="Normal 2 2 2 5 2 10 3 3" xfId="20552" xr:uid="{00000000-0005-0000-0000-000023500000}"/>
    <cellStyle name="Normal 2 2 2 5 2 10 3 4" xfId="20553" xr:uid="{00000000-0005-0000-0000-000024500000}"/>
    <cellStyle name="Normal 2 2 2 5 2 10 3 5" xfId="20554" xr:uid="{00000000-0005-0000-0000-000025500000}"/>
    <cellStyle name="Normal 2 2 2 5 2 10 3 6" xfId="20555" xr:uid="{00000000-0005-0000-0000-000026500000}"/>
    <cellStyle name="Normal 2 2 2 5 2 10 3 7" xfId="20556" xr:uid="{00000000-0005-0000-0000-000027500000}"/>
    <cellStyle name="Normal 2 2 2 5 2 10 3 8" xfId="20557" xr:uid="{00000000-0005-0000-0000-000028500000}"/>
    <cellStyle name="Normal 2 2 2 5 2 10 3 9" xfId="20558" xr:uid="{00000000-0005-0000-0000-000029500000}"/>
    <cellStyle name="Normal 2 2 2 5 2 10 4" xfId="20559" xr:uid="{00000000-0005-0000-0000-00002A500000}"/>
    <cellStyle name="Normal 2 2 2 5 2 10 4 10" xfId="20560" xr:uid="{00000000-0005-0000-0000-00002B500000}"/>
    <cellStyle name="Normal 2 2 2 5 2 10 4 2" xfId="20561" xr:uid="{00000000-0005-0000-0000-00002C500000}"/>
    <cellStyle name="Normal 2 2 2 5 2 10 4 3" xfId="20562" xr:uid="{00000000-0005-0000-0000-00002D500000}"/>
    <cellStyle name="Normal 2 2 2 5 2 10 4 4" xfId="20563" xr:uid="{00000000-0005-0000-0000-00002E500000}"/>
    <cellStyle name="Normal 2 2 2 5 2 10 4 5" xfId="20564" xr:uid="{00000000-0005-0000-0000-00002F500000}"/>
    <cellStyle name="Normal 2 2 2 5 2 10 4 6" xfId="20565" xr:uid="{00000000-0005-0000-0000-000030500000}"/>
    <cellStyle name="Normal 2 2 2 5 2 10 4 7" xfId="20566" xr:uid="{00000000-0005-0000-0000-000031500000}"/>
    <cellStyle name="Normal 2 2 2 5 2 10 4 8" xfId="20567" xr:uid="{00000000-0005-0000-0000-000032500000}"/>
    <cellStyle name="Normal 2 2 2 5 2 10 4 9" xfId="20568" xr:uid="{00000000-0005-0000-0000-000033500000}"/>
    <cellStyle name="Normal 2 2 2 5 2 10 5" xfId="20569" xr:uid="{00000000-0005-0000-0000-000034500000}"/>
    <cellStyle name="Normal 2 2 2 5 2 10 5 10" xfId="20570" xr:uid="{00000000-0005-0000-0000-000035500000}"/>
    <cellStyle name="Normal 2 2 2 5 2 10 5 2" xfId="20571" xr:uid="{00000000-0005-0000-0000-000036500000}"/>
    <cellStyle name="Normal 2 2 2 5 2 10 5 3" xfId="20572" xr:uid="{00000000-0005-0000-0000-000037500000}"/>
    <cellStyle name="Normal 2 2 2 5 2 10 5 4" xfId="20573" xr:uid="{00000000-0005-0000-0000-000038500000}"/>
    <cellStyle name="Normal 2 2 2 5 2 10 5 5" xfId="20574" xr:uid="{00000000-0005-0000-0000-000039500000}"/>
    <cellStyle name="Normal 2 2 2 5 2 10 5 6" xfId="20575" xr:uid="{00000000-0005-0000-0000-00003A500000}"/>
    <cellStyle name="Normal 2 2 2 5 2 10 5 7" xfId="20576" xr:uid="{00000000-0005-0000-0000-00003B500000}"/>
    <cellStyle name="Normal 2 2 2 5 2 10 5 8" xfId="20577" xr:uid="{00000000-0005-0000-0000-00003C500000}"/>
    <cellStyle name="Normal 2 2 2 5 2 10 5 9" xfId="20578" xr:uid="{00000000-0005-0000-0000-00003D500000}"/>
    <cellStyle name="Normal 2 2 2 5 2 10 6" xfId="20579" xr:uid="{00000000-0005-0000-0000-00003E500000}"/>
    <cellStyle name="Normal 2 2 2 5 2 10 7" xfId="20580" xr:uid="{00000000-0005-0000-0000-00003F500000}"/>
    <cellStyle name="Normal 2 2 2 5 2 10 8" xfId="20581" xr:uid="{00000000-0005-0000-0000-000040500000}"/>
    <cellStyle name="Normal 2 2 2 5 2 10 9" xfId="20582" xr:uid="{00000000-0005-0000-0000-000041500000}"/>
    <cellStyle name="Normal 2 2 2 5 2 11" xfId="20583" xr:uid="{00000000-0005-0000-0000-000042500000}"/>
    <cellStyle name="Normal 2 2 2 5 2 11 10" xfId="20584" xr:uid="{00000000-0005-0000-0000-000043500000}"/>
    <cellStyle name="Normal 2 2 2 5 2 11 11" xfId="20585" xr:uid="{00000000-0005-0000-0000-000044500000}"/>
    <cellStyle name="Normal 2 2 2 5 2 11 12" xfId="20586" xr:uid="{00000000-0005-0000-0000-000045500000}"/>
    <cellStyle name="Normal 2 2 2 5 2 11 13" xfId="20587" xr:uid="{00000000-0005-0000-0000-000046500000}"/>
    <cellStyle name="Normal 2 2 2 5 2 11 14" xfId="20588" xr:uid="{00000000-0005-0000-0000-000047500000}"/>
    <cellStyle name="Normal 2 2 2 5 2 11 2" xfId="20589" xr:uid="{00000000-0005-0000-0000-000048500000}"/>
    <cellStyle name="Normal 2 2 2 5 2 11 2 10" xfId="20590" xr:uid="{00000000-0005-0000-0000-000049500000}"/>
    <cellStyle name="Normal 2 2 2 5 2 11 2 2" xfId="20591" xr:uid="{00000000-0005-0000-0000-00004A500000}"/>
    <cellStyle name="Normal 2 2 2 5 2 11 2 3" xfId="20592" xr:uid="{00000000-0005-0000-0000-00004B500000}"/>
    <cellStyle name="Normal 2 2 2 5 2 11 2 4" xfId="20593" xr:uid="{00000000-0005-0000-0000-00004C500000}"/>
    <cellStyle name="Normal 2 2 2 5 2 11 2 5" xfId="20594" xr:uid="{00000000-0005-0000-0000-00004D500000}"/>
    <cellStyle name="Normal 2 2 2 5 2 11 2 6" xfId="20595" xr:uid="{00000000-0005-0000-0000-00004E500000}"/>
    <cellStyle name="Normal 2 2 2 5 2 11 2 7" xfId="20596" xr:uid="{00000000-0005-0000-0000-00004F500000}"/>
    <cellStyle name="Normal 2 2 2 5 2 11 2 8" xfId="20597" xr:uid="{00000000-0005-0000-0000-000050500000}"/>
    <cellStyle name="Normal 2 2 2 5 2 11 2 9" xfId="20598" xr:uid="{00000000-0005-0000-0000-000051500000}"/>
    <cellStyle name="Normal 2 2 2 5 2 11 3" xfId="20599" xr:uid="{00000000-0005-0000-0000-000052500000}"/>
    <cellStyle name="Normal 2 2 2 5 2 11 3 10" xfId="20600" xr:uid="{00000000-0005-0000-0000-000053500000}"/>
    <cellStyle name="Normal 2 2 2 5 2 11 3 2" xfId="20601" xr:uid="{00000000-0005-0000-0000-000054500000}"/>
    <cellStyle name="Normal 2 2 2 5 2 11 3 3" xfId="20602" xr:uid="{00000000-0005-0000-0000-000055500000}"/>
    <cellStyle name="Normal 2 2 2 5 2 11 3 4" xfId="20603" xr:uid="{00000000-0005-0000-0000-000056500000}"/>
    <cellStyle name="Normal 2 2 2 5 2 11 3 5" xfId="20604" xr:uid="{00000000-0005-0000-0000-000057500000}"/>
    <cellStyle name="Normal 2 2 2 5 2 11 3 6" xfId="20605" xr:uid="{00000000-0005-0000-0000-000058500000}"/>
    <cellStyle name="Normal 2 2 2 5 2 11 3 7" xfId="20606" xr:uid="{00000000-0005-0000-0000-000059500000}"/>
    <cellStyle name="Normal 2 2 2 5 2 11 3 8" xfId="20607" xr:uid="{00000000-0005-0000-0000-00005A500000}"/>
    <cellStyle name="Normal 2 2 2 5 2 11 3 9" xfId="20608" xr:uid="{00000000-0005-0000-0000-00005B500000}"/>
    <cellStyle name="Normal 2 2 2 5 2 11 4" xfId="20609" xr:uid="{00000000-0005-0000-0000-00005C500000}"/>
    <cellStyle name="Normal 2 2 2 5 2 11 4 10" xfId="20610" xr:uid="{00000000-0005-0000-0000-00005D500000}"/>
    <cellStyle name="Normal 2 2 2 5 2 11 4 2" xfId="20611" xr:uid="{00000000-0005-0000-0000-00005E500000}"/>
    <cellStyle name="Normal 2 2 2 5 2 11 4 3" xfId="20612" xr:uid="{00000000-0005-0000-0000-00005F500000}"/>
    <cellStyle name="Normal 2 2 2 5 2 11 4 4" xfId="20613" xr:uid="{00000000-0005-0000-0000-000060500000}"/>
    <cellStyle name="Normal 2 2 2 5 2 11 4 5" xfId="20614" xr:uid="{00000000-0005-0000-0000-000061500000}"/>
    <cellStyle name="Normal 2 2 2 5 2 11 4 6" xfId="20615" xr:uid="{00000000-0005-0000-0000-000062500000}"/>
    <cellStyle name="Normal 2 2 2 5 2 11 4 7" xfId="20616" xr:uid="{00000000-0005-0000-0000-000063500000}"/>
    <cellStyle name="Normal 2 2 2 5 2 11 4 8" xfId="20617" xr:uid="{00000000-0005-0000-0000-000064500000}"/>
    <cellStyle name="Normal 2 2 2 5 2 11 4 9" xfId="20618" xr:uid="{00000000-0005-0000-0000-000065500000}"/>
    <cellStyle name="Normal 2 2 2 5 2 11 5" xfId="20619" xr:uid="{00000000-0005-0000-0000-000066500000}"/>
    <cellStyle name="Normal 2 2 2 5 2 11 5 10" xfId="20620" xr:uid="{00000000-0005-0000-0000-000067500000}"/>
    <cellStyle name="Normal 2 2 2 5 2 11 5 2" xfId="20621" xr:uid="{00000000-0005-0000-0000-000068500000}"/>
    <cellStyle name="Normal 2 2 2 5 2 11 5 3" xfId="20622" xr:uid="{00000000-0005-0000-0000-000069500000}"/>
    <cellStyle name="Normal 2 2 2 5 2 11 5 4" xfId="20623" xr:uid="{00000000-0005-0000-0000-00006A500000}"/>
    <cellStyle name="Normal 2 2 2 5 2 11 5 5" xfId="20624" xr:uid="{00000000-0005-0000-0000-00006B500000}"/>
    <cellStyle name="Normal 2 2 2 5 2 11 5 6" xfId="20625" xr:uid="{00000000-0005-0000-0000-00006C500000}"/>
    <cellStyle name="Normal 2 2 2 5 2 11 5 7" xfId="20626" xr:uid="{00000000-0005-0000-0000-00006D500000}"/>
    <cellStyle name="Normal 2 2 2 5 2 11 5 8" xfId="20627" xr:uid="{00000000-0005-0000-0000-00006E500000}"/>
    <cellStyle name="Normal 2 2 2 5 2 11 5 9" xfId="20628" xr:uid="{00000000-0005-0000-0000-00006F500000}"/>
    <cellStyle name="Normal 2 2 2 5 2 11 6" xfId="20629" xr:uid="{00000000-0005-0000-0000-000070500000}"/>
    <cellStyle name="Normal 2 2 2 5 2 11 7" xfId="20630" xr:uid="{00000000-0005-0000-0000-000071500000}"/>
    <cellStyle name="Normal 2 2 2 5 2 11 8" xfId="20631" xr:uid="{00000000-0005-0000-0000-000072500000}"/>
    <cellStyle name="Normal 2 2 2 5 2 11 9" xfId="20632" xr:uid="{00000000-0005-0000-0000-000073500000}"/>
    <cellStyle name="Normal 2 2 2 5 2 12" xfId="20633" xr:uid="{00000000-0005-0000-0000-000074500000}"/>
    <cellStyle name="Normal 2 2 2 5 2 12 10" xfId="20634" xr:uid="{00000000-0005-0000-0000-000075500000}"/>
    <cellStyle name="Normal 2 2 2 5 2 12 11" xfId="20635" xr:uid="{00000000-0005-0000-0000-000076500000}"/>
    <cellStyle name="Normal 2 2 2 5 2 12 12" xfId="20636" xr:uid="{00000000-0005-0000-0000-000077500000}"/>
    <cellStyle name="Normal 2 2 2 5 2 12 13" xfId="20637" xr:uid="{00000000-0005-0000-0000-000078500000}"/>
    <cellStyle name="Normal 2 2 2 5 2 12 14" xfId="20638" xr:uid="{00000000-0005-0000-0000-000079500000}"/>
    <cellStyle name="Normal 2 2 2 5 2 12 2" xfId="20639" xr:uid="{00000000-0005-0000-0000-00007A500000}"/>
    <cellStyle name="Normal 2 2 2 5 2 12 2 10" xfId="20640" xr:uid="{00000000-0005-0000-0000-00007B500000}"/>
    <cellStyle name="Normal 2 2 2 5 2 12 2 2" xfId="20641" xr:uid="{00000000-0005-0000-0000-00007C500000}"/>
    <cellStyle name="Normal 2 2 2 5 2 12 2 3" xfId="20642" xr:uid="{00000000-0005-0000-0000-00007D500000}"/>
    <cellStyle name="Normal 2 2 2 5 2 12 2 4" xfId="20643" xr:uid="{00000000-0005-0000-0000-00007E500000}"/>
    <cellStyle name="Normal 2 2 2 5 2 12 2 5" xfId="20644" xr:uid="{00000000-0005-0000-0000-00007F500000}"/>
    <cellStyle name="Normal 2 2 2 5 2 12 2 6" xfId="20645" xr:uid="{00000000-0005-0000-0000-000080500000}"/>
    <cellStyle name="Normal 2 2 2 5 2 12 2 7" xfId="20646" xr:uid="{00000000-0005-0000-0000-000081500000}"/>
    <cellStyle name="Normal 2 2 2 5 2 12 2 8" xfId="20647" xr:uid="{00000000-0005-0000-0000-000082500000}"/>
    <cellStyle name="Normal 2 2 2 5 2 12 2 9" xfId="20648" xr:uid="{00000000-0005-0000-0000-000083500000}"/>
    <cellStyle name="Normal 2 2 2 5 2 12 3" xfId="20649" xr:uid="{00000000-0005-0000-0000-000084500000}"/>
    <cellStyle name="Normal 2 2 2 5 2 12 3 10" xfId="20650" xr:uid="{00000000-0005-0000-0000-000085500000}"/>
    <cellStyle name="Normal 2 2 2 5 2 12 3 2" xfId="20651" xr:uid="{00000000-0005-0000-0000-000086500000}"/>
    <cellStyle name="Normal 2 2 2 5 2 12 3 3" xfId="20652" xr:uid="{00000000-0005-0000-0000-000087500000}"/>
    <cellStyle name="Normal 2 2 2 5 2 12 3 4" xfId="20653" xr:uid="{00000000-0005-0000-0000-000088500000}"/>
    <cellStyle name="Normal 2 2 2 5 2 12 3 5" xfId="20654" xr:uid="{00000000-0005-0000-0000-000089500000}"/>
    <cellStyle name="Normal 2 2 2 5 2 12 3 6" xfId="20655" xr:uid="{00000000-0005-0000-0000-00008A500000}"/>
    <cellStyle name="Normal 2 2 2 5 2 12 3 7" xfId="20656" xr:uid="{00000000-0005-0000-0000-00008B500000}"/>
    <cellStyle name="Normal 2 2 2 5 2 12 3 8" xfId="20657" xr:uid="{00000000-0005-0000-0000-00008C500000}"/>
    <cellStyle name="Normal 2 2 2 5 2 12 3 9" xfId="20658" xr:uid="{00000000-0005-0000-0000-00008D500000}"/>
    <cellStyle name="Normal 2 2 2 5 2 12 4" xfId="20659" xr:uid="{00000000-0005-0000-0000-00008E500000}"/>
    <cellStyle name="Normal 2 2 2 5 2 12 4 10" xfId="20660" xr:uid="{00000000-0005-0000-0000-00008F500000}"/>
    <cellStyle name="Normal 2 2 2 5 2 12 4 2" xfId="20661" xr:uid="{00000000-0005-0000-0000-000090500000}"/>
    <cellStyle name="Normal 2 2 2 5 2 12 4 3" xfId="20662" xr:uid="{00000000-0005-0000-0000-000091500000}"/>
    <cellStyle name="Normal 2 2 2 5 2 12 4 4" xfId="20663" xr:uid="{00000000-0005-0000-0000-000092500000}"/>
    <cellStyle name="Normal 2 2 2 5 2 12 4 5" xfId="20664" xr:uid="{00000000-0005-0000-0000-000093500000}"/>
    <cellStyle name="Normal 2 2 2 5 2 12 4 6" xfId="20665" xr:uid="{00000000-0005-0000-0000-000094500000}"/>
    <cellStyle name="Normal 2 2 2 5 2 12 4 7" xfId="20666" xr:uid="{00000000-0005-0000-0000-000095500000}"/>
    <cellStyle name="Normal 2 2 2 5 2 12 4 8" xfId="20667" xr:uid="{00000000-0005-0000-0000-000096500000}"/>
    <cellStyle name="Normal 2 2 2 5 2 12 4 9" xfId="20668" xr:uid="{00000000-0005-0000-0000-000097500000}"/>
    <cellStyle name="Normal 2 2 2 5 2 12 5" xfId="20669" xr:uid="{00000000-0005-0000-0000-000098500000}"/>
    <cellStyle name="Normal 2 2 2 5 2 12 5 10" xfId="20670" xr:uid="{00000000-0005-0000-0000-000099500000}"/>
    <cellStyle name="Normal 2 2 2 5 2 12 5 2" xfId="20671" xr:uid="{00000000-0005-0000-0000-00009A500000}"/>
    <cellStyle name="Normal 2 2 2 5 2 12 5 3" xfId="20672" xr:uid="{00000000-0005-0000-0000-00009B500000}"/>
    <cellStyle name="Normal 2 2 2 5 2 12 5 4" xfId="20673" xr:uid="{00000000-0005-0000-0000-00009C500000}"/>
    <cellStyle name="Normal 2 2 2 5 2 12 5 5" xfId="20674" xr:uid="{00000000-0005-0000-0000-00009D500000}"/>
    <cellStyle name="Normal 2 2 2 5 2 12 5 6" xfId="20675" xr:uid="{00000000-0005-0000-0000-00009E500000}"/>
    <cellStyle name="Normal 2 2 2 5 2 12 5 7" xfId="20676" xr:uid="{00000000-0005-0000-0000-00009F500000}"/>
    <cellStyle name="Normal 2 2 2 5 2 12 5 8" xfId="20677" xr:uid="{00000000-0005-0000-0000-0000A0500000}"/>
    <cellStyle name="Normal 2 2 2 5 2 12 5 9" xfId="20678" xr:uid="{00000000-0005-0000-0000-0000A1500000}"/>
    <cellStyle name="Normal 2 2 2 5 2 12 6" xfId="20679" xr:uid="{00000000-0005-0000-0000-0000A2500000}"/>
    <cellStyle name="Normal 2 2 2 5 2 12 7" xfId="20680" xr:uid="{00000000-0005-0000-0000-0000A3500000}"/>
    <cellStyle name="Normal 2 2 2 5 2 12 8" xfId="20681" xr:uid="{00000000-0005-0000-0000-0000A4500000}"/>
    <cellStyle name="Normal 2 2 2 5 2 12 9" xfId="20682" xr:uid="{00000000-0005-0000-0000-0000A5500000}"/>
    <cellStyle name="Normal 2 2 2 5 2 13" xfId="20683" xr:uid="{00000000-0005-0000-0000-0000A6500000}"/>
    <cellStyle name="Normal 2 2 2 5 2 13 10" xfId="20684" xr:uid="{00000000-0005-0000-0000-0000A7500000}"/>
    <cellStyle name="Normal 2 2 2 5 2 13 11" xfId="20685" xr:uid="{00000000-0005-0000-0000-0000A8500000}"/>
    <cellStyle name="Normal 2 2 2 5 2 13 12" xfId="20686" xr:uid="{00000000-0005-0000-0000-0000A9500000}"/>
    <cellStyle name="Normal 2 2 2 5 2 13 13" xfId="20687" xr:uid="{00000000-0005-0000-0000-0000AA500000}"/>
    <cellStyle name="Normal 2 2 2 5 2 13 14" xfId="20688" xr:uid="{00000000-0005-0000-0000-0000AB500000}"/>
    <cellStyle name="Normal 2 2 2 5 2 13 2" xfId="20689" xr:uid="{00000000-0005-0000-0000-0000AC500000}"/>
    <cellStyle name="Normal 2 2 2 5 2 13 2 10" xfId="20690" xr:uid="{00000000-0005-0000-0000-0000AD500000}"/>
    <cellStyle name="Normal 2 2 2 5 2 13 2 2" xfId="20691" xr:uid="{00000000-0005-0000-0000-0000AE500000}"/>
    <cellStyle name="Normal 2 2 2 5 2 13 2 3" xfId="20692" xr:uid="{00000000-0005-0000-0000-0000AF500000}"/>
    <cellStyle name="Normal 2 2 2 5 2 13 2 4" xfId="20693" xr:uid="{00000000-0005-0000-0000-0000B0500000}"/>
    <cellStyle name="Normal 2 2 2 5 2 13 2 5" xfId="20694" xr:uid="{00000000-0005-0000-0000-0000B1500000}"/>
    <cellStyle name="Normal 2 2 2 5 2 13 2 6" xfId="20695" xr:uid="{00000000-0005-0000-0000-0000B2500000}"/>
    <cellStyle name="Normal 2 2 2 5 2 13 2 7" xfId="20696" xr:uid="{00000000-0005-0000-0000-0000B3500000}"/>
    <cellStyle name="Normal 2 2 2 5 2 13 2 8" xfId="20697" xr:uid="{00000000-0005-0000-0000-0000B4500000}"/>
    <cellStyle name="Normal 2 2 2 5 2 13 2 9" xfId="20698" xr:uid="{00000000-0005-0000-0000-0000B5500000}"/>
    <cellStyle name="Normal 2 2 2 5 2 13 3" xfId="20699" xr:uid="{00000000-0005-0000-0000-0000B6500000}"/>
    <cellStyle name="Normal 2 2 2 5 2 13 3 10" xfId="20700" xr:uid="{00000000-0005-0000-0000-0000B7500000}"/>
    <cellStyle name="Normal 2 2 2 5 2 13 3 2" xfId="20701" xr:uid="{00000000-0005-0000-0000-0000B8500000}"/>
    <cellStyle name="Normal 2 2 2 5 2 13 3 3" xfId="20702" xr:uid="{00000000-0005-0000-0000-0000B9500000}"/>
    <cellStyle name="Normal 2 2 2 5 2 13 3 4" xfId="20703" xr:uid="{00000000-0005-0000-0000-0000BA500000}"/>
    <cellStyle name="Normal 2 2 2 5 2 13 3 5" xfId="20704" xr:uid="{00000000-0005-0000-0000-0000BB500000}"/>
    <cellStyle name="Normal 2 2 2 5 2 13 3 6" xfId="20705" xr:uid="{00000000-0005-0000-0000-0000BC500000}"/>
    <cellStyle name="Normal 2 2 2 5 2 13 3 7" xfId="20706" xr:uid="{00000000-0005-0000-0000-0000BD500000}"/>
    <cellStyle name="Normal 2 2 2 5 2 13 3 8" xfId="20707" xr:uid="{00000000-0005-0000-0000-0000BE500000}"/>
    <cellStyle name="Normal 2 2 2 5 2 13 3 9" xfId="20708" xr:uid="{00000000-0005-0000-0000-0000BF500000}"/>
    <cellStyle name="Normal 2 2 2 5 2 13 4" xfId="20709" xr:uid="{00000000-0005-0000-0000-0000C0500000}"/>
    <cellStyle name="Normal 2 2 2 5 2 13 4 10" xfId="20710" xr:uid="{00000000-0005-0000-0000-0000C1500000}"/>
    <cellStyle name="Normal 2 2 2 5 2 13 4 2" xfId="20711" xr:uid="{00000000-0005-0000-0000-0000C2500000}"/>
    <cellStyle name="Normal 2 2 2 5 2 13 4 3" xfId="20712" xr:uid="{00000000-0005-0000-0000-0000C3500000}"/>
    <cellStyle name="Normal 2 2 2 5 2 13 4 4" xfId="20713" xr:uid="{00000000-0005-0000-0000-0000C4500000}"/>
    <cellStyle name="Normal 2 2 2 5 2 13 4 5" xfId="20714" xr:uid="{00000000-0005-0000-0000-0000C5500000}"/>
    <cellStyle name="Normal 2 2 2 5 2 13 4 6" xfId="20715" xr:uid="{00000000-0005-0000-0000-0000C6500000}"/>
    <cellStyle name="Normal 2 2 2 5 2 13 4 7" xfId="20716" xr:uid="{00000000-0005-0000-0000-0000C7500000}"/>
    <cellStyle name="Normal 2 2 2 5 2 13 4 8" xfId="20717" xr:uid="{00000000-0005-0000-0000-0000C8500000}"/>
    <cellStyle name="Normal 2 2 2 5 2 13 4 9" xfId="20718" xr:uid="{00000000-0005-0000-0000-0000C9500000}"/>
    <cellStyle name="Normal 2 2 2 5 2 13 5" xfId="20719" xr:uid="{00000000-0005-0000-0000-0000CA500000}"/>
    <cellStyle name="Normal 2 2 2 5 2 13 5 10" xfId="20720" xr:uid="{00000000-0005-0000-0000-0000CB500000}"/>
    <cellStyle name="Normal 2 2 2 5 2 13 5 2" xfId="20721" xr:uid="{00000000-0005-0000-0000-0000CC500000}"/>
    <cellStyle name="Normal 2 2 2 5 2 13 5 3" xfId="20722" xr:uid="{00000000-0005-0000-0000-0000CD500000}"/>
    <cellStyle name="Normal 2 2 2 5 2 13 5 4" xfId="20723" xr:uid="{00000000-0005-0000-0000-0000CE500000}"/>
    <cellStyle name="Normal 2 2 2 5 2 13 5 5" xfId="20724" xr:uid="{00000000-0005-0000-0000-0000CF500000}"/>
    <cellStyle name="Normal 2 2 2 5 2 13 5 6" xfId="20725" xr:uid="{00000000-0005-0000-0000-0000D0500000}"/>
    <cellStyle name="Normal 2 2 2 5 2 13 5 7" xfId="20726" xr:uid="{00000000-0005-0000-0000-0000D1500000}"/>
    <cellStyle name="Normal 2 2 2 5 2 13 5 8" xfId="20727" xr:uid="{00000000-0005-0000-0000-0000D2500000}"/>
    <cellStyle name="Normal 2 2 2 5 2 13 5 9" xfId="20728" xr:uid="{00000000-0005-0000-0000-0000D3500000}"/>
    <cellStyle name="Normal 2 2 2 5 2 13 6" xfId="20729" xr:uid="{00000000-0005-0000-0000-0000D4500000}"/>
    <cellStyle name="Normal 2 2 2 5 2 13 7" xfId="20730" xr:uid="{00000000-0005-0000-0000-0000D5500000}"/>
    <cellStyle name="Normal 2 2 2 5 2 13 8" xfId="20731" xr:uid="{00000000-0005-0000-0000-0000D6500000}"/>
    <cellStyle name="Normal 2 2 2 5 2 13 9" xfId="20732" xr:uid="{00000000-0005-0000-0000-0000D7500000}"/>
    <cellStyle name="Normal 2 2 2 5 2 14" xfId="20733" xr:uid="{00000000-0005-0000-0000-0000D8500000}"/>
    <cellStyle name="Normal 2 2 2 5 2 14 10" xfId="20734" xr:uid="{00000000-0005-0000-0000-0000D9500000}"/>
    <cellStyle name="Normal 2 2 2 5 2 14 11" xfId="20735" xr:uid="{00000000-0005-0000-0000-0000DA500000}"/>
    <cellStyle name="Normal 2 2 2 5 2 14 12" xfId="20736" xr:uid="{00000000-0005-0000-0000-0000DB500000}"/>
    <cellStyle name="Normal 2 2 2 5 2 14 13" xfId="20737" xr:uid="{00000000-0005-0000-0000-0000DC500000}"/>
    <cellStyle name="Normal 2 2 2 5 2 14 14" xfId="20738" xr:uid="{00000000-0005-0000-0000-0000DD500000}"/>
    <cellStyle name="Normal 2 2 2 5 2 14 2" xfId="20739" xr:uid="{00000000-0005-0000-0000-0000DE500000}"/>
    <cellStyle name="Normal 2 2 2 5 2 14 2 10" xfId="20740" xr:uid="{00000000-0005-0000-0000-0000DF500000}"/>
    <cellStyle name="Normal 2 2 2 5 2 14 2 2" xfId="20741" xr:uid="{00000000-0005-0000-0000-0000E0500000}"/>
    <cellStyle name="Normal 2 2 2 5 2 14 2 3" xfId="20742" xr:uid="{00000000-0005-0000-0000-0000E1500000}"/>
    <cellStyle name="Normal 2 2 2 5 2 14 2 4" xfId="20743" xr:uid="{00000000-0005-0000-0000-0000E2500000}"/>
    <cellStyle name="Normal 2 2 2 5 2 14 2 5" xfId="20744" xr:uid="{00000000-0005-0000-0000-0000E3500000}"/>
    <cellStyle name="Normal 2 2 2 5 2 14 2 6" xfId="20745" xr:uid="{00000000-0005-0000-0000-0000E4500000}"/>
    <cellStyle name="Normal 2 2 2 5 2 14 2 7" xfId="20746" xr:uid="{00000000-0005-0000-0000-0000E5500000}"/>
    <cellStyle name="Normal 2 2 2 5 2 14 2 8" xfId="20747" xr:uid="{00000000-0005-0000-0000-0000E6500000}"/>
    <cellStyle name="Normal 2 2 2 5 2 14 2 9" xfId="20748" xr:uid="{00000000-0005-0000-0000-0000E7500000}"/>
    <cellStyle name="Normal 2 2 2 5 2 14 3" xfId="20749" xr:uid="{00000000-0005-0000-0000-0000E8500000}"/>
    <cellStyle name="Normal 2 2 2 5 2 14 3 10" xfId="20750" xr:uid="{00000000-0005-0000-0000-0000E9500000}"/>
    <cellStyle name="Normal 2 2 2 5 2 14 3 2" xfId="20751" xr:uid="{00000000-0005-0000-0000-0000EA500000}"/>
    <cellStyle name="Normal 2 2 2 5 2 14 3 3" xfId="20752" xr:uid="{00000000-0005-0000-0000-0000EB500000}"/>
    <cellStyle name="Normal 2 2 2 5 2 14 3 4" xfId="20753" xr:uid="{00000000-0005-0000-0000-0000EC500000}"/>
    <cellStyle name="Normal 2 2 2 5 2 14 3 5" xfId="20754" xr:uid="{00000000-0005-0000-0000-0000ED500000}"/>
    <cellStyle name="Normal 2 2 2 5 2 14 3 6" xfId="20755" xr:uid="{00000000-0005-0000-0000-0000EE500000}"/>
    <cellStyle name="Normal 2 2 2 5 2 14 3 7" xfId="20756" xr:uid="{00000000-0005-0000-0000-0000EF500000}"/>
    <cellStyle name="Normal 2 2 2 5 2 14 3 8" xfId="20757" xr:uid="{00000000-0005-0000-0000-0000F0500000}"/>
    <cellStyle name="Normal 2 2 2 5 2 14 3 9" xfId="20758" xr:uid="{00000000-0005-0000-0000-0000F1500000}"/>
    <cellStyle name="Normal 2 2 2 5 2 14 4" xfId="20759" xr:uid="{00000000-0005-0000-0000-0000F2500000}"/>
    <cellStyle name="Normal 2 2 2 5 2 14 4 10" xfId="20760" xr:uid="{00000000-0005-0000-0000-0000F3500000}"/>
    <cellStyle name="Normal 2 2 2 5 2 14 4 2" xfId="20761" xr:uid="{00000000-0005-0000-0000-0000F4500000}"/>
    <cellStyle name="Normal 2 2 2 5 2 14 4 3" xfId="20762" xr:uid="{00000000-0005-0000-0000-0000F5500000}"/>
    <cellStyle name="Normal 2 2 2 5 2 14 4 4" xfId="20763" xr:uid="{00000000-0005-0000-0000-0000F6500000}"/>
    <cellStyle name="Normal 2 2 2 5 2 14 4 5" xfId="20764" xr:uid="{00000000-0005-0000-0000-0000F7500000}"/>
    <cellStyle name="Normal 2 2 2 5 2 14 4 6" xfId="20765" xr:uid="{00000000-0005-0000-0000-0000F8500000}"/>
    <cellStyle name="Normal 2 2 2 5 2 14 4 7" xfId="20766" xr:uid="{00000000-0005-0000-0000-0000F9500000}"/>
    <cellStyle name="Normal 2 2 2 5 2 14 4 8" xfId="20767" xr:uid="{00000000-0005-0000-0000-0000FA500000}"/>
    <cellStyle name="Normal 2 2 2 5 2 14 4 9" xfId="20768" xr:uid="{00000000-0005-0000-0000-0000FB500000}"/>
    <cellStyle name="Normal 2 2 2 5 2 14 5" xfId="20769" xr:uid="{00000000-0005-0000-0000-0000FC500000}"/>
    <cellStyle name="Normal 2 2 2 5 2 14 5 10" xfId="20770" xr:uid="{00000000-0005-0000-0000-0000FD500000}"/>
    <cellStyle name="Normal 2 2 2 5 2 14 5 2" xfId="20771" xr:uid="{00000000-0005-0000-0000-0000FE500000}"/>
    <cellStyle name="Normal 2 2 2 5 2 14 5 3" xfId="20772" xr:uid="{00000000-0005-0000-0000-0000FF500000}"/>
    <cellStyle name="Normal 2 2 2 5 2 14 5 4" xfId="20773" xr:uid="{00000000-0005-0000-0000-000000510000}"/>
    <cellStyle name="Normal 2 2 2 5 2 14 5 5" xfId="20774" xr:uid="{00000000-0005-0000-0000-000001510000}"/>
    <cellStyle name="Normal 2 2 2 5 2 14 5 6" xfId="20775" xr:uid="{00000000-0005-0000-0000-000002510000}"/>
    <cellStyle name="Normal 2 2 2 5 2 14 5 7" xfId="20776" xr:uid="{00000000-0005-0000-0000-000003510000}"/>
    <cellStyle name="Normal 2 2 2 5 2 14 5 8" xfId="20777" xr:uid="{00000000-0005-0000-0000-000004510000}"/>
    <cellStyle name="Normal 2 2 2 5 2 14 5 9" xfId="20778" xr:uid="{00000000-0005-0000-0000-000005510000}"/>
    <cellStyle name="Normal 2 2 2 5 2 14 6" xfId="20779" xr:uid="{00000000-0005-0000-0000-000006510000}"/>
    <cellStyle name="Normal 2 2 2 5 2 14 7" xfId="20780" xr:uid="{00000000-0005-0000-0000-000007510000}"/>
    <cellStyle name="Normal 2 2 2 5 2 14 8" xfId="20781" xr:uid="{00000000-0005-0000-0000-000008510000}"/>
    <cellStyle name="Normal 2 2 2 5 2 14 9" xfId="20782" xr:uid="{00000000-0005-0000-0000-000009510000}"/>
    <cellStyle name="Normal 2 2 2 5 2 15" xfId="20783" xr:uid="{00000000-0005-0000-0000-00000A510000}"/>
    <cellStyle name="Normal 2 2 2 5 2 15 10" xfId="20784" xr:uid="{00000000-0005-0000-0000-00000B510000}"/>
    <cellStyle name="Normal 2 2 2 5 2 15 11" xfId="20785" xr:uid="{00000000-0005-0000-0000-00000C510000}"/>
    <cellStyle name="Normal 2 2 2 5 2 15 12" xfId="20786" xr:uid="{00000000-0005-0000-0000-00000D510000}"/>
    <cellStyle name="Normal 2 2 2 5 2 15 13" xfId="20787" xr:uid="{00000000-0005-0000-0000-00000E510000}"/>
    <cellStyle name="Normal 2 2 2 5 2 15 14" xfId="20788" xr:uid="{00000000-0005-0000-0000-00000F510000}"/>
    <cellStyle name="Normal 2 2 2 5 2 15 2" xfId="20789" xr:uid="{00000000-0005-0000-0000-000010510000}"/>
    <cellStyle name="Normal 2 2 2 5 2 15 2 10" xfId="20790" xr:uid="{00000000-0005-0000-0000-000011510000}"/>
    <cellStyle name="Normal 2 2 2 5 2 15 2 2" xfId="20791" xr:uid="{00000000-0005-0000-0000-000012510000}"/>
    <cellStyle name="Normal 2 2 2 5 2 15 2 3" xfId="20792" xr:uid="{00000000-0005-0000-0000-000013510000}"/>
    <cellStyle name="Normal 2 2 2 5 2 15 2 4" xfId="20793" xr:uid="{00000000-0005-0000-0000-000014510000}"/>
    <cellStyle name="Normal 2 2 2 5 2 15 2 5" xfId="20794" xr:uid="{00000000-0005-0000-0000-000015510000}"/>
    <cellStyle name="Normal 2 2 2 5 2 15 2 6" xfId="20795" xr:uid="{00000000-0005-0000-0000-000016510000}"/>
    <cellStyle name="Normal 2 2 2 5 2 15 2 7" xfId="20796" xr:uid="{00000000-0005-0000-0000-000017510000}"/>
    <cellStyle name="Normal 2 2 2 5 2 15 2 8" xfId="20797" xr:uid="{00000000-0005-0000-0000-000018510000}"/>
    <cellStyle name="Normal 2 2 2 5 2 15 2 9" xfId="20798" xr:uid="{00000000-0005-0000-0000-000019510000}"/>
    <cellStyle name="Normal 2 2 2 5 2 15 3" xfId="20799" xr:uid="{00000000-0005-0000-0000-00001A510000}"/>
    <cellStyle name="Normal 2 2 2 5 2 15 3 10" xfId="20800" xr:uid="{00000000-0005-0000-0000-00001B510000}"/>
    <cellStyle name="Normal 2 2 2 5 2 15 3 2" xfId="20801" xr:uid="{00000000-0005-0000-0000-00001C510000}"/>
    <cellStyle name="Normal 2 2 2 5 2 15 3 3" xfId="20802" xr:uid="{00000000-0005-0000-0000-00001D510000}"/>
    <cellStyle name="Normal 2 2 2 5 2 15 3 4" xfId="20803" xr:uid="{00000000-0005-0000-0000-00001E510000}"/>
    <cellStyle name="Normal 2 2 2 5 2 15 3 5" xfId="20804" xr:uid="{00000000-0005-0000-0000-00001F510000}"/>
    <cellStyle name="Normal 2 2 2 5 2 15 3 6" xfId="20805" xr:uid="{00000000-0005-0000-0000-000020510000}"/>
    <cellStyle name="Normal 2 2 2 5 2 15 3 7" xfId="20806" xr:uid="{00000000-0005-0000-0000-000021510000}"/>
    <cellStyle name="Normal 2 2 2 5 2 15 3 8" xfId="20807" xr:uid="{00000000-0005-0000-0000-000022510000}"/>
    <cellStyle name="Normal 2 2 2 5 2 15 3 9" xfId="20808" xr:uid="{00000000-0005-0000-0000-000023510000}"/>
    <cellStyle name="Normal 2 2 2 5 2 15 4" xfId="20809" xr:uid="{00000000-0005-0000-0000-000024510000}"/>
    <cellStyle name="Normal 2 2 2 5 2 15 4 10" xfId="20810" xr:uid="{00000000-0005-0000-0000-000025510000}"/>
    <cellStyle name="Normal 2 2 2 5 2 15 4 2" xfId="20811" xr:uid="{00000000-0005-0000-0000-000026510000}"/>
    <cellStyle name="Normal 2 2 2 5 2 15 4 3" xfId="20812" xr:uid="{00000000-0005-0000-0000-000027510000}"/>
    <cellStyle name="Normal 2 2 2 5 2 15 4 4" xfId="20813" xr:uid="{00000000-0005-0000-0000-000028510000}"/>
    <cellStyle name="Normal 2 2 2 5 2 15 4 5" xfId="20814" xr:uid="{00000000-0005-0000-0000-000029510000}"/>
    <cellStyle name="Normal 2 2 2 5 2 15 4 6" xfId="20815" xr:uid="{00000000-0005-0000-0000-00002A510000}"/>
    <cellStyle name="Normal 2 2 2 5 2 15 4 7" xfId="20816" xr:uid="{00000000-0005-0000-0000-00002B510000}"/>
    <cellStyle name="Normal 2 2 2 5 2 15 4 8" xfId="20817" xr:uid="{00000000-0005-0000-0000-00002C510000}"/>
    <cellStyle name="Normal 2 2 2 5 2 15 4 9" xfId="20818" xr:uid="{00000000-0005-0000-0000-00002D510000}"/>
    <cellStyle name="Normal 2 2 2 5 2 15 5" xfId="20819" xr:uid="{00000000-0005-0000-0000-00002E510000}"/>
    <cellStyle name="Normal 2 2 2 5 2 15 5 10" xfId="20820" xr:uid="{00000000-0005-0000-0000-00002F510000}"/>
    <cellStyle name="Normal 2 2 2 5 2 15 5 2" xfId="20821" xr:uid="{00000000-0005-0000-0000-000030510000}"/>
    <cellStyle name="Normal 2 2 2 5 2 15 5 3" xfId="20822" xr:uid="{00000000-0005-0000-0000-000031510000}"/>
    <cellStyle name="Normal 2 2 2 5 2 15 5 4" xfId="20823" xr:uid="{00000000-0005-0000-0000-000032510000}"/>
    <cellStyle name="Normal 2 2 2 5 2 15 5 5" xfId="20824" xr:uid="{00000000-0005-0000-0000-000033510000}"/>
    <cellStyle name="Normal 2 2 2 5 2 15 5 6" xfId="20825" xr:uid="{00000000-0005-0000-0000-000034510000}"/>
    <cellStyle name="Normal 2 2 2 5 2 15 5 7" xfId="20826" xr:uid="{00000000-0005-0000-0000-000035510000}"/>
    <cellStyle name="Normal 2 2 2 5 2 15 5 8" xfId="20827" xr:uid="{00000000-0005-0000-0000-000036510000}"/>
    <cellStyle name="Normal 2 2 2 5 2 15 5 9" xfId="20828" xr:uid="{00000000-0005-0000-0000-000037510000}"/>
    <cellStyle name="Normal 2 2 2 5 2 15 6" xfId="20829" xr:uid="{00000000-0005-0000-0000-000038510000}"/>
    <cellStyle name="Normal 2 2 2 5 2 15 7" xfId="20830" xr:uid="{00000000-0005-0000-0000-000039510000}"/>
    <cellStyle name="Normal 2 2 2 5 2 15 8" xfId="20831" xr:uid="{00000000-0005-0000-0000-00003A510000}"/>
    <cellStyle name="Normal 2 2 2 5 2 15 9" xfId="20832" xr:uid="{00000000-0005-0000-0000-00003B510000}"/>
    <cellStyle name="Normal 2 2 2 5 2 16" xfId="20833" xr:uid="{00000000-0005-0000-0000-00003C510000}"/>
    <cellStyle name="Normal 2 2 2 5 2 16 10" xfId="20834" xr:uid="{00000000-0005-0000-0000-00003D510000}"/>
    <cellStyle name="Normal 2 2 2 5 2 16 11" xfId="20835" xr:uid="{00000000-0005-0000-0000-00003E510000}"/>
    <cellStyle name="Normal 2 2 2 5 2 16 12" xfId="20836" xr:uid="{00000000-0005-0000-0000-00003F510000}"/>
    <cellStyle name="Normal 2 2 2 5 2 16 13" xfId="20837" xr:uid="{00000000-0005-0000-0000-000040510000}"/>
    <cellStyle name="Normal 2 2 2 5 2 16 14" xfId="20838" xr:uid="{00000000-0005-0000-0000-000041510000}"/>
    <cellStyle name="Normal 2 2 2 5 2 16 2" xfId="20839" xr:uid="{00000000-0005-0000-0000-000042510000}"/>
    <cellStyle name="Normal 2 2 2 5 2 16 2 10" xfId="20840" xr:uid="{00000000-0005-0000-0000-000043510000}"/>
    <cellStyle name="Normal 2 2 2 5 2 16 2 2" xfId="20841" xr:uid="{00000000-0005-0000-0000-000044510000}"/>
    <cellStyle name="Normal 2 2 2 5 2 16 2 3" xfId="20842" xr:uid="{00000000-0005-0000-0000-000045510000}"/>
    <cellStyle name="Normal 2 2 2 5 2 16 2 4" xfId="20843" xr:uid="{00000000-0005-0000-0000-000046510000}"/>
    <cellStyle name="Normal 2 2 2 5 2 16 2 5" xfId="20844" xr:uid="{00000000-0005-0000-0000-000047510000}"/>
    <cellStyle name="Normal 2 2 2 5 2 16 2 6" xfId="20845" xr:uid="{00000000-0005-0000-0000-000048510000}"/>
    <cellStyle name="Normal 2 2 2 5 2 16 2 7" xfId="20846" xr:uid="{00000000-0005-0000-0000-000049510000}"/>
    <cellStyle name="Normal 2 2 2 5 2 16 2 8" xfId="20847" xr:uid="{00000000-0005-0000-0000-00004A510000}"/>
    <cellStyle name="Normal 2 2 2 5 2 16 2 9" xfId="20848" xr:uid="{00000000-0005-0000-0000-00004B510000}"/>
    <cellStyle name="Normal 2 2 2 5 2 16 3" xfId="20849" xr:uid="{00000000-0005-0000-0000-00004C510000}"/>
    <cellStyle name="Normal 2 2 2 5 2 16 3 10" xfId="20850" xr:uid="{00000000-0005-0000-0000-00004D510000}"/>
    <cellStyle name="Normal 2 2 2 5 2 16 3 2" xfId="20851" xr:uid="{00000000-0005-0000-0000-00004E510000}"/>
    <cellStyle name="Normal 2 2 2 5 2 16 3 3" xfId="20852" xr:uid="{00000000-0005-0000-0000-00004F510000}"/>
    <cellStyle name="Normal 2 2 2 5 2 16 3 4" xfId="20853" xr:uid="{00000000-0005-0000-0000-000050510000}"/>
    <cellStyle name="Normal 2 2 2 5 2 16 3 5" xfId="20854" xr:uid="{00000000-0005-0000-0000-000051510000}"/>
    <cellStyle name="Normal 2 2 2 5 2 16 3 6" xfId="20855" xr:uid="{00000000-0005-0000-0000-000052510000}"/>
    <cellStyle name="Normal 2 2 2 5 2 16 3 7" xfId="20856" xr:uid="{00000000-0005-0000-0000-000053510000}"/>
    <cellStyle name="Normal 2 2 2 5 2 16 3 8" xfId="20857" xr:uid="{00000000-0005-0000-0000-000054510000}"/>
    <cellStyle name="Normal 2 2 2 5 2 16 3 9" xfId="20858" xr:uid="{00000000-0005-0000-0000-000055510000}"/>
    <cellStyle name="Normal 2 2 2 5 2 16 4" xfId="20859" xr:uid="{00000000-0005-0000-0000-000056510000}"/>
    <cellStyle name="Normal 2 2 2 5 2 16 4 10" xfId="20860" xr:uid="{00000000-0005-0000-0000-000057510000}"/>
    <cellStyle name="Normal 2 2 2 5 2 16 4 2" xfId="20861" xr:uid="{00000000-0005-0000-0000-000058510000}"/>
    <cellStyle name="Normal 2 2 2 5 2 16 4 3" xfId="20862" xr:uid="{00000000-0005-0000-0000-000059510000}"/>
    <cellStyle name="Normal 2 2 2 5 2 16 4 4" xfId="20863" xr:uid="{00000000-0005-0000-0000-00005A510000}"/>
    <cellStyle name="Normal 2 2 2 5 2 16 4 5" xfId="20864" xr:uid="{00000000-0005-0000-0000-00005B510000}"/>
    <cellStyle name="Normal 2 2 2 5 2 16 4 6" xfId="20865" xr:uid="{00000000-0005-0000-0000-00005C510000}"/>
    <cellStyle name="Normal 2 2 2 5 2 16 4 7" xfId="20866" xr:uid="{00000000-0005-0000-0000-00005D510000}"/>
    <cellStyle name="Normal 2 2 2 5 2 16 4 8" xfId="20867" xr:uid="{00000000-0005-0000-0000-00005E510000}"/>
    <cellStyle name="Normal 2 2 2 5 2 16 4 9" xfId="20868" xr:uid="{00000000-0005-0000-0000-00005F510000}"/>
    <cellStyle name="Normal 2 2 2 5 2 16 5" xfId="20869" xr:uid="{00000000-0005-0000-0000-000060510000}"/>
    <cellStyle name="Normal 2 2 2 5 2 16 5 10" xfId="20870" xr:uid="{00000000-0005-0000-0000-000061510000}"/>
    <cellStyle name="Normal 2 2 2 5 2 16 5 2" xfId="20871" xr:uid="{00000000-0005-0000-0000-000062510000}"/>
    <cellStyle name="Normal 2 2 2 5 2 16 5 3" xfId="20872" xr:uid="{00000000-0005-0000-0000-000063510000}"/>
    <cellStyle name="Normal 2 2 2 5 2 16 5 4" xfId="20873" xr:uid="{00000000-0005-0000-0000-000064510000}"/>
    <cellStyle name="Normal 2 2 2 5 2 16 5 5" xfId="20874" xr:uid="{00000000-0005-0000-0000-000065510000}"/>
    <cellStyle name="Normal 2 2 2 5 2 16 5 6" xfId="20875" xr:uid="{00000000-0005-0000-0000-000066510000}"/>
    <cellStyle name="Normal 2 2 2 5 2 16 5 7" xfId="20876" xr:uid="{00000000-0005-0000-0000-000067510000}"/>
    <cellStyle name="Normal 2 2 2 5 2 16 5 8" xfId="20877" xr:uid="{00000000-0005-0000-0000-000068510000}"/>
    <cellStyle name="Normal 2 2 2 5 2 16 5 9" xfId="20878" xr:uid="{00000000-0005-0000-0000-000069510000}"/>
    <cellStyle name="Normal 2 2 2 5 2 16 6" xfId="20879" xr:uid="{00000000-0005-0000-0000-00006A510000}"/>
    <cellStyle name="Normal 2 2 2 5 2 16 7" xfId="20880" xr:uid="{00000000-0005-0000-0000-00006B510000}"/>
    <cellStyle name="Normal 2 2 2 5 2 16 8" xfId="20881" xr:uid="{00000000-0005-0000-0000-00006C510000}"/>
    <cellStyle name="Normal 2 2 2 5 2 16 9" xfId="20882" xr:uid="{00000000-0005-0000-0000-00006D510000}"/>
    <cellStyle name="Normal 2 2 2 5 2 17" xfId="20883" xr:uid="{00000000-0005-0000-0000-00006E510000}"/>
    <cellStyle name="Normal 2 2 2 5 2 17 10" xfId="20884" xr:uid="{00000000-0005-0000-0000-00006F510000}"/>
    <cellStyle name="Normal 2 2 2 5 2 17 11" xfId="20885" xr:uid="{00000000-0005-0000-0000-000070510000}"/>
    <cellStyle name="Normal 2 2 2 5 2 17 12" xfId="20886" xr:uid="{00000000-0005-0000-0000-000071510000}"/>
    <cellStyle name="Normal 2 2 2 5 2 17 13" xfId="20887" xr:uid="{00000000-0005-0000-0000-000072510000}"/>
    <cellStyle name="Normal 2 2 2 5 2 17 14" xfId="20888" xr:uid="{00000000-0005-0000-0000-000073510000}"/>
    <cellStyle name="Normal 2 2 2 5 2 17 2" xfId="20889" xr:uid="{00000000-0005-0000-0000-000074510000}"/>
    <cellStyle name="Normal 2 2 2 5 2 17 2 10" xfId="20890" xr:uid="{00000000-0005-0000-0000-000075510000}"/>
    <cellStyle name="Normal 2 2 2 5 2 17 2 2" xfId="20891" xr:uid="{00000000-0005-0000-0000-000076510000}"/>
    <cellStyle name="Normal 2 2 2 5 2 17 2 3" xfId="20892" xr:uid="{00000000-0005-0000-0000-000077510000}"/>
    <cellStyle name="Normal 2 2 2 5 2 17 2 4" xfId="20893" xr:uid="{00000000-0005-0000-0000-000078510000}"/>
    <cellStyle name="Normal 2 2 2 5 2 17 2 5" xfId="20894" xr:uid="{00000000-0005-0000-0000-000079510000}"/>
    <cellStyle name="Normal 2 2 2 5 2 17 2 6" xfId="20895" xr:uid="{00000000-0005-0000-0000-00007A510000}"/>
    <cellStyle name="Normal 2 2 2 5 2 17 2 7" xfId="20896" xr:uid="{00000000-0005-0000-0000-00007B510000}"/>
    <cellStyle name="Normal 2 2 2 5 2 17 2 8" xfId="20897" xr:uid="{00000000-0005-0000-0000-00007C510000}"/>
    <cellStyle name="Normal 2 2 2 5 2 17 2 9" xfId="20898" xr:uid="{00000000-0005-0000-0000-00007D510000}"/>
    <cellStyle name="Normal 2 2 2 5 2 17 3" xfId="20899" xr:uid="{00000000-0005-0000-0000-00007E510000}"/>
    <cellStyle name="Normal 2 2 2 5 2 17 3 10" xfId="20900" xr:uid="{00000000-0005-0000-0000-00007F510000}"/>
    <cellStyle name="Normal 2 2 2 5 2 17 3 2" xfId="20901" xr:uid="{00000000-0005-0000-0000-000080510000}"/>
    <cellStyle name="Normal 2 2 2 5 2 17 3 3" xfId="20902" xr:uid="{00000000-0005-0000-0000-000081510000}"/>
    <cellStyle name="Normal 2 2 2 5 2 17 3 4" xfId="20903" xr:uid="{00000000-0005-0000-0000-000082510000}"/>
    <cellStyle name="Normal 2 2 2 5 2 17 3 5" xfId="20904" xr:uid="{00000000-0005-0000-0000-000083510000}"/>
    <cellStyle name="Normal 2 2 2 5 2 17 3 6" xfId="20905" xr:uid="{00000000-0005-0000-0000-000084510000}"/>
    <cellStyle name="Normal 2 2 2 5 2 17 3 7" xfId="20906" xr:uid="{00000000-0005-0000-0000-000085510000}"/>
    <cellStyle name="Normal 2 2 2 5 2 17 3 8" xfId="20907" xr:uid="{00000000-0005-0000-0000-000086510000}"/>
    <cellStyle name="Normal 2 2 2 5 2 17 3 9" xfId="20908" xr:uid="{00000000-0005-0000-0000-000087510000}"/>
    <cellStyle name="Normal 2 2 2 5 2 17 4" xfId="20909" xr:uid="{00000000-0005-0000-0000-000088510000}"/>
    <cellStyle name="Normal 2 2 2 5 2 17 4 10" xfId="20910" xr:uid="{00000000-0005-0000-0000-000089510000}"/>
    <cellStyle name="Normal 2 2 2 5 2 17 4 2" xfId="20911" xr:uid="{00000000-0005-0000-0000-00008A510000}"/>
    <cellStyle name="Normal 2 2 2 5 2 17 4 3" xfId="20912" xr:uid="{00000000-0005-0000-0000-00008B510000}"/>
    <cellStyle name="Normal 2 2 2 5 2 17 4 4" xfId="20913" xr:uid="{00000000-0005-0000-0000-00008C510000}"/>
    <cellStyle name="Normal 2 2 2 5 2 17 4 5" xfId="20914" xr:uid="{00000000-0005-0000-0000-00008D510000}"/>
    <cellStyle name="Normal 2 2 2 5 2 17 4 6" xfId="20915" xr:uid="{00000000-0005-0000-0000-00008E510000}"/>
    <cellStyle name="Normal 2 2 2 5 2 17 4 7" xfId="20916" xr:uid="{00000000-0005-0000-0000-00008F510000}"/>
    <cellStyle name="Normal 2 2 2 5 2 17 4 8" xfId="20917" xr:uid="{00000000-0005-0000-0000-000090510000}"/>
    <cellStyle name="Normal 2 2 2 5 2 17 4 9" xfId="20918" xr:uid="{00000000-0005-0000-0000-000091510000}"/>
    <cellStyle name="Normal 2 2 2 5 2 17 5" xfId="20919" xr:uid="{00000000-0005-0000-0000-000092510000}"/>
    <cellStyle name="Normal 2 2 2 5 2 17 5 10" xfId="20920" xr:uid="{00000000-0005-0000-0000-000093510000}"/>
    <cellStyle name="Normal 2 2 2 5 2 17 5 2" xfId="20921" xr:uid="{00000000-0005-0000-0000-000094510000}"/>
    <cellStyle name="Normal 2 2 2 5 2 17 5 3" xfId="20922" xr:uid="{00000000-0005-0000-0000-000095510000}"/>
    <cellStyle name="Normal 2 2 2 5 2 17 5 4" xfId="20923" xr:uid="{00000000-0005-0000-0000-000096510000}"/>
    <cellStyle name="Normal 2 2 2 5 2 17 5 5" xfId="20924" xr:uid="{00000000-0005-0000-0000-000097510000}"/>
    <cellStyle name="Normal 2 2 2 5 2 17 5 6" xfId="20925" xr:uid="{00000000-0005-0000-0000-000098510000}"/>
    <cellStyle name="Normal 2 2 2 5 2 17 5 7" xfId="20926" xr:uid="{00000000-0005-0000-0000-000099510000}"/>
    <cellStyle name="Normal 2 2 2 5 2 17 5 8" xfId="20927" xr:uid="{00000000-0005-0000-0000-00009A510000}"/>
    <cellStyle name="Normal 2 2 2 5 2 17 5 9" xfId="20928" xr:uid="{00000000-0005-0000-0000-00009B510000}"/>
    <cellStyle name="Normal 2 2 2 5 2 17 6" xfId="20929" xr:uid="{00000000-0005-0000-0000-00009C510000}"/>
    <cellStyle name="Normal 2 2 2 5 2 17 7" xfId="20930" xr:uid="{00000000-0005-0000-0000-00009D510000}"/>
    <cellStyle name="Normal 2 2 2 5 2 17 8" xfId="20931" xr:uid="{00000000-0005-0000-0000-00009E510000}"/>
    <cellStyle name="Normal 2 2 2 5 2 17 9" xfId="20932" xr:uid="{00000000-0005-0000-0000-00009F510000}"/>
    <cellStyle name="Normal 2 2 2 5 2 18" xfId="20933" xr:uid="{00000000-0005-0000-0000-0000A0510000}"/>
    <cellStyle name="Normal 2 2 2 5 2 18 10" xfId="20934" xr:uid="{00000000-0005-0000-0000-0000A1510000}"/>
    <cellStyle name="Normal 2 2 2 5 2 18 11" xfId="20935" xr:uid="{00000000-0005-0000-0000-0000A2510000}"/>
    <cellStyle name="Normal 2 2 2 5 2 18 12" xfId="20936" xr:uid="{00000000-0005-0000-0000-0000A3510000}"/>
    <cellStyle name="Normal 2 2 2 5 2 18 13" xfId="20937" xr:uid="{00000000-0005-0000-0000-0000A4510000}"/>
    <cellStyle name="Normal 2 2 2 5 2 18 14" xfId="20938" xr:uid="{00000000-0005-0000-0000-0000A5510000}"/>
    <cellStyle name="Normal 2 2 2 5 2 18 2" xfId="20939" xr:uid="{00000000-0005-0000-0000-0000A6510000}"/>
    <cellStyle name="Normal 2 2 2 5 2 18 2 10" xfId="20940" xr:uid="{00000000-0005-0000-0000-0000A7510000}"/>
    <cellStyle name="Normal 2 2 2 5 2 18 2 2" xfId="20941" xr:uid="{00000000-0005-0000-0000-0000A8510000}"/>
    <cellStyle name="Normal 2 2 2 5 2 18 2 3" xfId="20942" xr:uid="{00000000-0005-0000-0000-0000A9510000}"/>
    <cellStyle name="Normal 2 2 2 5 2 18 2 4" xfId="20943" xr:uid="{00000000-0005-0000-0000-0000AA510000}"/>
    <cellStyle name="Normal 2 2 2 5 2 18 2 5" xfId="20944" xr:uid="{00000000-0005-0000-0000-0000AB510000}"/>
    <cellStyle name="Normal 2 2 2 5 2 18 2 6" xfId="20945" xr:uid="{00000000-0005-0000-0000-0000AC510000}"/>
    <cellStyle name="Normal 2 2 2 5 2 18 2 7" xfId="20946" xr:uid="{00000000-0005-0000-0000-0000AD510000}"/>
    <cellStyle name="Normal 2 2 2 5 2 18 2 8" xfId="20947" xr:uid="{00000000-0005-0000-0000-0000AE510000}"/>
    <cellStyle name="Normal 2 2 2 5 2 18 2 9" xfId="20948" xr:uid="{00000000-0005-0000-0000-0000AF510000}"/>
    <cellStyle name="Normal 2 2 2 5 2 18 3" xfId="20949" xr:uid="{00000000-0005-0000-0000-0000B0510000}"/>
    <cellStyle name="Normal 2 2 2 5 2 18 3 10" xfId="20950" xr:uid="{00000000-0005-0000-0000-0000B1510000}"/>
    <cellStyle name="Normal 2 2 2 5 2 18 3 2" xfId="20951" xr:uid="{00000000-0005-0000-0000-0000B2510000}"/>
    <cellStyle name="Normal 2 2 2 5 2 18 3 3" xfId="20952" xr:uid="{00000000-0005-0000-0000-0000B3510000}"/>
    <cellStyle name="Normal 2 2 2 5 2 18 3 4" xfId="20953" xr:uid="{00000000-0005-0000-0000-0000B4510000}"/>
    <cellStyle name="Normal 2 2 2 5 2 18 3 5" xfId="20954" xr:uid="{00000000-0005-0000-0000-0000B5510000}"/>
    <cellStyle name="Normal 2 2 2 5 2 18 3 6" xfId="20955" xr:uid="{00000000-0005-0000-0000-0000B6510000}"/>
    <cellStyle name="Normal 2 2 2 5 2 18 3 7" xfId="20956" xr:uid="{00000000-0005-0000-0000-0000B7510000}"/>
    <cellStyle name="Normal 2 2 2 5 2 18 3 8" xfId="20957" xr:uid="{00000000-0005-0000-0000-0000B8510000}"/>
    <cellStyle name="Normal 2 2 2 5 2 18 3 9" xfId="20958" xr:uid="{00000000-0005-0000-0000-0000B9510000}"/>
    <cellStyle name="Normal 2 2 2 5 2 18 4" xfId="20959" xr:uid="{00000000-0005-0000-0000-0000BA510000}"/>
    <cellStyle name="Normal 2 2 2 5 2 18 4 10" xfId="20960" xr:uid="{00000000-0005-0000-0000-0000BB510000}"/>
    <cellStyle name="Normal 2 2 2 5 2 18 4 2" xfId="20961" xr:uid="{00000000-0005-0000-0000-0000BC510000}"/>
    <cellStyle name="Normal 2 2 2 5 2 18 4 3" xfId="20962" xr:uid="{00000000-0005-0000-0000-0000BD510000}"/>
    <cellStyle name="Normal 2 2 2 5 2 18 4 4" xfId="20963" xr:uid="{00000000-0005-0000-0000-0000BE510000}"/>
    <cellStyle name="Normal 2 2 2 5 2 18 4 5" xfId="20964" xr:uid="{00000000-0005-0000-0000-0000BF510000}"/>
    <cellStyle name="Normal 2 2 2 5 2 18 4 6" xfId="20965" xr:uid="{00000000-0005-0000-0000-0000C0510000}"/>
    <cellStyle name="Normal 2 2 2 5 2 18 4 7" xfId="20966" xr:uid="{00000000-0005-0000-0000-0000C1510000}"/>
    <cellStyle name="Normal 2 2 2 5 2 18 4 8" xfId="20967" xr:uid="{00000000-0005-0000-0000-0000C2510000}"/>
    <cellStyle name="Normal 2 2 2 5 2 18 4 9" xfId="20968" xr:uid="{00000000-0005-0000-0000-0000C3510000}"/>
    <cellStyle name="Normal 2 2 2 5 2 18 5" xfId="20969" xr:uid="{00000000-0005-0000-0000-0000C4510000}"/>
    <cellStyle name="Normal 2 2 2 5 2 18 5 10" xfId="20970" xr:uid="{00000000-0005-0000-0000-0000C5510000}"/>
    <cellStyle name="Normal 2 2 2 5 2 18 5 2" xfId="20971" xr:uid="{00000000-0005-0000-0000-0000C6510000}"/>
    <cellStyle name="Normal 2 2 2 5 2 18 5 3" xfId="20972" xr:uid="{00000000-0005-0000-0000-0000C7510000}"/>
    <cellStyle name="Normal 2 2 2 5 2 18 5 4" xfId="20973" xr:uid="{00000000-0005-0000-0000-0000C8510000}"/>
    <cellStyle name="Normal 2 2 2 5 2 18 5 5" xfId="20974" xr:uid="{00000000-0005-0000-0000-0000C9510000}"/>
    <cellStyle name="Normal 2 2 2 5 2 18 5 6" xfId="20975" xr:uid="{00000000-0005-0000-0000-0000CA510000}"/>
    <cellStyle name="Normal 2 2 2 5 2 18 5 7" xfId="20976" xr:uid="{00000000-0005-0000-0000-0000CB510000}"/>
    <cellStyle name="Normal 2 2 2 5 2 18 5 8" xfId="20977" xr:uid="{00000000-0005-0000-0000-0000CC510000}"/>
    <cellStyle name="Normal 2 2 2 5 2 18 5 9" xfId="20978" xr:uid="{00000000-0005-0000-0000-0000CD510000}"/>
    <cellStyle name="Normal 2 2 2 5 2 18 6" xfId="20979" xr:uid="{00000000-0005-0000-0000-0000CE510000}"/>
    <cellStyle name="Normal 2 2 2 5 2 18 7" xfId="20980" xr:uid="{00000000-0005-0000-0000-0000CF510000}"/>
    <cellStyle name="Normal 2 2 2 5 2 18 8" xfId="20981" xr:uid="{00000000-0005-0000-0000-0000D0510000}"/>
    <cellStyle name="Normal 2 2 2 5 2 18 9" xfId="20982" xr:uid="{00000000-0005-0000-0000-0000D1510000}"/>
    <cellStyle name="Normal 2 2 2 5 2 19" xfId="20983" xr:uid="{00000000-0005-0000-0000-0000D2510000}"/>
    <cellStyle name="Normal 2 2 2 5 2 19 10" xfId="20984" xr:uid="{00000000-0005-0000-0000-0000D3510000}"/>
    <cellStyle name="Normal 2 2 2 5 2 19 11" xfId="20985" xr:uid="{00000000-0005-0000-0000-0000D4510000}"/>
    <cellStyle name="Normal 2 2 2 5 2 19 12" xfId="20986" xr:uid="{00000000-0005-0000-0000-0000D5510000}"/>
    <cellStyle name="Normal 2 2 2 5 2 19 13" xfId="20987" xr:uid="{00000000-0005-0000-0000-0000D6510000}"/>
    <cellStyle name="Normal 2 2 2 5 2 19 14" xfId="20988" xr:uid="{00000000-0005-0000-0000-0000D7510000}"/>
    <cellStyle name="Normal 2 2 2 5 2 19 2" xfId="20989" xr:uid="{00000000-0005-0000-0000-0000D8510000}"/>
    <cellStyle name="Normal 2 2 2 5 2 19 2 10" xfId="20990" xr:uid="{00000000-0005-0000-0000-0000D9510000}"/>
    <cellStyle name="Normal 2 2 2 5 2 19 2 2" xfId="20991" xr:uid="{00000000-0005-0000-0000-0000DA510000}"/>
    <cellStyle name="Normal 2 2 2 5 2 19 2 3" xfId="20992" xr:uid="{00000000-0005-0000-0000-0000DB510000}"/>
    <cellStyle name="Normal 2 2 2 5 2 19 2 4" xfId="20993" xr:uid="{00000000-0005-0000-0000-0000DC510000}"/>
    <cellStyle name="Normal 2 2 2 5 2 19 2 5" xfId="20994" xr:uid="{00000000-0005-0000-0000-0000DD510000}"/>
    <cellStyle name="Normal 2 2 2 5 2 19 2 6" xfId="20995" xr:uid="{00000000-0005-0000-0000-0000DE510000}"/>
    <cellStyle name="Normal 2 2 2 5 2 19 2 7" xfId="20996" xr:uid="{00000000-0005-0000-0000-0000DF510000}"/>
    <cellStyle name="Normal 2 2 2 5 2 19 2 8" xfId="20997" xr:uid="{00000000-0005-0000-0000-0000E0510000}"/>
    <cellStyle name="Normal 2 2 2 5 2 19 2 9" xfId="20998" xr:uid="{00000000-0005-0000-0000-0000E1510000}"/>
    <cellStyle name="Normal 2 2 2 5 2 19 3" xfId="20999" xr:uid="{00000000-0005-0000-0000-0000E2510000}"/>
    <cellStyle name="Normal 2 2 2 5 2 19 3 10" xfId="21000" xr:uid="{00000000-0005-0000-0000-0000E3510000}"/>
    <cellStyle name="Normal 2 2 2 5 2 19 3 2" xfId="21001" xr:uid="{00000000-0005-0000-0000-0000E4510000}"/>
    <cellStyle name="Normal 2 2 2 5 2 19 3 3" xfId="21002" xr:uid="{00000000-0005-0000-0000-0000E5510000}"/>
    <cellStyle name="Normal 2 2 2 5 2 19 3 4" xfId="21003" xr:uid="{00000000-0005-0000-0000-0000E6510000}"/>
    <cellStyle name="Normal 2 2 2 5 2 19 3 5" xfId="21004" xr:uid="{00000000-0005-0000-0000-0000E7510000}"/>
    <cellStyle name="Normal 2 2 2 5 2 19 3 6" xfId="21005" xr:uid="{00000000-0005-0000-0000-0000E8510000}"/>
    <cellStyle name="Normal 2 2 2 5 2 19 3 7" xfId="21006" xr:uid="{00000000-0005-0000-0000-0000E9510000}"/>
    <cellStyle name="Normal 2 2 2 5 2 19 3 8" xfId="21007" xr:uid="{00000000-0005-0000-0000-0000EA510000}"/>
    <cellStyle name="Normal 2 2 2 5 2 19 3 9" xfId="21008" xr:uid="{00000000-0005-0000-0000-0000EB510000}"/>
    <cellStyle name="Normal 2 2 2 5 2 19 4" xfId="21009" xr:uid="{00000000-0005-0000-0000-0000EC510000}"/>
    <cellStyle name="Normal 2 2 2 5 2 19 4 10" xfId="21010" xr:uid="{00000000-0005-0000-0000-0000ED510000}"/>
    <cellStyle name="Normal 2 2 2 5 2 19 4 2" xfId="21011" xr:uid="{00000000-0005-0000-0000-0000EE510000}"/>
    <cellStyle name="Normal 2 2 2 5 2 19 4 3" xfId="21012" xr:uid="{00000000-0005-0000-0000-0000EF510000}"/>
    <cellStyle name="Normal 2 2 2 5 2 19 4 4" xfId="21013" xr:uid="{00000000-0005-0000-0000-0000F0510000}"/>
    <cellStyle name="Normal 2 2 2 5 2 19 4 5" xfId="21014" xr:uid="{00000000-0005-0000-0000-0000F1510000}"/>
    <cellStyle name="Normal 2 2 2 5 2 19 4 6" xfId="21015" xr:uid="{00000000-0005-0000-0000-0000F2510000}"/>
    <cellStyle name="Normal 2 2 2 5 2 19 4 7" xfId="21016" xr:uid="{00000000-0005-0000-0000-0000F3510000}"/>
    <cellStyle name="Normal 2 2 2 5 2 19 4 8" xfId="21017" xr:uid="{00000000-0005-0000-0000-0000F4510000}"/>
    <cellStyle name="Normal 2 2 2 5 2 19 4 9" xfId="21018" xr:uid="{00000000-0005-0000-0000-0000F5510000}"/>
    <cellStyle name="Normal 2 2 2 5 2 19 5" xfId="21019" xr:uid="{00000000-0005-0000-0000-0000F6510000}"/>
    <cellStyle name="Normal 2 2 2 5 2 19 5 10" xfId="21020" xr:uid="{00000000-0005-0000-0000-0000F7510000}"/>
    <cellStyle name="Normal 2 2 2 5 2 19 5 2" xfId="21021" xr:uid="{00000000-0005-0000-0000-0000F8510000}"/>
    <cellStyle name="Normal 2 2 2 5 2 19 5 3" xfId="21022" xr:uid="{00000000-0005-0000-0000-0000F9510000}"/>
    <cellStyle name="Normal 2 2 2 5 2 19 5 4" xfId="21023" xr:uid="{00000000-0005-0000-0000-0000FA510000}"/>
    <cellStyle name="Normal 2 2 2 5 2 19 5 5" xfId="21024" xr:uid="{00000000-0005-0000-0000-0000FB510000}"/>
    <cellStyle name="Normal 2 2 2 5 2 19 5 6" xfId="21025" xr:uid="{00000000-0005-0000-0000-0000FC510000}"/>
    <cellStyle name="Normal 2 2 2 5 2 19 5 7" xfId="21026" xr:uid="{00000000-0005-0000-0000-0000FD510000}"/>
    <cellStyle name="Normal 2 2 2 5 2 19 5 8" xfId="21027" xr:uid="{00000000-0005-0000-0000-0000FE510000}"/>
    <cellStyle name="Normal 2 2 2 5 2 19 5 9" xfId="21028" xr:uid="{00000000-0005-0000-0000-0000FF510000}"/>
    <cellStyle name="Normal 2 2 2 5 2 19 6" xfId="21029" xr:uid="{00000000-0005-0000-0000-000000520000}"/>
    <cellStyle name="Normal 2 2 2 5 2 19 7" xfId="21030" xr:uid="{00000000-0005-0000-0000-000001520000}"/>
    <cellStyle name="Normal 2 2 2 5 2 19 8" xfId="21031" xr:uid="{00000000-0005-0000-0000-000002520000}"/>
    <cellStyle name="Normal 2 2 2 5 2 19 9" xfId="21032" xr:uid="{00000000-0005-0000-0000-000003520000}"/>
    <cellStyle name="Normal 2 2 2 5 2 2" xfId="21033" xr:uid="{00000000-0005-0000-0000-000004520000}"/>
    <cellStyle name="Normal 2 2 2 5 2 2 10" xfId="21034" xr:uid="{00000000-0005-0000-0000-000005520000}"/>
    <cellStyle name="Normal 2 2 2 5 2 2 11" xfId="21035" xr:uid="{00000000-0005-0000-0000-000006520000}"/>
    <cellStyle name="Normal 2 2 2 5 2 2 12" xfId="21036" xr:uid="{00000000-0005-0000-0000-000007520000}"/>
    <cellStyle name="Normal 2 2 2 5 2 2 13" xfId="21037" xr:uid="{00000000-0005-0000-0000-000008520000}"/>
    <cellStyle name="Normal 2 2 2 5 2 2 14" xfId="21038" xr:uid="{00000000-0005-0000-0000-000009520000}"/>
    <cellStyle name="Normal 2 2 2 5 2 2 2" xfId="21039" xr:uid="{00000000-0005-0000-0000-00000A520000}"/>
    <cellStyle name="Normal 2 2 2 5 2 2 2 10" xfId="21040" xr:uid="{00000000-0005-0000-0000-00000B520000}"/>
    <cellStyle name="Normal 2 2 2 5 2 2 2 2" xfId="21041" xr:uid="{00000000-0005-0000-0000-00000C520000}"/>
    <cellStyle name="Normal 2 2 2 5 2 2 2 3" xfId="21042" xr:uid="{00000000-0005-0000-0000-00000D520000}"/>
    <cellStyle name="Normal 2 2 2 5 2 2 2 4" xfId="21043" xr:uid="{00000000-0005-0000-0000-00000E520000}"/>
    <cellStyle name="Normal 2 2 2 5 2 2 2 5" xfId="21044" xr:uid="{00000000-0005-0000-0000-00000F520000}"/>
    <cellStyle name="Normal 2 2 2 5 2 2 2 6" xfId="21045" xr:uid="{00000000-0005-0000-0000-000010520000}"/>
    <cellStyle name="Normal 2 2 2 5 2 2 2 7" xfId="21046" xr:uid="{00000000-0005-0000-0000-000011520000}"/>
    <cellStyle name="Normal 2 2 2 5 2 2 2 8" xfId="21047" xr:uid="{00000000-0005-0000-0000-000012520000}"/>
    <cellStyle name="Normal 2 2 2 5 2 2 2 9" xfId="21048" xr:uid="{00000000-0005-0000-0000-000013520000}"/>
    <cellStyle name="Normal 2 2 2 5 2 2 3" xfId="21049" xr:uid="{00000000-0005-0000-0000-000014520000}"/>
    <cellStyle name="Normal 2 2 2 5 2 2 3 10" xfId="21050" xr:uid="{00000000-0005-0000-0000-000015520000}"/>
    <cellStyle name="Normal 2 2 2 5 2 2 3 2" xfId="21051" xr:uid="{00000000-0005-0000-0000-000016520000}"/>
    <cellStyle name="Normal 2 2 2 5 2 2 3 3" xfId="21052" xr:uid="{00000000-0005-0000-0000-000017520000}"/>
    <cellStyle name="Normal 2 2 2 5 2 2 3 4" xfId="21053" xr:uid="{00000000-0005-0000-0000-000018520000}"/>
    <cellStyle name="Normal 2 2 2 5 2 2 3 5" xfId="21054" xr:uid="{00000000-0005-0000-0000-000019520000}"/>
    <cellStyle name="Normal 2 2 2 5 2 2 3 6" xfId="21055" xr:uid="{00000000-0005-0000-0000-00001A520000}"/>
    <cellStyle name="Normal 2 2 2 5 2 2 3 7" xfId="21056" xr:uid="{00000000-0005-0000-0000-00001B520000}"/>
    <cellStyle name="Normal 2 2 2 5 2 2 3 8" xfId="21057" xr:uid="{00000000-0005-0000-0000-00001C520000}"/>
    <cellStyle name="Normal 2 2 2 5 2 2 3 9" xfId="21058" xr:uid="{00000000-0005-0000-0000-00001D520000}"/>
    <cellStyle name="Normal 2 2 2 5 2 2 4" xfId="21059" xr:uid="{00000000-0005-0000-0000-00001E520000}"/>
    <cellStyle name="Normal 2 2 2 5 2 2 4 10" xfId="21060" xr:uid="{00000000-0005-0000-0000-00001F520000}"/>
    <cellStyle name="Normal 2 2 2 5 2 2 4 2" xfId="21061" xr:uid="{00000000-0005-0000-0000-000020520000}"/>
    <cellStyle name="Normal 2 2 2 5 2 2 4 3" xfId="21062" xr:uid="{00000000-0005-0000-0000-000021520000}"/>
    <cellStyle name="Normal 2 2 2 5 2 2 4 4" xfId="21063" xr:uid="{00000000-0005-0000-0000-000022520000}"/>
    <cellStyle name="Normal 2 2 2 5 2 2 4 5" xfId="21064" xr:uid="{00000000-0005-0000-0000-000023520000}"/>
    <cellStyle name="Normal 2 2 2 5 2 2 4 6" xfId="21065" xr:uid="{00000000-0005-0000-0000-000024520000}"/>
    <cellStyle name="Normal 2 2 2 5 2 2 4 7" xfId="21066" xr:uid="{00000000-0005-0000-0000-000025520000}"/>
    <cellStyle name="Normal 2 2 2 5 2 2 4 8" xfId="21067" xr:uid="{00000000-0005-0000-0000-000026520000}"/>
    <cellStyle name="Normal 2 2 2 5 2 2 4 9" xfId="21068" xr:uid="{00000000-0005-0000-0000-000027520000}"/>
    <cellStyle name="Normal 2 2 2 5 2 2 5" xfId="21069" xr:uid="{00000000-0005-0000-0000-000028520000}"/>
    <cellStyle name="Normal 2 2 2 5 2 2 5 10" xfId="21070" xr:uid="{00000000-0005-0000-0000-000029520000}"/>
    <cellStyle name="Normal 2 2 2 5 2 2 5 2" xfId="21071" xr:uid="{00000000-0005-0000-0000-00002A520000}"/>
    <cellStyle name="Normal 2 2 2 5 2 2 5 3" xfId="21072" xr:uid="{00000000-0005-0000-0000-00002B520000}"/>
    <cellStyle name="Normal 2 2 2 5 2 2 5 4" xfId="21073" xr:uid="{00000000-0005-0000-0000-00002C520000}"/>
    <cellStyle name="Normal 2 2 2 5 2 2 5 5" xfId="21074" xr:uid="{00000000-0005-0000-0000-00002D520000}"/>
    <cellStyle name="Normal 2 2 2 5 2 2 5 6" xfId="21075" xr:uid="{00000000-0005-0000-0000-00002E520000}"/>
    <cellStyle name="Normal 2 2 2 5 2 2 5 7" xfId="21076" xr:uid="{00000000-0005-0000-0000-00002F520000}"/>
    <cellStyle name="Normal 2 2 2 5 2 2 5 8" xfId="21077" xr:uid="{00000000-0005-0000-0000-000030520000}"/>
    <cellStyle name="Normal 2 2 2 5 2 2 5 9" xfId="21078" xr:uid="{00000000-0005-0000-0000-000031520000}"/>
    <cellStyle name="Normal 2 2 2 5 2 2 6" xfId="21079" xr:uid="{00000000-0005-0000-0000-000032520000}"/>
    <cellStyle name="Normal 2 2 2 5 2 2 7" xfId="21080" xr:uid="{00000000-0005-0000-0000-000033520000}"/>
    <cellStyle name="Normal 2 2 2 5 2 2 8" xfId="21081" xr:uid="{00000000-0005-0000-0000-000034520000}"/>
    <cellStyle name="Normal 2 2 2 5 2 2 9" xfId="21082" xr:uid="{00000000-0005-0000-0000-000035520000}"/>
    <cellStyle name="Normal 2 2 2 5 2 20" xfId="21083" xr:uid="{00000000-0005-0000-0000-000036520000}"/>
    <cellStyle name="Normal 2 2 2 5 2 20 10" xfId="21084" xr:uid="{00000000-0005-0000-0000-000037520000}"/>
    <cellStyle name="Normal 2 2 2 5 2 20 11" xfId="21085" xr:uid="{00000000-0005-0000-0000-000038520000}"/>
    <cellStyle name="Normal 2 2 2 5 2 20 12" xfId="21086" xr:uid="{00000000-0005-0000-0000-000039520000}"/>
    <cellStyle name="Normal 2 2 2 5 2 20 13" xfId="21087" xr:uid="{00000000-0005-0000-0000-00003A520000}"/>
    <cellStyle name="Normal 2 2 2 5 2 20 14" xfId="21088" xr:uid="{00000000-0005-0000-0000-00003B520000}"/>
    <cellStyle name="Normal 2 2 2 5 2 20 2" xfId="21089" xr:uid="{00000000-0005-0000-0000-00003C520000}"/>
    <cellStyle name="Normal 2 2 2 5 2 20 2 10" xfId="21090" xr:uid="{00000000-0005-0000-0000-00003D520000}"/>
    <cellStyle name="Normal 2 2 2 5 2 20 2 2" xfId="21091" xr:uid="{00000000-0005-0000-0000-00003E520000}"/>
    <cellStyle name="Normal 2 2 2 5 2 20 2 3" xfId="21092" xr:uid="{00000000-0005-0000-0000-00003F520000}"/>
    <cellStyle name="Normal 2 2 2 5 2 20 2 4" xfId="21093" xr:uid="{00000000-0005-0000-0000-000040520000}"/>
    <cellStyle name="Normal 2 2 2 5 2 20 2 5" xfId="21094" xr:uid="{00000000-0005-0000-0000-000041520000}"/>
    <cellStyle name="Normal 2 2 2 5 2 20 2 6" xfId="21095" xr:uid="{00000000-0005-0000-0000-000042520000}"/>
    <cellStyle name="Normal 2 2 2 5 2 20 2 7" xfId="21096" xr:uid="{00000000-0005-0000-0000-000043520000}"/>
    <cellStyle name="Normal 2 2 2 5 2 20 2 8" xfId="21097" xr:uid="{00000000-0005-0000-0000-000044520000}"/>
    <cellStyle name="Normal 2 2 2 5 2 20 2 9" xfId="21098" xr:uid="{00000000-0005-0000-0000-000045520000}"/>
    <cellStyle name="Normal 2 2 2 5 2 20 3" xfId="21099" xr:uid="{00000000-0005-0000-0000-000046520000}"/>
    <cellStyle name="Normal 2 2 2 5 2 20 3 10" xfId="21100" xr:uid="{00000000-0005-0000-0000-000047520000}"/>
    <cellStyle name="Normal 2 2 2 5 2 20 3 2" xfId="21101" xr:uid="{00000000-0005-0000-0000-000048520000}"/>
    <cellStyle name="Normal 2 2 2 5 2 20 3 3" xfId="21102" xr:uid="{00000000-0005-0000-0000-000049520000}"/>
    <cellStyle name="Normal 2 2 2 5 2 20 3 4" xfId="21103" xr:uid="{00000000-0005-0000-0000-00004A520000}"/>
    <cellStyle name="Normal 2 2 2 5 2 20 3 5" xfId="21104" xr:uid="{00000000-0005-0000-0000-00004B520000}"/>
    <cellStyle name="Normal 2 2 2 5 2 20 3 6" xfId="21105" xr:uid="{00000000-0005-0000-0000-00004C520000}"/>
    <cellStyle name="Normal 2 2 2 5 2 20 3 7" xfId="21106" xr:uid="{00000000-0005-0000-0000-00004D520000}"/>
    <cellStyle name="Normal 2 2 2 5 2 20 3 8" xfId="21107" xr:uid="{00000000-0005-0000-0000-00004E520000}"/>
    <cellStyle name="Normal 2 2 2 5 2 20 3 9" xfId="21108" xr:uid="{00000000-0005-0000-0000-00004F520000}"/>
    <cellStyle name="Normal 2 2 2 5 2 20 4" xfId="21109" xr:uid="{00000000-0005-0000-0000-000050520000}"/>
    <cellStyle name="Normal 2 2 2 5 2 20 4 10" xfId="21110" xr:uid="{00000000-0005-0000-0000-000051520000}"/>
    <cellStyle name="Normal 2 2 2 5 2 20 4 2" xfId="21111" xr:uid="{00000000-0005-0000-0000-000052520000}"/>
    <cellStyle name="Normal 2 2 2 5 2 20 4 3" xfId="21112" xr:uid="{00000000-0005-0000-0000-000053520000}"/>
    <cellStyle name="Normal 2 2 2 5 2 20 4 4" xfId="21113" xr:uid="{00000000-0005-0000-0000-000054520000}"/>
    <cellStyle name="Normal 2 2 2 5 2 20 4 5" xfId="21114" xr:uid="{00000000-0005-0000-0000-000055520000}"/>
    <cellStyle name="Normal 2 2 2 5 2 20 4 6" xfId="21115" xr:uid="{00000000-0005-0000-0000-000056520000}"/>
    <cellStyle name="Normal 2 2 2 5 2 20 4 7" xfId="21116" xr:uid="{00000000-0005-0000-0000-000057520000}"/>
    <cellStyle name="Normal 2 2 2 5 2 20 4 8" xfId="21117" xr:uid="{00000000-0005-0000-0000-000058520000}"/>
    <cellStyle name="Normal 2 2 2 5 2 20 4 9" xfId="21118" xr:uid="{00000000-0005-0000-0000-000059520000}"/>
    <cellStyle name="Normal 2 2 2 5 2 20 5" xfId="21119" xr:uid="{00000000-0005-0000-0000-00005A520000}"/>
    <cellStyle name="Normal 2 2 2 5 2 20 5 10" xfId="21120" xr:uid="{00000000-0005-0000-0000-00005B520000}"/>
    <cellStyle name="Normal 2 2 2 5 2 20 5 2" xfId="21121" xr:uid="{00000000-0005-0000-0000-00005C520000}"/>
    <cellStyle name="Normal 2 2 2 5 2 20 5 3" xfId="21122" xr:uid="{00000000-0005-0000-0000-00005D520000}"/>
    <cellStyle name="Normal 2 2 2 5 2 20 5 4" xfId="21123" xr:uid="{00000000-0005-0000-0000-00005E520000}"/>
    <cellStyle name="Normal 2 2 2 5 2 20 5 5" xfId="21124" xr:uid="{00000000-0005-0000-0000-00005F520000}"/>
    <cellStyle name="Normal 2 2 2 5 2 20 5 6" xfId="21125" xr:uid="{00000000-0005-0000-0000-000060520000}"/>
    <cellStyle name="Normal 2 2 2 5 2 20 5 7" xfId="21126" xr:uid="{00000000-0005-0000-0000-000061520000}"/>
    <cellStyle name="Normal 2 2 2 5 2 20 5 8" xfId="21127" xr:uid="{00000000-0005-0000-0000-000062520000}"/>
    <cellStyle name="Normal 2 2 2 5 2 20 5 9" xfId="21128" xr:uid="{00000000-0005-0000-0000-000063520000}"/>
    <cellStyle name="Normal 2 2 2 5 2 20 6" xfId="21129" xr:uid="{00000000-0005-0000-0000-000064520000}"/>
    <cellStyle name="Normal 2 2 2 5 2 20 7" xfId="21130" xr:uid="{00000000-0005-0000-0000-000065520000}"/>
    <cellStyle name="Normal 2 2 2 5 2 20 8" xfId="21131" xr:uid="{00000000-0005-0000-0000-000066520000}"/>
    <cellStyle name="Normal 2 2 2 5 2 20 9" xfId="21132" xr:uid="{00000000-0005-0000-0000-000067520000}"/>
    <cellStyle name="Normal 2 2 2 5 2 21" xfId="21133" xr:uid="{00000000-0005-0000-0000-000068520000}"/>
    <cellStyle name="Normal 2 2 2 5 2 22" xfId="21134" xr:uid="{00000000-0005-0000-0000-000069520000}"/>
    <cellStyle name="Normal 2 2 2 5 2 3" xfId="21135" xr:uid="{00000000-0005-0000-0000-00006A520000}"/>
    <cellStyle name="Normal 2 2 2 5 2 3 10" xfId="21136" xr:uid="{00000000-0005-0000-0000-00006B520000}"/>
    <cellStyle name="Normal 2 2 2 5 2 3 11" xfId="21137" xr:uid="{00000000-0005-0000-0000-00006C520000}"/>
    <cellStyle name="Normal 2 2 2 5 2 3 12" xfId="21138" xr:uid="{00000000-0005-0000-0000-00006D520000}"/>
    <cellStyle name="Normal 2 2 2 5 2 3 13" xfId="21139" xr:uid="{00000000-0005-0000-0000-00006E520000}"/>
    <cellStyle name="Normal 2 2 2 5 2 3 14" xfId="21140" xr:uid="{00000000-0005-0000-0000-00006F520000}"/>
    <cellStyle name="Normal 2 2 2 5 2 3 2" xfId="21141" xr:uid="{00000000-0005-0000-0000-000070520000}"/>
    <cellStyle name="Normal 2 2 2 5 2 3 2 10" xfId="21142" xr:uid="{00000000-0005-0000-0000-000071520000}"/>
    <cellStyle name="Normal 2 2 2 5 2 3 2 2" xfId="21143" xr:uid="{00000000-0005-0000-0000-000072520000}"/>
    <cellStyle name="Normal 2 2 2 5 2 3 2 3" xfId="21144" xr:uid="{00000000-0005-0000-0000-000073520000}"/>
    <cellStyle name="Normal 2 2 2 5 2 3 2 4" xfId="21145" xr:uid="{00000000-0005-0000-0000-000074520000}"/>
    <cellStyle name="Normal 2 2 2 5 2 3 2 5" xfId="21146" xr:uid="{00000000-0005-0000-0000-000075520000}"/>
    <cellStyle name="Normal 2 2 2 5 2 3 2 6" xfId="21147" xr:uid="{00000000-0005-0000-0000-000076520000}"/>
    <cellStyle name="Normal 2 2 2 5 2 3 2 7" xfId="21148" xr:uid="{00000000-0005-0000-0000-000077520000}"/>
    <cellStyle name="Normal 2 2 2 5 2 3 2 8" xfId="21149" xr:uid="{00000000-0005-0000-0000-000078520000}"/>
    <cellStyle name="Normal 2 2 2 5 2 3 2 9" xfId="21150" xr:uid="{00000000-0005-0000-0000-000079520000}"/>
    <cellStyle name="Normal 2 2 2 5 2 3 3" xfId="21151" xr:uid="{00000000-0005-0000-0000-00007A520000}"/>
    <cellStyle name="Normal 2 2 2 5 2 3 3 10" xfId="21152" xr:uid="{00000000-0005-0000-0000-00007B520000}"/>
    <cellStyle name="Normal 2 2 2 5 2 3 3 2" xfId="21153" xr:uid="{00000000-0005-0000-0000-00007C520000}"/>
    <cellStyle name="Normal 2 2 2 5 2 3 3 3" xfId="21154" xr:uid="{00000000-0005-0000-0000-00007D520000}"/>
    <cellStyle name="Normal 2 2 2 5 2 3 3 4" xfId="21155" xr:uid="{00000000-0005-0000-0000-00007E520000}"/>
    <cellStyle name="Normal 2 2 2 5 2 3 3 5" xfId="21156" xr:uid="{00000000-0005-0000-0000-00007F520000}"/>
    <cellStyle name="Normal 2 2 2 5 2 3 3 6" xfId="21157" xr:uid="{00000000-0005-0000-0000-000080520000}"/>
    <cellStyle name="Normal 2 2 2 5 2 3 3 7" xfId="21158" xr:uid="{00000000-0005-0000-0000-000081520000}"/>
    <cellStyle name="Normal 2 2 2 5 2 3 3 8" xfId="21159" xr:uid="{00000000-0005-0000-0000-000082520000}"/>
    <cellStyle name="Normal 2 2 2 5 2 3 3 9" xfId="21160" xr:uid="{00000000-0005-0000-0000-000083520000}"/>
    <cellStyle name="Normal 2 2 2 5 2 3 4" xfId="21161" xr:uid="{00000000-0005-0000-0000-000084520000}"/>
    <cellStyle name="Normal 2 2 2 5 2 3 4 10" xfId="21162" xr:uid="{00000000-0005-0000-0000-000085520000}"/>
    <cellStyle name="Normal 2 2 2 5 2 3 4 2" xfId="21163" xr:uid="{00000000-0005-0000-0000-000086520000}"/>
    <cellStyle name="Normal 2 2 2 5 2 3 4 3" xfId="21164" xr:uid="{00000000-0005-0000-0000-000087520000}"/>
    <cellStyle name="Normal 2 2 2 5 2 3 4 4" xfId="21165" xr:uid="{00000000-0005-0000-0000-000088520000}"/>
    <cellStyle name="Normal 2 2 2 5 2 3 4 5" xfId="21166" xr:uid="{00000000-0005-0000-0000-000089520000}"/>
    <cellStyle name="Normal 2 2 2 5 2 3 4 6" xfId="21167" xr:uid="{00000000-0005-0000-0000-00008A520000}"/>
    <cellStyle name="Normal 2 2 2 5 2 3 4 7" xfId="21168" xr:uid="{00000000-0005-0000-0000-00008B520000}"/>
    <cellStyle name="Normal 2 2 2 5 2 3 4 8" xfId="21169" xr:uid="{00000000-0005-0000-0000-00008C520000}"/>
    <cellStyle name="Normal 2 2 2 5 2 3 4 9" xfId="21170" xr:uid="{00000000-0005-0000-0000-00008D520000}"/>
    <cellStyle name="Normal 2 2 2 5 2 3 5" xfId="21171" xr:uid="{00000000-0005-0000-0000-00008E520000}"/>
    <cellStyle name="Normal 2 2 2 5 2 3 5 10" xfId="21172" xr:uid="{00000000-0005-0000-0000-00008F520000}"/>
    <cellStyle name="Normal 2 2 2 5 2 3 5 2" xfId="21173" xr:uid="{00000000-0005-0000-0000-000090520000}"/>
    <cellStyle name="Normal 2 2 2 5 2 3 5 3" xfId="21174" xr:uid="{00000000-0005-0000-0000-000091520000}"/>
    <cellStyle name="Normal 2 2 2 5 2 3 5 4" xfId="21175" xr:uid="{00000000-0005-0000-0000-000092520000}"/>
    <cellStyle name="Normal 2 2 2 5 2 3 5 5" xfId="21176" xr:uid="{00000000-0005-0000-0000-000093520000}"/>
    <cellStyle name="Normal 2 2 2 5 2 3 5 6" xfId="21177" xr:uid="{00000000-0005-0000-0000-000094520000}"/>
    <cellStyle name="Normal 2 2 2 5 2 3 5 7" xfId="21178" xr:uid="{00000000-0005-0000-0000-000095520000}"/>
    <cellStyle name="Normal 2 2 2 5 2 3 5 8" xfId="21179" xr:uid="{00000000-0005-0000-0000-000096520000}"/>
    <cellStyle name="Normal 2 2 2 5 2 3 5 9" xfId="21180" xr:uid="{00000000-0005-0000-0000-000097520000}"/>
    <cellStyle name="Normal 2 2 2 5 2 3 6" xfId="21181" xr:uid="{00000000-0005-0000-0000-000098520000}"/>
    <cellStyle name="Normal 2 2 2 5 2 3 7" xfId="21182" xr:uid="{00000000-0005-0000-0000-000099520000}"/>
    <cellStyle name="Normal 2 2 2 5 2 3 8" xfId="21183" xr:uid="{00000000-0005-0000-0000-00009A520000}"/>
    <cellStyle name="Normal 2 2 2 5 2 3 9" xfId="21184" xr:uid="{00000000-0005-0000-0000-00009B520000}"/>
    <cellStyle name="Normal 2 2 2 5 2 4" xfId="21185" xr:uid="{00000000-0005-0000-0000-00009C520000}"/>
    <cellStyle name="Normal 2 2 2 5 2 4 10" xfId="21186" xr:uid="{00000000-0005-0000-0000-00009D520000}"/>
    <cellStyle name="Normal 2 2 2 5 2 4 11" xfId="21187" xr:uid="{00000000-0005-0000-0000-00009E520000}"/>
    <cellStyle name="Normal 2 2 2 5 2 4 12" xfId="21188" xr:uid="{00000000-0005-0000-0000-00009F520000}"/>
    <cellStyle name="Normal 2 2 2 5 2 4 13" xfId="21189" xr:uid="{00000000-0005-0000-0000-0000A0520000}"/>
    <cellStyle name="Normal 2 2 2 5 2 4 14" xfId="21190" xr:uid="{00000000-0005-0000-0000-0000A1520000}"/>
    <cellStyle name="Normal 2 2 2 5 2 4 2" xfId="21191" xr:uid="{00000000-0005-0000-0000-0000A2520000}"/>
    <cellStyle name="Normal 2 2 2 5 2 4 2 10" xfId="21192" xr:uid="{00000000-0005-0000-0000-0000A3520000}"/>
    <cellStyle name="Normal 2 2 2 5 2 4 2 2" xfId="21193" xr:uid="{00000000-0005-0000-0000-0000A4520000}"/>
    <cellStyle name="Normal 2 2 2 5 2 4 2 3" xfId="21194" xr:uid="{00000000-0005-0000-0000-0000A5520000}"/>
    <cellStyle name="Normal 2 2 2 5 2 4 2 4" xfId="21195" xr:uid="{00000000-0005-0000-0000-0000A6520000}"/>
    <cellStyle name="Normal 2 2 2 5 2 4 2 5" xfId="21196" xr:uid="{00000000-0005-0000-0000-0000A7520000}"/>
    <cellStyle name="Normal 2 2 2 5 2 4 2 6" xfId="21197" xr:uid="{00000000-0005-0000-0000-0000A8520000}"/>
    <cellStyle name="Normal 2 2 2 5 2 4 2 7" xfId="21198" xr:uid="{00000000-0005-0000-0000-0000A9520000}"/>
    <cellStyle name="Normal 2 2 2 5 2 4 2 8" xfId="21199" xr:uid="{00000000-0005-0000-0000-0000AA520000}"/>
    <cellStyle name="Normal 2 2 2 5 2 4 2 9" xfId="21200" xr:uid="{00000000-0005-0000-0000-0000AB520000}"/>
    <cellStyle name="Normal 2 2 2 5 2 4 3" xfId="21201" xr:uid="{00000000-0005-0000-0000-0000AC520000}"/>
    <cellStyle name="Normal 2 2 2 5 2 4 3 10" xfId="21202" xr:uid="{00000000-0005-0000-0000-0000AD520000}"/>
    <cellStyle name="Normal 2 2 2 5 2 4 3 2" xfId="21203" xr:uid="{00000000-0005-0000-0000-0000AE520000}"/>
    <cellStyle name="Normal 2 2 2 5 2 4 3 3" xfId="21204" xr:uid="{00000000-0005-0000-0000-0000AF520000}"/>
    <cellStyle name="Normal 2 2 2 5 2 4 3 4" xfId="21205" xr:uid="{00000000-0005-0000-0000-0000B0520000}"/>
    <cellStyle name="Normal 2 2 2 5 2 4 3 5" xfId="21206" xr:uid="{00000000-0005-0000-0000-0000B1520000}"/>
    <cellStyle name="Normal 2 2 2 5 2 4 3 6" xfId="21207" xr:uid="{00000000-0005-0000-0000-0000B2520000}"/>
    <cellStyle name="Normal 2 2 2 5 2 4 3 7" xfId="21208" xr:uid="{00000000-0005-0000-0000-0000B3520000}"/>
    <cellStyle name="Normal 2 2 2 5 2 4 3 8" xfId="21209" xr:uid="{00000000-0005-0000-0000-0000B4520000}"/>
    <cellStyle name="Normal 2 2 2 5 2 4 3 9" xfId="21210" xr:uid="{00000000-0005-0000-0000-0000B5520000}"/>
    <cellStyle name="Normal 2 2 2 5 2 4 4" xfId="21211" xr:uid="{00000000-0005-0000-0000-0000B6520000}"/>
    <cellStyle name="Normal 2 2 2 5 2 4 4 10" xfId="21212" xr:uid="{00000000-0005-0000-0000-0000B7520000}"/>
    <cellStyle name="Normal 2 2 2 5 2 4 4 2" xfId="21213" xr:uid="{00000000-0005-0000-0000-0000B8520000}"/>
    <cellStyle name="Normal 2 2 2 5 2 4 4 3" xfId="21214" xr:uid="{00000000-0005-0000-0000-0000B9520000}"/>
    <cellStyle name="Normal 2 2 2 5 2 4 4 4" xfId="21215" xr:uid="{00000000-0005-0000-0000-0000BA520000}"/>
    <cellStyle name="Normal 2 2 2 5 2 4 4 5" xfId="21216" xr:uid="{00000000-0005-0000-0000-0000BB520000}"/>
    <cellStyle name="Normal 2 2 2 5 2 4 4 6" xfId="21217" xr:uid="{00000000-0005-0000-0000-0000BC520000}"/>
    <cellStyle name="Normal 2 2 2 5 2 4 4 7" xfId="21218" xr:uid="{00000000-0005-0000-0000-0000BD520000}"/>
    <cellStyle name="Normal 2 2 2 5 2 4 4 8" xfId="21219" xr:uid="{00000000-0005-0000-0000-0000BE520000}"/>
    <cellStyle name="Normal 2 2 2 5 2 4 4 9" xfId="21220" xr:uid="{00000000-0005-0000-0000-0000BF520000}"/>
    <cellStyle name="Normal 2 2 2 5 2 4 5" xfId="21221" xr:uid="{00000000-0005-0000-0000-0000C0520000}"/>
    <cellStyle name="Normal 2 2 2 5 2 4 5 10" xfId="21222" xr:uid="{00000000-0005-0000-0000-0000C1520000}"/>
    <cellStyle name="Normal 2 2 2 5 2 4 5 2" xfId="21223" xr:uid="{00000000-0005-0000-0000-0000C2520000}"/>
    <cellStyle name="Normal 2 2 2 5 2 4 5 3" xfId="21224" xr:uid="{00000000-0005-0000-0000-0000C3520000}"/>
    <cellStyle name="Normal 2 2 2 5 2 4 5 4" xfId="21225" xr:uid="{00000000-0005-0000-0000-0000C4520000}"/>
    <cellStyle name="Normal 2 2 2 5 2 4 5 5" xfId="21226" xr:uid="{00000000-0005-0000-0000-0000C5520000}"/>
    <cellStyle name="Normal 2 2 2 5 2 4 5 6" xfId="21227" xr:uid="{00000000-0005-0000-0000-0000C6520000}"/>
    <cellStyle name="Normal 2 2 2 5 2 4 5 7" xfId="21228" xr:uid="{00000000-0005-0000-0000-0000C7520000}"/>
    <cellStyle name="Normal 2 2 2 5 2 4 5 8" xfId="21229" xr:uid="{00000000-0005-0000-0000-0000C8520000}"/>
    <cellStyle name="Normal 2 2 2 5 2 4 5 9" xfId="21230" xr:uid="{00000000-0005-0000-0000-0000C9520000}"/>
    <cellStyle name="Normal 2 2 2 5 2 4 6" xfId="21231" xr:uid="{00000000-0005-0000-0000-0000CA520000}"/>
    <cellStyle name="Normal 2 2 2 5 2 4 7" xfId="21232" xr:uid="{00000000-0005-0000-0000-0000CB520000}"/>
    <cellStyle name="Normal 2 2 2 5 2 4 8" xfId="21233" xr:uid="{00000000-0005-0000-0000-0000CC520000}"/>
    <cellStyle name="Normal 2 2 2 5 2 4 9" xfId="21234" xr:uid="{00000000-0005-0000-0000-0000CD520000}"/>
    <cellStyle name="Normal 2 2 2 5 2 5" xfId="21235" xr:uid="{00000000-0005-0000-0000-0000CE520000}"/>
    <cellStyle name="Normal 2 2 2 5 2 5 10" xfId="21236" xr:uid="{00000000-0005-0000-0000-0000CF520000}"/>
    <cellStyle name="Normal 2 2 2 5 2 5 11" xfId="21237" xr:uid="{00000000-0005-0000-0000-0000D0520000}"/>
    <cellStyle name="Normal 2 2 2 5 2 5 12" xfId="21238" xr:uid="{00000000-0005-0000-0000-0000D1520000}"/>
    <cellStyle name="Normal 2 2 2 5 2 5 13" xfId="21239" xr:uid="{00000000-0005-0000-0000-0000D2520000}"/>
    <cellStyle name="Normal 2 2 2 5 2 5 14" xfId="21240" xr:uid="{00000000-0005-0000-0000-0000D3520000}"/>
    <cellStyle name="Normal 2 2 2 5 2 5 2" xfId="21241" xr:uid="{00000000-0005-0000-0000-0000D4520000}"/>
    <cellStyle name="Normal 2 2 2 5 2 5 2 10" xfId="21242" xr:uid="{00000000-0005-0000-0000-0000D5520000}"/>
    <cellStyle name="Normal 2 2 2 5 2 5 2 2" xfId="21243" xr:uid="{00000000-0005-0000-0000-0000D6520000}"/>
    <cellStyle name="Normal 2 2 2 5 2 5 2 3" xfId="21244" xr:uid="{00000000-0005-0000-0000-0000D7520000}"/>
    <cellStyle name="Normal 2 2 2 5 2 5 2 4" xfId="21245" xr:uid="{00000000-0005-0000-0000-0000D8520000}"/>
    <cellStyle name="Normal 2 2 2 5 2 5 2 5" xfId="21246" xr:uid="{00000000-0005-0000-0000-0000D9520000}"/>
    <cellStyle name="Normal 2 2 2 5 2 5 2 6" xfId="21247" xr:uid="{00000000-0005-0000-0000-0000DA520000}"/>
    <cellStyle name="Normal 2 2 2 5 2 5 2 7" xfId="21248" xr:uid="{00000000-0005-0000-0000-0000DB520000}"/>
    <cellStyle name="Normal 2 2 2 5 2 5 2 8" xfId="21249" xr:uid="{00000000-0005-0000-0000-0000DC520000}"/>
    <cellStyle name="Normal 2 2 2 5 2 5 2 9" xfId="21250" xr:uid="{00000000-0005-0000-0000-0000DD520000}"/>
    <cellStyle name="Normal 2 2 2 5 2 5 3" xfId="21251" xr:uid="{00000000-0005-0000-0000-0000DE520000}"/>
    <cellStyle name="Normal 2 2 2 5 2 5 3 10" xfId="21252" xr:uid="{00000000-0005-0000-0000-0000DF520000}"/>
    <cellStyle name="Normal 2 2 2 5 2 5 3 2" xfId="21253" xr:uid="{00000000-0005-0000-0000-0000E0520000}"/>
    <cellStyle name="Normal 2 2 2 5 2 5 3 3" xfId="21254" xr:uid="{00000000-0005-0000-0000-0000E1520000}"/>
    <cellStyle name="Normal 2 2 2 5 2 5 3 4" xfId="21255" xr:uid="{00000000-0005-0000-0000-0000E2520000}"/>
    <cellStyle name="Normal 2 2 2 5 2 5 3 5" xfId="21256" xr:uid="{00000000-0005-0000-0000-0000E3520000}"/>
    <cellStyle name="Normal 2 2 2 5 2 5 3 6" xfId="21257" xr:uid="{00000000-0005-0000-0000-0000E4520000}"/>
    <cellStyle name="Normal 2 2 2 5 2 5 3 7" xfId="21258" xr:uid="{00000000-0005-0000-0000-0000E5520000}"/>
    <cellStyle name="Normal 2 2 2 5 2 5 3 8" xfId="21259" xr:uid="{00000000-0005-0000-0000-0000E6520000}"/>
    <cellStyle name="Normal 2 2 2 5 2 5 3 9" xfId="21260" xr:uid="{00000000-0005-0000-0000-0000E7520000}"/>
    <cellStyle name="Normal 2 2 2 5 2 5 4" xfId="21261" xr:uid="{00000000-0005-0000-0000-0000E8520000}"/>
    <cellStyle name="Normal 2 2 2 5 2 5 4 10" xfId="21262" xr:uid="{00000000-0005-0000-0000-0000E9520000}"/>
    <cellStyle name="Normal 2 2 2 5 2 5 4 2" xfId="21263" xr:uid="{00000000-0005-0000-0000-0000EA520000}"/>
    <cellStyle name="Normal 2 2 2 5 2 5 4 3" xfId="21264" xr:uid="{00000000-0005-0000-0000-0000EB520000}"/>
    <cellStyle name="Normal 2 2 2 5 2 5 4 4" xfId="21265" xr:uid="{00000000-0005-0000-0000-0000EC520000}"/>
    <cellStyle name="Normal 2 2 2 5 2 5 4 5" xfId="21266" xr:uid="{00000000-0005-0000-0000-0000ED520000}"/>
    <cellStyle name="Normal 2 2 2 5 2 5 4 6" xfId="21267" xr:uid="{00000000-0005-0000-0000-0000EE520000}"/>
    <cellStyle name="Normal 2 2 2 5 2 5 4 7" xfId="21268" xr:uid="{00000000-0005-0000-0000-0000EF520000}"/>
    <cellStyle name="Normal 2 2 2 5 2 5 4 8" xfId="21269" xr:uid="{00000000-0005-0000-0000-0000F0520000}"/>
    <cellStyle name="Normal 2 2 2 5 2 5 4 9" xfId="21270" xr:uid="{00000000-0005-0000-0000-0000F1520000}"/>
    <cellStyle name="Normal 2 2 2 5 2 5 5" xfId="21271" xr:uid="{00000000-0005-0000-0000-0000F2520000}"/>
    <cellStyle name="Normal 2 2 2 5 2 5 5 10" xfId="21272" xr:uid="{00000000-0005-0000-0000-0000F3520000}"/>
    <cellStyle name="Normal 2 2 2 5 2 5 5 2" xfId="21273" xr:uid="{00000000-0005-0000-0000-0000F4520000}"/>
    <cellStyle name="Normal 2 2 2 5 2 5 5 3" xfId="21274" xr:uid="{00000000-0005-0000-0000-0000F5520000}"/>
    <cellStyle name="Normal 2 2 2 5 2 5 5 4" xfId="21275" xr:uid="{00000000-0005-0000-0000-0000F6520000}"/>
    <cellStyle name="Normal 2 2 2 5 2 5 5 5" xfId="21276" xr:uid="{00000000-0005-0000-0000-0000F7520000}"/>
    <cellStyle name="Normal 2 2 2 5 2 5 5 6" xfId="21277" xr:uid="{00000000-0005-0000-0000-0000F8520000}"/>
    <cellStyle name="Normal 2 2 2 5 2 5 5 7" xfId="21278" xr:uid="{00000000-0005-0000-0000-0000F9520000}"/>
    <cellStyle name="Normal 2 2 2 5 2 5 5 8" xfId="21279" xr:uid="{00000000-0005-0000-0000-0000FA520000}"/>
    <cellStyle name="Normal 2 2 2 5 2 5 5 9" xfId="21280" xr:uid="{00000000-0005-0000-0000-0000FB520000}"/>
    <cellStyle name="Normal 2 2 2 5 2 5 6" xfId="21281" xr:uid="{00000000-0005-0000-0000-0000FC520000}"/>
    <cellStyle name="Normal 2 2 2 5 2 5 7" xfId="21282" xr:uid="{00000000-0005-0000-0000-0000FD520000}"/>
    <cellStyle name="Normal 2 2 2 5 2 5 8" xfId="21283" xr:uid="{00000000-0005-0000-0000-0000FE520000}"/>
    <cellStyle name="Normal 2 2 2 5 2 5 9" xfId="21284" xr:uid="{00000000-0005-0000-0000-0000FF520000}"/>
    <cellStyle name="Normal 2 2 2 5 2 6" xfId="21285" xr:uid="{00000000-0005-0000-0000-000000530000}"/>
    <cellStyle name="Normal 2 2 2 5 2 6 10" xfId="21286" xr:uid="{00000000-0005-0000-0000-000001530000}"/>
    <cellStyle name="Normal 2 2 2 5 2 6 11" xfId="21287" xr:uid="{00000000-0005-0000-0000-000002530000}"/>
    <cellStyle name="Normal 2 2 2 5 2 6 12" xfId="21288" xr:uid="{00000000-0005-0000-0000-000003530000}"/>
    <cellStyle name="Normal 2 2 2 5 2 6 13" xfId="21289" xr:uid="{00000000-0005-0000-0000-000004530000}"/>
    <cellStyle name="Normal 2 2 2 5 2 6 14" xfId="21290" xr:uid="{00000000-0005-0000-0000-000005530000}"/>
    <cellStyle name="Normal 2 2 2 5 2 6 2" xfId="21291" xr:uid="{00000000-0005-0000-0000-000006530000}"/>
    <cellStyle name="Normal 2 2 2 5 2 6 2 10" xfId="21292" xr:uid="{00000000-0005-0000-0000-000007530000}"/>
    <cellStyle name="Normal 2 2 2 5 2 6 2 2" xfId="21293" xr:uid="{00000000-0005-0000-0000-000008530000}"/>
    <cellStyle name="Normal 2 2 2 5 2 6 2 3" xfId="21294" xr:uid="{00000000-0005-0000-0000-000009530000}"/>
    <cellStyle name="Normal 2 2 2 5 2 6 2 4" xfId="21295" xr:uid="{00000000-0005-0000-0000-00000A530000}"/>
    <cellStyle name="Normal 2 2 2 5 2 6 2 5" xfId="21296" xr:uid="{00000000-0005-0000-0000-00000B530000}"/>
    <cellStyle name="Normal 2 2 2 5 2 6 2 6" xfId="21297" xr:uid="{00000000-0005-0000-0000-00000C530000}"/>
    <cellStyle name="Normal 2 2 2 5 2 6 2 7" xfId="21298" xr:uid="{00000000-0005-0000-0000-00000D530000}"/>
    <cellStyle name="Normal 2 2 2 5 2 6 2 8" xfId="21299" xr:uid="{00000000-0005-0000-0000-00000E530000}"/>
    <cellStyle name="Normal 2 2 2 5 2 6 2 9" xfId="21300" xr:uid="{00000000-0005-0000-0000-00000F530000}"/>
    <cellStyle name="Normal 2 2 2 5 2 6 3" xfId="21301" xr:uid="{00000000-0005-0000-0000-000010530000}"/>
    <cellStyle name="Normal 2 2 2 5 2 6 3 10" xfId="21302" xr:uid="{00000000-0005-0000-0000-000011530000}"/>
    <cellStyle name="Normal 2 2 2 5 2 6 3 2" xfId="21303" xr:uid="{00000000-0005-0000-0000-000012530000}"/>
    <cellStyle name="Normal 2 2 2 5 2 6 3 3" xfId="21304" xr:uid="{00000000-0005-0000-0000-000013530000}"/>
    <cellStyle name="Normal 2 2 2 5 2 6 3 4" xfId="21305" xr:uid="{00000000-0005-0000-0000-000014530000}"/>
    <cellStyle name="Normal 2 2 2 5 2 6 3 5" xfId="21306" xr:uid="{00000000-0005-0000-0000-000015530000}"/>
    <cellStyle name="Normal 2 2 2 5 2 6 3 6" xfId="21307" xr:uid="{00000000-0005-0000-0000-000016530000}"/>
    <cellStyle name="Normal 2 2 2 5 2 6 3 7" xfId="21308" xr:uid="{00000000-0005-0000-0000-000017530000}"/>
    <cellStyle name="Normal 2 2 2 5 2 6 3 8" xfId="21309" xr:uid="{00000000-0005-0000-0000-000018530000}"/>
    <cellStyle name="Normal 2 2 2 5 2 6 3 9" xfId="21310" xr:uid="{00000000-0005-0000-0000-000019530000}"/>
    <cellStyle name="Normal 2 2 2 5 2 6 4" xfId="21311" xr:uid="{00000000-0005-0000-0000-00001A530000}"/>
    <cellStyle name="Normal 2 2 2 5 2 6 4 10" xfId="21312" xr:uid="{00000000-0005-0000-0000-00001B530000}"/>
    <cellStyle name="Normal 2 2 2 5 2 6 4 2" xfId="21313" xr:uid="{00000000-0005-0000-0000-00001C530000}"/>
    <cellStyle name="Normal 2 2 2 5 2 6 4 3" xfId="21314" xr:uid="{00000000-0005-0000-0000-00001D530000}"/>
    <cellStyle name="Normal 2 2 2 5 2 6 4 4" xfId="21315" xr:uid="{00000000-0005-0000-0000-00001E530000}"/>
    <cellStyle name="Normal 2 2 2 5 2 6 4 5" xfId="21316" xr:uid="{00000000-0005-0000-0000-00001F530000}"/>
    <cellStyle name="Normal 2 2 2 5 2 6 4 6" xfId="21317" xr:uid="{00000000-0005-0000-0000-000020530000}"/>
    <cellStyle name="Normal 2 2 2 5 2 6 4 7" xfId="21318" xr:uid="{00000000-0005-0000-0000-000021530000}"/>
    <cellStyle name="Normal 2 2 2 5 2 6 4 8" xfId="21319" xr:uid="{00000000-0005-0000-0000-000022530000}"/>
    <cellStyle name="Normal 2 2 2 5 2 6 4 9" xfId="21320" xr:uid="{00000000-0005-0000-0000-000023530000}"/>
    <cellStyle name="Normal 2 2 2 5 2 6 5" xfId="21321" xr:uid="{00000000-0005-0000-0000-000024530000}"/>
    <cellStyle name="Normal 2 2 2 5 2 6 5 10" xfId="21322" xr:uid="{00000000-0005-0000-0000-000025530000}"/>
    <cellStyle name="Normal 2 2 2 5 2 6 5 2" xfId="21323" xr:uid="{00000000-0005-0000-0000-000026530000}"/>
    <cellStyle name="Normal 2 2 2 5 2 6 5 3" xfId="21324" xr:uid="{00000000-0005-0000-0000-000027530000}"/>
    <cellStyle name="Normal 2 2 2 5 2 6 5 4" xfId="21325" xr:uid="{00000000-0005-0000-0000-000028530000}"/>
    <cellStyle name="Normal 2 2 2 5 2 6 5 5" xfId="21326" xr:uid="{00000000-0005-0000-0000-000029530000}"/>
    <cellStyle name="Normal 2 2 2 5 2 6 5 6" xfId="21327" xr:uid="{00000000-0005-0000-0000-00002A530000}"/>
    <cellStyle name="Normal 2 2 2 5 2 6 5 7" xfId="21328" xr:uid="{00000000-0005-0000-0000-00002B530000}"/>
    <cellStyle name="Normal 2 2 2 5 2 6 5 8" xfId="21329" xr:uid="{00000000-0005-0000-0000-00002C530000}"/>
    <cellStyle name="Normal 2 2 2 5 2 6 5 9" xfId="21330" xr:uid="{00000000-0005-0000-0000-00002D530000}"/>
    <cellStyle name="Normal 2 2 2 5 2 6 6" xfId="21331" xr:uid="{00000000-0005-0000-0000-00002E530000}"/>
    <cellStyle name="Normal 2 2 2 5 2 6 7" xfId="21332" xr:uid="{00000000-0005-0000-0000-00002F530000}"/>
    <cellStyle name="Normal 2 2 2 5 2 6 8" xfId="21333" xr:uid="{00000000-0005-0000-0000-000030530000}"/>
    <cellStyle name="Normal 2 2 2 5 2 6 9" xfId="21334" xr:uid="{00000000-0005-0000-0000-000031530000}"/>
    <cellStyle name="Normal 2 2 2 5 2 7" xfId="21335" xr:uid="{00000000-0005-0000-0000-000032530000}"/>
    <cellStyle name="Normal 2 2 2 5 2 7 10" xfId="21336" xr:uid="{00000000-0005-0000-0000-000033530000}"/>
    <cellStyle name="Normal 2 2 2 5 2 7 11" xfId="21337" xr:uid="{00000000-0005-0000-0000-000034530000}"/>
    <cellStyle name="Normal 2 2 2 5 2 7 12" xfId="21338" xr:uid="{00000000-0005-0000-0000-000035530000}"/>
    <cellStyle name="Normal 2 2 2 5 2 7 13" xfId="21339" xr:uid="{00000000-0005-0000-0000-000036530000}"/>
    <cellStyle name="Normal 2 2 2 5 2 7 14" xfId="21340" xr:uid="{00000000-0005-0000-0000-000037530000}"/>
    <cellStyle name="Normal 2 2 2 5 2 7 2" xfId="21341" xr:uid="{00000000-0005-0000-0000-000038530000}"/>
    <cellStyle name="Normal 2 2 2 5 2 7 2 10" xfId="21342" xr:uid="{00000000-0005-0000-0000-000039530000}"/>
    <cellStyle name="Normal 2 2 2 5 2 7 2 2" xfId="21343" xr:uid="{00000000-0005-0000-0000-00003A530000}"/>
    <cellStyle name="Normal 2 2 2 5 2 7 2 3" xfId="21344" xr:uid="{00000000-0005-0000-0000-00003B530000}"/>
    <cellStyle name="Normal 2 2 2 5 2 7 2 4" xfId="21345" xr:uid="{00000000-0005-0000-0000-00003C530000}"/>
    <cellStyle name="Normal 2 2 2 5 2 7 2 5" xfId="21346" xr:uid="{00000000-0005-0000-0000-00003D530000}"/>
    <cellStyle name="Normal 2 2 2 5 2 7 2 6" xfId="21347" xr:uid="{00000000-0005-0000-0000-00003E530000}"/>
    <cellStyle name="Normal 2 2 2 5 2 7 2 7" xfId="21348" xr:uid="{00000000-0005-0000-0000-00003F530000}"/>
    <cellStyle name="Normal 2 2 2 5 2 7 2 8" xfId="21349" xr:uid="{00000000-0005-0000-0000-000040530000}"/>
    <cellStyle name="Normal 2 2 2 5 2 7 2 9" xfId="21350" xr:uid="{00000000-0005-0000-0000-000041530000}"/>
    <cellStyle name="Normal 2 2 2 5 2 7 3" xfId="21351" xr:uid="{00000000-0005-0000-0000-000042530000}"/>
    <cellStyle name="Normal 2 2 2 5 2 7 3 10" xfId="21352" xr:uid="{00000000-0005-0000-0000-000043530000}"/>
    <cellStyle name="Normal 2 2 2 5 2 7 3 2" xfId="21353" xr:uid="{00000000-0005-0000-0000-000044530000}"/>
    <cellStyle name="Normal 2 2 2 5 2 7 3 3" xfId="21354" xr:uid="{00000000-0005-0000-0000-000045530000}"/>
    <cellStyle name="Normal 2 2 2 5 2 7 3 4" xfId="21355" xr:uid="{00000000-0005-0000-0000-000046530000}"/>
    <cellStyle name="Normal 2 2 2 5 2 7 3 5" xfId="21356" xr:uid="{00000000-0005-0000-0000-000047530000}"/>
    <cellStyle name="Normal 2 2 2 5 2 7 3 6" xfId="21357" xr:uid="{00000000-0005-0000-0000-000048530000}"/>
    <cellStyle name="Normal 2 2 2 5 2 7 3 7" xfId="21358" xr:uid="{00000000-0005-0000-0000-000049530000}"/>
    <cellStyle name="Normal 2 2 2 5 2 7 3 8" xfId="21359" xr:uid="{00000000-0005-0000-0000-00004A530000}"/>
    <cellStyle name="Normal 2 2 2 5 2 7 3 9" xfId="21360" xr:uid="{00000000-0005-0000-0000-00004B530000}"/>
    <cellStyle name="Normal 2 2 2 5 2 7 4" xfId="21361" xr:uid="{00000000-0005-0000-0000-00004C530000}"/>
    <cellStyle name="Normal 2 2 2 5 2 7 4 10" xfId="21362" xr:uid="{00000000-0005-0000-0000-00004D530000}"/>
    <cellStyle name="Normal 2 2 2 5 2 7 4 2" xfId="21363" xr:uid="{00000000-0005-0000-0000-00004E530000}"/>
    <cellStyle name="Normal 2 2 2 5 2 7 4 3" xfId="21364" xr:uid="{00000000-0005-0000-0000-00004F530000}"/>
    <cellStyle name="Normal 2 2 2 5 2 7 4 4" xfId="21365" xr:uid="{00000000-0005-0000-0000-000050530000}"/>
    <cellStyle name="Normal 2 2 2 5 2 7 4 5" xfId="21366" xr:uid="{00000000-0005-0000-0000-000051530000}"/>
    <cellStyle name="Normal 2 2 2 5 2 7 4 6" xfId="21367" xr:uid="{00000000-0005-0000-0000-000052530000}"/>
    <cellStyle name="Normal 2 2 2 5 2 7 4 7" xfId="21368" xr:uid="{00000000-0005-0000-0000-000053530000}"/>
    <cellStyle name="Normal 2 2 2 5 2 7 4 8" xfId="21369" xr:uid="{00000000-0005-0000-0000-000054530000}"/>
    <cellStyle name="Normal 2 2 2 5 2 7 4 9" xfId="21370" xr:uid="{00000000-0005-0000-0000-000055530000}"/>
    <cellStyle name="Normal 2 2 2 5 2 7 5" xfId="21371" xr:uid="{00000000-0005-0000-0000-000056530000}"/>
    <cellStyle name="Normal 2 2 2 5 2 7 5 10" xfId="21372" xr:uid="{00000000-0005-0000-0000-000057530000}"/>
    <cellStyle name="Normal 2 2 2 5 2 7 5 2" xfId="21373" xr:uid="{00000000-0005-0000-0000-000058530000}"/>
    <cellStyle name="Normal 2 2 2 5 2 7 5 3" xfId="21374" xr:uid="{00000000-0005-0000-0000-000059530000}"/>
    <cellStyle name="Normal 2 2 2 5 2 7 5 4" xfId="21375" xr:uid="{00000000-0005-0000-0000-00005A530000}"/>
    <cellStyle name="Normal 2 2 2 5 2 7 5 5" xfId="21376" xr:uid="{00000000-0005-0000-0000-00005B530000}"/>
    <cellStyle name="Normal 2 2 2 5 2 7 5 6" xfId="21377" xr:uid="{00000000-0005-0000-0000-00005C530000}"/>
    <cellStyle name="Normal 2 2 2 5 2 7 5 7" xfId="21378" xr:uid="{00000000-0005-0000-0000-00005D530000}"/>
    <cellStyle name="Normal 2 2 2 5 2 7 5 8" xfId="21379" xr:uid="{00000000-0005-0000-0000-00005E530000}"/>
    <cellStyle name="Normal 2 2 2 5 2 7 5 9" xfId="21380" xr:uid="{00000000-0005-0000-0000-00005F530000}"/>
    <cellStyle name="Normal 2 2 2 5 2 7 6" xfId="21381" xr:uid="{00000000-0005-0000-0000-000060530000}"/>
    <cellStyle name="Normal 2 2 2 5 2 7 7" xfId="21382" xr:uid="{00000000-0005-0000-0000-000061530000}"/>
    <cellStyle name="Normal 2 2 2 5 2 7 8" xfId="21383" xr:uid="{00000000-0005-0000-0000-000062530000}"/>
    <cellStyle name="Normal 2 2 2 5 2 7 9" xfId="21384" xr:uid="{00000000-0005-0000-0000-000063530000}"/>
    <cellStyle name="Normal 2 2 2 5 2 8" xfId="21385" xr:uid="{00000000-0005-0000-0000-000064530000}"/>
    <cellStyle name="Normal 2 2 2 5 2 8 10" xfId="21386" xr:uid="{00000000-0005-0000-0000-000065530000}"/>
    <cellStyle name="Normal 2 2 2 5 2 8 11" xfId="21387" xr:uid="{00000000-0005-0000-0000-000066530000}"/>
    <cellStyle name="Normal 2 2 2 5 2 8 12" xfId="21388" xr:uid="{00000000-0005-0000-0000-000067530000}"/>
    <cellStyle name="Normal 2 2 2 5 2 8 13" xfId="21389" xr:uid="{00000000-0005-0000-0000-000068530000}"/>
    <cellStyle name="Normal 2 2 2 5 2 8 14" xfId="21390" xr:uid="{00000000-0005-0000-0000-000069530000}"/>
    <cellStyle name="Normal 2 2 2 5 2 8 2" xfId="21391" xr:uid="{00000000-0005-0000-0000-00006A530000}"/>
    <cellStyle name="Normal 2 2 2 5 2 8 2 10" xfId="21392" xr:uid="{00000000-0005-0000-0000-00006B530000}"/>
    <cellStyle name="Normal 2 2 2 5 2 8 2 2" xfId="21393" xr:uid="{00000000-0005-0000-0000-00006C530000}"/>
    <cellStyle name="Normal 2 2 2 5 2 8 2 3" xfId="21394" xr:uid="{00000000-0005-0000-0000-00006D530000}"/>
    <cellStyle name="Normal 2 2 2 5 2 8 2 4" xfId="21395" xr:uid="{00000000-0005-0000-0000-00006E530000}"/>
    <cellStyle name="Normal 2 2 2 5 2 8 2 5" xfId="21396" xr:uid="{00000000-0005-0000-0000-00006F530000}"/>
    <cellStyle name="Normal 2 2 2 5 2 8 2 6" xfId="21397" xr:uid="{00000000-0005-0000-0000-000070530000}"/>
    <cellStyle name="Normal 2 2 2 5 2 8 2 7" xfId="21398" xr:uid="{00000000-0005-0000-0000-000071530000}"/>
    <cellStyle name="Normal 2 2 2 5 2 8 2 8" xfId="21399" xr:uid="{00000000-0005-0000-0000-000072530000}"/>
    <cellStyle name="Normal 2 2 2 5 2 8 2 9" xfId="21400" xr:uid="{00000000-0005-0000-0000-000073530000}"/>
    <cellStyle name="Normal 2 2 2 5 2 8 3" xfId="21401" xr:uid="{00000000-0005-0000-0000-000074530000}"/>
    <cellStyle name="Normal 2 2 2 5 2 8 3 10" xfId="21402" xr:uid="{00000000-0005-0000-0000-000075530000}"/>
    <cellStyle name="Normal 2 2 2 5 2 8 3 2" xfId="21403" xr:uid="{00000000-0005-0000-0000-000076530000}"/>
    <cellStyle name="Normal 2 2 2 5 2 8 3 3" xfId="21404" xr:uid="{00000000-0005-0000-0000-000077530000}"/>
    <cellStyle name="Normal 2 2 2 5 2 8 3 4" xfId="21405" xr:uid="{00000000-0005-0000-0000-000078530000}"/>
    <cellStyle name="Normal 2 2 2 5 2 8 3 5" xfId="21406" xr:uid="{00000000-0005-0000-0000-000079530000}"/>
    <cellStyle name="Normal 2 2 2 5 2 8 3 6" xfId="21407" xr:uid="{00000000-0005-0000-0000-00007A530000}"/>
    <cellStyle name="Normal 2 2 2 5 2 8 3 7" xfId="21408" xr:uid="{00000000-0005-0000-0000-00007B530000}"/>
    <cellStyle name="Normal 2 2 2 5 2 8 3 8" xfId="21409" xr:uid="{00000000-0005-0000-0000-00007C530000}"/>
    <cellStyle name="Normal 2 2 2 5 2 8 3 9" xfId="21410" xr:uid="{00000000-0005-0000-0000-00007D530000}"/>
    <cellStyle name="Normal 2 2 2 5 2 8 4" xfId="21411" xr:uid="{00000000-0005-0000-0000-00007E530000}"/>
    <cellStyle name="Normal 2 2 2 5 2 8 4 10" xfId="21412" xr:uid="{00000000-0005-0000-0000-00007F530000}"/>
    <cellStyle name="Normal 2 2 2 5 2 8 4 2" xfId="21413" xr:uid="{00000000-0005-0000-0000-000080530000}"/>
    <cellStyle name="Normal 2 2 2 5 2 8 4 3" xfId="21414" xr:uid="{00000000-0005-0000-0000-000081530000}"/>
    <cellStyle name="Normal 2 2 2 5 2 8 4 4" xfId="21415" xr:uid="{00000000-0005-0000-0000-000082530000}"/>
    <cellStyle name="Normal 2 2 2 5 2 8 4 5" xfId="21416" xr:uid="{00000000-0005-0000-0000-000083530000}"/>
    <cellStyle name="Normal 2 2 2 5 2 8 4 6" xfId="21417" xr:uid="{00000000-0005-0000-0000-000084530000}"/>
    <cellStyle name="Normal 2 2 2 5 2 8 4 7" xfId="21418" xr:uid="{00000000-0005-0000-0000-000085530000}"/>
    <cellStyle name="Normal 2 2 2 5 2 8 4 8" xfId="21419" xr:uid="{00000000-0005-0000-0000-000086530000}"/>
    <cellStyle name="Normal 2 2 2 5 2 8 4 9" xfId="21420" xr:uid="{00000000-0005-0000-0000-000087530000}"/>
    <cellStyle name="Normal 2 2 2 5 2 8 5" xfId="21421" xr:uid="{00000000-0005-0000-0000-000088530000}"/>
    <cellStyle name="Normal 2 2 2 5 2 8 5 10" xfId="21422" xr:uid="{00000000-0005-0000-0000-000089530000}"/>
    <cellStyle name="Normal 2 2 2 5 2 8 5 2" xfId="21423" xr:uid="{00000000-0005-0000-0000-00008A530000}"/>
    <cellStyle name="Normal 2 2 2 5 2 8 5 3" xfId="21424" xr:uid="{00000000-0005-0000-0000-00008B530000}"/>
    <cellStyle name="Normal 2 2 2 5 2 8 5 4" xfId="21425" xr:uid="{00000000-0005-0000-0000-00008C530000}"/>
    <cellStyle name="Normal 2 2 2 5 2 8 5 5" xfId="21426" xr:uid="{00000000-0005-0000-0000-00008D530000}"/>
    <cellStyle name="Normal 2 2 2 5 2 8 5 6" xfId="21427" xr:uid="{00000000-0005-0000-0000-00008E530000}"/>
    <cellStyle name="Normal 2 2 2 5 2 8 5 7" xfId="21428" xr:uid="{00000000-0005-0000-0000-00008F530000}"/>
    <cellStyle name="Normal 2 2 2 5 2 8 5 8" xfId="21429" xr:uid="{00000000-0005-0000-0000-000090530000}"/>
    <cellStyle name="Normal 2 2 2 5 2 8 5 9" xfId="21430" xr:uid="{00000000-0005-0000-0000-000091530000}"/>
    <cellStyle name="Normal 2 2 2 5 2 8 6" xfId="21431" xr:uid="{00000000-0005-0000-0000-000092530000}"/>
    <cellStyle name="Normal 2 2 2 5 2 8 7" xfId="21432" xr:uid="{00000000-0005-0000-0000-000093530000}"/>
    <cellStyle name="Normal 2 2 2 5 2 8 8" xfId="21433" xr:uid="{00000000-0005-0000-0000-000094530000}"/>
    <cellStyle name="Normal 2 2 2 5 2 8 9" xfId="21434" xr:uid="{00000000-0005-0000-0000-000095530000}"/>
    <cellStyle name="Normal 2 2 2 5 2 9" xfId="21435" xr:uid="{00000000-0005-0000-0000-000096530000}"/>
    <cellStyle name="Normal 2 2 2 5 2 9 10" xfId="21436" xr:uid="{00000000-0005-0000-0000-000097530000}"/>
    <cellStyle name="Normal 2 2 2 5 2 9 11" xfId="21437" xr:uid="{00000000-0005-0000-0000-000098530000}"/>
    <cellStyle name="Normal 2 2 2 5 2 9 12" xfId="21438" xr:uid="{00000000-0005-0000-0000-000099530000}"/>
    <cellStyle name="Normal 2 2 2 5 2 9 13" xfId="21439" xr:uid="{00000000-0005-0000-0000-00009A530000}"/>
    <cellStyle name="Normal 2 2 2 5 2 9 14" xfId="21440" xr:uid="{00000000-0005-0000-0000-00009B530000}"/>
    <cellStyle name="Normal 2 2 2 5 2 9 2" xfId="21441" xr:uid="{00000000-0005-0000-0000-00009C530000}"/>
    <cellStyle name="Normal 2 2 2 5 2 9 2 10" xfId="21442" xr:uid="{00000000-0005-0000-0000-00009D530000}"/>
    <cellStyle name="Normal 2 2 2 5 2 9 2 2" xfId="21443" xr:uid="{00000000-0005-0000-0000-00009E530000}"/>
    <cellStyle name="Normal 2 2 2 5 2 9 2 3" xfId="21444" xr:uid="{00000000-0005-0000-0000-00009F530000}"/>
    <cellStyle name="Normal 2 2 2 5 2 9 2 4" xfId="21445" xr:uid="{00000000-0005-0000-0000-0000A0530000}"/>
    <cellStyle name="Normal 2 2 2 5 2 9 2 5" xfId="21446" xr:uid="{00000000-0005-0000-0000-0000A1530000}"/>
    <cellStyle name="Normal 2 2 2 5 2 9 2 6" xfId="21447" xr:uid="{00000000-0005-0000-0000-0000A2530000}"/>
    <cellStyle name="Normal 2 2 2 5 2 9 2 7" xfId="21448" xr:uid="{00000000-0005-0000-0000-0000A3530000}"/>
    <cellStyle name="Normal 2 2 2 5 2 9 2 8" xfId="21449" xr:uid="{00000000-0005-0000-0000-0000A4530000}"/>
    <cellStyle name="Normal 2 2 2 5 2 9 2 9" xfId="21450" xr:uid="{00000000-0005-0000-0000-0000A5530000}"/>
    <cellStyle name="Normal 2 2 2 5 2 9 3" xfId="21451" xr:uid="{00000000-0005-0000-0000-0000A6530000}"/>
    <cellStyle name="Normal 2 2 2 5 2 9 3 10" xfId="21452" xr:uid="{00000000-0005-0000-0000-0000A7530000}"/>
    <cellStyle name="Normal 2 2 2 5 2 9 3 2" xfId="21453" xr:uid="{00000000-0005-0000-0000-0000A8530000}"/>
    <cellStyle name="Normal 2 2 2 5 2 9 3 3" xfId="21454" xr:uid="{00000000-0005-0000-0000-0000A9530000}"/>
    <cellStyle name="Normal 2 2 2 5 2 9 3 4" xfId="21455" xr:uid="{00000000-0005-0000-0000-0000AA530000}"/>
    <cellStyle name="Normal 2 2 2 5 2 9 3 5" xfId="21456" xr:uid="{00000000-0005-0000-0000-0000AB530000}"/>
    <cellStyle name="Normal 2 2 2 5 2 9 3 6" xfId="21457" xr:uid="{00000000-0005-0000-0000-0000AC530000}"/>
    <cellStyle name="Normal 2 2 2 5 2 9 3 7" xfId="21458" xr:uid="{00000000-0005-0000-0000-0000AD530000}"/>
    <cellStyle name="Normal 2 2 2 5 2 9 3 8" xfId="21459" xr:uid="{00000000-0005-0000-0000-0000AE530000}"/>
    <cellStyle name="Normal 2 2 2 5 2 9 3 9" xfId="21460" xr:uid="{00000000-0005-0000-0000-0000AF530000}"/>
    <cellStyle name="Normal 2 2 2 5 2 9 4" xfId="21461" xr:uid="{00000000-0005-0000-0000-0000B0530000}"/>
    <cellStyle name="Normal 2 2 2 5 2 9 4 10" xfId="21462" xr:uid="{00000000-0005-0000-0000-0000B1530000}"/>
    <cellStyle name="Normal 2 2 2 5 2 9 4 2" xfId="21463" xr:uid="{00000000-0005-0000-0000-0000B2530000}"/>
    <cellStyle name="Normal 2 2 2 5 2 9 4 3" xfId="21464" xr:uid="{00000000-0005-0000-0000-0000B3530000}"/>
    <cellStyle name="Normal 2 2 2 5 2 9 4 4" xfId="21465" xr:uid="{00000000-0005-0000-0000-0000B4530000}"/>
    <cellStyle name="Normal 2 2 2 5 2 9 4 5" xfId="21466" xr:uid="{00000000-0005-0000-0000-0000B5530000}"/>
    <cellStyle name="Normal 2 2 2 5 2 9 4 6" xfId="21467" xr:uid="{00000000-0005-0000-0000-0000B6530000}"/>
    <cellStyle name="Normal 2 2 2 5 2 9 4 7" xfId="21468" xr:uid="{00000000-0005-0000-0000-0000B7530000}"/>
    <cellStyle name="Normal 2 2 2 5 2 9 4 8" xfId="21469" xr:uid="{00000000-0005-0000-0000-0000B8530000}"/>
    <cellStyle name="Normal 2 2 2 5 2 9 4 9" xfId="21470" xr:uid="{00000000-0005-0000-0000-0000B9530000}"/>
    <cellStyle name="Normal 2 2 2 5 2 9 5" xfId="21471" xr:uid="{00000000-0005-0000-0000-0000BA530000}"/>
    <cellStyle name="Normal 2 2 2 5 2 9 5 10" xfId="21472" xr:uid="{00000000-0005-0000-0000-0000BB530000}"/>
    <cellStyle name="Normal 2 2 2 5 2 9 5 2" xfId="21473" xr:uid="{00000000-0005-0000-0000-0000BC530000}"/>
    <cellStyle name="Normal 2 2 2 5 2 9 5 3" xfId="21474" xr:uid="{00000000-0005-0000-0000-0000BD530000}"/>
    <cellStyle name="Normal 2 2 2 5 2 9 5 4" xfId="21475" xr:uid="{00000000-0005-0000-0000-0000BE530000}"/>
    <cellStyle name="Normal 2 2 2 5 2 9 5 5" xfId="21476" xr:uid="{00000000-0005-0000-0000-0000BF530000}"/>
    <cellStyle name="Normal 2 2 2 5 2 9 5 6" xfId="21477" xr:uid="{00000000-0005-0000-0000-0000C0530000}"/>
    <cellStyle name="Normal 2 2 2 5 2 9 5 7" xfId="21478" xr:uid="{00000000-0005-0000-0000-0000C1530000}"/>
    <cellStyle name="Normal 2 2 2 5 2 9 5 8" xfId="21479" xr:uid="{00000000-0005-0000-0000-0000C2530000}"/>
    <cellStyle name="Normal 2 2 2 5 2 9 5 9" xfId="21480" xr:uid="{00000000-0005-0000-0000-0000C3530000}"/>
    <cellStyle name="Normal 2 2 2 5 2 9 6" xfId="21481" xr:uid="{00000000-0005-0000-0000-0000C4530000}"/>
    <cellStyle name="Normal 2 2 2 5 2 9 7" xfId="21482" xr:uid="{00000000-0005-0000-0000-0000C5530000}"/>
    <cellStyle name="Normal 2 2 2 5 2 9 8" xfId="21483" xr:uid="{00000000-0005-0000-0000-0000C6530000}"/>
    <cellStyle name="Normal 2 2 2 5 2 9 9" xfId="21484" xr:uid="{00000000-0005-0000-0000-0000C7530000}"/>
    <cellStyle name="Normal 2 2 2 5 20" xfId="21485" xr:uid="{00000000-0005-0000-0000-0000C8530000}"/>
    <cellStyle name="Normal 2 2 2 5 21" xfId="21486" xr:uid="{00000000-0005-0000-0000-0000C9530000}"/>
    <cellStyle name="Normal 2 2 2 5 21 10" xfId="21487" xr:uid="{00000000-0005-0000-0000-0000CA530000}"/>
    <cellStyle name="Normal 2 2 2 5 21 2" xfId="21488" xr:uid="{00000000-0005-0000-0000-0000CB530000}"/>
    <cellStyle name="Normal 2 2 2 5 21 3" xfId="21489" xr:uid="{00000000-0005-0000-0000-0000CC530000}"/>
    <cellStyle name="Normal 2 2 2 5 21 4" xfId="21490" xr:uid="{00000000-0005-0000-0000-0000CD530000}"/>
    <cellStyle name="Normal 2 2 2 5 21 5" xfId="21491" xr:uid="{00000000-0005-0000-0000-0000CE530000}"/>
    <cellStyle name="Normal 2 2 2 5 21 6" xfId="21492" xr:uid="{00000000-0005-0000-0000-0000CF530000}"/>
    <cellStyle name="Normal 2 2 2 5 21 7" xfId="21493" xr:uid="{00000000-0005-0000-0000-0000D0530000}"/>
    <cellStyle name="Normal 2 2 2 5 21 8" xfId="21494" xr:uid="{00000000-0005-0000-0000-0000D1530000}"/>
    <cellStyle name="Normal 2 2 2 5 21 9" xfId="21495" xr:uid="{00000000-0005-0000-0000-0000D2530000}"/>
    <cellStyle name="Normal 2 2 2 5 22" xfId="21496" xr:uid="{00000000-0005-0000-0000-0000D3530000}"/>
    <cellStyle name="Normal 2 2 2 5 22 10" xfId="21497" xr:uid="{00000000-0005-0000-0000-0000D4530000}"/>
    <cellStyle name="Normal 2 2 2 5 22 2" xfId="21498" xr:uid="{00000000-0005-0000-0000-0000D5530000}"/>
    <cellStyle name="Normal 2 2 2 5 22 3" xfId="21499" xr:uid="{00000000-0005-0000-0000-0000D6530000}"/>
    <cellStyle name="Normal 2 2 2 5 22 4" xfId="21500" xr:uid="{00000000-0005-0000-0000-0000D7530000}"/>
    <cellStyle name="Normal 2 2 2 5 22 5" xfId="21501" xr:uid="{00000000-0005-0000-0000-0000D8530000}"/>
    <cellStyle name="Normal 2 2 2 5 22 6" xfId="21502" xr:uid="{00000000-0005-0000-0000-0000D9530000}"/>
    <cellStyle name="Normal 2 2 2 5 22 7" xfId="21503" xr:uid="{00000000-0005-0000-0000-0000DA530000}"/>
    <cellStyle name="Normal 2 2 2 5 22 8" xfId="21504" xr:uid="{00000000-0005-0000-0000-0000DB530000}"/>
    <cellStyle name="Normal 2 2 2 5 22 9" xfId="21505" xr:uid="{00000000-0005-0000-0000-0000DC530000}"/>
    <cellStyle name="Normal 2 2 2 5 23" xfId="21506" xr:uid="{00000000-0005-0000-0000-0000DD530000}"/>
    <cellStyle name="Normal 2 2 2 5 23 10" xfId="21507" xr:uid="{00000000-0005-0000-0000-0000DE530000}"/>
    <cellStyle name="Normal 2 2 2 5 23 2" xfId="21508" xr:uid="{00000000-0005-0000-0000-0000DF530000}"/>
    <cellStyle name="Normal 2 2 2 5 23 3" xfId="21509" xr:uid="{00000000-0005-0000-0000-0000E0530000}"/>
    <cellStyle name="Normal 2 2 2 5 23 4" xfId="21510" xr:uid="{00000000-0005-0000-0000-0000E1530000}"/>
    <cellStyle name="Normal 2 2 2 5 23 5" xfId="21511" xr:uid="{00000000-0005-0000-0000-0000E2530000}"/>
    <cellStyle name="Normal 2 2 2 5 23 6" xfId="21512" xr:uid="{00000000-0005-0000-0000-0000E3530000}"/>
    <cellStyle name="Normal 2 2 2 5 23 7" xfId="21513" xr:uid="{00000000-0005-0000-0000-0000E4530000}"/>
    <cellStyle name="Normal 2 2 2 5 23 8" xfId="21514" xr:uid="{00000000-0005-0000-0000-0000E5530000}"/>
    <cellStyle name="Normal 2 2 2 5 23 9" xfId="21515" xr:uid="{00000000-0005-0000-0000-0000E6530000}"/>
    <cellStyle name="Normal 2 2 2 5 24" xfId="21516" xr:uid="{00000000-0005-0000-0000-0000E7530000}"/>
    <cellStyle name="Normal 2 2 2 5 24 10" xfId="21517" xr:uid="{00000000-0005-0000-0000-0000E8530000}"/>
    <cellStyle name="Normal 2 2 2 5 24 2" xfId="21518" xr:uid="{00000000-0005-0000-0000-0000E9530000}"/>
    <cellStyle name="Normal 2 2 2 5 24 3" xfId="21519" xr:uid="{00000000-0005-0000-0000-0000EA530000}"/>
    <cellStyle name="Normal 2 2 2 5 24 4" xfId="21520" xr:uid="{00000000-0005-0000-0000-0000EB530000}"/>
    <cellStyle name="Normal 2 2 2 5 24 5" xfId="21521" xr:uid="{00000000-0005-0000-0000-0000EC530000}"/>
    <cellStyle name="Normal 2 2 2 5 24 6" xfId="21522" xr:uid="{00000000-0005-0000-0000-0000ED530000}"/>
    <cellStyle name="Normal 2 2 2 5 24 7" xfId="21523" xr:uid="{00000000-0005-0000-0000-0000EE530000}"/>
    <cellStyle name="Normal 2 2 2 5 24 8" xfId="21524" xr:uid="{00000000-0005-0000-0000-0000EF530000}"/>
    <cellStyle name="Normal 2 2 2 5 24 9" xfId="21525" xr:uid="{00000000-0005-0000-0000-0000F0530000}"/>
    <cellStyle name="Normal 2 2 2 5 25" xfId="21526" xr:uid="{00000000-0005-0000-0000-0000F1530000}"/>
    <cellStyle name="Normal 2 2 2 5 26" xfId="21527" xr:uid="{00000000-0005-0000-0000-0000F2530000}"/>
    <cellStyle name="Normal 2 2 2 5 27" xfId="21528" xr:uid="{00000000-0005-0000-0000-0000F3530000}"/>
    <cellStyle name="Normal 2 2 2 5 28" xfId="21529" xr:uid="{00000000-0005-0000-0000-0000F4530000}"/>
    <cellStyle name="Normal 2 2 2 5 29" xfId="21530" xr:uid="{00000000-0005-0000-0000-0000F5530000}"/>
    <cellStyle name="Normal 2 2 2 5 3" xfId="21531" xr:uid="{00000000-0005-0000-0000-0000F6530000}"/>
    <cellStyle name="Normal 2 2 2 5 30" xfId="21532" xr:uid="{00000000-0005-0000-0000-0000F7530000}"/>
    <cellStyle name="Normal 2 2 2 5 31" xfId="21533" xr:uid="{00000000-0005-0000-0000-0000F8530000}"/>
    <cellStyle name="Normal 2 2 2 5 32" xfId="21534" xr:uid="{00000000-0005-0000-0000-0000F9530000}"/>
    <cellStyle name="Normal 2 2 2 5 33" xfId="21535" xr:uid="{00000000-0005-0000-0000-0000FA530000}"/>
    <cellStyle name="Normal 2 2 2 5 34" xfId="21536" xr:uid="{00000000-0005-0000-0000-0000FB530000}"/>
    <cellStyle name="Normal 2 2 2 5 35" xfId="21537" xr:uid="{00000000-0005-0000-0000-0000FC530000}"/>
    <cellStyle name="Normal 2 2 2 5 4" xfId="21538" xr:uid="{00000000-0005-0000-0000-0000FD530000}"/>
    <cellStyle name="Normal 2 2 2 5 5" xfId="21539" xr:uid="{00000000-0005-0000-0000-0000FE530000}"/>
    <cellStyle name="Normal 2 2 2 5 6" xfId="21540" xr:uid="{00000000-0005-0000-0000-0000FF530000}"/>
    <cellStyle name="Normal 2 2 2 5 7" xfId="21541" xr:uid="{00000000-0005-0000-0000-000000540000}"/>
    <cellStyle name="Normal 2 2 2 5 8" xfId="21542" xr:uid="{00000000-0005-0000-0000-000001540000}"/>
    <cellStyle name="Normal 2 2 2 5 9" xfId="21543" xr:uid="{00000000-0005-0000-0000-000002540000}"/>
    <cellStyle name="Normal 2 2 2 50" xfId="21544" xr:uid="{00000000-0005-0000-0000-000003540000}"/>
    <cellStyle name="Normal 2 2 2 51" xfId="21545" xr:uid="{00000000-0005-0000-0000-000004540000}"/>
    <cellStyle name="Normal 2 2 2 6" xfId="21546" xr:uid="{00000000-0005-0000-0000-000005540000}"/>
    <cellStyle name="Normal 2 2 2 6 10" xfId="21547" xr:uid="{00000000-0005-0000-0000-000006540000}"/>
    <cellStyle name="Normal 2 2 2 6 11" xfId="21548" xr:uid="{00000000-0005-0000-0000-000007540000}"/>
    <cellStyle name="Normal 2 2 2 6 12" xfId="21549" xr:uid="{00000000-0005-0000-0000-000008540000}"/>
    <cellStyle name="Normal 2 2 2 6 13" xfId="21550" xr:uid="{00000000-0005-0000-0000-000009540000}"/>
    <cellStyle name="Normal 2 2 2 6 14" xfId="21551" xr:uid="{00000000-0005-0000-0000-00000A540000}"/>
    <cellStyle name="Normal 2 2 2 6 15" xfId="21552" xr:uid="{00000000-0005-0000-0000-00000B540000}"/>
    <cellStyle name="Normal 2 2 2 6 16" xfId="21553" xr:uid="{00000000-0005-0000-0000-00000C540000}"/>
    <cellStyle name="Normal 2 2 2 6 2" xfId="21554" xr:uid="{00000000-0005-0000-0000-00000D540000}"/>
    <cellStyle name="Normal 2 2 2 6 2 10" xfId="21555" xr:uid="{00000000-0005-0000-0000-00000E540000}"/>
    <cellStyle name="Normal 2 2 2 6 2 2" xfId="21556" xr:uid="{00000000-0005-0000-0000-00000F540000}"/>
    <cellStyle name="Normal 2 2 2 6 2 3" xfId="21557" xr:uid="{00000000-0005-0000-0000-000010540000}"/>
    <cellStyle name="Normal 2 2 2 6 2 4" xfId="21558" xr:uid="{00000000-0005-0000-0000-000011540000}"/>
    <cellStyle name="Normal 2 2 2 6 2 5" xfId="21559" xr:uid="{00000000-0005-0000-0000-000012540000}"/>
    <cellStyle name="Normal 2 2 2 6 2 6" xfId="21560" xr:uid="{00000000-0005-0000-0000-000013540000}"/>
    <cellStyle name="Normal 2 2 2 6 2 7" xfId="21561" xr:uid="{00000000-0005-0000-0000-000014540000}"/>
    <cellStyle name="Normal 2 2 2 6 2 8" xfId="21562" xr:uid="{00000000-0005-0000-0000-000015540000}"/>
    <cellStyle name="Normal 2 2 2 6 2 9" xfId="21563" xr:uid="{00000000-0005-0000-0000-000016540000}"/>
    <cellStyle name="Normal 2 2 2 6 3" xfId="21564" xr:uid="{00000000-0005-0000-0000-000017540000}"/>
    <cellStyle name="Normal 2 2 2 6 3 10" xfId="21565" xr:uid="{00000000-0005-0000-0000-000018540000}"/>
    <cellStyle name="Normal 2 2 2 6 3 2" xfId="21566" xr:uid="{00000000-0005-0000-0000-000019540000}"/>
    <cellStyle name="Normal 2 2 2 6 3 3" xfId="21567" xr:uid="{00000000-0005-0000-0000-00001A540000}"/>
    <cellStyle name="Normal 2 2 2 6 3 4" xfId="21568" xr:uid="{00000000-0005-0000-0000-00001B540000}"/>
    <cellStyle name="Normal 2 2 2 6 3 5" xfId="21569" xr:uid="{00000000-0005-0000-0000-00001C540000}"/>
    <cellStyle name="Normal 2 2 2 6 3 6" xfId="21570" xr:uid="{00000000-0005-0000-0000-00001D540000}"/>
    <cellStyle name="Normal 2 2 2 6 3 7" xfId="21571" xr:uid="{00000000-0005-0000-0000-00001E540000}"/>
    <cellStyle name="Normal 2 2 2 6 3 8" xfId="21572" xr:uid="{00000000-0005-0000-0000-00001F540000}"/>
    <cellStyle name="Normal 2 2 2 6 3 9" xfId="21573" xr:uid="{00000000-0005-0000-0000-000020540000}"/>
    <cellStyle name="Normal 2 2 2 6 4" xfId="21574" xr:uid="{00000000-0005-0000-0000-000021540000}"/>
    <cellStyle name="Normal 2 2 2 6 4 10" xfId="21575" xr:uid="{00000000-0005-0000-0000-000022540000}"/>
    <cellStyle name="Normal 2 2 2 6 4 2" xfId="21576" xr:uid="{00000000-0005-0000-0000-000023540000}"/>
    <cellStyle name="Normal 2 2 2 6 4 3" xfId="21577" xr:uid="{00000000-0005-0000-0000-000024540000}"/>
    <cellStyle name="Normal 2 2 2 6 4 4" xfId="21578" xr:uid="{00000000-0005-0000-0000-000025540000}"/>
    <cellStyle name="Normal 2 2 2 6 4 5" xfId="21579" xr:uid="{00000000-0005-0000-0000-000026540000}"/>
    <cellStyle name="Normal 2 2 2 6 4 6" xfId="21580" xr:uid="{00000000-0005-0000-0000-000027540000}"/>
    <cellStyle name="Normal 2 2 2 6 4 7" xfId="21581" xr:uid="{00000000-0005-0000-0000-000028540000}"/>
    <cellStyle name="Normal 2 2 2 6 4 8" xfId="21582" xr:uid="{00000000-0005-0000-0000-000029540000}"/>
    <cellStyle name="Normal 2 2 2 6 4 9" xfId="21583" xr:uid="{00000000-0005-0000-0000-00002A540000}"/>
    <cellStyle name="Normal 2 2 2 6 5" xfId="21584" xr:uid="{00000000-0005-0000-0000-00002B540000}"/>
    <cellStyle name="Normal 2 2 2 6 5 10" xfId="21585" xr:uid="{00000000-0005-0000-0000-00002C540000}"/>
    <cellStyle name="Normal 2 2 2 6 5 2" xfId="21586" xr:uid="{00000000-0005-0000-0000-00002D540000}"/>
    <cellStyle name="Normal 2 2 2 6 5 3" xfId="21587" xr:uid="{00000000-0005-0000-0000-00002E540000}"/>
    <cellStyle name="Normal 2 2 2 6 5 4" xfId="21588" xr:uid="{00000000-0005-0000-0000-00002F540000}"/>
    <cellStyle name="Normal 2 2 2 6 5 5" xfId="21589" xr:uid="{00000000-0005-0000-0000-000030540000}"/>
    <cellStyle name="Normal 2 2 2 6 5 6" xfId="21590" xr:uid="{00000000-0005-0000-0000-000031540000}"/>
    <cellStyle name="Normal 2 2 2 6 5 7" xfId="21591" xr:uid="{00000000-0005-0000-0000-000032540000}"/>
    <cellStyle name="Normal 2 2 2 6 5 8" xfId="21592" xr:uid="{00000000-0005-0000-0000-000033540000}"/>
    <cellStyle name="Normal 2 2 2 6 5 9" xfId="21593" xr:uid="{00000000-0005-0000-0000-000034540000}"/>
    <cellStyle name="Normal 2 2 2 6 6" xfId="21594" xr:uid="{00000000-0005-0000-0000-000035540000}"/>
    <cellStyle name="Normal 2 2 2 6 7" xfId="21595" xr:uid="{00000000-0005-0000-0000-000036540000}"/>
    <cellStyle name="Normal 2 2 2 6 8" xfId="21596" xr:uid="{00000000-0005-0000-0000-000037540000}"/>
    <cellStyle name="Normal 2 2 2 6 9" xfId="21597" xr:uid="{00000000-0005-0000-0000-000038540000}"/>
    <cellStyle name="Normal 2 2 2 7" xfId="21598" xr:uid="{00000000-0005-0000-0000-000039540000}"/>
    <cellStyle name="Normal 2 2 2 7 10" xfId="21599" xr:uid="{00000000-0005-0000-0000-00003A540000}"/>
    <cellStyle name="Normal 2 2 2 7 11" xfId="21600" xr:uid="{00000000-0005-0000-0000-00003B540000}"/>
    <cellStyle name="Normal 2 2 2 7 12" xfId="21601" xr:uid="{00000000-0005-0000-0000-00003C540000}"/>
    <cellStyle name="Normal 2 2 2 7 13" xfId="21602" xr:uid="{00000000-0005-0000-0000-00003D540000}"/>
    <cellStyle name="Normal 2 2 2 7 14" xfId="21603" xr:uid="{00000000-0005-0000-0000-00003E540000}"/>
    <cellStyle name="Normal 2 2 2 7 15" xfId="21604" xr:uid="{00000000-0005-0000-0000-00003F540000}"/>
    <cellStyle name="Normal 2 2 2 7 16" xfId="21605" xr:uid="{00000000-0005-0000-0000-000040540000}"/>
    <cellStyle name="Normal 2 2 2 7 2" xfId="21606" xr:uid="{00000000-0005-0000-0000-000041540000}"/>
    <cellStyle name="Normal 2 2 2 7 2 10" xfId="21607" xr:uid="{00000000-0005-0000-0000-000042540000}"/>
    <cellStyle name="Normal 2 2 2 7 2 2" xfId="21608" xr:uid="{00000000-0005-0000-0000-000043540000}"/>
    <cellStyle name="Normal 2 2 2 7 2 3" xfId="21609" xr:uid="{00000000-0005-0000-0000-000044540000}"/>
    <cellStyle name="Normal 2 2 2 7 2 4" xfId="21610" xr:uid="{00000000-0005-0000-0000-000045540000}"/>
    <cellStyle name="Normal 2 2 2 7 2 5" xfId="21611" xr:uid="{00000000-0005-0000-0000-000046540000}"/>
    <cellStyle name="Normal 2 2 2 7 2 6" xfId="21612" xr:uid="{00000000-0005-0000-0000-000047540000}"/>
    <cellStyle name="Normal 2 2 2 7 2 7" xfId="21613" xr:uid="{00000000-0005-0000-0000-000048540000}"/>
    <cellStyle name="Normal 2 2 2 7 2 8" xfId="21614" xr:uid="{00000000-0005-0000-0000-000049540000}"/>
    <cellStyle name="Normal 2 2 2 7 2 9" xfId="21615" xr:uid="{00000000-0005-0000-0000-00004A540000}"/>
    <cellStyle name="Normal 2 2 2 7 3" xfId="21616" xr:uid="{00000000-0005-0000-0000-00004B540000}"/>
    <cellStyle name="Normal 2 2 2 7 3 10" xfId="21617" xr:uid="{00000000-0005-0000-0000-00004C540000}"/>
    <cellStyle name="Normal 2 2 2 7 3 2" xfId="21618" xr:uid="{00000000-0005-0000-0000-00004D540000}"/>
    <cellStyle name="Normal 2 2 2 7 3 3" xfId="21619" xr:uid="{00000000-0005-0000-0000-00004E540000}"/>
    <cellStyle name="Normal 2 2 2 7 3 4" xfId="21620" xr:uid="{00000000-0005-0000-0000-00004F540000}"/>
    <cellStyle name="Normal 2 2 2 7 3 5" xfId="21621" xr:uid="{00000000-0005-0000-0000-000050540000}"/>
    <cellStyle name="Normal 2 2 2 7 3 6" xfId="21622" xr:uid="{00000000-0005-0000-0000-000051540000}"/>
    <cellStyle name="Normal 2 2 2 7 3 7" xfId="21623" xr:uid="{00000000-0005-0000-0000-000052540000}"/>
    <cellStyle name="Normal 2 2 2 7 3 8" xfId="21624" xr:uid="{00000000-0005-0000-0000-000053540000}"/>
    <cellStyle name="Normal 2 2 2 7 3 9" xfId="21625" xr:uid="{00000000-0005-0000-0000-000054540000}"/>
    <cellStyle name="Normal 2 2 2 7 4" xfId="21626" xr:uid="{00000000-0005-0000-0000-000055540000}"/>
    <cellStyle name="Normal 2 2 2 7 4 10" xfId="21627" xr:uid="{00000000-0005-0000-0000-000056540000}"/>
    <cellStyle name="Normal 2 2 2 7 4 2" xfId="21628" xr:uid="{00000000-0005-0000-0000-000057540000}"/>
    <cellStyle name="Normal 2 2 2 7 4 3" xfId="21629" xr:uid="{00000000-0005-0000-0000-000058540000}"/>
    <cellStyle name="Normal 2 2 2 7 4 4" xfId="21630" xr:uid="{00000000-0005-0000-0000-000059540000}"/>
    <cellStyle name="Normal 2 2 2 7 4 5" xfId="21631" xr:uid="{00000000-0005-0000-0000-00005A540000}"/>
    <cellStyle name="Normal 2 2 2 7 4 6" xfId="21632" xr:uid="{00000000-0005-0000-0000-00005B540000}"/>
    <cellStyle name="Normal 2 2 2 7 4 7" xfId="21633" xr:uid="{00000000-0005-0000-0000-00005C540000}"/>
    <cellStyle name="Normal 2 2 2 7 4 8" xfId="21634" xr:uid="{00000000-0005-0000-0000-00005D540000}"/>
    <cellStyle name="Normal 2 2 2 7 4 9" xfId="21635" xr:uid="{00000000-0005-0000-0000-00005E540000}"/>
    <cellStyle name="Normal 2 2 2 7 5" xfId="21636" xr:uid="{00000000-0005-0000-0000-00005F540000}"/>
    <cellStyle name="Normal 2 2 2 7 5 10" xfId="21637" xr:uid="{00000000-0005-0000-0000-000060540000}"/>
    <cellStyle name="Normal 2 2 2 7 5 2" xfId="21638" xr:uid="{00000000-0005-0000-0000-000061540000}"/>
    <cellStyle name="Normal 2 2 2 7 5 3" xfId="21639" xr:uid="{00000000-0005-0000-0000-000062540000}"/>
    <cellStyle name="Normal 2 2 2 7 5 4" xfId="21640" xr:uid="{00000000-0005-0000-0000-000063540000}"/>
    <cellStyle name="Normal 2 2 2 7 5 5" xfId="21641" xr:uid="{00000000-0005-0000-0000-000064540000}"/>
    <cellStyle name="Normal 2 2 2 7 5 6" xfId="21642" xr:uid="{00000000-0005-0000-0000-000065540000}"/>
    <cellStyle name="Normal 2 2 2 7 5 7" xfId="21643" xr:uid="{00000000-0005-0000-0000-000066540000}"/>
    <cellStyle name="Normal 2 2 2 7 5 8" xfId="21644" xr:uid="{00000000-0005-0000-0000-000067540000}"/>
    <cellStyle name="Normal 2 2 2 7 5 9" xfId="21645" xr:uid="{00000000-0005-0000-0000-000068540000}"/>
    <cellStyle name="Normal 2 2 2 7 6" xfId="21646" xr:uid="{00000000-0005-0000-0000-000069540000}"/>
    <cellStyle name="Normal 2 2 2 7 7" xfId="21647" xr:uid="{00000000-0005-0000-0000-00006A540000}"/>
    <cellStyle name="Normal 2 2 2 7 8" xfId="21648" xr:uid="{00000000-0005-0000-0000-00006B540000}"/>
    <cellStyle name="Normal 2 2 2 7 9" xfId="21649" xr:uid="{00000000-0005-0000-0000-00006C540000}"/>
    <cellStyle name="Normal 2 2 2 8" xfId="21650" xr:uid="{00000000-0005-0000-0000-00006D540000}"/>
    <cellStyle name="Normal 2 2 2 8 10" xfId="21651" xr:uid="{00000000-0005-0000-0000-00006E540000}"/>
    <cellStyle name="Normal 2 2 2 8 11" xfId="21652" xr:uid="{00000000-0005-0000-0000-00006F540000}"/>
    <cellStyle name="Normal 2 2 2 8 12" xfId="21653" xr:uid="{00000000-0005-0000-0000-000070540000}"/>
    <cellStyle name="Normal 2 2 2 8 13" xfId="21654" xr:uid="{00000000-0005-0000-0000-000071540000}"/>
    <cellStyle name="Normal 2 2 2 8 14" xfId="21655" xr:uid="{00000000-0005-0000-0000-000072540000}"/>
    <cellStyle name="Normal 2 2 2 8 2" xfId="21656" xr:uid="{00000000-0005-0000-0000-000073540000}"/>
    <cellStyle name="Normal 2 2 2 8 2 10" xfId="21657" xr:uid="{00000000-0005-0000-0000-000074540000}"/>
    <cellStyle name="Normal 2 2 2 8 2 2" xfId="21658" xr:uid="{00000000-0005-0000-0000-000075540000}"/>
    <cellStyle name="Normal 2 2 2 8 2 3" xfId="21659" xr:uid="{00000000-0005-0000-0000-000076540000}"/>
    <cellStyle name="Normal 2 2 2 8 2 4" xfId="21660" xr:uid="{00000000-0005-0000-0000-000077540000}"/>
    <cellStyle name="Normal 2 2 2 8 2 5" xfId="21661" xr:uid="{00000000-0005-0000-0000-000078540000}"/>
    <cellStyle name="Normal 2 2 2 8 2 6" xfId="21662" xr:uid="{00000000-0005-0000-0000-000079540000}"/>
    <cellStyle name="Normal 2 2 2 8 2 7" xfId="21663" xr:uid="{00000000-0005-0000-0000-00007A540000}"/>
    <cellStyle name="Normal 2 2 2 8 2 8" xfId="21664" xr:uid="{00000000-0005-0000-0000-00007B540000}"/>
    <cellStyle name="Normal 2 2 2 8 2 9" xfId="21665" xr:uid="{00000000-0005-0000-0000-00007C540000}"/>
    <cellStyle name="Normal 2 2 2 8 3" xfId="21666" xr:uid="{00000000-0005-0000-0000-00007D540000}"/>
    <cellStyle name="Normal 2 2 2 8 3 10" xfId="21667" xr:uid="{00000000-0005-0000-0000-00007E540000}"/>
    <cellStyle name="Normal 2 2 2 8 3 2" xfId="21668" xr:uid="{00000000-0005-0000-0000-00007F540000}"/>
    <cellStyle name="Normal 2 2 2 8 3 3" xfId="21669" xr:uid="{00000000-0005-0000-0000-000080540000}"/>
    <cellStyle name="Normal 2 2 2 8 3 4" xfId="21670" xr:uid="{00000000-0005-0000-0000-000081540000}"/>
    <cellStyle name="Normal 2 2 2 8 3 5" xfId="21671" xr:uid="{00000000-0005-0000-0000-000082540000}"/>
    <cellStyle name="Normal 2 2 2 8 3 6" xfId="21672" xr:uid="{00000000-0005-0000-0000-000083540000}"/>
    <cellStyle name="Normal 2 2 2 8 3 7" xfId="21673" xr:uid="{00000000-0005-0000-0000-000084540000}"/>
    <cellStyle name="Normal 2 2 2 8 3 8" xfId="21674" xr:uid="{00000000-0005-0000-0000-000085540000}"/>
    <cellStyle name="Normal 2 2 2 8 3 9" xfId="21675" xr:uid="{00000000-0005-0000-0000-000086540000}"/>
    <cellStyle name="Normal 2 2 2 8 4" xfId="21676" xr:uid="{00000000-0005-0000-0000-000087540000}"/>
    <cellStyle name="Normal 2 2 2 8 4 10" xfId="21677" xr:uid="{00000000-0005-0000-0000-000088540000}"/>
    <cellStyle name="Normal 2 2 2 8 4 2" xfId="21678" xr:uid="{00000000-0005-0000-0000-000089540000}"/>
    <cellStyle name="Normal 2 2 2 8 4 3" xfId="21679" xr:uid="{00000000-0005-0000-0000-00008A540000}"/>
    <cellStyle name="Normal 2 2 2 8 4 4" xfId="21680" xr:uid="{00000000-0005-0000-0000-00008B540000}"/>
    <cellStyle name="Normal 2 2 2 8 4 5" xfId="21681" xr:uid="{00000000-0005-0000-0000-00008C540000}"/>
    <cellStyle name="Normal 2 2 2 8 4 6" xfId="21682" xr:uid="{00000000-0005-0000-0000-00008D540000}"/>
    <cellStyle name="Normal 2 2 2 8 4 7" xfId="21683" xr:uid="{00000000-0005-0000-0000-00008E540000}"/>
    <cellStyle name="Normal 2 2 2 8 4 8" xfId="21684" xr:uid="{00000000-0005-0000-0000-00008F540000}"/>
    <cellStyle name="Normal 2 2 2 8 4 9" xfId="21685" xr:uid="{00000000-0005-0000-0000-000090540000}"/>
    <cellStyle name="Normal 2 2 2 8 5" xfId="21686" xr:uid="{00000000-0005-0000-0000-000091540000}"/>
    <cellStyle name="Normal 2 2 2 8 5 10" xfId="21687" xr:uid="{00000000-0005-0000-0000-000092540000}"/>
    <cellStyle name="Normal 2 2 2 8 5 2" xfId="21688" xr:uid="{00000000-0005-0000-0000-000093540000}"/>
    <cellStyle name="Normal 2 2 2 8 5 3" xfId="21689" xr:uid="{00000000-0005-0000-0000-000094540000}"/>
    <cellStyle name="Normal 2 2 2 8 5 4" xfId="21690" xr:uid="{00000000-0005-0000-0000-000095540000}"/>
    <cellStyle name="Normal 2 2 2 8 5 5" xfId="21691" xr:uid="{00000000-0005-0000-0000-000096540000}"/>
    <cellStyle name="Normal 2 2 2 8 5 6" xfId="21692" xr:uid="{00000000-0005-0000-0000-000097540000}"/>
    <cellStyle name="Normal 2 2 2 8 5 7" xfId="21693" xr:uid="{00000000-0005-0000-0000-000098540000}"/>
    <cellStyle name="Normal 2 2 2 8 5 8" xfId="21694" xr:uid="{00000000-0005-0000-0000-000099540000}"/>
    <cellStyle name="Normal 2 2 2 8 5 9" xfId="21695" xr:uid="{00000000-0005-0000-0000-00009A540000}"/>
    <cellStyle name="Normal 2 2 2 8 6" xfId="21696" xr:uid="{00000000-0005-0000-0000-00009B540000}"/>
    <cellStyle name="Normal 2 2 2 8 7" xfId="21697" xr:uid="{00000000-0005-0000-0000-00009C540000}"/>
    <cellStyle name="Normal 2 2 2 8 8" xfId="21698" xr:uid="{00000000-0005-0000-0000-00009D540000}"/>
    <cellStyle name="Normal 2 2 2 8 9" xfId="21699" xr:uid="{00000000-0005-0000-0000-00009E540000}"/>
    <cellStyle name="Normal 2 2 2 9" xfId="21700" xr:uid="{00000000-0005-0000-0000-00009F540000}"/>
    <cellStyle name="Normal 2 2 2 9 10" xfId="21701" xr:uid="{00000000-0005-0000-0000-0000A0540000}"/>
    <cellStyle name="Normal 2 2 2 9 11" xfId="21702" xr:uid="{00000000-0005-0000-0000-0000A1540000}"/>
    <cellStyle name="Normal 2 2 2 9 12" xfId="21703" xr:uid="{00000000-0005-0000-0000-0000A2540000}"/>
    <cellStyle name="Normal 2 2 2 9 13" xfId="21704" xr:uid="{00000000-0005-0000-0000-0000A3540000}"/>
    <cellStyle name="Normal 2 2 2 9 14" xfId="21705" xr:uid="{00000000-0005-0000-0000-0000A4540000}"/>
    <cellStyle name="Normal 2 2 2 9 2" xfId="21706" xr:uid="{00000000-0005-0000-0000-0000A5540000}"/>
    <cellStyle name="Normal 2 2 2 9 2 10" xfId="21707" xr:uid="{00000000-0005-0000-0000-0000A6540000}"/>
    <cellStyle name="Normal 2 2 2 9 2 2" xfId="21708" xr:uid="{00000000-0005-0000-0000-0000A7540000}"/>
    <cellStyle name="Normal 2 2 2 9 2 3" xfId="21709" xr:uid="{00000000-0005-0000-0000-0000A8540000}"/>
    <cellStyle name="Normal 2 2 2 9 2 4" xfId="21710" xr:uid="{00000000-0005-0000-0000-0000A9540000}"/>
    <cellStyle name="Normal 2 2 2 9 2 5" xfId="21711" xr:uid="{00000000-0005-0000-0000-0000AA540000}"/>
    <cellStyle name="Normal 2 2 2 9 2 6" xfId="21712" xr:uid="{00000000-0005-0000-0000-0000AB540000}"/>
    <cellStyle name="Normal 2 2 2 9 2 7" xfId="21713" xr:uid="{00000000-0005-0000-0000-0000AC540000}"/>
    <cellStyle name="Normal 2 2 2 9 2 8" xfId="21714" xr:uid="{00000000-0005-0000-0000-0000AD540000}"/>
    <cellStyle name="Normal 2 2 2 9 2 9" xfId="21715" xr:uid="{00000000-0005-0000-0000-0000AE540000}"/>
    <cellStyle name="Normal 2 2 2 9 3" xfId="21716" xr:uid="{00000000-0005-0000-0000-0000AF540000}"/>
    <cellStyle name="Normal 2 2 2 9 3 10" xfId="21717" xr:uid="{00000000-0005-0000-0000-0000B0540000}"/>
    <cellStyle name="Normal 2 2 2 9 3 2" xfId="21718" xr:uid="{00000000-0005-0000-0000-0000B1540000}"/>
    <cellStyle name="Normal 2 2 2 9 3 3" xfId="21719" xr:uid="{00000000-0005-0000-0000-0000B2540000}"/>
    <cellStyle name="Normal 2 2 2 9 3 4" xfId="21720" xr:uid="{00000000-0005-0000-0000-0000B3540000}"/>
    <cellStyle name="Normal 2 2 2 9 3 5" xfId="21721" xr:uid="{00000000-0005-0000-0000-0000B4540000}"/>
    <cellStyle name="Normal 2 2 2 9 3 6" xfId="21722" xr:uid="{00000000-0005-0000-0000-0000B5540000}"/>
    <cellStyle name="Normal 2 2 2 9 3 7" xfId="21723" xr:uid="{00000000-0005-0000-0000-0000B6540000}"/>
    <cellStyle name="Normal 2 2 2 9 3 8" xfId="21724" xr:uid="{00000000-0005-0000-0000-0000B7540000}"/>
    <cellStyle name="Normal 2 2 2 9 3 9" xfId="21725" xr:uid="{00000000-0005-0000-0000-0000B8540000}"/>
    <cellStyle name="Normal 2 2 2 9 4" xfId="21726" xr:uid="{00000000-0005-0000-0000-0000B9540000}"/>
    <cellStyle name="Normal 2 2 2 9 4 10" xfId="21727" xr:uid="{00000000-0005-0000-0000-0000BA540000}"/>
    <cellStyle name="Normal 2 2 2 9 4 2" xfId="21728" xr:uid="{00000000-0005-0000-0000-0000BB540000}"/>
    <cellStyle name="Normal 2 2 2 9 4 3" xfId="21729" xr:uid="{00000000-0005-0000-0000-0000BC540000}"/>
    <cellStyle name="Normal 2 2 2 9 4 4" xfId="21730" xr:uid="{00000000-0005-0000-0000-0000BD540000}"/>
    <cellStyle name="Normal 2 2 2 9 4 5" xfId="21731" xr:uid="{00000000-0005-0000-0000-0000BE540000}"/>
    <cellStyle name="Normal 2 2 2 9 4 6" xfId="21732" xr:uid="{00000000-0005-0000-0000-0000BF540000}"/>
    <cellStyle name="Normal 2 2 2 9 4 7" xfId="21733" xr:uid="{00000000-0005-0000-0000-0000C0540000}"/>
    <cellStyle name="Normal 2 2 2 9 4 8" xfId="21734" xr:uid="{00000000-0005-0000-0000-0000C1540000}"/>
    <cellStyle name="Normal 2 2 2 9 4 9" xfId="21735" xr:uid="{00000000-0005-0000-0000-0000C2540000}"/>
    <cellStyle name="Normal 2 2 2 9 5" xfId="21736" xr:uid="{00000000-0005-0000-0000-0000C3540000}"/>
    <cellStyle name="Normal 2 2 2 9 5 10" xfId="21737" xr:uid="{00000000-0005-0000-0000-0000C4540000}"/>
    <cellStyle name="Normal 2 2 2 9 5 2" xfId="21738" xr:uid="{00000000-0005-0000-0000-0000C5540000}"/>
    <cellStyle name="Normal 2 2 2 9 5 3" xfId="21739" xr:uid="{00000000-0005-0000-0000-0000C6540000}"/>
    <cellStyle name="Normal 2 2 2 9 5 4" xfId="21740" xr:uid="{00000000-0005-0000-0000-0000C7540000}"/>
    <cellStyle name="Normal 2 2 2 9 5 5" xfId="21741" xr:uid="{00000000-0005-0000-0000-0000C8540000}"/>
    <cellStyle name="Normal 2 2 2 9 5 6" xfId="21742" xr:uid="{00000000-0005-0000-0000-0000C9540000}"/>
    <cellStyle name="Normal 2 2 2 9 5 7" xfId="21743" xr:uid="{00000000-0005-0000-0000-0000CA540000}"/>
    <cellStyle name="Normal 2 2 2 9 5 8" xfId="21744" xr:uid="{00000000-0005-0000-0000-0000CB540000}"/>
    <cellStyle name="Normal 2 2 2 9 5 9" xfId="21745" xr:uid="{00000000-0005-0000-0000-0000CC540000}"/>
    <cellStyle name="Normal 2 2 2 9 6" xfId="21746" xr:uid="{00000000-0005-0000-0000-0000CD540000}"/>
    <cellStyle name="Normal 2 2 2 9 7" xfId="21747" xr:uid="{00000000-0005-0000-0000-0000CE540000}"/>
    <cellStyle name="Normal 2 2 2 9 8" xfId="21748" xr:uid="{00000000-0005-0000-0000-0000CF540000}"/>
    <cellStyle name="Normal 2 2 2 9 9" xfId="21749" xr:uid="{00000000-0005-0000-0000-0000D0540000}"/>
    <cellStyle name="Normal 2 2 20" xfId="21750" xr:uid="{00000000-0005-0000-0000-0000D1540000}"/>
    <cellStyle name="Normal 2 2 21" xfId="21751" xr:uid="{00000000-0005-0000-0000-0000D2540000}"/>
    <cellStyle name="Normal 2 2 22" xfId="21752" xr:uid="{00000000-0005-0000-0000-0000D3540000}"/>
    <cellStyle name="Normal 2 2 23" xfId="21753" xr:uid="{00000000-0005-0000-0000-0000D4540000}"/>
    <cellStyle name="Normal 2 2 24" xfId="21754" xr:uid="{00000000-0005-0000-0000-0000D5540000}"/>
    <cellStyle name="Normal 2 2 25" xfId="21755" xr:uid="{00000000-0005-0000-0000-0000D6540000}"/>
    <cellStyle name="Normal 2 2 26" xfId="21756" xr:uid="{00000000-0005-0000-0000-0000D7540000}"/>
    <cellStyle name="Normal 2 2 27" xfId="21757" xr:uid="{00000000-0005-0000-0000-0000D8540000}"/>
    <cellStyle name="Normal 2 2 28" xfId="21758" xr:uid="{00000000-0005-0000-0000-0000D9540000}"/>
    <cellStyle name="Normal 2 2 29" xfId="21759" xr:uid="{00000000-0005-0000-0000-0000DA540000}"/>
    <cellStyle name="Normal 2 2 3" xfId="26" xr:uid="{00000000-0005-0000-0000-0000DB540000}"/>
    <cellStyle name="Normal 2 2 3 2" xfId="53" xr:uid="{00000000-0005-0000-0000-0000DC540000}"/>
    <cellStyle name="Normal 2 2 3 2 2" xfId="21761" xr:uid="{00000000-0005-0000-0000-0000DD540000}"/>
    <cellStyle name="Normal 2 2 3 3" xfId="21762" xr:uid="{00000000-0005-0000-0000-0000DE540000}"/>
    <cellStyle name="Normal 2 2 3 4" xfId="21763" xr:uid="{00000000-0005-0000-0000-0000DF540000}"/>
    <cellStyle name="Normal 2 2 3 5" xfId="21760" xr:uid="{00000000-0005-0000-0000-0000E0540000}"/>
    <cellStyle name="Normal 2 2 30" xfId="21764" xr:uid="{00000000-0005-0000-0000-0000E1540000}"/>
    <cellStyle name="Normal 2 2 31" xfId="21765" xr:uid="{00000000-0005-0000-0000-0000E2540000}"/>
    <cellStyle name="Normal 2 2 32" xfId="21766" xr:uid="{00000000-0005-0000-0000-0000E3540000}"/>
    <cellStyle name="Normal 2 2 33" xfId="21767" xr:uid="{00000000-0005-0000-0000-0000E4540000}"/>
    <cellStyle name="Normal 2 2 34" xfId="21768" xr:uid="{00000000-0005-0000-0000-0000E5540000}"/>
    <cellStyle name="Normal 2 2 35" xfId="21769" xr:uid="{00000000-0005-0000-0000-0000E6540000}"/>
    <cellStyle name="Normal 2 2 36" xfId="21770" xr:uid="{00000000-0005-0000-0000-0000E7540000}"/>
    <cellStyle name="Normal 2 2 37" xfId="21771" xr:uid="{00000000-0005-0000-0000-0000E8540000}"/>
    <cellStyle name="Normal 2 2 38" xfId="21772" xr:uid="{00000000-0005-0000-0000-0000E9540000}"/>
    <cellStyle name="Normal 2 2 39" xfId="21773" xr:uid="{00000000-0005-0000-0000-0000EA540000}"/>
    <cellStyle name="Normal 2 2 4" xfId="15" xr:uid="{00000000-0005-0000-0000-0000EB540000}"/>
    <cellStyle name="Normal 2 2 4 10" xfId="21775" xr:uid="{00000000-0005-0000-0000-0000EC540000}"/>
    <cellStyle name="Normal 2 2 4 10 10" xfId="21776" xr:uid="{00000000-0005-0000-0000-0000ED540000}"/>
    <cellStyle name="Normal 2 2 4 10 11" xfId="21777" xr:uid="{00000000-0005-0000-0000-0000EE540000}"/>
    <cellStyle name="Normal 2 2 4 10 12" xfId="21778" xr:uid="{00000000-0005-0000-0000-0000EF540000}"/>
    <cellStyle name="Normal 2 2 4 10 13" xfId="21779" xr:uid="{00000000-0005-0000-0000-0000F0540000}"/>
    <cellStyle name="Normal 2 2 4 10 14" xfId="21780" xr:uid="{00000000-0005-0000-0000-0000F1540000}"/>
    <cellStyle name="Normal 2 2 4 10 2" xfId="21781" xr:uid="{00000000-0005-0000-0000-0000F2540000}"/>
    <cellStyle name="Normal 2 2 4 10 2 10" xfId="21782" xr:uid="{00000000-0005-0000-0000-0000F3540000}"/>
    <cellStyle name="Normal 2 2 4 10 2 2" xfId="21783" xr:uid="{00000000-0005-0000-0000-0000F4540000}"/>
    <cellStyle name="Normal 2 2 4 10 2 3" xfId="21784" xr:uid="{00000000-0005-0000-0000-0000F5540000}"/>
    <cellStyle name="Normal 2 2 4 10 2 4" xfId="21785" xr:uid="{00000000-0005-0000-0000-0000F6540000}"/>
    <cellStyle name="Normal 2 2 4 10 2 5" xfId="21786" xr:uid="{00000000-0005-0000-0000-0000F7540000}"/>
    <cellStyle name="Normal 2 2 4 10 2 6" xfId="21787" xr:uid="{00000000-0005-0000-0000-0000F8540000}"/>
    <cellStyle name="Normal 2 2 4 10 2 7" xfId="21788" xr:uid="{00000000-0005-0000-0000-0000F9540000}"/>
    <cellStyle name="Normal 2 2 4 10 2 8" xfId="21789" xr:uid="{00000000-0005-0000-0000-0000FA540000}"/>
    <cellStyle name="Normal 2 2 4 10 2 9" xfId="21790" xr:uid="{00000000-0005-0000-0000-0000FB540000}"/>
    <cellStyle name="Normal 2 2 4 10 3" xfId="21791" xr:uid="{00000000-0005-0000-0000-0000FC540000}"/>
    <cellStyle name="Normal 2 2 4 10 3 10" xfId="21792" xr:uid="{00000000-0005-0000-0000-0000FD540000}"/>
    <cellStyle name="Normal 2 2 4 10 3 2" xfId="21793" xr:uid="{00000000-0005-0000-0000-0000FE540000}"/>
    <cellStyle name="Normal 2 2 4 10 3 3" xfId="21794" xr:uid="{00000000-0005-0000-0000-0000FF540000}"/>
    <cellStyle name="Normal 2 2 4 10 3 4" xfId="21795" xr:uid="{00000000-0005-0000-0000-000000550000}"/>
    <cellStyle name="Normal 2 2 4 10 3 5" xfId="21796" xr:uid="{00000000-0005-0000-0000-000001550000}"/>
    <cellStyle name="Normal 2 2 4 10 3 6" xfId="21797" xr:uid="{00000000-0005-0000-0000-000002550000}"/>
    <cellStyle name="Normal 2 2 4 10 3 7" xfId="21798" xr:uid="{00000000-0005-0000-0000-000003550000}"/>
    <cellStyle name="Normal 2 2 4 10 3 8" xfId="21799" xr:uid="{00000000-0005-0000-0000-000004550000}"/>
    <cellStyle name="Normal 2 2 4 10 3 9" xfId="21800" xr:uid="{00000000-0005-0000-0000-000005550000}"/>
    <cellStyle name="Normal 2 2 4 10 4" xfId="21801" xr:uid="{00000000-0005-0000-0000-000006550000}"/>
    <cellStyle name="Normal 2 2 4 10 4 10" xfId="21802" xr:uid="{00000000-0005-0000-0000-000007550000}"/>
    <cellStyle name="Normal 2 2 4 10 4 2" xfId="21803" xr:uid="{00000000-0005-0000-0000-000008550000}"/>
    <cellStyle name="Normal 2 2 4 10 4 3" xfId="21804" xr:uid="{00000000-0005-0000-0000-000009550000}"/>
    <cellStyle name="Normal 2 2 4 10 4 4" xfId="21805" xr:uid="{00000000-0005-0000-0000-00000A550000}"/>
    <cellStyle name="Normal 2 2 4 10 4 5" xfId="21806" xr:uid="{00000000-0005-0000-0000-00000B550000}"/>
    <cellStyle name="Normal 2 2 4 10 4 6" xfId="21807" xr:uid="{00000000-0005-0000-0000-00000C550000}"/>
    <cellStyle name="Normal 2 2 4 10 4 7" xfId="21808" xr:uid="{00000000-0005-0000-0000-00000D550000}"/>
    <cellStyle name="Normal 2 2 4 10 4 8" xfId="21809" xr:uid="{00000000-0005-0000-0000-00000E550000}"/>
    <cellStyle name="Normal 2 2 4 10 4 9" xfId="21810" xr:uid="{00000000-0005-0000-0000-00000F550000}"/>
    <cellStyle name="Normal 2 2 4 10 5" xfId="21811" xr:uid="{00000000-0005-0000-0000-000010550000}"/>
    <cellStyle name="Normal 2 2 4 10 5 10" xfId="21812" xr:uid="{00000000-0005-0000-0000-000011550000}"/>
    <cellStyle name="Normal 2 2 4 10 5 2" xfId="21813" xr:uid="{00000000-0005-0000-0000-000012550000}"/>
    <cellStyle name="Normal 2 2 4 10 5 3" xfId="21814" xr:uid="{00000000-0005-0000-0000-000013550000}"/>
    <cellStyle name="Normal 2 2 4 10 5 4" xfId="21815" xr:uid="{00000000-0005-0000-0000-000014550000}"/>
    <cellStyle name="Normal 2 2 4 10 5 5" xfId="21816" xr:uid="{00000000-0005-0000-0000-000015550000}"/>
    <cellStyle name="Normal 2 2 4 10 5 6" xfId="21817" xr:uid="{00000000-0005-0000-0000-000016550000}"/>
    <cellStyle name="Normal 2 2 4 10 5 7" xfId="21818" xr:uid="{00000000-0005-0000-0000-000017550000}"/>
    <cellStyle name="Normal 2 2 4 10 5 8" xfId="21819" xr:uid="{00000000-0005-0000-0000-000018550000}"/>
    <cellStyle name="Normal 2 2 4 10 5 9" xfId="21820" xr:uid="{00000000-0005-0000-0000-000019550000}"/>
    <cellStyle name="Normal 2 2 4 10 6" xfId="21821" xr:uid="{00000000-0005-0000-0000-00001A550000}"/>
    <cellStyle name="Normal 2 2 4 10 7" xfId="21822" xr:uid="{00000000-0005-0000-0000-00001B550000}"/>
    <cellStyle name="Normal 2 2 4 10 8" xfId="21823" xr:uid="{00000000-0005-0000-0000-00001C550000}"/>
    <cellStyle name="Normal 2 2 4 10 9" xfId="21824" xr:uid="{00000000-0005-0000-0000-00001D550000}"/>
    <cellStyle name="Normal 2 2 4 11" xfId="21825" xr:uid="{00000000-0005-0000-0000-00001E550000}"/>
    <cellStyle name="Normal 2 2 4 11 10" xfId="21826" xr:uid="{00000000-0005-0000-0000-00001F550000}"/>
    <cellStyle name="Normal 2 2 4 11 11" xfId="21827" xr:uid="{00000000-0005-0000-0000-000020550000}"/>
    <cellStyle name="Normal 2 2 4 11 12" xfId="21828" xr:uid="{00000000-0005-0000-0000-000021550000}"/>
    <cellStyle name="Normal 2 2 4 11 13" xfId="21829" xr:uid="{00000000-0005-0000-0000-000022550000}"/>
    <cellStyle name="Normal 2 2 4 11 14" xfId="21830" xr:uid="{00000000-0005-0000-0000-000023550000}"/>
    <cellStyle name="Normal 2 2 4 11 2" xfId="21831" xr:uid="{00000000-0005-0000-0000-000024550000}"/>
    <cellStyle name="Normal 2 2 4 11 2 10" xfId="21832" xr:uid="{00000000-0005-0000-0000-000025550000}"/>
    <cellStyle name="Normal 2 2 4 11 2 2" xfId="21833" xr:uid="{00000000-0005-0000-0000-000026550000}"/>
    <cellStyle name="Normal 2 2 4 11 2 3" xfId="21834" xr:uid="{00000000-0005-0000-0000-000027550000}"/>
    <cellStyle name="Normal 2 2 4 11 2 4" xfId="21835" xr:uid="{00000000-0005-0000-0000-000028550000}"/>
    <cellStyle name="Normal 2 2 4 11 2 5" xfId="21836" xr:uid="{00000000-0005-0000-0000-000029550000}"/>
    <cellStyle name="Normal 2 2 4 11 2 6" xfId="21837" xr:uid="{00000000-0005-0000-0000-00002A550000}"/>
    <cellStyle name="Normal 2 2 4 11 2 7" xfId="21838" xr:uid="{00000000-0005-0000-0000-00002B550000}"/>
    <cellStyle name="Normal 2 2 4 11 2 8" xfId="21839" xr:uid="{00000000-0005-0000-0000-00002C550000}"/>
    <cellStyle name="Normal 2 2 4 11 2 9" xfId="21840" xr:uid="{00000000-0005-0000-0000-00002D550000}"/>
    <cellStyle name="Normal 2 2 4 11 3" xfId="21841" xr:uid="{00000000-0005-0000-0000-00002E550000}"/>
    <cellStyle name="Normal 2 2 4 11 3 10" xfId="21842" xr:uid="{00000000-0005-0000-0000-00002F550000}"/>
    <cellStyle name="Normal 2 2 4 11 3 2" xfId="21843" xr:uid="{00000000-0005-0000-0000-000030550000}"/>
    <cellStyle name="Normal 2 2 4 11 3 3" xfId="21844" xr:uid="{00000000-0005-0000-0000-000031550000}"/>
    <cellStyle name="Normal 2 2 4 11 3 4" xfId="21845" xr:uid="{00000000-0005-0000-0000-000032550000}"/>
    <cellStyle name="Normal 2 2 4 11 3 5" xfId="21846" xr:uid="{00000000-0005-0000-0000-000033550000}"/>
    <cellStyle name="Normal 2 2 4 11 3 6" xfId="21847" xr:uid="{00000000-0005-0000-0000-000034550000}"/>
    <cellStyle name="Normal 2 2 4 11 3 7" xfId="21848" xr:uid="{00000000-0005-0000-0000-000035550000}"/>
    <cellStyle name="Normal 2 2 4 11 3 8" xfId="21849" xr:uid="{00000000-0005-0000-0000-000036550000}"/>
    <cellStyle name="Normal 2 2 4 11 3 9" xfId="21850" xr:uid="{00000000-0005-0000-0000-000037550000}"/>
    <cellStyle name="Normal 2 2 4 11 4" xfId="21851" xr:uid="{00000000-0005-0000-0000-000038550000}"/>
    <cellStyle name="Normal 2 2 4 11 4 10" xfId="21852" xr:uid="{00000000-0005-0000-0000-000039550000}"/>
    <cellStyle name="Normal 2 2 4 11 4 2" xfId="21853" xr:uid="{00000000-0005-0000-0000-00003A550000}"/>
    <cellStyle name="Normal 2 2 4 11 4 3" xfId="21854" xr:uid="{00000000-0005-0000-0000-00003B550000}"/>
    <cellStyle name="Normal 2 2 4 11 4 4" xfId="21855" xr:uid="{00000000-0005-0000-0000-00003C550000}"/>
    <cellStyle name="Normal 2 2 4 11 4 5" xfId="21856" xr:uid="{00000000-0005-0000-0000-00003D550000}"/>
    <cellStyle name="Normal 2 2 4 11 4 6" xfId="21857" xr:uid="{00000000-0005-0000-0000-00003E550000}"/>
    <cellStyle name="Normal 2 2 4 11 4 7" xfId="21858" xr:uid="{00000000-0005-0000-0000-00003F550000}"/>
    <cellStyle name="Normal 2 2 4 11 4 8" xfId="21859" xr:uid="{00000000-0005-0000-0000-000040550000}"/>
    <cellStyle name="Normal 2 2 4 11 4 9" xfId="21860" xr:uid="{00000000-0005-0000-0000-000041550000}"/>
    <cellStyle name="Normal 2 2 4 11 5" xfId="21861" xr:uid="{00000000-0005-0000-0000-000042550000}"/>
    <cellStyle name="Normal 2 2 4 11 5 10" xfId="21862" xr:uid="{00000000-0005-0000-0000-000043550000}"/>
    <cellStyle name="Normal 2 2 4 11 5 2" xfId="21863" xr:uid="{00000000-0005-0000-0000-000044550000}"/>
    <cellStyle name="Normal 2 2 4 11 5 3" xfId="21864" xr:uid="{00000000-0005-0000-0000-000045550000}"/>
    <cellStyle name="Normal 2 2 4 11 5 4" xfId="21865" xr:uid="{00000000-0005-0000-0000-000046550000}"/>
    <cellStyle name="Normal 2 2 4 11 5 5" xfId="21866" xr:uid="{00000000-0005-0000-0000-000047550000}"/>
    <cellStyle name="Normal 2 2 4 11 5 6" xfId="21867" xr:uid="{00000000-0005-0000-0000-000048550000}"/>
    <cellStyle name="Normal 2 2 4 11 5 7" xfId="21868" xr:uid="{00000000-0005-0000-0000-000049550000}"/>
    <cellStyle name="Normal 2 2 4 11 5 8" xfId="21869" xr:uid="{00000000-0005-0000-0000-00004A550000}"/>
    <cellStyle name="Normal 2 2 4 11 5 9" xfId="21870" xr:uid="{00000000-0005-0000-0000-00004B550000}"/>
    <cellStyle name="Normal 2 2 4 11 6" xfId="21871" xr:uid="{00000000-0005-0000-0000-00004C550000}"/>
    <cellStyle name="Normal 2 2 4 11 7" xfId="21872" xr:uid="{00000000-0005-0000-0000-00004D550000}"/>
    <cellStyle name="Normal 2 2 4 11 8" xfId="21873" xr:uid="{00000000-0005-0000-0000-00004E550000}"/>
    <cellStyle name="Normal 2 2 4 11 9" xfId="21874" xr:uid="{00000000-0005-0000-0000-00004F550000}"/>
    <cellStyle name="Normal 2 2 4 12" xfId="21875" xr:uid="{00000000-0005-0000-0000-000050550000}"/>
    <cellStyle name="Normal 2 2 4 12 10" xfId="21876" xr:uid="{00000000-0005-0000-0000-000051550000}"/>
    <cellStyle name="Normal 2 2 4 12 11" xfId="21877" xr:uid="{00000000-0005-0000-0000-000052550000}"/>
    <cellStyle name="Normal 2 2 4 12 12" xfId="21878" xr:uid="{00000000-0005-0000-0000-000053550000}"/>
    <cellStyle name="Normal 2 2 4 12 13" xfId="21879" xr:uid="{00000000-0005-0000-0000-000054550000}"/>
    <cellStyle name="Normal 2 2 4 12 14" xfId="21880" xr:uid="{00000000-0005-0000-0000-000055550000}"/>
    <cellStyle name="Normal 2 2 4 12 2" xfId="21881" xr:uid="{00000000-0005-0000-0000-000056550000}"/>
    <cellStyle name="Normal 2 2 4 12 2 10" xfId="21882" xr:uid="{00000000-0005-0000-0000-000057550000}"/>
    <cellStyle name="Normal 2 2 4 12 2 2" xfId="21883" xr:uid="{00000000-0005-0000-0000-000058550000}"/>
    <cellStyle name="Normal 2 2 4 12 2 3" xfId="21884" xr:uid="{00000000-0005-0000-0000-000059550000}"/>
    <cellStyle name="Normal 2 2 4 12 2 4" xfId="21885" xr:uid="{00000000-0005-0000-0000-00005A550000}"/>
    <cellStyle name="Normal 2 2 4 12 2 5" xfId="21886" xr:uid="{00000000-0005-0000-0000-00005B550000}"/>
    <cellStyle name="Normal 2 2 4 12 2 6" xfId="21887" xr:uid="{00000000-0005-0000-0000-00005C550000}"/>
    <cellStyle name="Normal 2 2 4 12 2 7" xfId="21888" xr:uid="{00000000-0005-0000-0000-00005D550000}"/>
    <cellStyle name="Normal 2 2 4 12 2 8" xfId="21889" xr:uid="{00000000-0005-0000-0000-00005E550000}"/>
    <cellStyle name="Normal 2 2 4 12 2 9" xfId="21890" xr:uid="{00000000-0005-0000-0000-00005F550000}"/>
    <cellStyle name="Normal 2 2 4 12 3" xfId="21891" xr:uid="{00000000-0005-0000-0000-000060550000}"/>
    <cellStyle name="Normal 2 2 4 12 3 10" xfId="21892" xr:uid="{00000000-0005-0000-0000-000061550000}"/>
    <cellStyle name="Normal 2 2 4 12 3 2" xfId="21893" xr:uid="{00000000-0005-0000-0000-000062550000}"/>
    <cellStyle name="Normal 2 2 4 12 3 3" xfId="21894" xr:uid="{00000000-0005-0000-0000-000063550000}"/>
    <cellStyle name="Normal 2 2 4 12 3 4" xfId="21895" xr:uid="{00000000-0005-0000-0000-000064550000}"/>
    <cellStyle name="Normal 2 2 4 12 3 5" xfId="21896" xr:uid="{00000000-0005-0000-0000-000065550000}"/>
    <cellStyle name="Normal 2 2 4 12 3 6" xfId="21897" xr:uid="{00000000-0005-0000-0000-000066550000}"/>
    <cellStyle name="Normal 2 2 4 12 3 7" xfId="21898" xr:uid="{00000000-0005-0000-0000-000067550000}"/>
    <cellStyle name="Normal 2 2 4 12 3 8" xfId="21899" xr:uid="{00000000-0005-0000-0000-000068550000}"/>
    <cellStyle name="Normal 2 2 4 12 3 9" xfId="21900" xr:uid="{00000000-0005-0000-0000-000069550000}"/>
    <cellStyle name="Normal 2 2 4 12 4" xfId="21901" xr:uid="{00000000-0005-0000-0000-00006A550000}"/>
    <cellStyle name="Normal 2 2 4 12 4 10" xfId="21902" xr:uid="{00000000-0005-0000-0000-00006B550000}"/>
    <cellStyle name="Normal 2 2 4 12 4 2" xfId="21903" xr:uid="{00000000-0005-0000-0000-00006C550000}"/>
    <cellStyle name="Normal 2 2 4 12 4 3" xfId="21904" xr:uid="{00000000-0005-0000-0000-00006D550000}"/>
    <cellStyle name="Normal 2 2 4 12 4 4" xfId="21905" xr:uid="{00000000-0005-0000-0000-00006E550000}"/>
    <cellStyle name="Normal 2 2 4 12 4 5" xfId="21906" xr:uid="{00000000-0005-0000-0000-00006F550000}"/>
    <cellStyle name="Normal 2 2 4 12 4 6" xfId="21907" xr:uid="{00000000-0005-0000-0000-000070550000}"/>
    <cellStyle name="Normal 2 2 4 12 4 7" xfId="21908" xr:uid="{00000000-0005-0000-0000-000071550000}"/>
    <cellStyle name="Normal 2 2 4 12 4 8" xfId="21909" xr:uid="{00000000-0005-0000-0000-000072550000}"/>
    <cellStyle name="Normal 2 2 4 12 4 9" xfId="21910" xr:uid="{00000000-0005-0000-0000-000073550000}"/>
    <cellStyle name="Normal 2 2 4 12 5" xfId="21911" xr:uid="{00000000-0005-0000-0000-000074550000}"/>
    <cellStyle name="Normal 2 2 4 12 5 10" xfId="21912" xr:uid="{00000000-0005-0000-0000-000075550000}"/>
    <cellStyle name="Normal 2 2 4 12 5 2" xfId="21913" xr:uid="{00000000-0005-0000-0000-000076550000}"/>
    <cellStyle name="Normal 2 2 4 12 5 3" xfId="21914" xr:uid="{00000000-0005-0000-0000-000077550000}"/>
    <cellStyle name="Normal 2 2 4 12 5 4" xfId="21915" xr:uid="{00000000-0005-0000-0000-000078550000}"/>
    <cellStyle name="Normal 2 2 4 12 5 5" xfId="21916" xr:uid="{00000000-0005-0000-0000-000079550000}"/>
    <cellStyle name="Normal 2 2 4 12 5 6" xfId="21917" xr:uid="{00000000-0005-0000-0000-00007A550000}"/>
    <cellStyle name="Normal 2 2 4 12 5 7" xfId="21918" xr:uid="{00000000-0005-0000-0000-00007B550000}"/>
    <cellStyle name="Normal 2 2 4 12 5 8" xfId="21919" xr:uid="{00000000-0005-0000-0000-00007C550000}"/>
    <cellStyle name="Normal 2 2 4 12 5 9" xfId="21920" xr:uid="{00000000-0005-0000-0000-00007D550000}"/>
    <cellStyle name="Normal 2 2 4 12 6" xfId="21921" xr:uid="{00000000-0005-0000-0000-00007E550000}"/>
    <cellStyle name="Normal 2 2 4 12 7" xfId="21922" xr:uid="{00000000-0005-0000-0000-00007F550000}"/>
    <cellStyle name="Normal 2 2 4 12 8" xfId="21923" xr:uid="{00000000-0005-0000-0000-000080550000}"/>
    <cellStyle name="Normal 2 2 4 12 9" xfId="21924" xr:uid="{00000000-0005-0000-0000-000081550000}"/>
    <cellStyle name="Normal 2 2 4 13" xfId="21925" xr:uid="{00000000-0005-0000-0000-000082550000}"/>
    <cellStyle name="Normal 2 2 4 13 10" xfId="21926" xr:uid="{00000000-0005-0000-0000-000083550000}"/>
    <cellStyle name="Normal 2 2 4 13 11" xfId="21927" xr:uid="{00000000-0005-0000-0000-000084550000}"/>
    <cellStyle name="Normal 2 2 4 13 12" xfId="21928" xr:uid="{00000000-0005-0000-0000-000085550000}"/>
    <cellStyle name="Normal 2 2 4 13 13" xfId="21929" xr:uid="{00000000-0005-0000-0000-000086550000}"/>
    <cellStyle name="Normal 2 2 4 13 14" xfId="21930" xr:uid="{00000000-0005-0000-0000-000087550000}"/>
    <cellStyle name="Normal 2 2 4 13 2" xfId="21931" xr:uid="{00000000-0005-0000-0000-000088550000}"/>
    <cellStyle name="Normal 2 2 4 13 2 10" xfId="21932" xr:uid="{00000000-0005-0000-0000-000089550000}"/>
    <cellStyle name="Normal 2 2 4 13 2 2" xfId="21933" xr:uid="{00000000-0005-0000-0000-00008A550000}"/>
    <cellStyle name="Normal 2 2 4 13 2 3" xfId="21934" xr:uid="{00000000-0005-0000-0000-00008B550000}"/>
    <cellStyle name="Normal 2 2 4 13 2 4" xfId="21935" xr:uid="{00000000-0005-0000-0000-00008C550000}"/>
    <cellStyle name="Normal 2 2 4 13 2 5" xfId="21936" xr:uid="{00000000-0005-0000-0000-00008D550000}"/>
    <cellStyle name="Normal 2 2 4 13 2 6" xfId="21937" xr:uid="{00000000-0005-0000-0000-00008E550000}"/>
    <cellStyle name="Normal 2 2 4 13 2 7" xfId="21938" xr:uid="{00000000-0005-0000-0000-00008F550000}"/>
    <cellStyle name="Normal 2 2 4 13 2 8" xfId="21939" xr:uid="{00000000-0005-0000-0000-000090550000}"/>
    <cellStyle name="Normal 2 2 4 13 2 9" xfId="21940" xr:uid="{00000000-0005-0000-0000-000091550000}"/>
    <cellStyle name="Normal 2 2 4 13 3" xfId="21941" xr:uid="{00000000-0005-0000-0000-000092550000}"/>
    <cellStyle name="Normal 2 2 4 13 3 10" xfId="21942" xr:uid="{00000000-0005-0000-0000-000093550000}"/>
    <cellStyle name="Normal 2 2 4 13 3 2" xfId="21943" xr:uid="{00000000-0005-0000-0000-000094550000}"/>
    <cellStyle name="Normal 2 2 4 13 3 3" xfId="21944" xr:uid="{00000000-0005-0000-0000-000095550000}"/>
    <cellStyle name="Normal 2 2 4 13 3 4" xfId="21945" xr:uid="{00000000-0005-0000-0000-000096550000}"/>
    <cellStyle name="Normal 2 2 4 13 3 5" xfId="21946" xr:uid="{00000000-0005-0000-0000-000097550000}"/>
    <cellStyle name="Normal 2 2 4 13 3 6" xfId="21947" xr:uid="{00000000-0005-0000-0000-000098550000}"/>
    <cellStyle name="Normal 2 2 4 13 3 7" xfId="21948" xr:uid="{00000000-0005-0000-0000-000099550000}"/>
    <cellStyle name="Normal 2 2 4 13 3 8" xfId="21949" xr:uid="{00000000-0005-0000-0000-00009A550000}"/>
    <cellStyle name="Normal 2 2 4 13 3 9" xfId="21950" xr:uid="{00000000-0005-0000-0000-00009B550000}"/>
    <cellStyle name="Normal 2 2 4 13 4" xfId="21951" xr:uid="{00000000-0005-0000-0000-00009C550000}"/>
    <cellStyle name="Normal 2 2 4 13 4 10" xfId="21952" xr:uid="{00000000-0005-0000-0000-00009D550000}"/>
    <cellStyle name="Normal 2 2 4 13 4 2" xfId="21953" xr:uid="{00000000-0005-0000-0000-00009E550000}"/>
    <cellStyle name="Normal 2 2 4 13 4 3" xfId="21954" xr:uid="{00000000-0005-0000-0000-00009F550000}"/>
    <cellStyle name="Normal 2 2 4 13 4 4" xfId="21955" xr:uid="{00000000-0005-0000-0000-0000A0550000}"/>
    <cellStyle name="Normal 2 2 4 13 4 5" xfId="21956" xr:uid="{00000000-0005-0000-0000-0000A1550000}"/>
    <cellStyle name="Normal 2 2 4 13 4 6" xfId="21957" xr:uid="{00000000-0005-0000-0000-0000A2550000}"/>
    <cellStyle name="Normal 2 2 4 13 4 7" xfId="21958" xr:uid="{00000000-0005-0000-0000-0000A3550000}"/>
    <cellStyle name="Normal 2 2 4 13 4 8" xfId="21959" xr:uid="{00000000-0005-0000-0000-0000A4550000}"/>
    <cellStyle name="Normal 2 2 4 13 4 9" xfId="21960" xr:uid="{00000000-0005-0000-0000-0000A5550000}"/>
    <cellStyle name="Normal 2 2 4 13 5" xfId="21961" xr:uid="{00000000-0005-0000-0000-0000A6550000}"/>
    <cellStyle name="Normal 2 2 4 13 5 10" xfId="21962" xr:uid="{00000000-0005-0000-0000-0000A7550000}"/>
    <cellStyle name="Normal 2 2 4 13 5 2" xfId="21963" xr:uid="{00000000-0005-0000-0000-0000A8550000}"/>
    <cellStyle name="Normal 2 2 4 13 5 3" xfId="21964" xr:uid="{00000000-0005-0000-0000-0000A9550000}"/>
    <cellStyle name="Normal 2 2 4 13 5 4" xfId="21965" xr:uid="{00000000-0005-0000-0000-0000AA550000}"/>
    <cellStyle name="Normal 2 2 4 13 5 5" xfId="21966" xr:uid="{00000000-0005-0000-0000-0000AB550000}"/>
    <cellStyle name="Normal 2 2 4 13 5 6" xfId="21967" xr:uid="{00000000-0005-0000-0000-0000AC550000}"/>
    <cellStyle name="Normal 2 2 4 13 5 7" xfId="21968" xr:uid="{00000000-0005-0000-0000-0000AD550000}"/>
    <cellStyle name="Normal 2 2 4 13 5 8" xfId="21969" xr:uid="{00000000-0005-0000-0000-0000AE550000}"/>
    <cellStyle name="Normal 2 2 4 13 5 9" xfId="21970" xr:uid="{00000000-0005-0000-0000-0000AF550000}"/>
    <cellStyle name="Normal 2 2 4 13 6" xfId="21971" xr:uid="{00000000-0005-0000-0000-0000B0550000}"/>
    <cellStyle name="Normal 2 2 4 13 7" xfId="21972" xr:uid="{00000000-0005-0000-0000-0000B1550000}"/>
    <cellStyle name="Normal 2 2 4 13 8" xfId="21973" xr:uid="{00000000-0005-0000-0000-0000B2550000}"/>
    <cellStyle name="Normal 2 2 4 13 9" xfId="21974" xr:uid="{00000000-0005-0000-0000-0000B3550000}"/>
    <cellStyle name="Normal 2 2 4 14" xfId="21975" xr:uid="{00000000-0005-0000-0000-0000B4550000}"/>
    <cellStyle name="Normal 2 2 4 14 10" xfId="21976" xr:uid="{00000000-0005-0000-0000-0000B5550000}"/>
    <cellStyle name="Normal 2 2 4 14 11" xfId="21977" xr:uid="{00000000-0005-0000-0000-0000B6550000}"/>
    <cellStyle name="Normal 2 2 4 14 12" xfId="21978" xr:uid="{00000000-0005-0000-0000-0000B7550000}"/>
    <cellStyle name="Normal 2 2 4 14 13" xfId="21979" xr:uid="{00000000-0005-0000-0000-0000B8550000}"/>
    <cellStyle name="Normal 2 2 4 14 14" xfId="21980" xr:uid="{00000000-0005-0000-0000-0000B9550000}"/>
    <cellStyle name="Normal 2 2 4 14 2" xfId="21981" xr:uid="{00000000-0005-0000-0000-0000BA550000}"/>
    <cellStyle name="Normal 2 2 4 14 2 10" xfId="21982" xr:uid="{00000000-0005-0000-0000-0000BB550000}"/>
    <cellStyle name="Normal 2 2 4 14 2 2" xfId="21983" xr:uid="{00000000-0005-0000-0000-0000BC550000}"/>
    <cellStyle name="Normal 2 2 4 14 2 3" xfId="21984" xr:uid="{00000000-0005-0000-0000-0000BD550000}"/>
    <cellStyle name="Normal 2 2 4 14 2 4" xfId="21985" xr:uid="{00000000-0005-0000-0000-0000BE550000}"/>
    <cellStyle name="Normal 2 2 4 14 2 5" xfId="21986" xr:uid="{00000000-0005-0000-0000-0000BF550000}"/>
    <cellStyle name="Normal 2 2 4 14 2 6" xfId="21987" xr:uid="{00000000-0005-0000-0000-0000C0550000}"/>
    <cellStyle name="Normal 2 2 4 14 2 7" xfId="21988" xr:uid="{00000000-0005-0000-0000-0000C1550000}"/>
    <cellStyle name="Normal 2 2 4 14 2 8" xfId="21989" xr:uid="{00000000-0005-0000-0000-0000C2550000}"/>
    <cellStyle name="Normal 2 2 4 14 2 9" xfId="21990" xr:uid="{00000000-0005-0000-0000-0000C3550000}"/>
    <cellStyle name="Normal 2 2 4 14 3" xfId="21991" xr:uid="{00000000-0005-0000-0000-0000C4550000}"/>
    <cellStyle name="Normal 2 2 4 14 3 10" xfId="21992" xr:uid="{00000000-0005-0000-0000-0000C5550000}"/>
    <cellStyle name="Normal 2 2 4 14 3 2" xfId="21993" xr:uid="{00000000-0005-0000-0000-0000C6550000}"/>
    <cellStyle name="Normal 2 2 4 14 3 3" xfId="21994" xr:uid="{00000000-0005-0000-0000-0000C7550000}"/>
    <cellStyle name="Normal 2 2 4 14 3 4" xfId="21995" xr:uid="{00000000-0005-0000-0000-0000C8550000}"/>
    <cellStyle name="Normal 2 2 4 14 3 5" xfId="21996" xr:uid="{00000000-0005-0000-0000-0000C9550000}"/>
    <cellStyle name="Normal 2 2 4 14 3 6" xfId="21997" xr:uid="{00000000-0005-0000-0000-0000CA550000}"/>
    <cellStyle name="Normal 2 2 4 14 3 7" xfId="21998" xr:uid="{00000000-0005-0000-0000-0000CB550000}"/>
    <cellStyle name="Normal 2 2 4 14 3 8" xfId="21999" xr:uid="{00000000-0005-0000-0000-0000CC550000}"/>
    <cellStyle name="Normal 2 2 4 14 3 9" xfId="22000" xr:uid="{00000000-0005-0000-0000-0000CD550000}"/>
    <cellStyle name="Normal 2 2 4 14 4" xfId="22001" xr:uid="{00000000-0005-0000-0000-0000CE550000}"/>
    <cellStyle name="Normal 2 2 4 14 4 10" xfId="22002" xr:uid="{00000000-0005-0000-0000-0000CF550000}"/>
    <cellStyle name="Normal 2 2 4 14 4 2" xfId="22003" xr:uid="{00000000-0005-0000-0000-0000D0550000}"/>
    <cellStyle name="Normal 2 2 4 14 4 3" xfId="22004" xr:uid="{00000000-0005-0000-0000-0000D1550000}"/>
    <cellStyle name="Normal 2 2 4 14 4 4" xfId="22005" xr:uid="{00000000-0005-0000-0000-0000D2550000}"/>
    <cellStyle name="Normal 2 2 4 14 4 5" xfId="22006" xr:uid="{00000000-0005-0000-0000-0000D3550000}"/>
    <cellStyle name="Normal 2 2 4 14 4 6" xfId="22007" xr:uid="{00000000-0005-0000-0000-0000D4550000}"/>
    <cellStyle name="Normal 2 2 4 14 4 7" xfId="22008" xr:uid="{00000000-0005-0000-0000-0000D5550000}"/>
    <cellStyle name="Normal 2 2 4 14 4 8" xfId="22009" xr:uid="{00000000-0005-0000-0000-0000D6550000}"/>
    <cellStyle name="Normal 2 2 4 14 4 9" xfId="22010" xr:uid="{00000000-0005-0000-0000-0000D7550000}"/>
    <cellStyle name="Normal 2 2 4 14 5" xfId="22011" xr:uid="{00000000-0005-0000-0000-0000D8550000}"/>
    <cellStyle name="Normal 2 2 4 14 5 10" xfId="22012" xr:uid="{00000000-0005-0000-0000-0000D9550000}"/>
    <cellStyle name="Normal 2 2 4 14 5 2" xfId="22013" xr:uid="{00000000-0005-0000-0000-0000DA550000}"/>
    <cellStyle name="Normal 2 2 4 14 5 3" xfId="22014" xr:uid="{00000000-0005-0000-0000-0000DB550000}"/>
    <cellStyle name="Normal 2 2 4 14 5 4" xfId="22015" xr:uid="{00000000-0005-0000-0000-0000DC550000}"/>
    <cellStyle name="Normal 2 2 4 14 5 5" xfId="22016" xr:uid="{00000000-0005-0000-0000-0000DD550000}"/>
    <cellStyle name="Normal 2 2 4 14 5 6" xfId="22017" xr:uid="{00000000-0005-0000-0000-0000DE550000}"/>
    <cellStyle name="Normal 2 2 4 14 5 7" xfId="22018" xr:uid="{00000000-0005-0000-0000-0000DF550000}"/>
    <cellStyle name="Normal 2 2 4 14 5 8" xfId="22019" xr:uid="{00000000-0005-0000-0000-0000E0550000}"/>
    <cellStyle name="Normal 2 2 4 14 5 9" xfId="22020" xr:uid="{00000000-0005-0000-0000-0000E1550000}"/>
    <cellStyle name="Normal 2 2 4 14 6" xfId="22021" xr:uid="{00000000-0005-0000-0000-0000E2550000}"/>
    <cellStyle name="Normal 2 2 4 14 7" xfId="22022" xr:uid="{00000000-0005-0000-0000-0000E3550000}"/>
    <cellStyle name="Normal 2 2 4 14 8" xfId="22023" xr:uid="{00000000-0005-0000-0000-0000E4550000}"/>
    <cellStyle name="Normal 2 2 4 14 9" xfId="22024" xr:uid="{00000000-0005-0000-0000-0000E5550000}"/>
    <cellStyle name="Normal 2 2 4 15" xfId="22025" xr:uid="{00000000-0005-0000-0000-0000E6550000}"/>
    <cellStyle name="Normal 2 2 4 15 10" xfId="22026" xr:uid="{00000000-0005-0000-0000-0000E7550000}"/>
    <cellStyle name="Normal 2 2 4 15 11" xfId="22027" xr:uid="{00000000-0005-0000-0000-0000E8550000}"/>
    <cellStyle name="Normal 2 2 4 15 12" xfId="22028" xr:uid="{00000000-0005-0000-0000-0000E9550000}"/>
    <cellStyle name="Normal 2 2 4 15 13" xfId="22029" xr:uid="{00000000-0005-0000-0000-0000EA550000}"/>
    <cellStyle name="Normal 2 2 4 15 14" xfId="22030" xr:uid="{00000000-0005-0000-0000-0000EB550000}"/>
    <cellStyle name="Normal 2 2 4 15 2" xfId="22031" xr:uid="{00000000-0005-0000-0000-0000EC550000}"/>
    <cellStyle name="Normal 2 2 4 15 2 10" xfId="22032" xr:uid="{00000000-0005-0000-0000-0000ED550000}"/>
    <cellStyle name="Normal 2 2 4 15 2 2" xfId="22033" xr:uid="{00000000-0005-0000-0000-0000EE550000}"/>
    <cellStyle name="Normal 2 2 4 15 2 3" xfId="22034" xr:uid="{00000000-0005-0000-0000-0000EF550000}"/>
    <cellStyle name="Normal 2 2 4 15 2 4" xfId="22035" xr:uid="{00000000-0005-0000-0000-0000F0550000}"/>
    <cellStyle name="Normal 2 2 4 15 2 5" xfId="22036" xr:uid="{00000000-0005-0000-0000-0000F1550000}"/>
    <cellStyle name="Normal 2 2 4 15 2 6" xfId="22037" xr:uid="{00000000-0005-0000-0000-0000F2550000}"/>
    <cellStyle name="Normal 2 2 4 15 2 7" xfId="22038" xr:uid="{00000000-0005-0000-0000-0000F3550000}"/>
    <cellStyle name="Normal 2 2 4 15 2 8" xfId="22039" xr:uid="{00000000-0005-0000-0000-0000F4550000}"/>
    <cellStyle name="Normal 2 2 4 15 2 9" xfId="22040" xr:uid="{00000000-0005-0000-0000-0000F5550000}"/>
    <cellStyle name="Normal 2 2 4 15 3" xfId="22041" xr:uid="{00000000-0005-0000-0000-0000F6550000}"/>
    <cellStyle name="Normal 2 2 4 15 3 10" xfId="22042" xr:uid="{00000000-0005-0000-0000-0000F7550000}"/>
    <cellStyle name="Normal 2 2 4 15 3 2" xfId="22043" xr:uid="{00000000-0005-0000-0000-0000F8550000}"/>
    <cellStyle name="Normal 2 2 4 15 3 3" xfId="22044" xr:uid="{00000000-0005-0000-0000-0000F9550000}"/>
    <cellStyle name="Normal 2 2 4 15 3 4" xfId="22045" xr:uid="{00000000-0005-0000-0000-0000FA550000}"/>
    <cellStyle name="Normal 2 2 4 15 3 5" xfId="22046" xr:uid="{00000000-0005-0000-0000-0000FB550000}"/>
    <cellStyle name="Normal 2 2 4 15 3 6" xfId="22047" xr:uid="{00000000-0005-0000-0000-0000FC550000}"/>
    <cellStyle name="Normal 2 2 4 15 3 7" xfId="22048" xr:uid="{00000000-0005-0000-0000-0000FD550000}"/>
    <cellStyle name="Normal 2 2 4 15 3 8" xfId="22049" xr:uid="{00000000-0005-0000-0000-0000FE550000}"/>
    <cellStyle name="Normal 2 2 4 15 3 9" xfId="22050" xr:uid="{00000000-0005-0000-0000-0000FF550000}"/>
    <cellStyle name="Normal 2 2 4 15 4" xfId="22051" xr:uid="{00000000-0005-0000-0000-000000560000}"/>
    <cellStyle name="Normal 2 2 4 15 4 10" xfId="22052" xr:uid="{00000000-0005-0000-0000-000001560000}"/>
    <cellStyle name="Normal 2 2 4 15 4 2" xfId="22053" xr:uid="{00000000-0005-0000-0000-000002560000}"/>
    <cellStyle name="Normal 2 2 4 15 4 3" xfId="22054" xr:uid="{00000000-0005-0000-0000-000003560000}"/>
    <cellStyle name="Normal 2 2 4 15 4 4" xfId="22055" xr:uid="{00000000-0005-0000-0000-000004560000}"/>
    <cellStyle name="Normal 2 2 4 15 4 5" xfId="22056" xr:uid="{00000000-0005-0000-0000-000005560000}"/>
    <cellStyle name="Normal 2 2 4 15 4 6" xfId="22057" xr:uid="{00000000-0005-0000-0000-000006560000}"/>
    <cellStyle name="Normal 2 2 4 15 4 7" xfId="22058" xr:uid="{00000000-0005-0000-0000-000007560000}"/>
    <cellStyle name="Normal 2 2 4 15 4 8" xfId="22059" xr:uid="{00000000-0005-0000-0000-000008560000}"/>
    <cellStyle name="Normal 2 2 4 15 4 9" xfId="22060" xr:uid="{00000000-0005-0000-0000-000009560000}"/>
    <cellStyle name="Normal 2 2 4 15 5" xfId="22061" xr:uid="{00000000-0005-0000-0000-00000A560000}"/>
    <cellStyle name="Normal 2 2 4 15 5 10" xfId="22062" xr:uid="{00000000-0005-0000-0000-00000B560000}"/>
    <cellStyle name="Normal 2 2 4 15 5 2" xfId="22063" xr:uid="{00000000-0005-0000-0000-00000C560000}"/>
    <cellStyle name="Normal 2 2 4 15 5 3" xfId="22064" xr:uid="{00000000-0005-0000-0000-00000D560000}"/>
    <cellStyle name="Normal 2 2 4 15 5 4" xfId="22065" xr:uid="{00000000-0005-0000-0000-00000E560000}"/>
    <cellStyle name="Normal 2 2 4 15 5 5" xfId="22066" xr:uid="{00000000-0005-0000-0000-00000F560000}"/>
    <cellStyle name="Normal 2 2 4 15 5 6" xfId="22067" xr:uid="{00000000-0005-0000-0000-000010560000}"/>
    <cellStyle name="Normal 2 2 4 15 5 7" xfId="22068" xr:uid="{00000000-0005-0000-0000-000011560000}"/>
    <cellStyle name="Normal 2 2 4 15 5 8" xfId="22069" xr:uid="{00000000-0005-0000-0000-000012560000}"/>
    <cellStyle name="Normal 2 2 4 15 5 9" xfId="22070" xr:uid="{00000000-0005-0000-0000-000013560000}"/>
    <cellStyle name="Normal 2 2 4 15 6" xfId="22071" xr:uid="{00000000-0005-0000-0000-000014560000}"/>
    <cellStyle name="Normal 2 2 4 15 7" xfId="22072" xr:uid="{00000000-0005-0000-0000-000015560000}"/>
    <cellStyle name="Normal 2 2 4 15 8" xfId="22073" xr:uid="{00000000-0005-0000-0000-000016560000}"/>
    <cellStyle name="Normal 2 2 4 15 9" xfId="22074" xr:uid="{00000000-0005-0000-0000-000017560000}"/>
    <cellStyle name="Normal 2 2 4 16" xfId="22075" xr:uid="{00000000-0005-0000-0000-000018560000}"/>
    <cellStyle name="Normal 2 2 4 16 10" xfId="22076" xr:uid="{00000000-0005-0000-0000-000019560000}"/>
    <cellStyle name="Normal 2 2 4 16 11" xfId="22077" xr:uid="{00000000-0005-0000-0000-00001A560000}"/>
    <cellStyle name="Normal 2 2 4 16 12" xfId="22078" xr:uid="{00000000-0005-0000-0000-00001B560000}"/>
    <cellStyle name="Normal 2 2 4 16 13" xfId="22079" xr:uid="{00000000-0005-0000-0000-00001C560000}"/>
    <cellStyle name="Normal 2 2 4 16 14" xfId="22080" xr:uid="{00000000-0005-0000-0000-00001D560000}"/>
    <cellStyle name="Normal 2 2 4 16 2" xfId="22081" xr:uid="{00000000-0005-0000-0000-00001E560000}"/>
    <cellStyle name="Normal 2 2 4 16 2 10" xfId="22082" xr:uid="{00000000-0005-0000-0000-00001F560000}"/>
    <cellStyle name="Normal 2 2 4 16 2 2" xfId="22083" xr:uid="{00000000-0005-0000-0000-000020560000}"/>
    <cellStyle name="Normal 2 2 4 16 2 3" xfId="22084" xr:uid="{00000000-0005-0000-0000-000021560000}"/>
    <cellStyle name="Normal 2 2 4 16 2 4" xfId="22085" xr:uid="{00000000-0005-0000-0000-000022560000}"/>
    <cellStyle name="Normal 2 2 4 16 2 5" xfId="22086" xr:uid="{00000000-0005-0000-0000-000023560000}"/>
    <cellStyle name="Normal 2 2 4 16 2 6" xfId="22087" xr:uid="{00000000-0005-0000-0000-000024560000}"/>
    <cellStyle name="Normal 2 2 4 16 2 7" xfId="22088" xr:uid="{00000000-0005-0000-0000-000025560000}"/>
    <cellStyle name="Normal 2 2 4 16 2 8" xfId="22089" xr:uid="{00000000-0005-0000-0000-000026560000}"/>
    <cellStyle name="Normal 2 2 4 16 2 9" xfId="22090" xr:uid="{00000000-0005-0000-0000-000027560000}"/>
    <cellStyle name="Normal 2 2 4 16 3" xfId="22091" xr:uid="{00000000-0005-0000-0000-000028560000}"/>
    <cellStyle name="Normal 2 2 4 16 3 10" xfId="22092" xr:uid="{00000000-0005-0000-0000-000029560000}"/>
    <cellStyle name="Normal 2 2 4 16 3 2" xfId="22093" xr:uid="{00000000-0005-0000-0000-00002A560000}"/>
    <cellStyle name="Normal 2 2 4 16 3 3" xfId="22094" xr:uid="{00000000-0005-0000-0000-00002B560000}"/>
    <cellStyle name="Normal 2 2 4 16 3 4" xfId="22095" xr:uid="{00000000-0005-0000-0000-00002C560000}"/>
    <cellStyle name="Normal 2 2 4 16 3 5" xfId="22096" xr:uid="{00000000-0005-0000-0000-00002D560000}"/>
    <cellStyle name="Normal 2 2 4 16 3 6" xfId="22097" xr:uid="{00000000-0005-0000-0000-00002E560000}"/>
    <cellStyle name="Normal 2 2 4 16 3 7" xfId="22098" xr:uid="{00000000-0005-0000-0000-00002F560000}"/>
    <cellStyle name="Normal 2 2 4 16 3 8" xfId="22099" xr:uid="{00000000-0005-0000-0000-000030560000}"/>
    <cellStyle name="Normal 2 2 4 16 3 9" xfId="22100" xr:uid="{00000000-0005-0000-0000-000031560000}"/>
    <cellStyle name="Normal 2 2 4 16 4" xfId="22101" xr:uid="{00000000-0005-0000-0000-000032560000}"/>
    <cellStyle name="Normal 2 2 4 16 4 10" xfId="22102" xr:uid="{00000000-0005-0000-0000-000033560000}"/>
    <cellStyle name="Normal 2 2 4 16 4 2" xfId="22103" xr:uid="{00000000-0005-0000-0000-000034560000}"/>
    <cellStyle name="Normal 2 2 4 16 4 3" xfId="22104" xr:uid="{00000000-0005-0000-0000-000035560000}"/>
    <cellStyle name="Normal 2 2 4 16 4 4" xfId="22105" xr:uid="{00000000-0005-0000-0000-000036560000}"/>
    <cellStyle name="Normal 2 2 4 16 4 5" xfId="22106" xr:uid="{00000000-0005-0000-0000-000037560000}"/>
    <cellStyle name="Normal 2 2 4 16 4 6" xfId="22107" xr:uid="{00000000-0005-0000-0000-000038560000}"/>
    <cellStyle name="Normal 2 2 4 16 4 7" xfId="22108" xr:uid="{00000000-0005-0000-0000-000039560000}"/>
    <cellStyle name="Normal 2 2 4 16 4 8" xfId="22109" xr:uid="{00000000-0005-0000-0000-00003A560000}"/>
    <cellStyle name="Normal 2 2 4 16 4 9" xfId="22110" xr:uid="{00000000-0005-0000-0000-00003B560000}"/>
    <cellStyle name="Normal 2 2 4 16 5" xfId="22111" xr:uid="{00000000-0005-0000-0000-00003C560000}"/>
    <cellStyle name="Normal 2 2 4 16 5 10" xfId="22112" xr:uid="{00000000-0005-0000-0000-00003D560000}"/>
    <cellStyle name="Normal 2 2 4 16 5 2" xfId="22113" xr:uid="{00000000-0005-0000-0000-00003E560000}"/>
    <cellStyle name="Normal 2 2 4 16 5 3" xfId="22114" xr:uid="{00000000-0005-0000-0000-00003F560000}"/>
    <cellStyle name="Normal 2 2 4 16 5 4" xfId="22115" xr:uid="{00000000-0005-0000-0000-000040560000}"/>
    <cellStyle name="Normal 2 2 4 16 5 5" xfId="22116" xr:uid="{00000000-0005-0000-0000-000041560000}"/>
    <cellStyle name="Normal 2 2 4 16 5 6" xfId="22117" xr:uid="{00000000-0005-0000-0000-000042560000}"/>
    <cellStyle name="Normal 2 2 4 16 5 7" xfId="22118" xr:uid="{00000000-0005-0000-0000-000043560000}"/>
    <cellStyle name="Normal 2 2 4 16 5 8" xfId="22119" xr:uid="{00000000-0005-0000-0000-000044560000}"/>
    <cellStyle name="Normal 2 2 4 16 5 9" xfId="22120" xr:uid="{00000000-0005-0000-0000-000045560000}"/>
    <cellStyle name="Normal 2 2 4 16 6" xfId="22121" xr:uid="{00000000-0005-0000-0000-000046560000}"/>
    <cellStyle name="Normal 2 2 4 16 7" xfId="22122" xr:uid="{00000000-0005-0000-0000-000047560000}"/>
    <cellStyle name="Normal 2 2 4 16 8" xfId="22123" xr:uid="{00000000-0005-0000-0000-000048560000}"/>
    <cellStyle name="Normal 2 2 4 16 9" xfId="22124" xr:uid="{00000000-0005-0000-0000-000049560000}"/>
    <cellStyle name="Normal 2 2 4 17" xfId="22125" xr:uid="{00000000-0005-0000-0000-00004A560000}"/>
    <cellStyle name="Normal 2 2 4 17 10" xfId="22126" xr:uid="{00000000-0005-0000-0000-00004B560000}"/>
    <cellStyle name="Normal 2 2 4 17 11" xfId="22127" xr:uid="{00000000-0005-0000-0000-00004C560000}"/>
    <cellStyle name="Normal 2 2 4 17 12" xfId="22128" xr:uid="{00000000-0005-0000-0000-00004D560000}"/>
    <cellStyle name="Normal 2 2 4 17 13" xfId="22129" xr:uid="{00000000-0005-0000-0000-00004E560000}"/>
    <cellStyle name="Normal 2 2 4 17 14" xfId="22130" xr:uid="{00000000-0005-0000-0000-00004F560000}"/>
    <cellStyle name="Normal 2 2 4 17 2" xfId="22131" xr:uid="{00000000-0005-0000-0000-000050560000}"/>
    <cellStyle name="Normal 2 2 4 17 2 10" xfId="22132" xr:uid="{00000000-0005-0000-0000-000051560000}"/>
    <cellStyle name="Normal 2 2 4 17 2 2" xfId="22133" xr:uid="{00000000-0005-0000-0000-000052560000}"/>
    <cellStyle name="Normal 2 2 4 17 2 3" xfId="22134" xr:uid="{00000000-0005-0000-0000-000053560000}"/>
    <cellStyle name="Normal 2 2 4 17 2 4" xfId="22135" xr:uid="{00000000-0005-0000-0000-000054560000}"/>
    <cellStyle name="Normal 2 2 4 17 2 5" xfId="22136" xr:uid="{00000000-0005-0000-0000-000055560000}"/>
    <cellStyle name="Normal 2 2 4 17 2 6" xfId="22137" xr:uid="{00000000-0005-0000-0000-000056560000}"/>
    <cellStyle name="Normal 2 2 4 17 2 7" xfId="22138" xr:uid="{00000000-0005-0000-0000-000057560000}"/>
    <cellStyle name="Normal 2 2 4 17 2 8" xfId="22139" xr:uid="{00000000-0005-0000-0000-000058560000}"/>
    <cellStyle name="Normal 2 2 4 17 2 9" xfId="22140" xr:uid="{00000000-0005-0000-0000-000059560000}"/>
    <cellStyle name="Normal 2 2 4 17 3" xfId="22141" xr:uid="{00000000-0005-0000-0000-00005A560000}"/>
    <cellStyle name="Normal 2 2 4 17 3 10" xfId="22142" xr:uid="{00000000-0005-0000-0000-00005B560000}"/>
    <cellStyle name="Normal 2 2 4 17 3 2" xfId="22143" xr:uid="{00000000-0005-0000-0000-00005C560000}"/>
    <cellStyle name="Normal 2 2 4 17 3 3" xfId="22144" xr:uid="{00000000-0005-0000-0000-00005D560000}"/>
    <cellStyle name="Normal 2 2 4 17 3 4" xfId="22145" xr:uid="{00000000-0005-0000-0000-00005E560000}"/>
    <cellStyle name="Normal 2 2 4 17 3 5" xfId="22146" xr:uid="{00000000-0005-0000-0000-00005F560000}"/>
    <cellStyle name="Normal 2 2 4 17 3 6" xfId="22147" xr:uid="{00000000-0005-0000-0000-000060560000}"/>
    <cellStyle name="Normal 2 2 4 17 3 7" xfId="22148" xr:uid="{00000000-0005-0000-0000-000061560000}"/>
    <cellStyle name="Normal 2 2 4 17 3 8" xfId="22149" xr:uid="{00000000-0005-0000-0000-000062560000}"/>
    <cellStyle name="Normal 2 2 4 17 3 9" xfId="22150" xr:uid="{00000000-0005-0000-0000-000063560000}"/>
    <cellStyle name="Normal 2 2 4 17 4" xfId="22151" xr:uid="{00000000-0005-0000-0000-000064560000}"/>
    <cellStyle name="Normal 2 2 4 17 4 10" xfId="22152" xr:uid="{00000000-0005-0000-0000-000065560000}"/>
    <cellStyle name="Normal 2 2 4 17 4 2" xfId="22153" xr:uid="{00000000-0005-0000-0000-000066560000}"/>
    <cellStyle name="Normal 2 2 4 17 4 3" xfId="22154" xr:uid="{00000000-0005-0000-0000-000067560000}"/>
    <cellStyle name="Normal 2 2 4 17 4 4" xfId="22155" xr:uid="{00000000-0005-0000-0000-000068560000}"/>
    <cellStyle name="Normal 2 2 4 17 4 5" xfId="22156" xr:uid="{00000000-0005-0000-0000-000069560000}"/>
    <cellStyle name="Normal 2 2 4 17 4 6" xfId="22157" xr:uid="{00000000-0005-0000-0000-00006A560000}"/>
    <cellStyle name="Normal 2 2 4 17 4 7" xfId="22158" xr:uid="{00000000-0005-0000-0000-00006B560000}"/>
    <cellStyle name="Normal 2 2 4 17 4 8" xfId="22159" xr:uid="{00000000-0005-0000-0000-00006C560000}"/>
    <cellStyle name="Normal 2 2 4 17 4 9" xfId="22160" xr:uid="{00000000-0005-0000-0000-00006D560000}"/>
    <cellStyle name="Normal 2 2 4 17 5" xfId="22161" xr:uid="{00000000-0005-0000-0000-00006E560000}"/>
    <cellStyle name="Normal 2 2 4 17 5 10" xfId="22162" xr:uid="{00000000-0005-0000-0000-00006F560000}"/>
    <cellStyle name="Normal 2 2 4 17 5 2" xfId="22163" xr:uid="{00000000-0005-0000-0000-000070560000}"/>
    <cellStyle name="Normal 2 2 4 17 5 3" xfId="22164" xr:uid="{00000000-0005-0000-0000-000071560000}"/>
    <cellStyle name="Normal 2 2 4 17 5 4" xfId="22165" xr:uid="{00000000-0005-0000-0000-000072560000}"/>
    <cellStyle name="Normal 2 2 4 17 5 5" xfId="22166" xr:uid="{00000000-0005-0000-0000-000073560000}"/>
    <cellStyle name="Normal 2 2 4 17 5 6" xfId="22167" xr:uid="{00000000-0005-0000-0000-000074560000}"/>
    <cellStyle name="Normal 2 2 4 17 5 7" xfId="22168" xr:uid="{00000000-0005-0000-0000-000075560000}"/>
    <cellStyle name="Normal 2 2 4 17 5 8" xfId="22169" xr:uid="{00000000-0005-0000-0000-000076560000}"/>
    <cellStyle name="Normal 2 2 4 17 5 9" xfId="22170" xr:uid="{00000000-0005-0000-0000-000077560000}"/>
    <cellStyle name="Normal 2 2 4 17 6" xfId="22171" xr:uid="{00000000-0005-0000-0000-000078560000}"/>
    <cellStyle name="Normal 2 2 4 17 7" xfId="22172" xr:uid="{00000000-0005-0000-0000-000079560000}"/>
    <cellStyle name="Normal 2 2 4 17 8" xfId="22173" xr:uid="{00000000-0005-0000-0000-00007A560000}"/>
    <cellStyle name="Normal 2 2 4 17 9" xfId="22174" xr:uid="{00000000-0005-0000-0000-00007B560000}"/>
    <cellStyle name="Normal 2 2 4 18" xfId="22175" xr:uid="{00000000-0005-0000-0000-00007C560000}"/>
    <cellStyle name="Normal 2 2 4 18 10" xfId="22176" xr:uid="{00000000-0005-0000-0000-00007D560000}"/>
    <cellStyle name="Normal 2 2 4 18 11" xfId="22177" xr:uid="{00000000-0005-0000-0000-00007E560000}"/>
    <cellStyle name="Normal 2 2 4 18 12" xfId="22178" xr:uid="{00000000-0005-0000-0000-00007F560000}"/>
    <cellStyle name="Normal 2 2 4 18 13" xfId="22179" xr:uid="{00000000-0005-0000-0000-000080560000}"/>
    <cellStyle name="Normal 2 2 4 18 14" xfId="22180" xr:uid="{00000000-0005-0000-0000-000081560000}"/>
    <cellStyle name="Normal 2 2 4 18 2" xfId="22181" xr:uid="{00000000-0005-0000-0000-000082560000}"/>
    <cellStyle name="Normal 2 2 4 18 2 10" xfId="22182" xr:uid="{00000000-0005-0000-0000-000083560000}"/>
    <cellStyle name="Normal 2 2 4 18 2 2" xfId="22183" xr:uid="{00000000-0005-0000-0000-000084560000}"/>
    <cellStyle name="Normal 2 2 4 18 2 3" xfId="22184" xr:uid="{00000000-0005-0000-0000-000085560000}"/>
    <cellStyle name="Normal 2 2 4 18 2 4" xfId="22185" xr:uid="{00000000-0005-0000-0000-000086560000}"/>
    <cellStyle name="Normal 2 2 4 18 2 5" xfId="22186" xr:uid="{00000000-0005-0000-0000-000087560000}"/>
    <cellStyle name="Normal 2 2 4 18 2 6" xfId="22187" xr:uid="{00000000-0005-0000-0000-000088560000}"/>
    <cellStyle name="Normal 2 2 4 18 2 7" xfId="22188" xr:uid="{00000000-0005-0000-0000-000089560000}"/>
    <cellStyle name="Normal 2 2 4 18 2 8" xfId="22189" xr:uid="{00000000-0005-0000-0000-00008A560000}"/>
    <cellStyle name="Normal 2 2 4 18 2 9" xfId="22190" xr:uid="{00000000-0005-0000-0000-00008B560000}"/>
    <cellStyle name="Normal 2 2 4 18 3" xfId="22191" xr:uid="{00000000-0005-0000-0000-00008C560000}"/>
    <cellStyle name="Normal 2 2 4 18 3 10" xfId="22192" xr:uid="{00000000-0005-0000-0000-00008D560000}"/>
    <cellStyle name="Normal 2 2 4 18 3 2" xfId="22193" xr:uid="{00000000-0005-0000-0000-00008E560000}"/>
    <cellStyle name="Normal 2 2 4 18 3 3" xfId="22194" xr:uid="{00000000-0005-0000-0000-00008F560000}"/>
    <cellStyle name="Normal 2 2 4 18 3 4" xfId="22195" xr:uid="{00000000-0005-0000-0000-000090560000}"/>
    <cellStyle name="Normal 2 2 4 18 3 5" xfId="22196" xr:uid="{00000000-0005-0000-0000-000091560000}"/>
    <cellStyle name="Normal 2 2 4 18 3 6" xfId="22197" xr:uid="{00000000-0005-0000-0000-000092560000}"/>
    <cellStyle name="Normal 2 2 4 18 3 7" xfId="22198" xr:uid="{00000000-0005-0000-0000-000093560000}"/>
    <cellStyle name="Normal 2 2 4 18 3 8" xfId="22199" xr:uid="{00000000-0005-0000-0000-000094560000}"/>
    <cellStyle name="Normal 2 2 4 18 3 9" xfId="22200" xr:uid="{00000000-0005-0000-0000-000095560000}"/>
    <cellStyle name="Normal 2 2 4 18 4" xfId="22201" xr:uid="{00000000-0005-0000-0000-000096560000}"/>
    <cellStyle name="Normal 2 2 4 18 4 10" xfId="22202" xr:uid="{00000000-0005-0000-0000-000097560000}"/>
    <cellStyle name="Normal 2 2 4 18 4 2" xfId="22203" xr:uid="{00000000-0005-0000-0000-000098560000}"/>
    <cellStyle name="Normal 2 2 4 18 4 3" xfId="22204" xr:uid="{00000000-0005-0000-0000-000099560000}"/>
    <cellStyle name="Normal 2 2 4 18 4 4" xfId="22205" xr:uid="{00000000-0005-0000-0000-00009A560000}"/>
    <cellStyle name="Normal 2 2 4 18 4 5" xfId="22206" xr:uid="{00000000-0005-0000-0000-00009B560000}"/>
    <cellStyle name="Normal 2 2 4 18 4 6" xfId="22207" xr:uid="{00000000-0005-0000-0000-00009C560000}"/>
    <cellStyle name="Normal 2 2 4 18 4 7" xfId="22208" xr:uid="{00000000-0005-0000-0000-00009D560000}"/>
    <cellStyle name="Normal 2 2 4 18 4 8" xfId="22209" xr:uid="{00000000-0005-0000-0000-00009E560000}"/>
    <cellStyle name="Normal 2 2 4 18 4 9" xfId="22210" xr:uid="{00000000-0005-0000-0000-00009F560000}"/>
    <cellStyle name="Normal 2 2 4 18 5" xfId="22211" xr:uid="{00000000-0005-0000-0000-0000A0560000}"/>
    <cellStyle name="Normal 2 2 4 18 5 10" xfId="22212" xr:uid="{00000000-0005-0000-0000-0000A1560000}"/>
    <cellStyle name="Normal 2 2 4 18 5 2" xfId="22213" xr:uid="{00000000-0005-0000-0000-0000A2560000}"/>
    <cellStyle name="Normal 2 2 4 18 5 3" xfId="22214" xr:uid="{00000000-0005-0000-0000-0000A3560000}"/>
    <cellStyle name="Normal 2 2 4 18 5 4" xfId="22215" xr:uid="{00000000-0005-0000-0000-0000A4560000}"/>
    <cellStyle name="Normal 2 2 4 18 5 5" xfId="22216" xr:uid="{00000000-0005-0000-0000-0000A5560000}"/>
    <cellStyle name="Normal 2 2 4 18 5 6" xfId="22217" xr:uid="{00000000-0005-0000-0000-0000A6560000}"/>
    <cellStyle name="Normal 2 2 4 18 5 7" xfId="22218" xr:uid="{00000000-0005-0000-0000-0000A7560000}"/>
    <cellStyle name="Normal 2 2 4 18 5 8" xfId="22219" xr:uid="{00000000-0005-0000-0000-0000A8560000}"/>
    <cellStyle name="Normal 2 2 4 18 5 9" xfId="22220" xr:uid="{00000000-0005-0000-0000-0000A9560000}"/>
    <cellStyle name="Normal 2 2 4 18 6" xfId="22221" xr:uid="{00000000-0005-0000-0000-0000AA560000}"/>
    <cellStyle name="Normal 2 2 4 18 7" xfId="22222" xr:uid="{00000000-0005-0000-0000-0000AB560000}"/>
    <cellStyle name="Normal 2 2 4 18 8" xfId="22223" xr:uid="{00000000-0005-0000-0000-0000AC560000}"/>
    <cellStyle name="Normal 2 2 4 18 9" xfId="22224" xr:uid="{00000000-0005-0000-0000-0000AD560000}"/>
    <cellStyle name="Normal 2 2 4 19" xfId="22225" xr:uid="{00000000-0005-0000-0000-0000AE560000}"/>
    <cellStyle name="Normal 2 2 4 19 10" xfId="22226" xr:uid="{00000000-0005-0000-0000-0000AF560000}"/>
    <cellStyle name="Normal 2 2 4 19 11" xfId="22227" xr:uid="{00000000-0005-0000-0000-0000B0560000}"/>
    <cellStyle name="Normal 2 2 4 19 12" xfId="22228" xr:uid="{00000000-0005-0000-0000-0000B1560000}"/>
    <cellStyle name="Normal 2 2 4 19 13" xfId="22229" xr:uid="{00000000-0005-0000-0000-0000B2560000}"/>
    <cellStyle name="Normal 2 2 4 19 14" xfId="22230" xr:uid="{00000000-0005-0000-0000-0000B3560000}"/>
    <cellStyle name="Normal 2 2 4 19 2" xfId="22231" xr:uid="{00000000-0005-0000-0000-0000B4560000}"/>
    <cellStyle name="Normal 2 2 4 19 2 10" xfId="22232" xr:uid="{00000000-0005-0000-0000-0000B5560000}"/>
    <cellStyle name="Normal 2 2 4 19 2 2" xfId="22233" xr:uid="{00000000-0005-0000-0000-0000B6560000}"/>
    <cellStyle name="Normal 2 2 4 19 2 3" xfId="22234" xr:uid="{00000000-0005-0000-0000-0000B7560000}"/>
    <cellStyle name="Normal 2 2 4 19 2 4" xfId="22235" xr:uid="{00000000-0005-0000-0000-0000B8560000}"/>
    <cellStyle name="Normal 2 2 4 19 2 5" xfId="22236" xr:uid="{00000000-0005-0000-0000-0000B9560000}"/>
    <cellStyle name="Normal 2 2 4 19 2 6" xfId="22237" xr:uid="{00000000-0005-0000-0000-0000BA560000}"/>
    <cellStyle name="Normal 2 2 4 19 2 7" xfId="22238" xr:uid="{00000000-0005-0000-0000-0000BB560000}"/>
    <cellStyle name="Normal 2 2 4 19 2 8" xfId="22239" xr:uid="{00000000-0005-0000-0000-0000BC560000}"/>
    <cellStyle name="Normal 2 2 4 19 2 9" xfId="22240" xr:uid="{00000000-0005-0000-0000-0000BD560000}"/>
    <cellStyle name="Normal 2 2 4 19 3" xfId="22241" xr:uid="{00000000-0005-0000-0000-0000BE560000}"/>
    <cellStyle name="Normal 2 2 4 19 3 10" xfId="22242" xr:uid="{00000000-0005-0000-0000-0000BF560000}"/>
    <cellStyle name="Normal 2 2 4 19 3 2" xfId="22243" xr:uid="{00000000-0005-0000-0000-0000C0560000}"/>
    <cellStyle name="Normal 2 2 4 19 3 3" xfId="22244" xr:uid="{00000000-0005-0000-0000-0000C1560000}"/>
    <cellStyle name="Normal 2 2 4 19 3 4" xfId="22245" xr:uid="{00000000-0005-0000-0000-0000C2560000}"/>
    <cellStyle name="Normal 2 2 4 19 3 5" xfId="22246" xr:uid="{00000000-0005-0000-0000-0000C3560000}"/>
    <cellStyle name="Normal 2 2 4 19 3 6" xfId="22247" xr:uid="{00000000-0005-0000-0000-0000C4560000}"/>
    <cellStyle name="Normal 2 2 4 19 3 7" xfId="22248" xr:uid="{00000000-0005-0000-0000-0000C5560000}"/>
    <cellStyle name="Normal 2 2 4 19 3 8" xfId="22249" xr:uid="{00000000-0005-0000-0000-0000C6560000}"/>
    <cellStyle name="Normal 2 2 4 19 3 9" xfId="22250" xr:uid="{00000000-0005-0000-0000-0000C7560000}"/>
    <cellStyle name="Normal 2 2 4 19 4" xfId="22251" xr:uid="{00000000-0005-0000-0000-0000C8560000}"/>
    <cellStyle name="Normal 2 2 4 19 4 10" xfId="22252" xr:uid="{00000000-0005-0000-0000-0000C9560000}"/>
    <cellStyle name="Normal 2 2 4 19 4 2" xfId="22253" xr:uid="{00000000-0005-0000-0000-0000CA560000}"/>
    <cellStyle name="Normal 2 2 4 19 4 3" xfId="22254" xr:uid="{00000000-0005-0000-0000-0000CB560000}"/>
    <cellStyle name="Normal 2 2 4 19 4 4" xfId="22255" xr:uid="{00000000-0005-0000-0000-0000CC560000}"/>
    <cellStyle name="Normal 2 2 4 19 4 5" xfId="22256" xr:uid="{00000000-0005-0000-0000-0000CD560000}"/>
    <cellStyle name="Normal 2 2 4 19 4 6" xfId="22257" xr:uid="{00000000-0005-0000-0000-0000CE560000}"/>
    <cellStyle name="Normal 2 2 4 19 4 7" xfId="22258" xr:uid="{00000000-0005-0000-0000-0000CF560000}"/>
    <cellStyle name="Normal 2 2 4 19 4 8" xfId="22259" xr:uid="{00000000-0005-0000-0000-0000D0560000}"/>
    <cellStyle name="Normal 2 2 4 19 4 9" xfId="22260" xr:uid="{00000000-0005-0000-0000-0000D1560000}"/>
    <cellStyle name="Normal 2 2 4 19 5" xfId="22261" xr:uid="{00000000-0005-0000-0000-0000D2560000}"/>
    <cellStyle name="Normal 2 2 4 19 5 10" xfId="22262" xr:uid="{00000000-0005-0000-0000-0000D3560000}"/>
    <cellStyle name="Normal 2 2 4 19 5 2" xfId="22263" xr:uid="{00000000-0005-0000-0000-0000D4560000}"/>
    <cellStyle name="Normal 2 2 4 19 5 3" xfId="22264" xr:uid="{00000000-0005-0000-0000-0000D5560000}"/>
    <cellStyle name="Normal 2 2 4 19 5 4" xfId="22265" xr:uid="{00000000-0005-0000-0000-0000D6560000}"/>
    <cellStyle name="Normal 2 2 4 19 5 5" xfId="22266" xr:uid="{00000000-0005-0000-0000-0000D7560000}"/>
    <cellStyle name="Normal 2 2 4 19 5 6" xfId="22267" xr:uid="{00000000-0005-0000-0000-0000D8560000}"/>
    <cellStyle name="Normal 2 2 4 19 5 7" xfId="22268" xr:uid="{00000000-0005-0000-0000-0000D9560000}"/>
    <cellStyle name="Normal 2 2 4 19 5 8" xfId="22269" xr:uid="{00000000-0005-0000-0000-0000DA560000}"/>
    <cellStyle name="Normal 2 2 4 19 5 9" xfId="22270" xr:uid="{00000000-0005-0000-0000-0000DB560000}"/>
    <cellStyle name="Normal 2 2 4 19 6" xfId="22271" xr:uid="{00000000-0005-0000-0000-0000DC560000}"/>
    <cellStyle name="Normal 2 2 4 19 7" xfId="22272" xr:uid="{00000000-0005-0000-0000-0000DD560000}"/>
    <cellStyle name="Normal 2 2 4 19 8" xfId="22273" xr:uid="{00000000-0005-0000-0000-0000DE560000}"/>
    <cellStyle name="Normal 2 2 4 19 9" xfId="22274" xr:uid="{00000000-0005-0000-0000-0000DF560000}"/>
    <cellStyle name="Normal 2 2 4 2" xfId="54" xr:uid="{00000000-0005-0000-0000-0000E0560000}"/>
    <cellStyle name="Normal 2 2 4 2 10" xfId="22276" xr:uid="{00000000-0005-0000-0000-0000E1560000}"/>
    <cellStyle name="Normal 2 2 4 2 11" xfId="22277" xr:uid="{00000000-0005-0000-0000-0000E2560000}"/>
    <cellStyle name="Normal 2 2 4 2 12" xfId="22278" xr:uid="{00000000-0005-0000-0000-0000E3560000}"/>
    <cellStyle name="Normal 2 2 4 2 13" xfId="22279" xr:uid="{00000000-0005-0000-0000-0000E4560000}"/>
    <cellStyle name="Normal 2 2 4 2 14" xfId="22280" xr:uid="{00000000-0005-0000-0000-0000E5560000}"/>
    <cellStyle name="Normal 2 2 4 2 15" xfId="22281" xr:uid="{00000000-0005-0000-0000-0000E6560000}"/>
    <cellStyle name="Normal 2 2 4 2 16" xfId="22282" xr:uid="{00000000-0005-0000-0000-0000E7560000}"/>
    <cellStyle name="Normal 2 2 4 2 17" xfId="22283" xr:uid="{00000000-0005-0000-0000-0000E8560000}"/>
    <cellStyle name="Normal 2 2 4 2 18" xfId="22284" xr:uid="{00000000-0005-0000-0000-0000E9560000}"/>
    <cellStyle name="Normal 2 2 4 2 19" xfId="22285" xr:uid="{00000000-0005-0000-0000-0000EA560000}"/>
    <cellStyle name="Normal 2 2 4 2 2" xfId="22286" xr:uid="{00000000-0005-0000-0000-0000EB560000}"/>
    <cellStyle name="Normal 2 2 4 2 2 10" xfId="22287" xr:uid="{00000000-0005-0000-0000-0000EC560000}"/>
    <cellStyle name="Normal 2 2 4 2 2 10 10" xfId="22288" xr:uid="{00000000-0005-0000-0000-0000ED560000}"/>
    <cellStyle name="Normal 2 2 4 2 2 10 11" xfId="22289" xr:uid="{00000000-0005-0000-0000-0000EE560000}"/>
    <cellStyle name="Normal 2 2 4 2 2 10 12" xfId="22290" xr:uid="{00000000-0005-0000-0000-0000EF560000}"/>
    <cellStyle name="Normal 2 2 4 2 2 10 13" xfId="22291" xr:uid="{00000000-0005-0000-0000-0000F0560000}"/>
    <cellStyle name="Normal 2 2 4 2 2 10 14" xfId="22292" xr:uid="{00000000-0005-0000-0000-0000F1560000}"/>
    <cellStyle name="Normal 2 2 4 2 2 10 2" xfId="22293" xr:uid="{00000000-0005-0000-0000-0000F2560000}"/>
    <cellStyle name="Normal 2 2 4 2 2 10 2 10" xfId="22294" xr:uid="{00000000-0005-0000-0000-0000F3560000}"/>
    <cellStyle name="Normal 2 2 4 2 2 10 2 2" xfId="22295" xr:uid="{00000000-0005-0000-0000-0000F4560000}"/>
    <cellStyle name="Normal 2 2 4 2 2 10 2 3" xfId="22296" xr:uid="{00000000-0005-0000-0000-0000F5560000}"/>
    <cellStyle name="Normal 2 2 4 2 2 10 2 4" xfId="22297" xr:uid="{00000000-0005-0000-0000-0000F6560000}"/>
    <cellStyle name="Normal 2 2 4 2 2 10 2 5" xfId="22298" xr:uid="{00000000-0005-0000-0000-0000F7560000}"/>
    <cellStyle name="Normal 2 2 4 2 2 10 2 6" xfId="22299" xr:uid="{00000000-0005-0000-0000-0000F8560000}"/>
    <cellStyle name="Normal 2 2 4 2 2 10 2 7" xfId="22300" xr:uid="{00000000-0005-0000-0000-0000F9560000}"/>
    <cellStyle name="Normal 2 2 4 2 2 10 2 8" xfId="22301" xr:uid="{00000000-0005-0000-0000-0000FA560000}"/>
    <cellStyle name="Normal 2 2 4 2 2 10 2 9" xfId="22302" xr:uid="{00000000-0005-0000-0000-0000FB560000}"/>
    <cellStyle name="Normal 2 2 4 2 2 10 3" xfId="22303" xr:uid="{00000000-0005-0000-0000-0000FC560000}"/>
    <cellStyle name="Normal 2 2 4 2 2 10 3 10" xfId="22304" xr:uid="{00000000-0005-0000-0000-0000FD560000}"/>
    <cellStyle name="Normal 2 2 4 2 2 10 3 2" xfId="22305" xr:uid="{00000000-0005-0000-0000-0000FE560000}"/>
    <cellStyle name="Normal 2 2 4 2 2 10 3 3" xfId="22306" xr:uid="{00000000-0005-0000-0000-0000FF560000}"/>
    <cellStyle name="Normal 2 2 4 2 2 10 3 4" xfId="22307" xr:uid="{00000000-0005-0000-0000-000000570000}"/>
    <cellStyle name="Normal 2 2 4 2 2 10 3 5" xfId="22308" xr:uid="{00000000-0005-0000-0000-000001570000}"/>
    <cellStyle name="Normal 2 2 4 2 2 10 3 6" xfId="22309" xr:uid="{00000000-0005-0000-0000-000002570000}"/>
    <cellStyle name="Normal 2 2 4 2 2 10 3 7" xfId="22310" xr:uid="{00000000-0005-0000-0000-000003570000}"/>
    <cellStyle name="Normal 2 2 4 2 2 10 3 8" xfId="22311" xr:uid="{00000000-0005-0000-0000-000004570000}"/>
    <cellStyle name="Normal 2 2 4 2 2 10 3 9" xfId="22312" xr:uid="{00000000-0005-0000-0000-000005570000}"/>
    <cellStyle name="Normal 2 2 4 2 2 10 4" xfId="22313" xr:uid="{00000000-0005-0000-0000-000006570000}"/>
    <cellStyle name="Normal 2 2 4 2 2 10 4 10" xfId="22314" xr:uid="{00000000-0005-0000-0000-000007570000}"/>
    <cellStyle name="Normal 2 2 4 2 2 10 4 2" xfId="22315" xr:uid="{00000000-0005-0000-0000-000008570000}"/>
    <cellStyle name="Normal 2 2 4 2 2 10 4 3" xfId="22316" xr:uid="{00000000-0005-0000-0000-000009570000}"/>
    <cellStyle name="Normal 2 2 4 2 2 10 4 4" xfId="22317" xr:uid="{00000000-0005-0000-0000-00000A570000}"/>
    <cellStyle name="Normal 2 2 4 2 2 10 4 5" xfId="22318" xr:uid="{00000000-0005-0000-0000-00000B570000}"/>
    <cellStyle name="Normal 2 2 4 2 2 10 4 6" xfId="22319" xr:uid="{00000000-0005-0000-0000-00000C570000}"/>
    <cellStyle name="Normal 2 2 4 2 2 10 4 7" xfId="22320" xr:uid="{00000000-0005-0000-0000-00000D570000}"/>
    <cellStyle name="Normal 2 2 4 2 2 10 4 8" xfId="22321" xr:uid="{00000000-0005-0000-0000-00000E570000}"/>
    <cellStyle name="Normal 2 2 4 2 2 10 4 9" xfId="22322" xr:uid="{00000000-0005-0000-0000-00000F570000}"/>
    <cellStyle name="Normal 2 2 4 2 2 10 5" xfId="22323" xr:uid="{00000000-0005-0000-0000-000010570000}"/>
    <cellStyle name="Normal 2 2 4 2 2 10 5 10" xfId="22324" xr:uid="{00000000-0005-0000-0000-000011570000}"/>
    <cellStyle name="Normal 2 2 4 2 2 10 5 2" xfId="22325" xr:uid="{00000000-0005-0000-0000-000012570000}"/>
    <cellStyle name="Normal 2 2 4 2 2 10 5 3" xfId="22326" xr:uid="{00000000-0005-0000-0000-000013570000}"/>
    <cellStyle name="Normal 2 2 4 2 2 10 5 4" xfId="22327" xr:uid="{00000000-0005-0000-0000-000014570000}"/>
    <cellStyle name="Normal 2 2 4 2 2 10 5 5" xfId="22328" xr:uid="{00000000-0005-0000-0000-000015570000}"/>
    <cellStyle name="Normal 2 2 4 2 2 10 5 6" xfId="22329" xr:uid="{00000000-0005-0000-0000-000016570000}"/>
    <cellStyle name="Normal 2 2 4 2 2 10 5 7" xfId="22330" xr:uid="{00000000-0005-0000-0000-000017570000}"/>
    <cellStyle name="Normal 2 2 4 2 2 10 5 8" xfId="22331" xr:uid="{00000000-0005-0000-0000-000018570000}"/>
    <cellStyle name="Normal 2 2 4 2 2 10 5 9" xfId="22332" xr:uid="{00000000-0005-0000-0000-000019570000}"/>
    <cellStyle name="Normal 2 2 4 2 2 10 6" xfId="22333" xr:uid="{00000000-0005-0000-0000-00001A570000}"/>
    <cellStyle name="Normal 2 2 4 2 2 10 7" xfId="22334" xr:uid="{00000000-0005-0000-0000-00001B570000}"/>
    <cellStyle name="Normal 2 2 4 2 2 10 8" xfId="22335" xr:uid="{00000000-0005-0000-0000-00001C570000}"/>
    <cellStyle name="Normal 2 2 4 2 2 10 9" xfId="22336" xr:uid="{00000000-0005-0000-0000-00001D570000}"/>
    <cellStyle name="Normal 2 2 4 2 2 11" xfId="22337" xr:uid="{00000000-0005-0000-0000-00001E570000}"/>
    <cellStyle name="Normal 2 2 4 2 2 11 10" xfId="22338" xr:uid="{00000000-0005-0000-0000-00001F570000}"/>
    <cellStyle name="Normal 2 2 4 2 2 11 11" xfId="22339" xr:uid="{00000000-0005-0000-0000-000020570000}"/>
    <cellStyle name="Normal 2 2 4 2 2 11 12" xfId="22340" xr:uid="{00000000-0005-0000-0000-000021570000}"/>
    <cellStyle name="Normal 2 2 4 2 2 11 13" xfId="22341" xr:uid="{00000000-0005-0000-0000-000022570000}"/>
    <cellStyle name="Normal 2 2 4 2 2 11 14" xfId="22342" xr:uid="{00000000-0005-0000-0000-000023570000}"/>
    <cellStyle name="Normal 2 2 4 2 2 11 2" xfId="22343" xr:uid="{00000000-0005-0000-0000-000024570000}"/>
    <cellStyle name="Normal 2 2 4 2 2 11 2 10" xfId="22344" xr:uid="{00000000-0005-0000-0000-000025570000}"/>
    <cellStyle name="Normal 2 2 4 2 2 11 2 2" xfId="22345" xr:uid="{00000000-0005-0000-0000-000026570000}"/>
    <cellStyle name="Normal 2 2 4 2 2 11 2 3" xfId="22346" xr:uid="{00000000-0005-0000-0000-000027570000}"/>
    <cellStyle name="Normal 2 2 4 2 2 11 2 4" xfId="22347" xr:uid="{00000000-0005-0000-0000-000028570000}"/>
    <cellStyle name="Normal 2 2 4 2 2 11 2 5" xfId="22348" xr:uid="{00000000-0005-0000-0000-000029570000}"/>
    <cellStyle name="Normal 2 2 4 2 2 11 2 6" xfId="22349" xr:uid="{00000000-0005-0000-0000-00002A570000}"/>
    <cellStyle name="Normal 2 2 4 2 2 11 2 7" xfId="22350" xr:uid="{00000000-0005-0000-0000-00002B570000}"/>
    <cellStyle name="Normal 2 2 4 2 2 11 2 8" xfId="22351" xr:uid="{00000000-0005-0000-0000-00002C570000}"/>
    <cellStyle name="Normal 2 2 4 2 2 11 2 9" xfId="22352" xr:uid="{00000000-0005-0000-0000-00002D570000}"/>
    <cellStyle name="Normal 2 2 4 2 2 11 3" xfId="22353" xr:uid="{00000000-0005-0000-0000-00002E570000}"/>
    <cellStyle name="Normal 2 2 4 2 2 11 3 10" xfId="22354" xr:uid="{00000000-0005-0000-0000-00002F570000}"/>
    <cellStyle name="Normal 2 2 4 2 2 11 3 2" xfId="22355" xr:uid="{00000000-0005-0000-0000-000030570000}"/>
    <cellStyle name="Normal 2 2 4 2 2 11 3 3" xfId="22356" xr:uid="{00000000-0005-0000-0000-000031570000}"/>
    <cellStyle name="Normal 2 2 4 2 2 11 3 4" xfId="22357" xr:uid="{00000000-0005-0000-0000-000032570000}"/>
    <cellStyle name="Normal 2 2 4 2 2 11 3 5" xfId="22358" xr:uid="{00000000-0005-0000-0000-000033570000}"/>
    <cellStyle name="Normal 2 2 4 2 2 11 3 6" xfId="22359" xr:uid="{00000000-0005-0000-0000-000034570000}"/>
    <cellStyle name="Normal 2 2 4 2 2 11 3 7" xfId="22360" xr:uid="{00000000-0005-0000-0000-000035570000}"/>
    <cellStyle name="Normal 2 2 4 2 2 11 3 8" xfId="22361" xr:uid="{00000000-0005-0000-0000-000036570000}"/>
    <cellStyle name="Normal 2 2 4 2 2 11 3 9" xfId="22362" xr:uid="{00000000-0005-0000-0000-000037570000}"/>
    <cellStyle name="Normal 2 2 4 2 2 11 4" xfId="22363" xr:uid="{00000000-0005-0000-0000-000038570000}"/>
    <cellStyle name="Normal 2 2 4 2 2 11 4 10" xfId="22364" xr:uid="{00000000-0005-0000-0000-000039570000}"/>
    <cellStyle name="Normal 2 2 4 2 2 11 4 2" xfId="22365" xr:uid="{00000000-0005-0000-0000-00003A570000}"/>
    <cellStyle name="Normal 2 2 4 2 2 11 4 3" xfId="22366" xr:uid="{00000000-0005-0000-0000-00003B570000}"/>
    <cellStyle name="Normal 2 2 4 2 2 11 4 4" xfId="22367" xr:uid="{00000000-0005-0000-0000-00003C570000}"/>
    <cellStyle name="Normal 2 2 4 2 2 11 4 5" xfId="22368" xr:uid="{00000000-0005-0000-0000-00003D570000}"/>
    <cellStyle name="Normal 2 2 4 2 2 11 4 6" xfId="22369" xr:uid="{00000000-0005-0000-0000-00003E570000}"/>
    <cellStyle name="Normal 2 2 4 2 2 11 4 7" xfId="22370" xr:uid="{00000000-0005-0000-0000-00003F570000}"/>
    <cellStyle name="Normal 2 2 4 2 2 11 4 8" xfId="22371" xr:uid="{00000000-0005-0000-0000-000040570000}"/>
    <cellStyle name="Normal 2 2 4 2 2 11 4 9" xfId="22372" xr:uid="{00000000-0005-0000-0000-000041570000}"/>
    <cellStyle name="Normal 2 2 4 2 2 11 5" xfId="22373" xr:uid="{00000000-0005-0000-0000-000042570000}"/>
    <cellStyle name="Normal 2 2 4 2 2 11 5 10" xfId="22374" xr:uid="{00000000-0005-0000-0000-000043570000}"/>
    <cellStyle name="Normal 2 2 4 2 2 11 5 2" xfId="22375" xr:uid="{00000000-0005-0000-0000-000044570000}"/>
    <cellStyle name="Normal 2 2 4 2 2 11 5 3" xfId="22376" xr:uid="{00000000-0005-0000-0000-000045570000}"/>
    <cellStyle name="Normal 2 2 4 2 2 11 5 4" xfId="22377" xr:uid="{00000000-0005-0000-0000-000046570000}"/>
    <cellStyle name="Normal 2 2 4 2 2 11 5 5" xfId="22378" xr:uid="{00000000-0005-0000-0000-000047570000}"/>
    <cellStyle name="Normal 2 2 4 2 2 11 5 6" xfId="22379" xr:uid="{00000000-0005-0000-0000-000048570000}"/>
    <cellStyle name="Normal 2 2 4 2 2 11 5 7" xfId="22380" xr:uid="{00000000-0005-0000-0000-000049570000}"/>
    <cellStyle name="Normal 2 2 4 2 2 11 5 8" xfId="22381" xr:uid="{00000000-0005-0000-0000-00004A570000}"/>
    <cellStyle name="Normal 2 2 4 2 2 11 5 9" xfId="22382" xr:uid="{00000000-0005-0000-0000-00004B570000}"/>
    <cellStyle name="Normal 2 2 4 2 2 11 6" xfId="22383" xr:uid="{00000000-0005-0000-0000-00004C570000}"/>
    <cellStyle name="Normal 2 2 4 2 2 11 7" xfId="22384" xr:uid="{00000000-0005-0000-0000-00004D570000}"/>
    <cellStyle name="Normal 2 2 4 2 2 11 8" xfId="22385" xr:uid="{00000000-0005-0000-0000-00004E570000}"/>
    <cellStyle name="Normal 2 2 4 2 2 11 9" xfId="22386" xr:uid="{00000000-0005-0000-0000-00004F570000}"/>
    <cellStyle name="Normal 2 2 4 2 2 12" xfId="22387" xr:uid="{00000000-0005-0000-0000-000050570000}"/>
    <cellStyle name="Normal 2 2 4 2 2 12 10" xfId="22388" xr:uid="{00000000-0005-0000-0000-000051570000}"/>
    <cellStyle name="Normal 2 2 4 2 2 12 11" xfId="22389" xr:uid="{00000000-0005-0000-0000-000052570000}"/>
    <cellStyle name="Normal 2 2 4 2 2 12 12" xfId="22390" xr:uid="{00000000-0005-0000-0000-000053570000}"/>
    <cellStyle name="Normal 2 2 4 2 2 12 13" xfId="22391" xr:uid="{00000000-0005-0000-0000-000054570000}"/>
    <cellStyle name="Normal 2 2 4 2 2 12 14" xfId="22392" xr:uid="{00000000-0005-0000-0000-000055570000}"/>
    <cellStyle name="Normal 2 2 4 2 2 12 2" xfId="22393" xr:uid="{00000000-0005-0000-0000-000056570000}"/>
    <cellStyle name="Normal 2 2 4 2 2 12 2 10" xfId="22394" xr:uid="{00000000-0005-0000-0000-000057570000}"/>
    <cellStyle name="Normal 2 2 4 2 2 12 2 2" xfId="22395" xr:uid="{00000000-0005-0000-0000-000058570000}"/>
    <cellStyle name="Normal 2 2 4 2 2 12 2 3" xfId="22396" xr:uid="{00000000-0005-0000-0000-000059570000}"/>
    <cellStyle name="Normal 2 2 4 2 2 12 2 4" xfId="22397" xr:uid="{00000000-0005-0000-0000-00005A570000}"/>
    <cellStyle name="Normal 2 2 4 2 2 12 2 5" xfId="22398" xr:uid="{00000000-0005-0000-0000-00005B570000}"/>
    <cellStyle name="Normal 2 2 4 2 2 12 2 6" xfId="22399" xr:uid="{00000000-0005-0000-0000-00005C570000}"/>
    <cellStyle name="Normal 2 2 4 2 2 12 2 7" xfId="22400" xr:uid="{00000000-0005-0000-0000-00005D570000}"/>
    <cellStyle name="Normal 2 2 4 2 2 12 2 8" xfId="22401" xr:uid="{00000000-0005-0000-0000-00005E570000}"/>
    <cellStyle name="Normal 2 2 4 2 2 12 2 9" xfId="22402" xr:uid="{00000000-0005-0000-0000-00005F570000}"/>
    <cellStyle name="Normal 2 2 4 2 2 12 3" xfId="22403" xr:uid="{00000000-0005-0000-0000-000060570000}"/>
    <cellStyle name="Normal 2 2 4 2 2 12 3 10" xfId="22404" xr:uid="{00000000-0005-0000-0000-000061570000}"/>
    <cellStyle name="Normal 2 2 4 2 2 12 3 2" xfId="22405" xr:uid="{00000000-0005-0000-0000-000062570000}"/>
    <cellStyle name="Normal 2 2 4 2 2 12 3 3" xfId="22406" xr:uid="{00000000-0005-0000-0000-000063570000}"/>
    <cellStyle name="Normal 2 2 4 2 2 12 3 4" xfId="22407" xr:uid="{00000000-0005-0000-0000-000064570000}"/>
    <cellStyle name="Normal 2 2 4 2 2 12 3 5" xfId="22408" xr:uid="{00000000-0005-0000-0000-000065570000}"/>
    <cellStyle name="Normal 2 2 4 2 2 12 3 6" xfId="22409" xr:uid="{00000000-0005-0000-0000-000066570000}"/>
    <cellStyle name="Normal 2 2 4 2 2 12 3 7" xfId="22410" xr:uid="{00000000-0005-0000-0000-000067570000}"/>
    <cellStyle name="Normal 2 2 4 2 2 12 3 8" xfId="22411" xr:uid="{00000000-0005-0000-0000-000068570000}"/>
    <cellStyle name="Normal 2 2 4 2 2 12 3 9" xfId="22412" xr:uid="{00000000-0005-0000-0000-000069570000}"/>
    <cellStyle name="Normal 2 2 4 2 2 12 4" xfId="22413" xr:uid="{00000000-0005-0000-0000-00006A570000}"/>
    <cellStyle name="Normal 2 2 4 2 2 12 4 10" xfId="22414" xr:uid="{00000000-0005-0000-0000-00006B570000}"/>
    <cellStyle name="Normal 2 2 4 2 2 12 4 2" xfId="22415" xr:uid="{00000000-0005-0000-0000-00006C570000}"/>
    <cellStyle name="Normal 2 2 4 2 2 12 4 3" xfId="22416" xr:uid="{00000000-0005-0000-0000-00006D570000}"/>
    <cellStyle name="Normal 2 2 4 2 2 12 4 4" xfId="22417" xr:uid="{00000000-0005-0000-0000-00006E570000}"/>
    <cellStyle name="Normal 2 2 4 2 2 12 4 5" xfId="22418" xr:uid="{00000000-0005-0000-0000-00006F570000}"/>
    <cellStyle name="Normal 2 2 4 2 2 12 4 6" xfId="22419" xr:uid="{00000000-0005-0000-0000-000070570000}"/>
    <cellStyle name="Normal 2 2 4 2 2 12 4 7" xfId="22420" xr:uid="{00000000-0005-0000-0000-000071570000}"/>
    <cellStyle name="Normal 2 2 4 2 2 12 4 8" xfId="22421" xr:uid="{00000000-0005-0000-0000-000072570000}"/>
    <cellStyle name="Normal 2 2 4 2 2 12 4 9" xfId="22422" xr:uid="{00000000-0005-0000-0000-000073570000}"/>
    <cellStyle name="Normal 2 2 4 2 2 12 5" xfId="22423" xr:uid="{00000000-0005-0000-0000-000074570000}"/>
    <cellStyle name="Normal 2 2 4 2 2 12 5 10" xfId="22424" xr:uid="{00000000-0005-0000-0000-000075570000}"/>
    <cellStyle name="Normal 2 2 4 2 2 12 5 2" xfId="22425" xr:uid="{00000000-0005-0000-0000-000076570000}"/>
    <cellStyle name="Normal 2 2 4 2 2 12 5 3" xfId="22426" xr:uid="{00000000-0005-0000-0000-000077570000}"/>
    <cellStyle name="Normal 2 2 4 2 2 12 5 4" xfId="22427" xr:uid="{00000000-0005-0000-0000-000078570000}"/>
    <cellStyle name="Normal 2 2 4 2 2 12 5 5" xfId="22428" xr:uid="{00000000-0005-0000-0000-000079570000}"/>
    <cellStyle name="Normal 2 2 4 2 2 12 5 6" xfId="22429" xr:uid="{00000000-0005-0000-0000-00007A570000}"/>
    <cellStyle name="Normal 2 2 4 2 2 12 5 7" xfId="22430" xr:uid="{00000000-0005-0000-0000-00007B570000}"/>
    <cellStyle name="Normal 2 2 4 2 2 12 5 8" xfId="22431" xr:uid="{00000000-0005-0000-0000-00007C570000}"/>
    <cellStyle name="Normal 2 2 4 2 2 12 5 9" xfId="22432" xr:uid="{00000000-0005-0000-0000-00007D570000}"/>
    <cellStyle name="Normal 2 2 4 2 2 12 6" xfId="22433" xr:uid="{00000000-0005-0000-0000-00007E570000}"/>
    <cellStyle name="Normal 2 2 4 2 2 12 7" xfId="22434" xr:uid="{00000000-0005-0000-0000-00007F570000}"/>
    <cellStyle name="Normal 2 2 4 2 2 12 8" xfId="22435" xr:uid="{00000000-0005-0000-0000-000080570000}"/>
    <cellStyle name="Normal 2 2 4 2 2 12 9" xfId="22436" xr:uid="{00000000-0005-0000-0000-000081570000}"/>
    <cellStyle name="Normal 2 2 4 2 2 13" xfId="22437" xr:uid="{00000000-0005-0000-0000-000082570000}"/>
    <cellStyle name="Normal 2 2 4 2 2 13 10" xfId="22438" xr:uid="{00000000-0005-0000-0000-000083570000}"/>
    <cellStyle name="Normal 2 2 4 2 2 13 11" xfId="22439" xr:uid="{00000000-0005-0000-0000-000084570000}"/>
    <cellStyle name="Normal 2 2 4 2 2 13 12" xfId="22440" xr:uid="{00000000-0005-0000-0000-000085570000}"/>
    <cellStyle name="Normal 2 2 4 2 2 13 13" xfId="22441" xr:uid="{00000000-0005-0000-0000-000086570000}"/>
    <cellStyle name="Normal 2 2 4 2 2 13 14" xfId="22442" xr:uid="{00000000-0005-0000-0000-000087570000}"/>
    <cellStyle name="Normal 2 2 4 2 2 13 2" xfId="22443" xr:uid="{00000000-0005-0000-0000-000088570000}"/>
    <cellStyle name="Normal 2 2 4 2 2 13 2 10" xfId="22444" xr:uid="{00000000-0005-0000-0000-000089570000}"/>
    <cellStyle name="Normal 2 2 4 2 2 13 2 2" xfId="22445" xr:uid="{00000000-0005-0000-0000-00008A570000}"/>
    <cellStyle name="Normal 2 2 4 2 2 13 2 3" xfId="22446" xr:uid="{00000000-0005-0000-0000-00008B570000}"/>
    <cellStyle name="Normal 2 2 4 2 2 13 2 4" xfId="22447" xr:uid="{00000000-0005-0000-0000-00008C570000}"/>
    <cellStyle name="Normal 2 2 4 2 2 13 2 5" xfId="22448" xr:uid="{00000000-0005-0000-0000-00008D570000}"/>
    <cellStyle name="Normal 2 2 4 2 2 13 2 6" xfId="22449" xr:uid="{00000000-0005-0000-0000-00008E570000}"/>
    <cellStyle name="Normal 2 2 4 2 2 13 2 7" xfId="22450" xr:uid="{00000000-0005-0000-0000-00008F570000}"/>
    <cellStyle name="Normal 2 2 4 2 2 13 2 8" xfId="22451" xr:uid="{00000000-0005-0000-0000-000090570000}"/>
    <cellStyle name="Normal 2 2 4 2 2 13 2 9" xfId="22452" xr:uid="{00000000-0005-0000-0000-000091570000}"/>
    <cellStyle name="Normal 2 2 4 2 2 13 3" xfId="22453" xr:uid="{00000000-0005-0000-0000-000092570000}"/>
    <cellStyle name="Normal 2 2 4 2 2 13 3 10" xfId="22454" xr:uid="{00000000-0005-0000-0000-000093570000}"/>
    <cellStyle name="Normal 2 2 4 2 2 13 3 2" xfId="22455" xr:uid="{00000000-0005-0000-0000-000094570000}"/>
    <cellStyle name="Normal 2 2 4 2 2 13 3 3" xfId="22456" xr:uid="{00000000-0005-0000-0000-000095570000}"/>
    <cellStyle name="Normal 2 2 4 2 2 13 3 4" xfId="22457" xr:uid="{00000000-0005-0000-0000-000096570000}"/>
    <cellStyle name="Normal 2 2 4 2 2 13 3 5" xfId="22458" xr:uid="{00000000-0005-0000-0000-000097570000}"/>
    <cellStyle name="Normal 2 2 4 2 2 13 3 6" xfId="22459" xr:uid="{00000000-0005-0000-0000-000098570000}"/>
    <cellStyle name="Normal 2 2 4 2 2 13 3 7" xfId="22460" xr:uid="{00000000-0005-0000-0000-000099570000}"/>
    <cellStyle name="Normal 2 2 4 2 2 13 3 8" xfId="22461" xr:uid="{00000000-0005-0000-0000-00009A570000}"/>
    <cellStyle name="Normal 2 2 4 2 2 13 3 9" xfId="22462" xr:uid="{00000000-0005-0000-0000-00009B570000}"/>
    <cellStyle name="Normal 2 2 4 2 2 13 4" xfId="22463" xr:uid="{00000000-0005-0000-0000-00009C570000}"/>
    <cellStyle name="Normal 2 2 4 2 2 13 4 10" xfId="22464" xr:uid="{00000000-0005-0000-0000-00009D570000}"/>
    <cellStyle name="Normal 2 2 4 2 2 13 4 2" xfId="22465" xr:uid="{00000000-0005-0000-0000-00009E570000}"/>
    <cellStyle name="Normal 2 2 4 2 2 13 4 3" xfId="22466" xr:uid="{00000000-0005-0000-0000-00009F570000}"/>
    <cellStyle name="Normal 2 2 4 2 2 13 4 4" xfId="22467" xr:uid="{00000000-0005-0000-0000-0000A0570000}"/>
    <cellStyle name="Normal 2 2 4 2 2 13 4 5" xfId="22468" xr:uid="{00000000-0005-0000-0000-0000A1570000}"/>
    <cellStyle name="Normal 2 2 4 2 2 13 4 6" xfId="22469" xr:uid="{00000000-0005-0000-0000-0000A2570000}"/>
    <cellStyle name="Normal 2 2 4 2 2 13 4 7" xfId="22470" xr:uid="{00000000-0005-0000-0000-0000A3570000}"/>
    <cellStyle name="Normal 2 2 4 2 2 13 4 8" xfId="22471" xr:uid="{00000000-0005-0000-0000-0000A4570000}"/>
    <cellStyle name="Normal 2 2 4 2 2 13 4 9" xfId="22472" xr:uid="{00000000-0005-0000-0000-0000A5570000}"/>
    <cellStyle name="Normal 2 2 4 2 2 13 5" xfId="22473" xr:uid="{00000000-0005-0000-0000-0000A6570000}"/>
    <cellStyle name="Normal 2 2 4 2 2 13 5 10" xfId="22474" xr:uid="{00000000-0005-0000-0000-0000A7570000}"/>
    <cellStyle name="Normal 2 2 4 2 2 13 5 2" xfId="22475" xr:uid="{00000000-0005-0000-0000-0000A8570000}"/>
    <cellStyle name="Normal 2 2 4 2 2 13 5 3" xfId="22476" xr:uid="{00000000-0005-0000-0000-0000A9570000}"/>
    <cellStyle name="Normal 2 2 4 2 2 13 5 4" xfId="22477" xr:uid="{00000000-0005-0000-0000-0000AA570000}"/>
    <cellStyle name="Normal 2 2 4 2 2 13 5 5" xfId="22478" xr:uid="{00000000-0005-0000-0000-0000AB570000}"/>
    <cellStyle name="Normal 2 2 4 2 2 13 5 6" xfId="22479" xr:uid="{00000000-0005-0000-0000-0000AC570000}"/>
    <cellStyle name="Normal 2 2 4 2 2 13 5 7" xfId="22480" xr:uid="{00000000-0005-0000-0000-0000AD570000}"/>
    <cellStyle name="Normal 2 2 4 2 2 13 5 8" xfId="22481" xr:uid="{00000000-0005-0000-0000-0000AE570000}"/>
    <cellStyle name="Normal 2 2 4 2 2 13 5 9" xfId="22482" xr:uid="{00000000-0005-0000-0000-0000AF570000}"/>
    <cellStyle name="Normal 2 2 4 2 2 13 6" xfId="22483" xr:uid="{00000000-0005-0000-0000-0000B0570000}"/>
    <cellStyle name="Normal 2 2 4 2 2 13 7" xfId="22484" xr:uid="{00000000-0005-0000-0000-0000B1570000}"/>
    <cellStyle name="Normal 2 2 4 2 2 13 8" xfId="22485" xr:uid="{00000000-0005-0000-0000-0000B2570000}"/>
    <cellStyle name="Normal 2 2 4 2 2 13 9" xfId="22486" xr:uid="{00000000-0005-0000-0000-0000B3570000}"/>
    <cellStyle name="Normal 2 2 4 2 2 14" xfId="22487" xr:uid="{00000000-0005-0000-0000-0000B4570000}"/>
    <cellStyle name="Normal 2 2 4 2 2 14 10" xfId="22488" xr:uid="{00000000-0005-0000-0000-0000B5570000}"/>
    <cellStyle name="Normal 2 2 4 2 2 14 11" xfId="22489" xr:uid="{00000000-0005-0000-0000-0000B6570000}"/>
    <cellStyle name="Normal 2 2 4 2 2 14 12" xfId="22490" xr:uid="{00000000-0005-0000-0000-0000B7570000}"/>
    <cellStyle name="Normal 2 2 4 2 2 14 13" xfId="22491" xr:uid="{00000000-0005-0000-0000-0000B8570000}"/>
    <cellStyle name="Normal 2 2 4 2 2 14 14" xfId="22492" xr:uid="{00000000-0005-0000-0000-0000B9570000}"/>
    <cellStyle name="Normal 2 2 4 2 2 14 2" xfId="22493" xr:uid="{00000000-0005-0000-0000-0000BA570000}"/>
    <cellStyle name="Normal 2 2 4 2 2 14 2 10" xfId="22494" xr:uid="{00000000-0005-0000-0000-0000BB570000}"/>
    <cellStyle name="Normal 2 2 4 2 2 14 2 2" xfId="22495" xr:uid="{00000000-0005-0000-0000-0000BC570000}"/>
    <cellStyle name="Normal 2 2 4 2 2 14 2 3" xfId="22496" xr:uid="{00000000-0005-0000-0000-0000BD570000}"/>
    <cellStyle name="Normal 2 2 4 2 2 14 2 4" xfId="22497" xr:uid="{00000000-0005-0000-0000-0000BE570000}"/>
    <cellStyle name="Normal 2 2 4 2 2 14 2 5" xfId="22498" xr:uid="{00000000-0005-0000-0000-0000BF570000}"/>
    <cellStyle name="Normal 2 2 4 2 2 14 2 6" xfId="22499" xr:uid="{00000000-0005-0000-0000-0000C0570000}"/>
    <cellStyle name="Normal 2 2 4 2 2 14 2 7" xfId="22500" xr:uid="{00000000-0005-0000-0000-0000C1570000}"/>
    <cellStyle name="Normal 2 2 4 2 2 14 2 8" xfId="22501" xr:uid="{00000000-0005-0000-0000-0000C2570000}"/>
    <cellStyle name="Normal 2 2 4 2 2 14 2 9" xfId="22502" xr:uid="{00000000-0005-0000-0000-0000C3570000}"/>
    <cellStyle name="Normal 2 2 4 2 2 14 3" xfId="22503" xr:uid="{00000000-0005-0000-0000-0000C4570000}"/>
    <cellStyle name="Normal 2 2 4 2 2 14 3 10" xfId="22504" xr:uid="{00000000-0005-0000-0000-0000C5570000}"/>
    <cellStyle name="Normal 2 2 4 2 2 14 3 2" xfId="22505" xr:uid="{00000000-0005-0000-0000-0000C6570000}"/>
    <cellStyle name="Normal 2 2 4 2 2 14 3 3" xfId="22506" xr:uid="{00000000-0005-0000-0000-0000C7570000}"/>
    <cellStyle name="Normal 2 2 4 2 2 14 3 4" xfId="22507" xr:uid="{00000000-0005-0000-0000-0000C8570000}"/>
    <cellStyle name="Normal 2 2 4 2 2 14 3 5" xfId="22508" xr:uid="{00000000-0005-0000-0000-0000C9570000}"/>
    <cellStyle name="Normal 2 2 4 2 2 14 3 6" xfId="22509" xr:uid="{00000000-0005-0000-0000-0000CA570000}"/>
    <cellStyle name="Normal 2 2 4 2 2 14 3 7" xfId="22510" xr:uid="{00000000-0005-0000-0000-0000CB570000}"/>
    <cellStyle name="Normal 2 2 4 2 2 14 3 8" xfId="22511" xr:uid="{00000000-0005-0000-0000-0000CC570000}"/>
    <cellStyle name="Normal 2 2 4 2 2 14 3 9" xfId="22512" xr:uid="{00000000-0005-0000-0000-0000CD570000}"/>
    <cellStyle name="Normal 2 2 4 2 2 14 4" xfId="22513" xr:uid="{00000000-0005-0000-0000-0000CE570000}"/>
    <cellStyle name="Normal 2 2 4 2 2 14 4 10" xfId="22514" xr:uid="{00000000-0005-0000-0000-0000CF570000}"/>
    <cellStyle name="Normal 2 2 4 2 2 14 4 2" xfId="22515" xr:uid="{00000000-0005-0000-0000-0000D0570000}"/>
    <cellStyle name="Normal 2 2 4 2 2 14 4 3" xfId="22516" xr:uid="{00000000-0005-0000-0000-0000D1570000}"/>
    <cellStyle name="Normal 2 2 4 2 2 14 4 4" xfId="22517" xr:uid="{00000000-0005-0000-0000-0000D2570000}"/>
    <cellStyle name="Normal 2 2 4 2 2 14 4 5" xfId="22518" xr:uid="{00000000-0005-0000-0000-0000D3570000}"/>
    <cellStyle name="Normal 2 2 4 2 2 14 4 6" xfId="22519" xr:uid="{00000000-0005-0000-0000-0000D4570000}"/>
    <cellStyle name="Normal 2 2 4 2 2 14 4 7" xfId="22520" xr:uid="{00000000-0005-0000-0000-0000D5570000}"/>
    <cellStyle name="Normal 2 2 4 2 2 14 4 8" xfId="22521" xr:uid="{00000000-0005-0000-0000-0000D6570000}"/>
    <cellStyle name="Normal 2 2 4 2 2 14 4 9" xfId="22522" xr:uid="{00000000-0005-0000-0000-0000D7570000}"/>
    <cellStyle name="Normal 2 2 4 2 2 14 5" xfId="22523" xr:uid="{00000000-0005-0000-0000-0000D8570000}"/>
    <cellStyle name="Normal 2 2 4 2 2 14 5 10" xfId="22524" xr:uid="{00000000-0005-0000-0000-0000D9570000}"/>
    <cellStyle name="Normal 2 2 4 2 2 14 5 2" xfId="22525" xr:uid="{00000000-0005-0000-0000-0000DA570000}"/>
    <cellStyle name="Normal 2 2 4 2 2 14 5 3" xfId="22526" xr:uid="{00000000-0005-0000-0000-0000DB570000}"/>
    <cellStyle name="Normal 2 2 4 2 2 14 5 4" xfId="22527" xr:uid="{00000000-0005-0000-0000-0000DC570000}"/>
    <cellStyle name="Normal 2 2 4 2 2 14 5 5" xfId="22528" xr:uid="{00000000-0005-0000-0000-0000DD570000}"/>
    <cellStyle name="Normal 2 2 4 2 2 14 5 6" xfId="22529" xr:uid="{00000000-0005-0000-0000-0000DE570000}"/>
    <cellStyle name="Normal 2 2 4 2 2 14 5 7" xfId="22530" xr:uid="{00000000-0005-0000-0000-0000DF570000}"/>
    <cellStyle name="Normal 2 2 4 2 2 14 5 8" xfId="22531" xr:uid="{00000000-0005-0000-0000-0000E0570000}"/>
    <cellStyle name="Normal 2 2 4 2 2 14 5 9" xfId="22532" xr:uid="{00000000-0005-0000-0000-0000E1570000}"/>
    <cellStyle name="Normal 2 2 4 2 2 14 6" xfId="22533" xr:uid="{00000000-0005-0000-0000-0000E2570000}"/>
    <cellStyle name="Normal 2 2 4 2 2 14 7" xfId="22534" xr:uid="{00000000-0005-0000-0000-0000E3570000}"/>
    <cellStyle name="Normal 2 2 4 2 2 14 8" xfId="22535" xr:uid="{00000000-0005-0000-0000-0000E4570000}"/>
    <cellStyle name="Normal 2 2 4 2 2 14 9" xfId="22536" xr:uid="{00000000-0005-0000-0000-0000E5570000}"/>
    <cellStyle name="Normal 2 2 4 2 2 15" xfId="22537" xr:uid="{00000000-0005-0000-0000-0000E6570000}"/>
    <cellStyle name="Normal 2 2 4 2 2 15 10" xfId="22538" xr:uid="{00000000-0005-0000-0000-0000E7570000}"/>
    <cellStyle name="Normal 2 2 4 2 2 15 11" xfId="22539" xr:uid="{00000000-0005-0000-0000-0000E8570000}"/>
    <cellStyle name="Normal 2 2 4 2 2 15 12" xfId="22540" xr:uid="{00000000-0005-0000-0000-0000E9570000}"/>
    <cellStyle name="Normal 2 2 4 2 2 15 13" xfId="22541" xr:uid="{00000000-0005-0000-0000-0000EA570000}"/>
    <cellStyle name="Normal 2 2 4 2 2 15 14" xfId="22542" xr:uid="{00000000-0005-0000-0000-0000EB570000}"/>
    <cellStyle name="Normal 2 2 4 2 2 15 2" xfId="22543" xr:uid="{00000000-0005-0000-0000-0000EC570000}"/>
    <cellStyle name="Normal 2 2 4 2 2 15 2 10" xfId="22544" xr:uid="{00000000-0005-0000-0000-0000ED570000}"/>
    <cellStyle name="Normal 2 2 4 2 2 15 2 2" xfId="22545" xr:uid="{00000000-0005-0000-0000-0000EE570000}"/>
    <cellStyle name="Normal 2 2 4 2 2 15 2 3" xfId="22546" xr:uid="{00000000-0005-0000-0000-0000EF570000}"/>
    <cellStyle name="Normal 2 2 4 2 2 15 2 4" xfId="22547" xr:uid="{00000000-0005-0000-0000-0000F0570000}"/>
    <cellStyle name="Normal 2 2 4 2 2 15 2 5" xfId="22548" xr:uid="{00000000-0005-0000-0000-0000F1570000}"/>
    <cellStyle name="Normal 2 2 4 2 2 15 2 6" xfId="22549" xr:uid="{00000000-0005-0000-0000-0000F2570000}"/>
    <cellStyle name="Normal 2 2 4 2 2 15 2 7" xfId="22550" xr:uid="{00000000-0005-0000-0000-0000F3570000}"/>
    <cellStyle name="Normal 2 2 4 2 2 15 2 8" xfId="22551" xr:uid="{00000000-0005-0000-0000-0000F4570000}"/>
    <cellStyle name="Normal 2 2 4 2 2 15 2 9" xfId="22552" xr:uid="{00000000-0005-0000-0000-0000F5570000}"/>
    <cellStyle name="Normal 2 2 4 2 2 15 3" xfId="22553" xr:uid="{00000000-0005-0000-0000-0000F6570000}"/>
    <cellStyle name="Normal 2 2 4 2 2 15 3 10" xfId="22554" xr:uid="{00000000-0005-0000-0000-0000F7570000}"/>
    <cellStyle name="Normal 2 2 4 2 2 15 3 2" xfId="22555" xr:uid="{00000000-0005-0000-0000-0000F8570000}"/>
    <cellStyle name="Normal 2 2 4 2 2 15 3 3" xfId="22556" xr:uid="{00000000-0005-0000-0000-0000F9570000}"/>
    <cellStyle name="Normal 2 2 4 2 2 15 3 4" xfId="22557" xr:uid="{00000000-0005-0000-0000-0000FA570000}"/>
    <cellStyle name="Normal 2 2 4 2 2 15 3 5" xfId="22558" xr:uid="{00000000-0005-0000-0000-0000FB570000}"/>
    <cellStyle name="Normal 2 2 4 2 2 15 3 6" xfId="22559" xr:uid="{00000000-0005-0000-0000-0000FC570000}"/>
    <cellStyle name="Normal 2 2 4 2 2 15 3 7" xfId="22560" xr:uid="{00000000-0005-0000-0000-0000FD570000}"/>
    <cellStyle name="Normal 2 2 4 2 2 15 3 8" xfId="22561" xr:uid="{00000000-0005-0000-0000-0000FE570000}"/>
    <cellStyle name="Normal 2 2 4 2 2 15 3 9" xfId="22562" xr:uid="{00000000-0005-0000-0000-0000FF570000}"/>
    <cellStyle name="Normal 2 2 4 2 2 15 4" xfId="22563" xr:uid="{00000000-0005-0000-0000-000000580000}"/>
    <cellStyle name="Normal 2 2 4 2 2 15 4 10" xfId="22564" xr:uid="{00000000-0005-0000-0000-000001580000}"/>
    <cellStyle name="Normal 2 2 4 2 2 15 4 2" xfId="22565" xr:uid="{00000000-0005-0000-0000-000002580000}"/>
    <cellStyle name="Normal 2 2 4 2 2 15 4 3" xfId="22566" xr:uid="{00000000-0005-0000-0000-000003580000}"/>
    <cellStyle name="Normal 2 2 4 2 2 15 4 4" xfId="22567" xr:uid="{00000000-0005-0000-0000-000004580000}"/>
    <cellStyle name="Normal 2 2 4 2 2 15 4 5" xfId="22568" xr:uid="{00000000-0005-0000-0000-000005580000}"/>
    <cellStyle name="Normal 2 2 4 2 2 15 4 6" xfId="22569" xr:uid="{00000000-0005-0000-0000-000006580000}"/>
    <cellStyle name="Normal 2 2 4 2 2 15 4 7" xfId="22570" xr:uid="{00000000-0005-0000-0000-000007580000}"/>
    <cellStyle name="Normal 2 2 4 2 2 15 4 8" xfId="22571" xr:uid="{00000000-0005-0000-0000-000008580000}"/>
    <cellStyle name="Normal 2 2 4 2 2 15 4 9" xfId="22572" xr:uid="{00000000-0005-0000-0000-000009580000}"/>
    <cellStyle name="Normal 2 2 4 2 2 15 5" xfId="22573" xr:uid="{00000000-0005-0000-0000-00000A580000}"/>
    <cellStyle name="Normal 2 2 4 2 2 15 5 10" xfId="22574" xr:uid="{00000000-0005-0000-0000-00000B580000}"/>
    <cellStyle name="Normal 2 2 4 2 2 15 5 2" xfId="22575" xr:uid="{00000000-0005-0000-0000-00000C580000}"/>
    <cellStyle name="Normal 2 2 4 2 2 15 5 3" xfId="22576" xr:uid="{00000000-0005-0000-0000-00000D580000}"/>
    <cellStyle name="Normal 2 2 4 2 2 15 5 4" xfId="22577" xr:uid="{00000000-0005-0000-0000-00000E580000}"/>
    <cellStyle name="Normal 2 2 4 2 2 15 5 5" xfId="22578" xr:uid="{00000000-0005-0000-0000-00000F580000}"/>
    <cellStyle name="Normal 2 2 4 2 2 15 5 6" xfId="22579" xr:uid="{00000000-0005-0000-0000-000010580000}"/>
    <cellStyle name="Normal 2 2 4 2 2 15 5 7" xfId="22580" xr:uid="{00000000-0005-0000-0000-000011580000}"/>
    <cellStyle name="Normal 2 2 4 2 2 15 5 8" xfId="22581" xr:uid="{00000000-0005-0000-0000-000012580000}"/>
    <cellStyle name="Normal 2 2 4 2 2 15 5 9" xfId="22582" xr:uid="{00000000-0005-0000-0000-000013580000}"/>
    <cellStyle name="Normal 2 2 4 2 2 15 6" xfId="22583" xr:uid="{00000000-0005-0000-0000-000014580000}"/>
    <cellStyle name="Normal 2 2 4 2 2 15 7" xfId="22584" xr:uid="{00000000-0005-0000-0000-000015580000}"/>
    <cellStyle name="Normal 2 2 4 2 2 15 8" xfId="22585" xr:uid="{00000000-0005-0000-0000-000016580000}"/>
    <cellStyle name="Normal 2 2 4 2 2 15 9" xfId="22586" xr:uid="{00000000-0005-0000-0000-000017580000}"/>
    <cellStyle name="Normal 2 2 4 2 2 16" xfId="22587" xr:uid="{00000000-0005-0000-0000-000018580000}"/>
    <cellStyle name="Normal 2 2 4 2 2 16 10" xfId="22588" xr:uid="{00000000-0005-0000-0000-000019580000}"/>
    <cellStyle name="Normal 2 2 4 2 2 16 11" xfId="22589" xr:uid="{00000000-0005-0000-0000-00001A580000}"/>
    <cellStyle name="Normal 2 2 4 2 2 16 12" xfId="22590" xr:uid="{00000000-0005-0000-0000-00001B580000}"/>
    <cellStyle name="Normal 2 2 4 2 2 16 13" xfId="22591" xr:uid="{00000000-0005-0000-0000-00001C580000}"/>
    <cellStyle name="Normal 2 2 4 2 2 16 14" xfId="22592" xr:uid="{00000000-0005-0000-0000-00001D580000}"/>
    <cellStyle name="Normal 2 2 4 2 2 16 2" xfId="22593" xr:uid="{00000000-0005-0000-0000-00001E580000}"/>
    <cellStyle name="Normal 2 2 4 2 2 16 2 10" xfId="22594" xr:uid="{00000000-0005-0000-0000-00001F580000}"/>
    <cellStyle name="Normal 2 2 4 2 2 16 2 2" xfId="22595" xr:uid="{00000000-0005-0000-0000-000020580000}"/>
    <cellStyle name="Normal 2 2 4 2 2 16 2 3" xfId="22596" xr:uid="{00000000-0005-0000-0000-000021580000}"/>
    <cellStyle name="Normal 2 2 4 2 2 16 2 4" xfId="22597" xr:uid="{00000000-0005-0000-0000-000022580000}"/>
    <cellStyle name="Normal 2 2 4 2 2 16 2 5" xfId="22598" xr:uid="{00000000-0005-0000-0000-000023580000}"/>
    <cellStyle name="Normal 2 2 4 2 2 16 2 6" xfId="22599" xr:uid="{00000000-0005-0000-0000-000024580000}"/>
    <cellStyle name="Normal 2 2 4 2 2 16 2 7" xfId="22600" xr:uid="{00000000-0005-0000-0000-000025580000}"/>
    <cellStyle name="Normal 2 2 4 2 2 16 2 8" xfId="22601" xr:uid="{00000000-0005-0000-0000-000026580000}"/>
    <cellStyle name="Normal 2 2 4 2 2 16 2 9" xfId="22602" xr:uid="{00000000-0005-0000-0000-000027580000}"/>
    <cellStyle name="Normal 2 2 4 2 2 16 3" xfId="22603" xr:uid="{00000000-0005-0000-0000-000028580000}"/>
    <cellStyle name="Normal 2 2 4 2 2 16 3 10" xfId="22604" xr:uid="{00000000-0005-0000-0000-000029580000}"/>
    <cellStyle name="Normal 2 2 4 2 2 16 3 2" xfId="22605" xr:uid="{00000000-0005-0000-0000-00002A580000}"/>
    <cellStyle name="Normal 2 2 4 2 2 16 3 3" xfId="22606" xr:uid="{00000000-0005-0000-0000-00002B580000}"/>
    <cellStyle name="Normal 2 2 4 2 2 16 3 4" xfId="22607" xr:uid="{00000000-0005-0000-0000-00002C580000}"/>
    <cellStyle name="Normal 2 2 4 2 2 16 3 5" xfId="22608" xr:uid="{00000000-0005-0000-0000-00002D580000}"/>
    <cellStyle name="Normal 2 2 4 2 2 16 3 6" xfId="22609" xr:uid="{00000000-0005-0000-0000-00002E580000}"/>
    <cellStyle name="Normal 2 2 4 2 2 16 3 7" xfId="22610" xr:uid="{00000000-0005-0000-0000-00002F580000}"/>
    <cellStyle name="Normal 2 2 4 2 2 16 3 8" xfId="22611" xr:uid="{00000000-0005-0000-0000-000030580000}"/>
    <cellStyle name="Normal 2 2 4 2 2 16 3 9" xfId="22612" xr:uid="{00000000-0005-0000-0000-000031580000}"/>
    <cellStyle name="Normal 2 2 4 2 2 16 4" xfId="22613" xr:uid="{00000000-0005-0000-0000-000032580000}"/>
    <cellStyle name="Normal 2 2 4 2 2 16 4 10" xfId="22614" xr:uid="{00000000-0005-0000-0000-000033580000}"/>
    <cellStyle name="Normal 2 2 4 2 2 16 4 2" xfId="22615" xr:uid="{00000000-0005-0000-0000-000034580000}"/>
    <cellStyle name="Normal 2 2 4 2 2 16 4 3" xfId="22616" xr:uid="{00000000-0005-0000-0000-000035580000}"/>
    <cellStyle name="Normal 2 2 4 2 2 16 4 4" xfId="22617" xr:uid="{00000000-0005-0000-0000-000036580000}"/>
    <cellStyle name="Normal 2 2 4 2 2 16 4 5" xfId="22618" xr:uid="{00000000-0005-0000-0000-000037580000}"/>
    <cellStyle name="Normal 2 2 4 2 2 16 4 6" xfId="22619" xr:uid="{00000000-0005-0000-0000-000038580000}"/>
    <cellStyle name="Normal 2 2 4 2 2 16 4 7" xfId="22620" xr:uid="{00000000-0005-0000-0000-000039580000}"/>
    <cellStyle name="Normal 2 2 4 2 2 16 4 8" xfId="22621" xr:uid="{00000000-0005-0000-0000-00003A580000}"/>
    <cellStyle name="Normal 2 2 4 2 2 16 4 9" xfId="22622" xr:uid="{00000000-0005-0000-0000-00003B580000}"/>
    <cellStyle name="Normal 2 2 4 2 2 16 5" xfId="22623" xr:uid="{00000000-0005-0000-0000-00003C580000}"/>
    <cellStyle name="Normal 2 2 4 2 2 16 5 10" xfId="22624" xr:uid="{00000000-0005-0000-0000-00003D580000}"/>
    <cellStyle name="Normal 2 2 4 2 2 16 5 2" xfId="22625" xr:uid="{00000000-0005-0000-0000-00003E580000}"/>
    <cellStyle name="Normal 2 2 4 2 2 16 5 3" xfId="22626" xr:uid="{00000000-0005-0000-0000-00003F580000}"/>
    <cellStyle name="Normal 2 2 4 2 2 16 5 4" xfId="22627" xr:uid="{00000000-0005-0000-0000-000040580000}"/>
    <cellStyle name="Normal 2 2 4 2 2 16 5 5" xfId="22628" xr:uid="{00000000-0005-0000-0000-000041580000}"/>
    <cellStyle name="Normal 2 2 4 2 2 16 5 6" xfId="22629" xr:uid="{00000000-0005-0000-0000-000042580000}"/>
    <cellStyle name="Normal 2 2 4 2 2 16 5 7" xfId="22630" xr:uid="{00000000-0005-0000-0000-000043580000}"/>
    <cellStyle name="Normal 2 2 4 2 2 16 5 8" xfId="22631" xr:uid="{00000000-0005-0000-0000-000044580000}"/>
    <cellStyle name="Normal 2 2 4 2 2 16 5 9" xfId="22632" xr:uid="{00000000-0005-0000-0000-000045580000}"/>
    <cellStyle name="Normal 2 2 4 2 2 16 6" xfId="22633" xr:uid="{00000000-0005-0000-0000-000046580000}"/>
    <cellStyle name="Normal 2 2 4 2 2 16 7" xfId="22634" xr:uid="{00000000-0005-0000-0000-000047580000}"/>
    <cellStyle name="Normal 2 2 4 2 2 16 8" xfId="22635" xr:uid="{00000000-0005-0000-0000-000048580000}"/>
    <cellStyle name="Normal 2 2 4 2 2 16 9" xfId="22636" xr:uid="{00000000-0005-0000-0000-000049580000}"/>
    <cellStyle name="Normal 2 2 4 2 2 17" xfId="22637" xr:uid="{00000000-0005-0000-0000-00004A580000}"/>
    <cellStyle name="Normal 2 2 4 2 2 17 10" xfId="22638" xr:uid="{00000000-0005-0000-0000-00004B580000}"/>
    <cellStyle name="Normal 2 2 4 2 2 17 11" xfId="22639" xr:uid="{00000000-0005-0000-0000-00004C580000}"/>
    <cellStyle name="Normal 2 2 4 2 2 17 12" xfId="22640" xr:uid="{00000000-0005-0000-0000-00004D580000}"/>
    <cellStyle name="Normal 2 2 4 2 2 17 13" xfId="22641" xr:uid="{00000000-0005-0000-0000-00004E580000}"/>
    <cellStyle name="Normal 2 2 4 2 2 17 14" xfId="22642" xr:uid="{00000000-0005-0000-0000-00004F580000}"/>
    <cellStyle name="Normal 2 2 4 2 2 17 2" xfId="22643" xr:uid="{00000000-0005-0000-0000-000050580000}"/>
    <cellStyle name="Normal 2 2 4 2 2 17 2 10" xfId="22644" xr:uid="{00000000-0005-0000-0000-000051580000}"/>
    <cellStyle name="Normal 2 2 4 2 2 17 2 2" xfId="22645" xr:uid="{00000000-0005-0000-0000-000052580000}"/>
    <cellStyle name="Normal 2 2 4 2 2 17 2 3" xfId="22646" xr:uid="{00000000-0005-0000-0000-000053580000}"/>
    <cellStyle name="Normal 2 2 4 2 2 17 2 4" xfId="22647" xr:uid="{00000000-0005-0000-0000-000054580000}"/>
    <cellStyle name="Normal 2 2 4 2 2 17 2 5" xfId="22648" xr:uid="{00000000-0005-0000-0000-000055580000}"/>
    <cellStyle name="Normal 2 2 4 2 2 17 2 6" xfId="22649" xr:uid="{00000000-0005-0000-0000-000056580000}"/>
    <cellStyle name="Normal 2 2 4 2 2 17 2 7" xfId="22650" xr:uid="{00000000-0005-0000-0000-000057580000}"/>
    <cellStyle name="Normal 2 2 4 2 2 17 2 8" xfId="22651" xr:uid="{00000000-0005-0000-0000-000058580000}"/>
    <cellStyle name="Normal 2 2 4 2 2 17 2 9" xfId="22652" xr:uid="{00000000-0005-0000-0000-000059580000}"/>
    <cellStyle name="Normal 2 2 4 2 2 17 3" xfId="22653" xr:uid="{00000000-0005-0000-0000-00005A580000}"/>
    <cellStyle name="Normal 2 2 4 2 2 17 3 10" xfId="22654" xr:uid="{00000000-0005-0000-0000-00005B580000}"/>
    <cellStyle name="Normal 2 2 4 2 2 17 3 2" xfId="22655" xr:uid="{00000000-0005-0000-0000-00005C580000}"/>
    <cellStyle name="Normal 2 2 4 2 2 17 3 3" xfId="22656" xr:uid="{00000000-0005-0000-0000-00005D580000}"/>
    <cellStyle name="Normal 2 2 4 2 2 17 3 4" xfId="22657" xr:uid="{00000000-0005-0000-0000-00005E580000}"/>
    <cellStyle name="Normal 2 2 4 2 2 17 3 5" xfId="22658" xr:uid="{00000000-0005-0000-0000-00005F580000}"/>
    <cellStyle name="Normal 2 2 4 2 2 17 3 6" xfId="22659" xr:uid="{00000000-0005-0000-0000-000060580000}"/>
    <cellStyle name="Normal 2 2 4 2 2 17 3 7" xfId="22660" xr:uid="{00000000-0005-0000-0000-000061580000}"/>
    <cellStyle name="Normal 2 2 4 2 2 17 3 8" xfId="22661" xr:uid="{00000000-0005-0000-0000-000062580000}"/>
    <cellStyle name="Normal 2 2 4 2 2 17 3 9" xfId="22662" xr:uid="{00000000-0005-0000-0000-000063580000}"/>
    <cellStyle name="Normal 2 2 4 2 2 17 4" xfId="22663" xr:uid="{00000000-0005-0000-0000-000064580000}"/>
    <cellStyle name="Normal 2 2 4 2 2 17 4 10" xfId="22664" xr:uid="{00000000-0005-0000-0000-000065580000}"/>
    <cellStyle name="Normal 2 2 4 2 2 17 4 2" xfId="22665" xr:uid="{00000000-0005-0000-0000-000066580000}"/>
    <cellStyle name="Normal 2 2 4 2 2 17 4 3" xfId="22666" xr:uid="{00000000-0005-0000-0000-000067580000}"/>
    <cellStyle name="Normal 2 2 4 2 2 17 4 4" xfId="22667" xr:uid="{00000000-0005-0000-0000-000068580000}"/>
    <cellStyle name="Normal 2 2 4 2 2 17 4 5" xfId="22668" xr:uid="{00000000-0005-0000-0000-000069580000}"/>
    <cellStyle name="Normal 2 2 4 2 2 17 4 6" xfId="22669" xr:uid="{00000000-0005-0000-0000-00006A580000}"/>
    <cellStyle name="Normal 2 2 4 2 2 17 4 7" xfId="22670" xr:uid="{00000000-0005-0000-0000-00006B580000}"/>
    <cellStyle name="Normal 2 2 4 2 2 17 4 8" xfId="22671" xr:uid="{00000000-0005-0000-0000-00006C580000}"/>
    <cellStyle name="Normal 2 2 4 2 2 17 4 9" xfId="22672" xr:uid="{00000000-0005-0000-0000-00006D580000}"/>
    <cellStyle name="Normal 2 2 4 2 2 17 5" xfId="22673" xr:uid="{00000000-0005-0000-0000-00006E580000}"/>
    <cellStyle name="Normal 2 2 4 2 2 17 5 10" xfId="22674" xr:uid="{00000000-0005-0000-0000-00006F580000}"/>
    <cellStyle name="Normal 2 2 4 2 2 17 5 2" xfId="22675" xr:uid="{00000000-0005-0000-0000-000070580000}"/>
    <cellStyle name="Normal 2 2 4 2 2 17 5 3" xfId="22676" xr:uid="{00000000-0005-0000-0000-000071580000}"/>
    <cellStyle name="Normal 2 2 4 2 2 17 5 4" xfId="22677" xr:uid="{00000000-0005-0000-0000-000072580000}"/>
    <cellStyle name="Normal 2 2 4 2 2 17 5 5" xfId="22678" xr:uid="{00000000-0005-0000-0000-000073580000}"/>
    <cellStyle name="Normal 2 2 4 2 2 17 5 6" xfId="22679" xr:uid="{00000000-0005-0000-0000-000074580000}"/>
    <cellStyle name="Normal 2 2 4 2 2 17 5 7" xfId="22680" xr:uid="{00000000-0005-0000-0000-000075580000}"/>
    <cellStyle name="Normal 2 2 4 2 2 17 5 8" xfId="22681" xr:uid="{00000000-0005-0000-0000-000076580000}"/>
    <cellStyle name="Normal 2 2 4 2 2 17 5 9" xfId="22682" xr:uid="{00000000-0005-0000-0000-000077580000}"/>
    <cellStyle name="Normal 2 2 4 2 2 17 6" xfId="22683" xr:uid="{00000000-0005-0000-0000-000078580000}"/>
    <cellStyle name="Normal 2 2 4 2 2 17 7" xfId="22684" xr:uid="{00000000-0005-0000-0000-000079580000}"/>
    <cellStyle name="Normal 2 2 4 2 2 17 8" xfId="22685" xr:uid="{00000000-0005-0000-0000-00007A580000}"/>
    <cellStyle name="Normal 2 2 4 2 2 17 9" xfId="22686" xr:uid="{00000000-0005-0000-0000-00007B580000}"/>
    <cellStyle name="Normal 2 2 4 2 2 18" xfId="22687" xr:uid="{00000000-0005-0000-0000-00007C580000}"/>
    <cellStyle name="Normal 2 2 4 2 2 18 10" xfId="22688" xr:uid="{00000000-0005-0000-0000-00007D580000}"/>
    <cellStyle name="Normal 2 2 4 2 2 18 11" xfId="22689" xr:uid="{00000000-0005-0000-0000-00007E580000}"/>
    <cellStyle name="Normal 2 2 4 2 2 18 12" xfId="22690" xr:uid="{00000000-0005-0000-0000-00007F580000}"/>
    <cellStyle name="Normal 2 2 4 2 2 18 13" xfId="22691" xr:uid="{00000000-0005-0000-0000-000080580000}"/>
    <cellStyle name="Normal 2 2 4 2 2 18 14" xfId="22692" xr:uid="{00000000-0005-0000-0000-000081580000}"/>
    <cellStyle name="Normal 2 2 4 2 2 18 2" xfId="22693" xr:uid="{00000000-0005-0000-0000-000082580000}"/>
    <cellStyle name="Normal 2 2 4 2 2 18 2 10" xfId="22694" xr:uid="{00000000-0005-0000-0000-000083580000}"/>
    <cellStyle name="Normal 2 2 4 2 2 18 2 2" xfId="22695" xr:uid="{00000000-0005-0000-0000-000084580000}"/>
    <cellStyle name="Normal 2 2 4 2 2 18 2 3" xfId="22696" xr:uid="{00000000-0005-0000-0000-000085580000}"/>
    <cellStyle name="Normal 2 2 4 2 2 18 2 4" xfId="22697" xr:uid="{00000000-0005-0000-0000-000086580000}"/>
    <cellStyle name="Normal 2 2 4 2 2 18 2 5" xfId="22698" xr:uid="{00000000-0005-0000-0000-000087580000}"/>
    <cellStyle name="Normal 2 2 4 2 2 18 2 6" xfId="22699" xr:uid="{00000000-0005-0000-0000-000088580000}"/>
    <cellStyle name="Normal 2 2 4 2 2 18 2 7" xfId="22700" xr:uid="{00000000-0005-0000-0000-000089580000}"/>
    <cellStyle name="Normal 2 2 4 2 2 18 2 8" xfId="22701" xr:uid="{00000000-0005-0000-0000-00008A580000}"/>
    <cellStyle name="Normal 2 2 4 2 2 18 2 9" xfId="22702" xr:uid="{00000000-0005-0000-0000-00008B580000}"/>
    <cellStyle name="Normal 2 2 4 2 2 18 3" xfId="22703" xr:uid="{00000000-0005-0000-0000-00008C580000}"/>
    <cellStyle name="Normal 2 2 4 2 2 18 3 10" xfId="22704" xr:uid="{00000000-0005-0000-0000-00008D580000}"/>
    <cellStyle name="Normal 2 2 4 2 2 18 3 2" xfId="22705" xr:uid="{00000000-0005-0000-0000-00008E580000}"/>
    <cellStyle name="Normal 2 2 4 2 2 18 3 3" xfId="22706" xr:uid="{00000000-0005-0000-0000-00008F580000}"/>
    <cellStyle name="Normal 2 2 4 2 2 18 3 4" xfId="22707" xr:uid="{00000000-0005-0000-0000-000090580000}"/>
    <cellStyle name="Normal 2 2 4 2 2 18 3 5" xfId="22708" xr:uid="{00000000-0005-0000-0000-000091580000}"/>
    <cellStyle name="Normal 2 2 4 2 2 18 3 6" xfId="22709" xr:uid="{00000000-0005-0000-0000-000092580000}"/>
    <cellStyle name="Normal 2 2 4 2 2 18 3 7" xfId="22710" xr:uid="{00000000-0005-0000-0000-000093580000}"/>
    <cellStyle name="Normal 2 2 4 2 2 18 3 8" xfId="22711" xr:uid="{00000000-0005-0000-0000-000094580000}"/>
    <cellStyle name="Normal 2 2 4 2 2 18 3 9" xfId="22712" xr:uid="{00000000-0005-0000-0000-000095580000}"/>
    <cellStyle name="Normal 2 2 4 2 2 18 4" xfId="22713" xr:uid="{00000000-0005-0000-0000-000096580000}"/>
    <cellStyle name="Normal 2 2 4 2 2 18 4 10" xfId="22714" xr:uid="{00000000-0005-0000-0000-000097580000}"/>
    <cellStyle name="Normal 2 2 4 2 2 18 4 2" xfId="22715" xr:uid="{00000000-0005-0000-0000-000098580000}"/>
    <cellStyle name="Normal 2 2 4 2 2 18 4 3" xfId="22716" xr:uid="{00000000-0005-0000-0000-000099580000}"/>
    <cellStyle name="Normal 2 2 4 2 2 18 4 4" xfId="22717" xr:uid="{00000000-0005-0000-0000-00009A580000}"/>
    <cellStyle name="Normal 2 2 4 2 2 18 4 5" xfId="22718" xr:uid="{00000000-0005-0000-0000-00009B580000}"/>
    <cellStyle name="Normal 2 2 4 2 2 18 4 6" xfId="22719" xr:uid="{00000000-0005-0000-0000-00009C580000}"/>
    <cellStyle name="Normal 2 2 4 2 2 18 4 7" xfId="22720" xr:uid="{00000000-0005-0000-0000-00009D580000}"/>
    <cellStyle name="Normal 2 2 4 2 2 18 4 8" xfId="22721" xr:uid="{00000000-0005-0000-0000-00009E580000}"/>
    <cellStyle name="Normal 2 2 4 2 2 18 4 9" xfId="22722" xr:uid="{00000000-0005-0000-0000-00009F580000}"/>
    <cellStyle name="Normal 2 2 4 2 2 18 5" xfId="22723" xr:uid="{00000000-0005-0000-0000-0000A0580000}"/>
    <cellStyle name="Normal 2 2 4 2 2 18 5 10" xfId="22724" xr:uid="{00000000-0005-0000-0000-0000A1580000}"/>
    <cellStyle name="Normal 2 2 4 2 2 18 5 2" xfId="22725" xr:uid="{00000000-0005-0000-0000-0000A2580000}"/>
    <cellStyle name="Normal 2 2 4 2 2 18 5 3" xfId="22726" xr:uid="{00000000-0005-0000-0000-0000A3580000}"/>
    <cellStyle name="Normal 2 2 4 2 2 18 5 4" xfId="22727" xr:uid="{00000000-0005-0000-0000-0000A4580000}"/>
    <cellStyle name="Normal 2 2 4 2 2 18 5 5" xfId="22728" xr:uid="{00000000-0005-0000-0000-0000A5580000}"/>
    <cellStyle name="Normal 2 2 4 2 2 18 5 6" xfId="22729" xr:uid="{00000000-0005-0000-0000-0000A6580000}"/>
    <cellStyle name="Normal 2 2 4 2 2 18 5 7" xfId="22730" xr:uid="{00000000-0005-0000-0000-0000A7580000}"/>
    <cellStyle name="Normal 2 2 4 2 2 18 5 8" xfId="22731" xr:uid="{00000000-0005-0000-0000-0000A8580000}"/>
    <cellStyle name="Normal 2 2 4 2 2 18 5 9" xfId="22732" xr:uid="{00000000-0005-0000-0000-0000A9580000}"/>
    <cellStyle name="Normal 2 2 4 2 2 18 6" xfId="22733" xr:uid="{00000000-0005-0000-0000-0000AA580000}"/>
    <cellStyle name="Normal 2 2 4 2 2 18 7" xfId="22734" xr:uid="{00000000-0005-0000-0000-0000AB580000}"/>
    <cellStyle name="Normal 2 2 4 2 2 18 8" xfId="22735" xr:uid="{00000000-0005-0000-0000-0000AC580000}"/>
    <cellStyle name="Normal 2 2 4 2 2 18 9" xfId="22736" xr:uid="{00000000-0005-0000-0000-0000AD580000}"/>
    <cellStyle name="Normal 2 2 4 2 2 19" xfId="22737" xr:uid="{00000000-0005-0000-0000-0000AE580000}"/>
    <cellStyle name="Normal 2 2 4 2 2 19 10" xfId="22738" xr:uid="{00000000-0005-0000-0000-0000AF580000}"/>
    <cellStyle name="Normal 2 2 4 2 2 19 11" xfId="22739" xr:uid="{00000000-0005-0000-0000-0000B0580000}"/>
    <cellStyle name="Normal 2 2 4 2 2 19 12" xfId="22740" xr:uid="{00000000-0005-0000-0000-0000B1580000}"/>
    <cellStyle name="Normal 2 2 4 2 2 19 13" xfId="22741" xr:uid="{00000000-0005-0000-0000-0000B2580000}"/>
    <cellStyle name="Normal 2 2 4 2 2 19 14" xfId="22742" xr:uid="{00000000-0005-0000-0000-0000B3580000}"/>
    <cellStyle name="Normal 2 2 4 2 2 19 2" xfId="22743" xr:uid="{00000000-0005-0000-0000-0000B4580000}"/>
    <cellStyle name="Normal 2 2 4 2 2 19 2 10" xfId="22744" xr:uid="{00000000-0005-0000-0000-0000B5580000}"/>
    <cellStyle name="Normal 2 2 4 2 2 19 2 2" xfId="22745" xr:uid="{00000000-0005-0000-0000-0000B6580000}"/>
    <cellStyle name="Normal 2 2 4 2 2 19 2 3" xfId="22746" xr:uid="{00000000-0005-0000-0000-0000B7580000}"/>
    <cellStyle name="Normal 2 2 4 2 2 19 2 4" xfId="22747" xr:uid="{00000000-0005-0000-0000-0000B8580000}"/>
    <cellStyle name="Normal 2 2 4 2 2 19 2 5" xfId="22748" xr:uid="{00000000-0005-0000-0000-0000B9580000}"/>
    <cellStyle name="Normal 2 2 4 2 2 19 2 6" xfId="22749" xr:uid="{00000000-0005-0000-0000-0000BA580000}"/>
    <cellStyle name="Normal 2 2 4 2 2 19 2 7" xfId="22750" xr:uid="{00000000-0005-0000-0000-0000BB580000}"/>
    <cellStyle name="Normal 2 2 4 2 2 19 2 8" xfId="22751" xr:uid="{00000000-0005-0000-0000-0000BC580000}"/>
    <cellStyle name="Normal 2 2 4 2 2 19 2 9" xfId="22752" xr:uid="{00000000-0005-0000-0000-0000BD580000}"/>
    <cellStyle name="Normal 2 2 4 2 2 19 3" xfId="22753" xr:uid="{00000000-0005-0000-0000-0000BE580000}"/>
    <cellStyle name="Normal 2 2 4 2 2 19 3 10" xfId="22754" xr:uid="{00000000-0005-0000-0000-0000BF580000}"/>
    <cellStyle name="Normal 2 2 4 2 2 19 3 2" xfId="22755" xr:uid="{00000000-0005-0000-0000-0000C0580000}"/>
    <cellStyle name="Normal 2 2 4 2 2 19 3 3" xfId="22756" xr:uid="{00000000-0005-0000-0000-0000C1580000}"/>
    <cellStyle name="Normal 2 2 4 2 2 19 3 4" xfId="22757" xr:uid="{00000000-0005-0000-0000-0000C2580000}"/>
    <cellStyle name="Normal 2 2 4 2 2 19 3 5" xfId="22758" xr:uid="{00000000-0005-0000-0000-0000C3580000}"/>
    <cellStyle name="Normal 2 2 4 2 2 19 3 6" xfId="22759" xr:uid="{00000000-0005-0000-0000-0000C4580000}"/>
    <cellStyle name="Normal 2 2 4 2 2 19 3 7" xfId="22760" xr:uid="{00000000-0005-0000-0000-0000C5580000}"/>
    <cellStyle name="Normal 2 2 4 2 2 19 3 8" xfId="22761" xr:uid="{00000000-0005-0000-0000-0000C6580000}"/>
    <cellStyle name="Normal 2 2 4 2 2 19 3 9" xfId="22762" xr:uid="{00000000-0005-0000-0000-0000C7580000}"/>
    <cellStyle name="Normal 2 2 4 2 2 19 4" xfId="22763" xr:uid="{00000000-0005-0000-0000-0000C8580000}"/>
    <cellStyle name="Normal 2 2 4 2 2 19 4 10" xfId="22764" xr:uid="{00000000-0005-0000-0000-0000C9580000}"/>
    <cellStyle name="Normal 2 2 4 2 2 19 4 2" xfId="22765" xr:uid="{00000000-0005-0000-0000-0000CA580000}"/>
    <cellStyle name="Normal 2 2 4 2 2 19 4 3" xfId="22766" xr:uid="{00000000-0005-0000-0000-0000CB580000}"/>
    <cellStyle name="Normal 2 2 4 2 2 19 4 4" xfId="22767" xr:uid="{00000000-0005-0000-0000-0000CC580000}"/>
    <cellStyle name="Normal 2 2 4 2 2 19 4 5" xfId="22768" xr:uid="{00000000-0005-0000-0000-0000CD580000}"/>
    <cellStyle name="Normal 2 2 4 2 2 19 4 6" xfId="22769" xr:uid="{00000000-0005-0000-0000-0000CE580000}"/>
    <cellStyle name="Normal 2 2 4 2 2 19 4 7" xfId="22770" xr:uid="{00000000-0005-0000-0000-0000CF580000}"/>
    <cellStyle name="Normal 2 2 4 2 2 19 4 8" xfId="22771" xr:uid="{00000000-0005-0000-0000-0000D0580000}"/>
    <cellStyle name="Normal 2 2 4 2 2 19 4 9" xfId="22772" xr:uid="{00000000-0005-0000-0000-0000D1580000}"/>
    <cellStyle name="Normal 2 2 4 2 2 19 5" xfId="22773" xr:uid="{00000000-0005-0000-0000-0000D2580000}"/>
    <cellStyle name="Normal 2 2 4 2 2 19 5 10" xfId="22774" xr:uid="{00000000-0005-0000-0000-0000D3580000}"/>
    <cellStyle name="Normal 2 2 4 2 2 19 5 2" xfId="22775" xr:uid="{00000000-0005-0000-0000-0000D4580000}"/>
    <cellStyle name="Normal 2 2 4 2 2 19 5 3" xfId="22776" xr:uid="{00000000-0005-0000-0000-0000D5580000}"/>
    <cellStyle name="Normal 2 2 4 2 2 19 5 4" xfId="22777" xr:uid="{00000000-0005-0000-0000-0000D6580000}"/>
    <cellStyle name="Normal 2 2 4 2 2 19 5 5" xfId="22778" xr:uid="{00000000-0005-0000-0000-0000D7580000}"/>
    <cellStyle name="Normal 2 2 4 2 2 19 5 6" xfId="22779" xr:uid="{00000000-0005-0000-0000-0000D8580000}"/>
    <cellStyle name="Normal 2 2 4 2 2 19 5 7" xfId="22780" xr:uid="{00000000-0005-0000-0000-0000D9580000}"/>
    <cellStyle name="Normal 2 2 4 2 2 19 5 8" xfId="22781" xr:uid="{00000000-0005-0000-0000-0000DA580000}"/>
    <cellStyle name="Normal 2 2 4 2 2 19 5 9" xfId="22782" xr:uid="{00000000-0005-0000-0000-0000DB580000}"/>
    <cellStyle name="Normal 2 2 4 2 2 19 6" xfId="22783" xr:uid="{00000000-0005-0000-0000-0000DC580000}"/>
    <cellStyle name="Normal 2 2 4 2 2 19 7" xfId="22784" xr:uid="{00000000-0005-0000-0000-0000DD580000}"/>
    <cellStyle name="Normal 2 2 4 2 2 19 8" xfId="22785" xr:uid="{00000000-0005-0000-0000-0000DE580000}"/>
    <cellStyle name="Normal 2 2 4 2 2 19 9" xfId="22786" xr:uid="{00000000-0005-0000-0000-0000DF580000}"/>
    <cellStyle name="Normal 2 2 4 2 2 2" xfId="22787" xr:uid="{00000000-0005-0000-0000-0000E0580000}"/>
    <cellStyle name="Normal 2 2 4 2 2 2 10" xfId="22788" xr:uid="{00000000-0005-0000-0000-0000E1580000}"/>
    <cellStyle name="Normal 2 2 4 2 2 2 11" xfId="22789" xr:uid="{00000000-0005-0000-0000-0000E2580000}"/>
    <cellStyle name="Normal 2 2 4 2 2 2 12" xfId="22790" xr:uid="{00000000-0005-0000-0000-0000E3580000}"/>
    <cellStyle name="Normal 2 2 4 2 2 2 13" xfId="22791" xr:uid="{00000000-0005-0000-0000-0000E4580000}"/>
    <cellStyle name="Normal 2 2 4 2 2 2 14" xfId="22792" xr:uid="{00000000-0005-0000-0000-0000E5580000}"/>
    <cellStyle name="Normal 2 2 4 2 2 2 2" xfId="22793" xr:uid="{00000000-0005-0000-0000-0000E6580000}"/>
    <cellStyle name="Normal 2 2 4 2 2 2 2 10" xfId="22794" xr:uid="{00000000-0005-0000-0000-0000E7580000}"/>
    <cellStyle name="Normal 2 2 4 2 2 2 2 2" xfId="22795" xr:uid="{00000000-0005-0000-0000-0000E8580000}"/>
    <cellStyle name="Normal 2 2 4 2 2 2 2 3" xfId="22796" xr:uid="{00000000-0005-0000-0000-0000E9580000}"/>
    <cellStyle name="Normal 2 2 4 2 2 2 2 4" xfId="22797" xr:uid="{00000000-0005-0000-0000-0000EA580000}"/>
    <cellStyle name="Normal 2 2 4 2 2 2 2 5" xfId="22798" xr:uid="{00000000-0005-0000-0000-0000EB580000}"/>
    <cellStyle name="Normal 2 2 4 2 2 2 2 6" xfId="22799" xr:uid="{00000000-0005-0000-0000-0000EC580000}"/>
    <cellStyle name="Normal 2 2 4 2 2 2 2 7" xfId="22800" xr:uid="{00000000-0005-0000-0000-0000ED580000}"/>
    <cellStyle name="Normal 2 2 4 2 2 2 2 8" xfId="22801" xr:uid="{00000000-0005-0000-0000-0000EE580000}"/>
    <cellStyle name="Normal 2 2 4 2 2 2 2 9" xfId="22802" xr:uid="{00000000-0005-0000-0000-0000EF580000}"/>
    <cellStyle name="Normal 2 2 4 2 2 2 3" xfId="22803" xr:uid="{00000000-0005-0000-0000-0000F0580000}"/>
    <cellStyle name="Normal 2 2 4 2 2 2 3 10" xfId="22804" xr:uid="{00000000-0005-0000-0000-0000F1580000}"/>
    <cellStyle name="Normal 2 2 4 2 2 2 3 2" xfId="22805" xr:uid="{00000000-0005-0000-0000-0000F2580000}"/>
    <cellStyle name="Normal 2 2 4 2 2 2 3 3" xfId="22806" xr:uid="{00000000-0005-0000-0000-0000F3580000}"/>
    <cellStyle name="Normal 2 2 4 2 2 2 3 4" xfId="22807" xr:uid="{00000000-0005-0000-0000-0000F4580000}"/>
    <cellStyle name="Normal 2 2 4 2 2 2 3 5" xfId="22808" xr:uid="{00000000-0005-0000-0000-0000F5580000}"/>
    <cellStyle name="Normal 2 2 4 2 2 2 3 6" xfId="22809" xr:uid="{00000000-0005-0000-0000-0000F6580000}"/>
    <cellStyle name="Normal 2 2 4 2 2 2 3 7" xfId="22810" xr:uid="{00000000-0005-0000-0000-0000F7580000}"/>
    <cellStyle name="Normal 2 2 4 2 2 2 3 8" xfId="22811" xr:uid="{00000000-0005-0000-0000-0000F8580000}"/>
    <cellStyle name="Normal 2 2 4 2 2 2 3 9" xfId="22812" xr:uid="{00000000-0005-0000-0000-0000F9580000}"/>
    <cellStyle name="Normal 2 2 4 2 2 2 4" xfId="22813" xr:uid="{00000000-0005-0000-0000-0000FA580000}"/>
    <cellStyle name="Normal 2 2 4 2 2 2 4 10" xfId="22814" xr:uid="{00000000-0005-0000-0000-0000FB580000}"/>
    <cellStyle name="Normal 2 2 4 2 2 2 4 2" xfId="22815" xr:uid="{00000000-0005-0000-0000-0000FC580000}"/>
    <cellStyle name="Normal 2 2 4 2 2 2 4 3" xfId="22816" xr:uid="{00000000-0005-0000-0000-0000FD580000}"/>
    <cellStyle name="Normal 2 2 4 2 2 2 4 4" xfId="22817" xr:uid="{00000000-0005-0000-0000-0000FE580000}"/>
    <cellStyle name="Normal 2 2 4 2 2 2 4 5" xfId="22818" xr:uid="{00000000-0005-0000-0000-0000FF580000}"/>
    <cellStyle name="Normal 2 2 4 2 2 2 4 6" xfId="22819" xr:uid="{00000000-0005-0000-0000-000000590000}"/>
    <cellStyle name="Normal 2 2 4 2 2 2 4 7" xfId="22820" xr:uid="{00000000-0005-0000-0000-000001590000}"/>
    <cellStyle name="Normal 2 2 4 2 2 2 4 8" xfId="22821" xr:uid="{00000000-0005-0000-0000-000002590000}"/>
    <cellStyle name="Normal 2 2 4 2 2 2 4 9" xfId="22822" xr:uid="{00000000-0005-0000-0000-000003590000}"/>
    <cellStyle name="Normal 2 2 4 2 2 2 5" xfId="22823" xr:uid="{00000000-0005-0000-0000-000004590000}"/>
    <cellStyle name="Normal 2 2 4 2 2 2 5 10" xfId="22824" xr:uid="{00000000-0005-0000-0000-000005590000}"/>
    <cellStyle name="Normal 2 2 4 2 2 2 5 2" xfId="22825" xr:uid="{00000000-0005-0000-0000-000006590000}"/>
    <cellStyle name="Normal 2 2 4 2 2 2 5 3" xfId="22826" xr:uid="{00000000-0005-0000-0000-000007590000}"/>
    <cellStyle name="Normal 2 2 4 2 2 2 5 4" xfId="22827" xr:uid="{00000000-0005-0000-0000-000008590000}"/>
    <cellStyle name="Normal 2 2 4 2 2 2 5 5" xfId="22828" xr:uid="{00000000-0005-0000-0000-000009590000}"/>
    <cellStyle name="Normal 2 2 4 2 2 2 5 6" xfId="22829" xr:uid="{00000000-0005-0000-0000-00000A590000}"/>
    <cellStyle name="Normal 2 2 4 2 2 2 5 7" xfId="22830" xr:uid="{00000000-0005-0000-0000-00000B590000}"/>
    <cellStyle name="Normal 2 2 4 2 2 2 5 8" xfId="22831" xr:uid="{00000000-0005-0000-0000-00000C590000}"/>
    <cellStyle name="Normal 2 2 4 2 2 2 5 9" xfId="22832" xr:uid="{00000000-0005-0000-0000-00000D590000}"/>
    <cellStyle name="Normal 2 2 4 2 2 2 6" xfId="22833" xr:uid="{00000000-0005-0000-0000-00000E590000}"/>
    <cellStyle name="Normal 2 2 4 2 2 2 7" xfId="22834" xr:uid="{00000000-0005-0000-0000-00000F590000}"/>
    <cellStyle name="Normal 2 2 4 2 2 2 8" xfId="22835" xr:uid="{00000000-0005-0000-0000-000010590000}"/>
    <cellStyle name="Normal 2 2 4 2 2 2 9" xfId="22836" xr:uid="{00000000-0005-0000-0000-000011590000}"/>
    <cellStyle name="Normal 2 2 4 2 2 20" xfId="22837" xr:uid="{00000000-0005-0000-0000-000012590000}"/>
    <cellStyle name="Normal 2 2 4 2 2 20 10" xfId="22838" xr:uid="{00000000-0005-0000-0000-000013590000}"/>
    <cellStyle name="Normal 2 2 4 2 2 20 11" xfId="22839" xr:uid="{00000000-0005-0000-0000-000014590000}"/>
    <cellStyle name="Normal 2 2 4 2 2 20 12" xfId="22840" xr:uid="{00000000-0005-0000-0000-000015590000}"/>
    <cellStyle name="Normal 2 2 4 2 2 20 13" xfId="22841" xr:uid="{00000000-0005-0000-0000-000016590000}"/>
    <cellStyle name="Normal 2 2 4 2 2 20 14" xfId="22842" xr:uid="{00000000-0005-0000-0000-000017590000}"/>
    <cellStyle name="Normal 2 2 4 2 2 20 2" xfId="22843" xr:uid="{00000000-0005-0000-0000-000018590000}"/>
    <cellStyle name="Normal 2 2 4 2 2 20 2 10" xfId="22844" xr:uid="{00000000-0005-0000-0000-000019590000}"/>
    <cellStyle name="Normal 2 2 4 2 2 20 2 2" xfId="22845" xr:uid="{00000000-0005-0000-0000-00001A590000}"/>
    <cellStyle name="Normal 2 2 4 2 2 20 2 3" xfId="22846" xr:uid="{00000000-0005-0000-0000-00001B590000}"/>
    <cellStyle name="Normal 2 2 4 2 2 20 2 4" xfId="22847" xr:uid="{00000000-0005-0000-0000-00001C590000}"/>
    <cellStyle name="Normal 2 2 4 2 2 20 2 5" xfId="22848" xr:uid="{00000000-0005-0000-0000-00001D590000}"/>
    <cellStyle name="Normal 2 2 4 2 2 20 2 6" xfId="22849" xr:uid="{00000000-0005-0000-0000-00001E590000}"/>
    <cellStyle name="Normal 2 2 4 2 2 20 2 7" xfId="22850" xr:uid="{00000000-0005-0000-0000-00001F590000}"/>
    <cellStyle name="Normal 2 2 4 2 2 20 2 8" xfId="22851" xr:uid="{00000000-0005-0000-0000-000020590000}"/>
    <cellStyle name="Normal 2 2 4 2 2 20 2 9" xfId="22852" xr:uid="{00000000-0005-0000-0000-000021590000}"/>
    <cellStyle name="Normal 2 2 4 2 2 20 3" xfId="22853" xr:uid="{00000000-0005-0000-0000-000022590000}"/>
    <cellStyle name="Normal 2 2 4 2 2 20 3 10" xfId="22854" xr:uid="{00000000-0005-0000-0000-000023590000}"/>
    <cellStyle name="Normal 2 2 4 2 2 20 3 2" xfId="22855" xr:uid="{00000000-0005-0000-0000-000024590000}"/>
    <cellStyle name="Normal 2 2 4 2 2 20 3 3" xfId="22856" xr:uid="{00000000-0005-0000-0000-000025590000}"/>
    <cellStyle name="Normal 2 2 4 2 2 20 3 4" xfId="22857" xr:uid="{00000000-0005-0000-0000-000026590000}"/>
    <cellStyle name="Normal 2 2 4 2 2 20 3 5" xfId="22858" xr:uid="{00000000-0005-0000-0000-000027590000}"/>
    <cellStyle name="Normal 2 2 4 2 2 20 3 6" xfId="22859" xr:uid="{00000000-0005-0000-0000-000028590000}"/>
    <cellStyle name="Normal 2 2 4 2 2 20 3 7" xfId="22860" xr:uid="{00000000-0005-0000-0000-000029590000}"/>
    <cellStyle name="Normal 2 2 4 2 2 20 3 8" xfId="22861" xr:uid="{00000000-0005-0000-0000-00002A590000}"/>
    <cellStyle name="Normal 2 2 4 2 2 20 3 9" xfId="22862" xr:uid="{00000000-0005-0000-0000-00002B590000}"/>
    <cellStyle name="Normal 2 2 4 2 2 20 4" xfId="22863" xr:uid="{00000000-0005-0000-0000-00002C590000}"/>
    <cellStyle name="Normal 2 2 4 2 2 20 4 10" xfId="22864" xr:uid="{00000000-0005-0000-0000-00002D590000}"/>
    <cellStyle name="Normal 2 2 4 2 2 20 4 2" xfId="22865" xr:uid="{00000000-0005-0000-0000-00002E590000}"/>
    <cellStyle name="Normal 2 2 4 2 2 20 4 3" xfId="22866" xr:uid="{00000000-0005-0000-0000-00002F590000}"/>
    <cellStyle name="Normal 2 2 4 2 2 20 4 4" xfId="22867" xr:uid="{00000000-0005-0000-0000-000030590000}"/>
    <cellStyle name="Normal 2 2 4 2 2 20 4 5" xfId="22868" xr:uid="{00000000-0005-0000-0000-000031590000}"/>
    <cellStyle name="Normal 2 2 4 2 2 20 4 6" xfId="22869" xr:uid="{00000000-0005-0000-0000-000032590000}"/>
    <cellStyle name="Normal 2 2 4 2 2 20 4 7" xfId="22870" xr:uid="{00000000-0005-0000-0000-000033590000}"/>
    <cellStyle name="Normal 2 2 4 2 2 20 4 8" xfId="22871" xr:uid="{00000000-0005-0000-0000-000034590000}"/>
    <cellStyle name="Normal 2 2 4 2 2 20 4 9" xfId="22872" xr:uid="{00000000-0005-0000-0000-000035590000}"/>
    <cellStyle name="Normal 2 2 4 2 2 20 5" xfId="22873" xr:uid="{00000000-0005-0000-0000-000036590000}"/>
    <cellStyle name="Normal 2 2 4 2 2 20 5 10" xfId="22874" xr:uid="{00000000-0005-0000-0000-000037590000}"/>
    <cellStyle name="Normal 2 2 4 2 2 20 5 2" xfId="22875" xr:uid="{00000000-0005-0000-0000-000038590000}"/>
    <cellStyle name="Normal 2 2 4 2 2 20 5 3" xfId="22876" xr:uid="{00000000-0005-0000-0000-000039590000}"/>
    <cellStyle name="Normal 2 2 4 2 2 20 5 4" xfId="22877" xr:uid="{00000000-0005-0000-0000-00003A590000}"/>
    <cellStyle name="Normal 2 2 4 2 2 20 5 5" xfId="22878" xr:uid="{00000000-0005-0000-0000-00003B590000}"/>
    <cellStyle name="Normal 2 2 4 2 2 20 5 6" xfId="22879" xr:uid="{00000000-0005-0000-0000-00003C590000}"/>
    <cellStyle name="Normal 2 2 4 2 2 20 5 7" xfId="22880" xr:uid="{00000000-0005-0000-0000-00003D590000}"/>
    <cellStyle name="Normal 2 2 4 2 2 20 5 8" xfId="22881" xr:uid="{00000000-0005-0000-0000-00003E590000}"/>
    <cellStyle name="Normal 2 2 4 2 2 20 5 9" xfId="22882" xr:uid="{00000000-0005-0000-0000-00003F590000}"/>
    <cellStyle name="Normal 2 2 4 2 2 20 6" xfId="22883" xr:uid="{00000000-0005-0000-0000-000040590000}"/>
    <cellStyle name="Normal 2 2 4 2 2 20 7" xfId="22884" xr:uid="{00000000-0005-0000-0000-000041590000}"/>
    <cellStyle name="Normal 2 2 4 2 2 20 8" xfId="22885" xr:uid="{00000000-0005-0000-0000-000042590000}"/>
    <cellStyle name="Normal 2 2 4 2 2 20 9" xfId="22886" xr:uid="{00000000-0005-0000-0000-000043590000}"/>
    <cellStyle name="Normal 2 2 4 2 2 3" xfId="22887" xr:uid="{00000000-0005-0000-0000-000044590000}"/>
    <cellStyle name="Normal 2 2 4 2 2 3 10" xfId="22888" xr:uid="{00000000-0005-0000-0000-000045590000}"/>
    <cellStyle name="Normal 2 2 4 2 2 3 11" xfId="22889" xr:uid="{00000000-0005-0000-0000-000046590000}"/>
    <cellStyle name="Normal 2 2 4 2 2 3 12" xfId="22890" xr:uid="{00000000-0005-0000-0000-000047590000}"/>
    <cellStyle name="Normal 2 2 4 2 2 3 13" xfId="22891" xr:uid="{00000000-0005-0000-0000-000048590000}"/>
    <cellStyle name="Normal 2 2 4 2 2 3 14" xfId="22892" xr:uid="{00000000-0005-0000-0000-000049590000}"/>
    <cellStyle name="Normal 2 2 4 2 2 3 2" xfId="22893" xr:uid="{00000000-0005-0000-0000-00004A590000}"/>
    <cellStyle name="Normal 2 2 4 2 2 3 2 10" xfId="22894" xr:uid="{00000000-0005-0000-0000-00004B590000}"/>
    <cellStyle name="Normal 2 2 4 2 2 3 2 2" xfId="22895" xr:uid="{00000000-0005-0000-0000-00004C590000}"/>
    <cellStyle name="Normal 2 2 4 2 2 3 2 3" xfId="22896" xr:uid="{00000000-0005-0000-0000-00004D590000}"/>
    <cellStyle name="Normal 2 2 4 2 2 3 2 4" xfId="22897" xr:uid="{00000000-0005-0000-0000-00004E590000}"/>
    <cellStyle name="Normal 2 2 4 2 2 3 2 5" xfId="22898" xr:uid="{00000000-0005-0000-0000-00004F590000}"/>
    <cellStyle name="Normal 2 2 4 2 2 3 2 6" xfId="22899" xr:uid="{00000000-0005-0000-0000-000050590000}"/>
    <cellStyle name="Normal 2 2 4 2 2 3 2 7" xfId="22900" xr:uid="{00000000-0005-0000-0000-000051590000}"/>
    <cellStyle name="Normal 2 2 4 2 2 3 2 8" xfId="22901" xr:uid="{00000000-0005-0000-0000-000052590000}"/>
    <cellStyle name="Normal 2 2 4 2 2 3 2 9" xfId="22902" xr:uid="{00000000-0005-0000-0000-000053590000}"/>
    <cellStyle name="Normal 2 2 4 2 2 3 3" xfId="22903" xr:uid="{00000000-0005-0000-0000-000054590000}"/>
    <cellStyle name="Normal 2 2 4 2 2 3 3 10" xfId="22904" xr:uid="{00000000-0005-0000-0000-000055590000}"/>
    <cellStyle name="Normal 2 2 4 2 2 3 3 2" xfId="22905" xr:uid="{00000000-0005-0000-0000-000056590000}"/>
    <cellStyle name="Normal 2 2 4 2 2 3 3 3" xfId="22906" xr:uid="{00000000-0005-0000-0000-000057590000}"/>
    <cellStyle name="Normal 2 2 4 2 2 3 3 4" xfId="22907" xr:uid="{00000000-0005-0000-0000-000058590000}"/>
    <cellStyle name="Normal 2 2 4 2 2 3 3 5" xfId="22908" xr:uid="{00000000-0005-0000-0000-000059590000}"/>
    <cellStyle name="Normal 2 2 4 2 2 3 3 6" xfId="22909" xr:uid="{00000000-0005-0000-0000-00005A590000}"/>
    <cellStyle name="Normal 2 2 4 2 2 3 3 7" xfId="22910" xr:uid="{00000000-0005-0000-0000-00005B590000}"/>
    <cellStyle name="Normal 2 2 4 2 2 3 3 8" xfId="22911" xr:uid="{00000000-0005-0000-0000-00005C590000}"/>
    <cellStyle name="Normal 2 2 4 2 2 3 3 9" xfId="22912" xr:uid="{00000000-0005-0000-0000-00005D590000}"/>
    <cellStyle name="Normal 2 2 4 2 2 3 4" xfId="22913" xr:uid="{00000000-0005-0000-0000-00005E590000}"/>
    <cellStyle name="Normal 2 2 4 2 2 3 4 10" xfId="22914" xr:uid="{00000000-0005-0000-0000-00005F590000}"/>
    <cellStyle name="Normal 2 2 4 2 2 3 4 2" xfId="22915" xr:uid="{00000000-0005-0000-0000-000060590000}"/>
    <cellStyle name="Normal 2 2 4 2 2 3 4 3" xfId="22916" xr:uid="{00000000-0005-0000-0000-000061590000}"/>
    <cellStyle name="Normal 2 2 4 2 2 3 4 4" xfId="22917" xr:uid="{00000000-0005-0000-0000-000062590000}"/>
    <cellStyle name="Normal 2 2 4 2 2 3 4 5" xfId="22918" xr:uid="{00000000-0005-0000-0000-000063590000}"/>
    <cellStyle name="Normal 2 2 4 2 2 3 4 6" xfId="22919" xr:uid="{00000000-0005-0000-0000-000064590000}"/>
    <cellStyle name="Normal 2 2 4 2 2 3 4 7" xfId="22920" xr:uid="{00000000-0005-0000-0000-000065590000}"/>
    <cellStyle name="Normal 2 2 4 2 2 3 4 8" xfId="22921" xr:uid="{00000000-0005-0000-0000-000066590000}"/>
    <cellStyle name="Normal 2 2 4 2 2 3 4 9" xfId="22922" xr:uid="{00000000-0005-0000-0000-000067590000}"/>
    <cellStyle name="Normal 2 2 4 2 2 3 5" xfId="22923" xr:uid="{00000000-0005-0000-0000-000068590000}"/>
    <cellStyle name="Normal 2 2 4 2 2 3 5 10" xfId="22924" xr:uid="{00000000-0005-0000-0000-000069590000}"/>
    <cellStyle name="Normal 2 2 4 2 2 3 5 2" xfId="22925" xr:uid="{00000000-0005-0000-0000-00006A590000}"/>
    <cellStyle name="Normal 2 2 4 2 2 3 5 3" xfId="22926" xr:uid="{00000000-0005-0000-0000-00006B590000}"/>
    <cellStyle name="Normal 2 2 4 2 2 3 5 4" xfId="22927" xr:uid="{00000000-0005-0000-0000-00006C590000}"/>
    <cellStyle name="Normal 2 2 4 2 2 3 5 5" xfId="22928" xr:uid="{00000000-0005-0000-0000-00006D590000}"/>
    <cellStyle name="Normal 2 2 4 2 2 3 5 6" xfId="22929" xr:uid="{00000000-0005-0000-0000-00006E590000}"/>
    <cellStyle name="Normal 2 2 4 2 2 3 5 7" xfId="22930" xr:uid="{00000000-0005-0000-0000-00006F590000}"/>
    <cellStyle name="Normal 2 2 4 2 2 3 5 8" xfId="22931" xr:uid="{00000000-0005-0000-0000-000070590000}"/>
    <cellStyle name="Normal 2 2 4 2 2 3 5 9" xfId="22932" xr:uid="{00000000-0005-0000-0000-000071590000}"/>
    <cellStyle name="Normal 2 2 4 2 2 3 6" xfId="22933" xr:uid="{00000000-0005-0000-0000-000072590000}"/>
    <cellStyle name="Normal 2 2 4 2 2 3 7" xfId="22934" xr:uid="{00000000-0005-0000-0000-000073590000}"/>
    <cellStyle name="Normal 2 2 4 2 2 3 8" xfId="22935" xr:uid="{00000000-0005-0000-0000-000074590000}"/>
    <cellStyle name="Normal 2 2 4 2 2 3 9" xfId="22936" xr:uid="{00000000-0005-0000-0000-000075590000}"/>
    <cellStyle name="Normal 2 2 4 2 2 4" xfId="22937" xr:uid="{00000000-0005-0000-0000-000076590000}"/>
    <cellStyle name="Normal 2 2 4 2 2 4 10" xfId="22938" xr:uid="{00000000-0005-0000-0000-000077590000}"/>
    <cellStyle name="Normal 2 2 4 2 2 4 11" xfId="22939" xr:uid="{00000000-0005-0000-0000-000078590000}"/>
    <cellStyle name="Normal 2 2 4 2 2 4 12" xfId="22940" xr:uid="{00000000-0005-0000-0000-000079590000}"/>
    <cellStyle name="Normal 2 2 4 2 2 4 13" xfId="22941" xr:uid="{00000000-0005-0000-0000-00007A590000}"/>
    <cellStyle name="Normal 2 2 4 2 2 4 14" xfId="22942" xr:uid="{00000000-0005-0000-0000-00007B590000}"/>
    <cellStyle name="Normal 2 2 4 2 2 4 2" xfId="22943" xr:uid="{00000000-0005-0000-0000-00007C590000}"/>
    <cellStyle name="Normal 2 2 4 2 2 4 2 10" xfId="22944" xr:uid="{00000000-0005-0000-0000-00007D590000}"/>
    <cellStyle name="Normal 2 2 4 2 2 4 2 2" xfId="22945" xr:uid="{00000000-0005-0000-0000-00007E590000}"/>
    <cellStyle name="Normal 2 2 4 2 2 4 2 3" xfId="22946" xr:uid="{00000000-0005-0000-0000-00007F590000}"/>
    <cellStyle name="Normal 2 2 4 2 2 4 2 4" xfId="22947" xr:uid="{00000000-0005-0000-0000-000080590000}"/>
    <cellStyle name="Normal 2 2 4 2 2 4 2 5" xfId="22948" xr:uid="{00000000-0005-0000-0000-000081590000}"/>
    <cellStyle name="Normal 2 2 4 2 2 4 2 6" xfId="22949" xr:uid="{00000000-0005-0000-0000-000082590000}"/>
    <cellStyle name="Normal 2 2 4 2 2 4 2 7" xfId="22950" xr:uid="{00000000-0005-0000-0000-000083590000}"/>
    <cellStyle name="Normal 2 2 4 2 2 4 2 8" xfId="22951" xr:uid="{00000000-0005-0000-0000-000084590000}"/>
    <cellStyle name="Normal 2 2 4 2 2 4 2 9" xfId="22952" xr:uid="{00000000-0005-0000-0000-000085590000}"/>
    <cellStyle name="Normal 2 2 4 2 2 4 3" xfId="22953" xr:uid="{00000000-0005-0000-0000-000086590000}"/>
    <cellStyle name="Normal 2 2 4 2 2 4 3 10" xfId="22954" xr:uid="{00000000-0005-0000-0000-000087590000}"/>
    <cellStyle name="Normal 2 2 4 2 2 4 3 2" xfId="22955" xr:uid="{00000000-0005-0000-0000-000088590000}"/>
    <cellStyle name="Normal 2 2 4 2 2 4 3 3" xfId="22956" xr:uid="{00000000-0005-0000-0000-000089590000}"/>
    <cellStyle name="Normal 2 2 4 2 2 4 3 4" xfId="22957" xr:uid="{00000000-0005-0000-0000-00008A590000}"/>
    <cellStyle name="Normal 2 2 4 2 2 4 3 5" xfId="22958" xr:uid="{00000000-0005-0000-0000-00008B590000}"/>
    <cellStyle name="Normal 2 2 4 2 2 4 3 6" xfId="22959" xr:uid="{00000000-0005-0000-0000-00008C590000}"/>
    <cellStyle name="Normal 2 2 4 2 2 4 3 7" xfId="22960" xr:uid="{00000000-0005-0000-0000-00008D590000}"/>
    <cellStyle name="Normal 2 2 4 2 2 4 3 8" xfId="22961" xr:uid="{00000000-0005-0000-0000-00008E590000}"/>
    <cellStyle name="Normal 2 2 4 2 2 4 3 9" xfId="22962" xr:uid="{00000000-0005-0000-0000-00008F590000}"/>
    <cellStyle name="Normal 2 2 4 2 2 4 4" xfId="22963" xr:uid="{00000000-0005-0000-0000-000090590000}"/>
    <cellStyle name="Normal 2 2 4 2 2 4 4 10" xfId="22964" xr:uid="{00000000-0005-0000-0000-000091590000}"/>
    <cellStyle name="Normal 2 2 4 2 2 4 4 2" xfId="22965" xr:uid="{00000000-0005-0000-0000-000092590000}"/>
    <cellStyle name="Normal 2 2 4 2 2 4 4 3" xfId="22966" xr:uid="{00000000-0005-0000-0000-000093590000}"/>
    <cellStyle name="Normal 2 2 4 2 2 4 4 4" xfId="22967" xr:uid="{00000000-0005-0000-0000-000094590000}"/>
    <cellStyle name="Normal 2 2 4 2 2 4 4 5" xfId="22968" xr:uid="{00000000-0005-0000-0000-000095590000}"/>
    <cellStyle name="Normal 2 2 4 2 2 4 4 6" xfId="22969" xr:uid="{00000000-0005-0000-0000-000096590000}"/>
    <cellStyle name="Normal 2 2 4 2 2 4 4 7" xfId="22970" xr:uid="{00000000-0005-0000-0000-000097590000}"/>
    <cellStyle name="Normal 2 2 4 2 2 4 4 8" xfId="22971" xr:uid="{00000000-0005-0000-0000-000098590000}"/>
    <cellStyle name="Normal 2 2 4 2 2 4 4 9" xfId="22972" xr:uid="{00000000-0005-0000-0000-000099590000}"/>
    <cellStyle name="Normal 2 2 4 2 2 4 5" xfId="22973" xr:uid="{00000000-0005-0000-0000-00009A590000}"/>
    <cellStyle name="Normal 2 2 4 2 2 4 5 10" xfId="22974" xr:uid="{00000000-0005-0000-0000-00009B590000}"/>
    <cellStyle name="Normal 2 2 4 2 2 4 5 2" xfId="22975" xr:uid="{00000000-0005-0000-0000-00009C590000}"/>
    <cellStyle name="Normal 2 2 4 2 2 4 5 3" xfId="22976" xr:uid="{00000000-0005-0000-0000-00009D590000}"/>
    <cellStyle name="Normal 2 2 4 2 2 4 5 4" xfId="22977" xr:uid="{00000000-0005-0000-0000-00009E590000}"/>
    <cellStyle name="Normal 2 2 4 2 2 4 5 5" xfId="22978" xr:uid="{00000000-0005-0000-0000-00009F590000}"/>
    <cellStyle name="Normal 2 2 4 2 2 4 5 6" xfId="22979" xr:uid="{00000000-0005-0000-0000-0000A0590000}"/>
    <cellStyle name="Normal 2 2 4 2 2 4 5 7" xfId="22980" xr:uid="{00000000-0005-0000-0000-0000A1590000}"/>
    <cellStyle name="Normal 2 2 4 2 2 4 5 8" xfId="22981" xr:uid="{00000000-0005-0000-0000-0000A2590000}"/>
    <cellStyle name="Normal 2 2 4 2 2 4 5 9" xfId="22982" xr:uid="{00000000-0005-0000-0000-0000A3590000}"/>
    <cellStyle name="Normal 2 2 4 2 2 4 6" xfId="22983" xr:uid="{00000000-0005-0000-0000-0000A4590000}"/>
    <cellStyle name="Normal 2 2 4 2 2 4 7" xfId="22984" xr:uid="{00000000-0005-0000-0000-0000A5590000}"/>
    <cellStyle name="Normal 2 2 4 2 2 4 8" xfId="22985" xr:uid="{00000000-0005-0000-0000-0000A6590000}"/>
    <cellStyle name="Normal 2 2 4 2 2 4 9" xfId="22986" xr:uid="{00000000-0005-0000-0000-0000A7590000}"/>
    <cellStyle name="Normal 2 2 4 2 2 5" xfId="22987" xr:uid="{00000000-0005-0000-0000-0000A8590000}"/>
    <cellStyle name="Normal 2 2 4 2 2 5 10" xfId="22988" xr:uid="{00000000-0005-0000-0000-0000A9590000}"/>
    <cellStyle name="Normal 2 2 4 2 2 5 11" xfId="22989" xr:uid="{00000000-0005-0000-0000-0000AA590000}"/>
    <cellStyle name="Normal 2 2 4 2 2 5 12" xfId="22990" xr:uid="{00000000-0005-0000-0000-0000AB590000}"/>
    <cellStyle name="Normal 2 2 4 2 2 5 13" xfId="22991" xr:uid="{00000000-0005-0000-0000-0000AC590000}"/>
    <cellStyle name="Normal 2 2 4 2 2 5 14" xfId="22992" xr:uid="{00000000-0005-0000-0000-0000AD590000}"/>
    <cellStyle name="Normal 2 2 4 2 2 5 2" xfId="22993" xr:uid="{00000000-0005-0000-0000-0000AE590000}"/>
    <cellStyle name="Normal 2 2 4 2 2 5 2 10" xfId="22994" xr:uid="{00000000-0005-0000-0000-0000AF590000}"/>
    <cellStyle name="Normal 2 2 4 2 2 5 2 2" xfId="22995" xr:uid="{00000000-0005-0000-0000-0000B0590000}"/>
    <cellStyle name="Normal 2 2 4 2 2 5 2 3" xfId="22996" xr:uid="{00000000-0005-0000-0000-0000B1590000}"/>
    <cellStyle name="Normal 2 2 4 2 2 5 2 4" xfId="22997" xr:uid="{00000000-0005-0000-0000-0000B2590000}"/>
    <cellStyle name="Normal 2 2 4 2 2 5 2 5" xfId="22998" xr:uid="{00000000-0005-0000-0000-0000B3590000}"/>
    <cellStyle name="Normal 2 2 4 2 2 5 2 6" xfId="22999" xr:uid="{00000000-0005-0000-0000-0000B4590000}"/>
    <cellStyle name="Normal 2 2 4 2 2 5 2 7" xfId="23000" xr:uid="{00000000-0005-0000-0000-0000B5590000}"/>
    <cellStyle name="Normal 2 2 4 2 2 5 2 8" xfId="23001" xr:uid="{00000000-0005-0000-0000-0000B6590000}"/>
    <cellStyle name="Normal 2 2 4 2 2 5 2 9" xfId="23002" xr:uid="{00000000-0005-0000-0000-0000B7590000}"/>
    <cellStyle name="Normal 2 2 4 2 2 5 3" xfId="23003" xr:uid="{00000000-0005-0000-0000-0000B8590000}"/>
    <cellStyle name="Normal 2 2 4 2 2 5 3 10" xfId="23004" xr:uid="{00000000-0005-0000-0000-0000B9590000}"/>
    <cellStyle name="Normal 2 2 4 2 2 5 3 2" xfId="23005" xr:uid="{00000000-0005-0000-0000-0000BA590000}"/>
    <cellStyle name="Normal 2 2 4 2 2 5 3 3" xfId="23006" xr:uid="{00000000-0005-0000-0000-0000BB590000}"/>
    <cellStyle name="Normal 2 2 4 2 2 5 3 4" xfId="23007" xr:uid="{00000000-0005-0000-0000-0000BC590000}"/>
    <cellStyle name="Normal 2 2 4 2 2 5 3 5" xfId="23008" xr:uid="{00000000-0005-0000-0000-0000BD590000}"/>
    <cellStyle name="Normal 2 2 4 2 2 5 3 6" xfId="23009" xr:uid="{00000000-0005-0000-0000-0000BE590000}"/>
    <cellStyle name="Normal 2 2 4 2 2 5 3 7" xfId="23010" xr:uid="{00000000-0005-0000-0000-0000BF590000}"/>
    <cellStyle name="Normal 2 2 4 2 2 5 3 8" xfId="23011" xr:uid="{00000000-0005-0000-0000-0000C0590000}"/>
    <cellStyle name="Normal 2 2 4 2 2 5 3 9" xfId="23012" xr:uid="{00000000-0005-0000-0000-0000C1590000}"/>
    <cellStyle name="Normal 2 2 4 2 2 5 4" xfId="23013" xr:uid="{00000000-0005-0000-0000-0000C2590000}"/>
    <cellStyle name="Normal 2 2 4 2 2 5 4 10" xfId="23014" xr:uid="{00000000-0005-0000-0000-0000C3590000}"/>
    <cellStyle name="Normal 2 2 4 2 2 5 4 2" xfId="23015" xr:uid="{00000000-0005-0000-0000-0000C4590000}"/>
    <cellStyle name="Normal 2 2 4 2 2 5 4 3" xfId="23016" xr:uid="{00000000-0005-0000-0000-0000C5590000}"/>
    <cellStyle name="Normal 2 2 4 2 2 5 4 4" xfId="23017" xr:uid="{00000000-0005-0000-0000-0000C6590000}"/>
    <cellStyle name="Normal 2 2 4 2 2 5 4 5" xfId="23018" xr:uid="{00000000-0005-0000-0000-0000C7590000}"/>
    <cellStyle name="Normal 2 2 4 2 2 5 4 6" xfId="23019" xr:uid="{00000000-0005-0000-0000-0000C8590000}"/>
    <cellStyle name="Normal 2 2 4 2 2 5 4 7" xfId="23020" xr:uid="{00000000-0005-0000-0000-0000C9590000}"/>
    <cellStyle name="Normal 2 2 4 2 2 5 4 8" xfId="23021" xr:uid="{00000000-0005-0000-0000-0000CA590000}"/>
    <cellStyle name="Normal 2 2 4 2 2 5 4 9" xfId="23022" xr:uid="{00000000-0005-0000-0000-0000CB590000}"/>
    <cellStyle name="Normal 2 2 4 2 2 5 5" xfId="23023" xr:uid="{00000000-0005-0000-0000-0000CC590000}"/>
    <cellStyle name="Normal 2 2 4 2 2 5 5 10" xfId="23024" xr:uid="{00000000-0005-0000-0000-0000CD590000}"/>
    <cellStyle name="Normal 2 2 4 2 2 5 5 2" xfId="23025" xr:uid="{00000000-0005-0000-0000-0000CE590000}"/>
    <cellStyle name="Normal 2 2 4 2 2 5 5 3" xfId="23026" xr:uid="{00000000-0005-0000-0000-0000CF590000}"/>
    <cellStyle name="Normal 2 2 4 2 2 5 5 4" xfId="23027" xr:uid="{00000000-0005-0000-0000-0000D0590000}"/>
    <cellStyle name="Normal 2 2 4 2 2 5 5 5" xfId="23028" xr:uid="{00000000-0005-0000-0000-0000D1590000}"/>
    <cellStyle name="Normal 2 2 4 2 2 5 5 6" xfId="23029" xr:uid="{00000000-0005-0000-0000-0000D2590000}"/>
    <cellStyle name="Normal 2 2 4 2 2 5 5 7" xfId="23030" xr:uid="{00000000-0005-0000-0000-0000D3590000}"/>
    <cellStyle name="Normal 2 2 4 2 2 5 5 8" xfId="23031" xr:uid="{00000000-0005-0000-0000-0000D4590000}"/>
    <cellStyle name="Normal 2 2 4 2 2 5 5 9" xfId="23032" xr:uid="{00000000-0005-0000-0000-0000D5590000}"/>
    <cellStyle name="Normal 2 2 4 2 2 5 6" xfId="23033" xr:uid="{00000000-0005-0000-0000-0000D6590000}"/>
    <cellStyle name="Normal 2 2 4 2 2 5 7" xfId="23034" xr:uid="{00000000-0005-0000-0000-0000D7590000}"/>
    <cellStyle name="Normal 2 2 4 2 2 5 8" xfId="23035" xr:uid="{00000000-0005-0000-0000-0000D8590000}"/>
    <cellStyle name="Normal 2 2 4 2 2 5 9" xfId="23036" xr:uid="{00000000-0005-0000-0000-0000D9590000}"/>
    <cellStyle name="Normal 2 2 4 2 2 6" xfId="23037" xr:uid="{00000000-0005-0000-0000-0000DA590000}"/>
    <cellStyle name="Normal 2 2 4 2 2 6 10" xfId="23038" xr:uid="{00000000-0005-0000-0000-0000DB590000}"/>
    <cellStyle name="Normal 2 2 4 2 2 6 11" xfId="23039" xr:uid="{00000000-0005-0000-0000-0000DC590000}"/>
    <cellStyle name="Normal 2 2 4 2 2 6 12" xfId="23040" xr:uid="{00000000-0005-0000-0000-0000DD590000}"/>
    <cellStyle name="Normal 2 2 4 2 2 6 13" xfId="23041" xr:uid="{00000000-0005-0000-0000-0000DE590000}"/>
    <cellStyle name="Normal 2 2 4 2 2 6 14" xfId="23042" xr:uid="{00000000-0005-0000-0000-0000DF590000}"/>
    <cellStyle name="Normal 2 2 4 2 2 6 2" xfId="23043" xr:uid="{00000000-0005-0000-0000-0000E0590000}"/>
    <cellStyle name="Normal 2 2 4 2 2 6 2 10" xfId="23044" xr:uid="{00000000-0005-0000-0000-0000E1590000}"/>
    <cellStyle name="Normal 2 2 4 2 2 6 2 2" xfId="23045" xr:uid="{00000000-0005-0000-0000-0000E2590000}"/>
    <cellStyle name="Normal 2 2 4 2 2 6 2 3" xfId="23046" xr:uid="{00000000-0005-0000-0000-0000E3590000}"/>
    <cellStyle name="Normal 2 2 4 2 2 6 2 4" xfId="23047" xr:uid="{00000000-0005-0000-0000-0000E4590000}"/>
    <cellStyle name="Normal 2 2 4 2 2 6 2 5" xfId="23048" xr:uid="{00000000-0005-0000-0000-0000E5590000}"/>
    <cellStyle name="Normal 2 2 4 2 2 6 2 6" xfId="23049" xr:uid="{00000000-0005-0000-0000-0000E6590000}"/>
    <cellStyle name="Normal 2 2 4 2 2 6 2 7" xfId="23050" xr:uid="{00000000-0005-0000-0000-0000E7590000}"/>
    <cellStyle name="Normal 2 2 4 2 2 6 2 8" xfId="23051" xr:uid="{00000000-0005-0000-0000-0000E8590000}"/>
    <cellStyle name="Normal 2 2 4 2 2 6 2 9" xfId="23052" xr:uid="{00000000-0005-0000-0000-0000E9590000}"/>
    <cellStyle name="Normal 2 2 4 2 2 6 3" xfId="23053" xr:uid="{00000000-0005-0000-0000-0000EA590000}"/>
    <cellStyle name="Normal 2 2 4 2 2 6 3 10" xfId="23054" xr:uid="{00000000-0005-0000-0000-0000EB590000}"/>
    <cellStyle name="Normal 2 2 4 2 2 6 3 2" xfId="23055" xr:uid="{00000000-0005-0000-0000-0000EC590000}"/>
    <cellStyle name="Normal 2 2 4 2 2 6 3 3" xfId="23056" xr:uid="{00000000-0005-0000-0000-0000ED590000}"/>
    <cellStyle name="Normal 2 2 4 2 2 6 3 4" xfId="23057" xr:uid="{00000000-0005-0000-0000-0000EE590000}"/>
    <cellStyle name="Normal 2 2 4 2 2 6 3 5" xfId="23058" xr:uid="{00000000-0005-0000-0000-0000EF590000}"/>
    <cellStyle name="Normal 2 2 4 2 2 6 3 6" xfId="23059" xr:uid="{00000000-0005-0000-0000-0000F0590000}"/>
    <cellStyle name="Normal 2 2 4 2 2 6 3 7" xfId="23060" xr:uid="{00000000-0005-0000-0000-0000F1590000}"/>
    <cellStyle name="Normal 2 2 4 2 2 6 3 8" xfId="23061" xr:uid="{00000000-0005-0000-0000-0000F2590000}"/>
    <cellStyle name="Normal 2 2 4 2 2 6 3 9" xfId="23062" xr:uid="{00000000-0005-0000-0000-0000F3590000}"/>
    <cellStyle name="Normal 2 2 4 2 2 6 4" xfId="23063" xr:uid="{00000000-0005-0000-0000-0000F4590000}"/>
    <cellStyle name="Normal 2 2 4 2 2 6 4 10" xfId="23064" xr:uid="{00000000-0005-0000-0000-0000F5590000}"/>
    <cellStyle name="Normal 2 2 4 2 2 6 4 2" xfId="23065" xr:uid="{00000000-0005-0000-0000-0000F6590000}"/>
    <cellStyle name="Normal 2 2 4 2 2 6 4 3" xfId="23066" xr:uid="{00000000-0005-0000-0000-0000F7590000}"/>
    <cellStyle name="Normal 2 2 4 2 2 6 4 4" xfId="23067" xr:uid="{00000000-0005-0000-0000-0000F8590000}"/>
    <cellStyle name="Normal 2 2 4 2 2 6 4 5" xfId="23068" xr:uid="{00000000-0005-0000-0000-0000F9590000}"/>
    <cellStyle name="Normal 2 2 4 2 2 6 4 6" xfId="23069" xr:uid="{00000000-0005-0000-0000-0000FA590000}"/>
    <cellStyle name="Normal 2 2 4 2 2 6 4 7" xfId="23070" xr:uid="{00000000-0005-0000-0000-0000FB590000}"/>
    <cellStyle name="Normal 2 2 4 2 2 6 4 8" xfId="23071" xr:uid="{00000000-0005-0000-0000-0000FC590000}"/>
    <cellStyle name="Normal 2 2 4 2 2 6 4 9" xfId="23072" xr:uid="{00000000-0005-0000-0000-0000FD590000}"/>
    <cellStyle name="Normal 2 2 4 2 2 6 5" xfId="23073" xr:uid="{00000000-0005-0000-0000-0000FE590000}"/>
    <cellStyle name="Normal 2 2 4 2 2 6 5 10" xfId="23074" xr:uid="{00000000-0005-0000-0000-0000FF590000}"/>
    <cellStyle name="Normal 2 2 4 2 2 6 5 2" xfId="23075" xr:uid="{00000000-0005-0000-0000-0000005A0000}"/>
    <cellStyle name="Normal 2 2 4 2 2 6 5 3" xfId="23076" xr:uid="{00000000-0005-0000-0000-0000015A0000}"/>
    <cellStyle name="Normal 2 2 4 2 2 6 5 4" xfId="23077" xr:uid="{00000000-0005-0000-0000-0000025A0000}"/>
    <cellStyle name="Normal 2 2 4 2 2 6 5 5" xfId="23078" xr:uid="{00000000-0005-0000-0000-0000035A0000}"/>
    <cellStyle name="Normal 2 2 4 2 2 6 5 6" xfId="23079" xr:uid="{00000000-0005-0000-0000-0000045A0000}"/>
    <cellStyle name="Normal 2 2 4 2 2 6 5 7" xfId="23080" xr:uid="{00000000-0005-0000-0000-0000055A0000}"/>
    <cellStyle name="Normal 2 2 4 2 2 6 5 8" xfId="23081" xr:uid="{00000000-0005-0000-0000-0000065A0000}"/>
    <cellStyle name="Normal 2 2 4 2 2 6 5 9" xfId="23082" xr:uid="{00000000-0005-0000-0000-0000075A0000}"/>
    <cellStyle name="Normal 2 2 4 2 2 6 6" xfId="23083" xr:uid="{00000000-0005-0000-0000-0000085A0000}"/>
    <cellStyle name="Normal 2 2 4 2 2 6 7" xfId="23084" xr:uid="{00000000-0005-0000-0000-0000095A0000}"/>
    <cellStyle name="Normal 2 2 4 2 2 6 8" xfId="23085" xr:uid="{00000000-0005-0000-0000-00000A5A0000}"/>
    <cellStyle name="Normal 2 2 4 2 2 6 9" xfId="23086" xr:uid="{00000000-0005-0000-0000-00000B5A0000}"/>
    <cellStyle name="Normal 2 2 4 2 2 7" xfId="23087" xr:uid="{00000000-0005-0000-0000-00000C5A0000}"/>
    <cellStyle name="Normal 2 2 4 2 2 7 10" xfId="23088" xr:uid="{00000000-0005-0000-0000-00000D5A0000}"/>
    <cellStyle name="Normal 2 2 4 2 2 7 11" xfId="23089" xr:uid="{00000000-0005-0000-0000-00000E5A0000}"/>
    <cellStyle name="Normal 2 2 4 2 2 7 12" xfId="23090" xr:uid="{00000000-0005-0000-0000-00000F5A0000}"/>
    <cellStyle name="Normal 2 2 4 2 2 7 13" xfId="23091" xr:uid="{00000000-0005-0000-0000-0000105A0000}"/>
    <cellStyle name="Normal 2 2 4 2 2 7 14" xfId="23092" xr:uid="{00000000-0005-0000-0000-0000115A0000}"/>
    <cellStyle name="Normal 2 2 4 2 2 7 2" xfId="23093" xr:uid="{00000000-0005-0000-0000-0000125A0000}"/>
    <cellStyle name="Normal 2 2 4 2 2 7 2 10" xfId="23094" xr:uid="{00000000-0005-0000-0000-0000135A0000}"/>
    <cellStyle name="Normal 2 2 4 2 2 7 2 2" xfId="23095" xr:uid="{00000000-0005-0000-0000-0000145A0000}"/>
    <cellStyle name="Normal 2 2 4 2 2 7 2 3" xfId="23096" xr:uid="{00000000-0005-0000-0000-0000155A0000}"/>
    <cellStyle name="Normal 2 2 4 2 2 7 2 4" xfId="23097" xr:uid="{00000000-0005-0000-0000-0000165A0000}"/>
    <cellStyle name="Normal 2 2 4 2 2 7 2 5" xfId="23098" xr:uid="{00000000-0005-0000-0000-0000175A0000}"/>
    <cellStyle name="Normal 2 2 4 2 2 7 2 6" xfId="23099" xr:uid="{00000000-0005-0000-0000-0000185A0000}"/>
    <cellStyle name="Normal 2 2 4 2 2 7 2 7" xfId="23100" xr:uid="{00000000-0005-0000-0000-0000195A0000}"/>
    <cellStyle name="Normal 2 2 4 2 2 7 2 8" xfId="23101" xr:uid="{00000000-0005-0000-0000-00001A5A0000}"/>
    <cellStyle name="Normal 2 2 4 2 2 7 2 9" xfId="23102" xr:uid="{00000000-0005-0000-0000-00001B5A0000}"/>
    <cellStyle name="Normal 2 2 4 2 2 7 3" xfId="23103" xr:uid="{00000000-0005-0000-0000-00001C5A0000}"/>
    <cellStyle name="Normal 2 2 4 2 2 7 3 10" xfId="23104" xr:uid="{00000000-0005-0000-0000-00001D5A0000}"/>
    <cellStyle name="Normal 2 2 4 2 2 7 3 2" xfId="23105" xr:uid="{00000000-0005-0000-0000-00001E5A0000}"/>
    <cellStyle name="Normal 2 2 4 2 2 7 3 3" xfId="23106" xr:uid="{00000000-0005-0000-0000-00001F5A0000}"/>
    <cellStyle name="Normal 2 2 4 2 2 7 3 4" xfId="23107" xr:uid="{00000000-0005-0000-0000-0000205A0000}"/>
    <cellStyle name="Normal 2 2 4 2 2 7 3 5" xfId="23108" xr:uid="{00000000-0005-0000-0000-0000215A0000}"/>
    <cellStyle name="Normal 2 2 4 2 2 7 3 6" xfId="23109" xr:uid="{00000000-0005-0000-0000-0000225A0000}"/>
    <cellStyle name="Normal 2 2 4 2 2 7 3 7" xfId="23110" xr:uid="{00000000-0005-0000-0000-0000235A0000}"/>
    <cellStyle name="Normal 2 2 4 2 2 7 3 8" xfId="23111" xr:uid="{00000000-0005-0000-0000-0000245A0000}"/>
    <cellStyle name="Normal 2 2 4 2 2 7 3 9" xfId="23112" xr:uid="{00000000-0005-0000-0000-0000255A0000}"/>
    <cellStyle name="Normal 2 2 4 2 2 7 4" xfId="23113" xr:uid="{00000000-0005-0000-0000-0000265A0000}"/>
    <cellStyle name="Normal 2 2 4 2 2 7 4 10" xfId="23114" xr:uid="{00000000-0005-0000-0000-0000275A0000}"/>
    <cellStyle name="Normal 2 2 4 2 2 7 4 2" xfId="23115" xr:uid="{00000000-0005-0000-0000-0000285A0000}"/>
    <cellStyle name="Normal 2 2 4 2 2 7 4 3" xfId="23116" xr:uid="{00000000-0005-0000-0000-0000295A0000}"/>
    <cellStyle name="Normal 2 2 4 2 2 7 4 4" xfId="23117" xr:uid="{00000000-0005-0000-0000-00002A5A0000}"/>
    <cellStyle name="Normal 2 2 4 2 2 7 4 5" xfId="23118" xr:uid="{00000000-0005-0000-0000-00002B5A0000}"/>
    <cellStyle name="Normal 2 2 4 2 2 7 4 6" xfId="23119" xr:uid="{00000000-0005-0000-0000-00002C5A0000}"/>
    <cellStyle name="Normal 2 2 4 2 2 7 4 7" xfId="23120" xr:uid="{00000000-0005-0000-0000-00002D5A0000}"/>
    <cellStyle name="Normal 2 2 4 2 2 7 4 8" xfId="23121" xr:uid="{00000000-0005-0000-0000-00002E5A0000}"/>
    <cellStyle name="Normal 2 2 4 2 2 7 4 9" xfId="23122" xr:uid="{00000000-0005-0000-0000-00002F5A0000}"/>
    <cellStyle name="Normal 2 2 4 2 2 7 5" xfId="23123" xr:uid="{00000000-0005-0000-0000-0000305A0000}"/>
    <cellStyle name="Normal 2 2 4 2 2 7 5 10" xfId="23124" xr:uid="{00000000-0005-0000-0000-0000315A0000}"/>
    <cellStyle name="Normal 2 2 4 2 2 7 5 2" xfId="23125" xr:uid="{00000000-0005-0000-0000-0000325A0000}"/>
    <cellStyle name="Normal 2 2 4 2 2 7 5 3" xfId="23126" xr:uid="{00000000-0005-0000-0000-0000335A0000}"/>
    <cellStyle name="Normal 2 2 4 2 2 7 5 4" xfId="23127" xr:uid="{00000000-0005-0000-0000-0000345A0000}"/>
    <cellStyle name="Normal 2 2 4 2 2 7 5 5" xfId="23128" xr:uid="{00000000-0005-0000-0000-0000355A0000}"/>
    <cellStyle name="Normal 2 2 4 2 2 7 5 6" xfId="23129" xr:uid="{00000000-0005-0000-0000-0000365A0000}"/>
    <cellStyle name="Normal 2 2 4 2 2 7 5 7" xfId="23130" xr:uid="{00000000-0005-0000-0000-0000375A0000}"/>
    <cellStyle name="Normal 2 2 4 2 2 7 5 8" xfId="23131" xr:uid="{00000000-0005-0000-0000-0000385A0000}"/>
    <cellStyle name="Normal 2 2 4 2 2 7 5 9" xfId="23132" xr:uid="{00000000-0005-0000-0000-0000395A0000}"/>
    <cellStyle name="Normal 2 2 4 2 2 7 6" xfId="23133" xr:uid="{00000000-0005-0000-0000-00003A5A0000}"/>
    <cellStyle name="Normal 2 2 4 2 2 7 7" xfId="23134" xr:uid="{00000000-0005-0000-0000-00003B5A0000}"/>
    <cellStyle name="Normal 2 2 4 2 2 7 8" xfId="23135" xr:uid="{00000000-0005-0000-0000-00003C5A0000}"/>
    <cellStyle name="Normal 2 2 4 2 2 7 9" xfId="23136" xr:uid="{00000000-0005-0000-0000-00003D5A0000}"/>
    <cellStyle name="Normal 2 2 4 2 2 8" xfId="23137" xr:uid="{00000000-0005-0000-0000-00003E5A0000}"/>
    <cellStyle name="Normal 2 2 4 2 2 8 10" xfId="23138" xr:uid="{00000000-0005-0000-0000-00003F5A0000}"/>
    <cellStyle name="Normal 2 2 4 2 2 8 11" xfId="23139" xr:uid="{00000000-0005-0000-0000-0000405A0000}"/>
    <cellStyle name="Normal 2 2 4 2 2 8 12" xfId="23140" xr:uid="{00000000-0005-0000-0000-0000415A0000}"/>
    <cellStyle name="Normal 2 2 4 2 2 8 13" xfId="23141" xr:uid="{00000000-0005-0000-0000-0000425A0000}"/>
    <cellStyle name="Normal 2 2 4 2 2 8 14" xfId="23142" xr:uid="{00000000-0005-0000-0000-0000435A0000}"/>
    <cellStyle name="Normal 2 2 4 2 2 8 2" xfId="23143" xr:uid="{00000000-0005-0000-0000-0000445A0000}"/>
    <cellStyle name="Normal 2 2 4 2 2 8 2 10" xfId="23144" xr:uid="{00000000-0005-0000-0000-0000455A0000}"/>
    <cellStyle name="Normal 2 2 4 2 2 8 2 2" xfId="23145" xr:uid="{00000000-0005-0000-0000-0000465A0000}"/>
    <cellStyle name="Normal 2 2 4 2 2 8 2 3" xfId="23146" xr:uid="{00000000-0005-0000-0000-0000475A0000}"/>
    <cellStyle name="Normal 2 2 4 2 2 8 2 4" xfId="23147" xr:uid="{00000000-0005-0000-0000-0000485A0000}"/>
    <cellStyle name="Normal 2 2 4 2 2 8 2 5" xfId="23148" xr:uid="{00000000-0005-0000-0000-0000495A0000}"/>
    <cellStyle name="Normal 2 2 4 2 2 8 2 6" xfId="23149" xr:uid="{00000000-0005-0000-0000-00004A5A0000}"/>
    <cellStyle name="Normal 2 2 4 2 2 8 2 7" xfId="23150" xr:uid="{00000000-0005-0000-0000-00004B5A0000}"/>
    <cellStyle name="Normal 2 2 4 2 2 8 2 8" xfId="23151" xr:uid="{00000000-0005-0000-0000-00004C5A0000}"/>
    <cellStyle name="Normal 2 2 4 2 2 8 2 9" xfId="23152" xr:uid="{00000000-0005-0000-0000-00004D5A0000}"/>
    <cellStyle name="Normal 2 2 4 2 2 8 3" xfId="23153" xr:uid="{00000000-0005-0000-0000-00004E5A0000}"/>
    <cellStyle name="Normal 2 2 4 2 2 8 3 10" xfId="23154" xr:uid="{00000000-0005-0000-0000-00004F5A0000}"/>
    <cellStyle name="Normal 2 2 4 2 2 8 3 2" xfId="23155" xr:uid="{00000000-0005-0000-0000-0000505A0000}"/>
    <cellStyle name="Normal 2 2 4 2 2 8 3 3" xfId="23156" xr:uid="{00000000-0005-0000-0000-0000515A0000}"/>
    <cellStyle name="Normal 2 2 4 2 2 8 3 4" xfId="23157" xr:uid="{00000000-0005-0000-0000-0000525A0000}"/>
    <cellStyle name="Normal 2 2 4 2 2 8 3 5" xfId="23158" xr:uid="{00000000-0005-0000-0000-0000535A0000}"/>
    <cellStyle name="Normal 2 2 4 2 2 8 3 6" xfId="23159" xr:uid="{00000000-0005-0000-0000-0000545A0000}"/>
    <cellStyle name="Normal 2 2 4 2 2 8 3 7" xfId="23160" xr:uid="{00000000-0005-0000-0000-0000555A0000}"/>
    <cellStyle name="Normal 2 2 4 2 2 8 3 8" xfId="23161" xr:uid="{00000000-0005-0000-0000-0000565A0000}"/>
    <cellStyle name="Normal 2 2 4 2 2 8 3 9" xfId="23162" xr:uid="{00000000-0005-0000-0000-0000575A0000}"/>
    <cellStyle name="Normal 2 2 4 2 2 8 4" xfId="23163" xr:uid="{00000000-0005-0000-0000-0000585A0000}"/>
    <cellStyle name="Normal 2 2 4 2 2 8 4 10" xfId="23164" xr:uid="{00000000-0005-0000-0000-0000595A0000}"/>
    <cellStyle name="Normal 2 2 4 2 2 8 4 2" xfId="23165" xr:uid="{00000000-0005-0000-0000-00005A5A0000}"/>
    <cellStyle name="Normal 2 2 4 2 2 8 4 3" xfId="23166" xr:uid="{00000000-0005-0000-0000-00005B5A0000}"/>
    <cellStyle name="Normal 2 2 4 2 2 8 4 4" xfId="23167" xr:uid="{00000000-0005-0000-0000-00005C5A0000}"/>
    <cellStyle name="Normal 2 2 4 2 2 8 4 5" xfId="23168" xr:uid="{00000000-0005-0000-0000-00005D5A0000}"/>
    <cellStyle name="Normal 2 2 4 2 2 8 4 6" xfId="23169" xr:uid="{00000000-0005-0000-0000-00005E5A0000}"/>
    <cellStyle name="Normal 2 2 4 2 2 8 4 7" xfId="23170" xr:uid="{00000000-0005-0000-0000-00005F5A0000}"/>
    <cellStyle name="Normal 2 2 4 2 2 8 4 8" xfId="23171" xr:uid="{00000000-0005-0000-0000-0000605A0000}"/>
    <cellStyle name="Normal 2 2 4 2 2 8 4 9" xfId="23172" xr:uid="{00000000-0005-0000-0000-0000615A0000}"/>
    <cellStyle name="Normal 2 2 4 2 2 8 5" xfId="23173" xr:uid="{00000000-0005-0000-0000-0000625A0000}"/>
    <cellStyle name="Normal 2 2 4 2 2 8 5 10" xfId="23174" xr:uid="{00000000-0005-0000-0000-0000635A0000}"/>
    <cellStyle name="Normal 2 2 4 2 2 8 5 2" xfId="23175" xr:uid="{00000000-0005-0000-0000-0000645A0000}"/>
    <cellStyle name="Normal 2 2 4 2 2 8 5 3" xfId="23176" xr:uid="{00000000-0005-0000-0000-0000655A0000}"/>
    <cellStyle name="Normal 2 2 4 2 2 8 5 4" xfId="23177" xr:uid="{00000000-0005-0000-0000-0000665A0000}"/>
    <cellStyle name="Normal 2 2 4 2 2 8 5 5" xfId="23178" xr:uid="{00000000-0005-0000-0000-0000675A0000}"/>
    <cellStyle name="Normal 2 2 4 2 2 8 5 6" xfId="23179" xr:uid="{00000000-0005-0000-0000-0000685A0000}"/>
    <cellStyle name="Normal 2 2 4 2 2 8 5 7" xfId="23180" xr:uid="{00000000-0005-0000-0000-0000695A0000}"/>
    <cellStyle name="Normal 2 2 4 2 2 8 5 8" xfId="23181" xr:uid="{00000000-0005-0000-0000-00006A5A0000}"/>
    <cellStyle name="Normal 2 2 4 2 2 8 5 9" xfId="23182" xr:uid="{00000000-0005-0000-0000-00006B5A0000}"/>
    <cellStyle name="Normal 2 2 4 2 2 8 6" xfId="23183" xr:uid="{00000000-0005-0000-0000-00006C5A0000}"/>
    <cellStyle name="Normal 2 2 4 2 2 8 7" xfId="23184" xr:uid="{00000000-0005-0000-0000-00006D5A0000}"/>
    <cellStyle name="Normal 2 2 4 2 2 8 8" xfId="23185" xr:uid="{00000000-0005-0000-0000-00006E5A0000}"/>
    <cellStyle name="Normal 2 2 4 2 2 8 9" xfId="23186" xr:uid="{00000000-0005-0000-0000-00006F5A0000}"/>
    <cellStyle name="Normal 2 2 4 2 2 9" xfId="23187" xr:uid="{00000000-0005-0000-0000-0000705A0000}"/>
    <cellStyle name="Normal 2 2 4 2 2 9 10" xfId="23188" xr:uid="{00000000-0005-0000-0000-0000715A0000}"/>
    <cellStyle name="Normal 2 2 4 2 2 9 11" xfId="23189" xr:uid="{00000000-0005-0000-0000-0000725A0000}"/>
    <cellStyle name="Normal 2 2 4 2 2 9 12" xfId="23190" xr:uid="{00000000-0005-0000-0000-0000735A0000}"/>
    <cellStyle name="Normal 2 2 4 2 2 9 13" xfId="23191" xr:uid="{00000000-0005-0000-0000-0000745A0000}"/>
    <cellStyle name="Normal 2 2 4 2 2 9 14" xfId="23192" xr:uid="{00000000-0005-0000-0000-0000755A0000}"/>
    <cellStyle name="Normal 2 2 4 2 2 9 2" xfId="23193" xr:uid="{00000000-0005-0000-0000-0000765A0000}"/>
    <cellStyle name="Normal 2 2 4 2 2 9 2 10" xfId="23194" xr:uid="{00000000-0005-0000-0000-0000775A0000}"/>
    <cellStyle name="Normal 2 2 4 2 2 9 2 2" xfId="23195" xr:uid="{00000000-0005-0000-0000-0000785A0000}"/>
    <cellStyle name="Normal 2 2 4 2 2 9 2 3" xfId="23196" xr:uid="{00000000-0005-0000-0000-0000795A0000}"/>
    <cellStyle name="Normal 2 2 4 2 2 9 2 4" xfId="23197" xr:uid="{00000000-0005-0000-0000-00007A5A0000}"/>
    <cellStyle name="Normal 2 2 4 2 2 9 2 5" xfId="23198" xr:uid="{00000000-0005-0000-0000-00007B5A0000}"/>
    <cellStyle name="Normal 2 2 4 2 2 9 2 6" xfId="23199" xr:uid="{00000000-0005-0000-0000-00007C5A0000}"/>
    <cellStyle name="Normal 2 2 4 2 2 9 2 7" xfId="23200" xr:uid="{00000000-0005-0000-0000-00007D5A0000}"/>
    <cellStyle name="Normal 2 2 4 2 2 9 2 8" xfId="23201" xr:uid="{00000000-0005-0000-0000-00007E5A0000}"/>
    <cellStyle name="Normal 2 2 4 2 2 9 2 9" xfId="23202" xr:uid="{00000000-0005-0000-0000-00007F5A0000}"/>
    <cellStyle name="Normal 2 2 4 2 2 9 3" xfId="23203" xr:uid="{00000000-0005-0000-0000-0000805A0000}"/>
    <cellStyle name="Normal 2 2 4 2 2 9 3 10" xfId="23204" xr:uid="{00000000-0005-0000-0000-0000815A0000}"/>
    <cellStyle name="Normal 2 2 4 2 2 9 3 2" xfId="23205" xr:uid="{00000000-0005-0000-0000-0000825A0000}"/>
    <cellStyle name="Normal 2 2 4 2 2 9 3 3" xfId="23206" xr:uid="{00000000-0005-0000-0000-0000835A0000}"/>
    <cellStyle name="Normal 2 2 4 2 2 9 3 4" xfId="23207" xr:uid="{00000000-0005-0000-0000-0000845A0000}"/>
    <cellStyle name="Normal 2 2 4 2 2 9 3 5" xfId="23208" xr:uid="{00000000-0005-0000-0000-0000855A0000}"/>
    <cellStyle name="Normal 2 2 4 2 2 9 3 6" xfId="23209" xr:uid="{00000000-0005-0000-0000-0000865A0000}"/>
    <cellStyle name="Normal 2 2 4 2 2 9 3 7" xfId="23210" xr:uid="{00000000-0005-0000-0000-0000875A0000}"/>
    <cellStyle name="Normal 2 2 4 2 2 9 3 8" xfId="23211" xr:uid="{00000000-0005-0000-0000-0000885A0000}"/>
    <cellStyle name="Normal 2 2 4 2 2 9 3 9" xfId="23212" xr:uid="{00000000-0005-0000-0000-0000895A0000}"/>
    <cellStyle name="Normal 2 2 4 2 2 9 4" xfId="23213" xr:uid="{00000000-0005-0000-0000-00008A5A0000}"/>
    <cellStyle name="Normal 2 2 4 2 2 9 4 10" xfId="23214" xr:uid="{00000000-0005-0000-0000-00008B5A0000}"/>
    <cellStyle name="Normal 2 2 4 2 2 9 4 2" xfId="23215" xr:uid="{00000000-0005-0000-0000-00008C5A0000}"/>
    <cellStyle name="Normal 2 2 4 2 2 9 4 3" xfId="23216" xr:uid="{00000000-0005-0000-0000-00008D5A0000}"/>
    <cellStyle name="Normal 2 2 4 2 2 9 4 4" xfId="23217" xr:uid="{00000000-0005-0000-0000-00008E5A0000}"/>
    <cellStyle name="Normal 2 2 4 2 2 9 4 5" xfId="23218" xr:uid="{00000000-0005-0000-0000-00008F5A0000}"/>
    <cellStyle name="Normal 2 2 4 2 2 9 4 6" xfId="23219" xr:uid="{00000000-0005-0000-0000-0000905A0000}"/>
    <cellStyle name="Normal 2 2 4 2 2 9 4 7" xfId="23220" xr:uid="{00000000-0005-0000-0000-0000915A0000}"/>
    <cellStyle name="Normal 2 2 4 2 2 9 4 8" xfId="23221" xr:uid="{00000000-0005-0000-0000-0000925A0000}"/>
    <cellStyle name="Normal 2 2 4 2 2 9 4 9" xfId="23222" xr:uid="{00000000-0005-0000-0000-0000935A0000}"/>
    <cellStyle name="Normal 2 2 4 2 2 9 5" xfId="23223" xr:uid="{00000000-0005-0000-0000-0000945A0000}"/>
    <cellStyle name="Normal 2 2 4 2 2 9 5 10" xfId="23224" xr:uid="{00000000-0005-0000-0000-0000955A0000}"/>
    <cellStyle name="Normal 2 2 4 2 2 9 5 2" xfId="23225" xr:uid="{00000000-0005-0000-0000-0000965A0000}"/>
    <cellStyle name="Normal 2 2 4 2 2 9 5 3" xfId="23226" xr:uid="{00000000-0005-0000-0000-0000975A0000}"/>
    <cellStyle name="Normal 2 2 4 2 2 9 5 4" xfId="23227" xr:uid="{00000000-0005-0000-0000-0000985A0000}"/>
    <cellStyle name="Normal 2 2 4 2 2 9 5 5" xfId="23228" xr:uid="{00000000-0005-0000-0000-0000995A0000}"/>
    <cellStyle name="Normal 2 2 4 2 2 9 5 6" xfId="23229" xr:uid="{00000000-0005-0000-0000-00009A5A0000}"/>
    <cellStyle name="Normal 2 2 4 2 2 9 5 7" xfId="23230" xr:uid="{00000000-0005-0000-0000-00009B5A0000}"/>
    <cellStyle name="Normal 2 2 4 2 2 9 5 8" xfId="23231" xr:uid="{00000000-0005-0000-0000-00009C5A0000}"/>
    <cellStyle name="Normal 2 2 4 2 2 9 5 9" xfId="23232" xr:uid="{00000000-0005-0000-0000-00009D5A0000}"/>
    <cellStyle name="Normal 2 2 4 2 2 9 6" xfId="23233" xr:uid="{00000000-0005-0000-0000-00009E5A0000}"/>
    <cellStyle name="Normal 2 2 4 2 2 9 7" xfId="23234" xr:uid="{00000000-0005-0000-0000-00009F5A0000}"/>
    <cellStyle name="Normal 2 2 4 2 2 9 8" xfId="23235" xr:uid="{00000000-0005-0000-0000-0000A05A0000}"/>
    <cellStyle name="Normal 2 2 4 2 2 9 9" xfId="23236" xr:uid="{00000000-0005-0000-0000-0000A15A0000}"/>
    <cellStyle name="Normal 2 2 4 2 20" xfId="23237" xr:uid="{00000000-0005-0000-0000-0000A25A0000}"/>
    <cellStyle name="Normal 2 2 4 2 21" xfId="23238" xr:uid="{00000000-0005-0000-0000-0000A35A0000}"/>
    <cellStyle name="Normal 2 2 4 2 21 10" xfId="23239" xr:uid="{00000000-0005-0000-0000-0000A45A0000}"/>
    <cellStyle name="Normal 2 2 4 2 21 2" xfId="23240" xr:uid="{00000000-0005-0000-0000-0000A55A0000}"/>
    <cellStyle name="Normal 2 2 4 2 21 3" xfId="23241" xr:uid="{00000000-0005-0000-0000-0000A65A0000}"/>
    <cellStyle name="Normal 2 2 4 2 21 4" xfId="23242" xr:uid="{00000000-0005-0000-0000-0000A75A0000}"/>
    <cellStyle name="Normal 2 2 4 2 21 5" xfId="23243" xr:uid="{00000000-0005-0000-0000-0000A85A0000}"/>
    <cellStyle name="Normal 2 2 4 2 21 6" xfId="23244" xr:uid="{00000000-0005-0000-0000-0000A95A0000}"/>
    <cellStyle name="Normal 2 2 4 2 21 7" xfId="23245" xr:uid="{00000000-0005-0000-0000-0000AA5A0000}"/>
    <cellStyle name="Normal 2 2 4 2 21 8" xfId="23246" xr:uid="{00000000-0005-0000-0000-0000AB5A0000}"/>
    <cellStyle name="Normal 2 2 4 2 21 9" xfId="23247" xr:uid="{00000000-0005-0000-0000-0000AC5A0000}"/>
    <cellStyle name="Normal 2 2 4 2 22" xfId="23248" xr:uid="{00000000-0005-0000-0000-0000AD5A0000}"/>
    <cellStyle name="Normal 2 2 4 2 22 10" xfId="23249" xr:uid="{00000000-0005-0000-0000-0000AE5A0000}"/>
    <cellStyle name="Normal 2 2 4 2 22 2" xfId="23250" xr:uid="{00000000-0005-0000-0000-0000AF5A0000}"/>
    <cellStyle name="Normal 2 2 4 2 22 3" xfId="23251" xr:uid="{00000000-0005-0000-0000-0000B05A0000}"/>
    <cellStyle name="Normal 2 2 4 2 22 4" xfId="23252" xr:uid="{00000000-0005-0000-0000-0000B15A0000}"/>
    <cellStyle name="Normal 2 2 4 2 22 5" xfId="23253" xr:uid="{00000000-0005-0000-0000-0000B25A0000}"/>
    <cellStyle name="Normal 2 2 4 2 22 6" xfId="23254" xr:uid="{00000000-0005-0000-0000-0000B35A0000}"/>
    <cellStyle name="Normal 2 2 4 2 22 7" xfId="23255" xr:uid="{00000000-0005-0000-0000-0000B45A0000}"/>
    <cellStyle name="Normal 2 2 4 2 22 8" xfId="23256" xr:uid="{00000000-0005-0000-0000-0000B55A0000}"/>
    <cellStyle name="Normal 2 2 4 2 22 9" xfId="23257" xr:uid="{00000000-0005-0000-0000-0000B65A0000}"/>
    <cellStyle name="Normal 2 2 4 2 23" xfId="23258" xr:uid="{00000000-0005-0000-0000-0000B75A0000}"/>
    <cellStyle name="Normal 2 2 4 2 23 10" xfId="23259" xr:uid="{00000000-0005-0000-0000-0000B85A0000}"/>
    <cellStyle name="Normal 2 2 4 2 23 2" xfId="23260" xr:uid="{00000000-0005-0000-0000-0000B95A0000}"/>
    <cellStyle name="Normal 2 2 4 2 23 3" xfId="23261" xr:uid="{00000000-0005-0000-0000-0000BA5A0000}"/>
    <cellStyle name="Normal 2 2 4 2 23 4" xfId="23262" xr:uid="{00000000-0005-0000-0000-0000BB5A0000}"/>
    <cellStyle name="Normal 2 2 4 2 23 5" xfId="23263" xr:uid="{00000000-0005-0000-0000-0000BC5A0000}"/>
    <cellStyle name="Normal 2 2 4 2 23 6" xfId="23264" xr:uid="{00000000-0005-0000-0000-0000BD5A0000}"/>
    <cellStyle name="Normal 2 2 4 2 23 7" xfId="23265" xr:uid="{00000000-0005-0000-0000-0000BE5A0000}"/>
    <cellStyle name="Normal 2 2 4 2 23 8" xfId="23266" xr:uid="{00000000-0005-0000-0000-0000BF5A0000}"/>
    <cellStyle name="Normal 2 2 4 2 23 9" xfId="23267" xr:uid="{00000000-0005-0000-0000-0000C05A0000}"/>
    <cellStyle name="Normal 2 2 4 2 24" xfId="23268" xr:uid="{00000000-0005-0000-0000-0000C15A0000}"/>
    <cellStyle name="Normal 2 2 4 2 24 10" xfId="23269" xr:uid="{00000000-0005-0000-0000-0000C25A0000}"/>
    <cellStyle name="Normal 2 2 4 2 24 2" xfId="23270" xr:uid="{00000000-0005-0000-0000-0000C35A0000}"/>
    <cellStyle name="Normal 2 2 4 2 24 3" xfId="23271" xr:uid="{00000000-0005-0000-0000-0000C45A0000}"/>
    <cellStyle name="Normal 2 2 4 2 24 4" xfId="23272" xr:uid="{00000000-0005-0000-0000-0000C55A0000}"/>
    <cellStyle name="Normal 2 2 4 2 24 5" xfId="23273" xr:uid="{00000000-0005-0000-0000-0000C65A0000}"/>
    <cellStyle name="Normal 2 2 4 2 24 6" xfId="23274" xr:uid="{00000000-0005-0000-0000-0000C75A0000}"/>
    <cellStyle name="Normal 2 2 4 2 24 7" xfId="23275" xr:uid="{00000000-0005-0000-0000-0000C85A0000}"/>
    <cellStyle name="Normal 2 2 4 2 24 8" xfId="23276" xr:uid="{00000000-0005-0000-0000-0000C95A0000}"/>
    <cellStyle name="Normal 2 2 4 2 24 9" xfId="23277" xr:uid="{00000000-0005-0000-0000-0000CA5A0000}"/>
    <cellStyle name="Normal 2 2 4 2 25" xfId="23278" xr:uid="{00000000-0005-0000-0000-0000CB5A0000}"/>
    <cellStyle name="Normal 2 2 4 2 26" xfId="23279" xr:uid="{00000000-0005-0000-0000-0000CC5A0000}"/>
    <cellStyle name="Normal 2 2 4 2 27" xfId="23280" xr:uid="{00000000-0005-0000-0000-0000CD5A0000}"/>
    <cellStyle name="Normal 2 2 4 2 28" xfId="23281" xr:uid="{00000000-0005-0000-0000-0000CE5A0000}"/>
    <cellStyle name="Normal 2 2 4 2 29" xfId="23282" xr:uid="{00000000-0005-0000-0000-0000CF5A0000}"/>
    <cellStyle name="Normal 2 2 4 2 3" xfId="23283" xr:uid="{00000000-0005-0000-0000-0000D05A0000}"/>
    <cellStyle name="Normal 2 2 4 2 30" xfId="23284" xr:uid="{00000000-0005-0000-0000-0000D15A0000}"/>
    <cellStyle name="Normal 2 2 4 2 31" xfId="23285" xr:uid="{00000000-0005-0000-0000-0000D25A0000}"/>
    <cellStyle name="Normal 2 2 4 2 32" xfId="23286" xr:uid="{00000000-0005-0000-0000-0000D35A0000}"/>
    <cellStyle name="Normal 2 2 4 2 33" xfId="23287" xr:uid="{00000000-0005-0000-0000-0000D45A0000}"/>
    <cellStyle name="Normal 2 2 4 2 34" xfId="22275" xr:uid="{00000000-0005-0000-0000-0000D55A0000}"/>
    <cellStyle name="Normal 2 2 4 2 4" xfId="23288" xr:uid="{00000000-0005-0000-0000-0000D65A0000}"/>
    <cellStyle name="Normal 2 2 4 2 5" xfId="23289" xr:uid="{00000000-0005-0000-0000-0000D75A0000}"/>
    <cellStyle name="Normal 2 2 4 2 6" xfId="23290" xr:uid="{00000000-0005-0000-0000-0000D85A0000}"/>
    <cellStyle name="Normal 2 2 4 2 7" xfId="23291" xr:uid="{00000000-0005-0000-0000-0000D95A0000}"/>
    <cellStyle name="Normal 2 2 4 2 8" xfId="23292" xr:uid="{00000000-0005-0000-0000-0000DA5A0000}"/>
    <cellStyle name="Normal 2 2 4 2 9" xfId="23293" xr:uid="{00000000-0005-0000-0000-0000DB5A0000}"/>
    <cellStyle name="Normal 2 2 4 20" xfId="23294" xr:uid="{00000000-0005-0000-0000-0000DC5A0000}"/>
    <cellStyle name="Normal 2 2 4 20 10" xfId="23295" xr:uid="{00000000-0005-0000-0000-0000DD5A0000}"/>
    <cellStyle name="Normal 2 2 4 20 11" xfId="23296" xr:uid="{00000000-0005-0000-0000-0000DE5A0000}"/>
    <cellStyle name="Normal 2 2 4 20 12" xfId="23297" xr:uid="{00000000-0005-0000-0000-0000DF5A0000}"/>
    <cellStyle name="Normal 2 2 4 20 13" xfId="23298" xr:uid="{00000000-0005-0000-0000-0000E05A0000}"/>
    <cellStyle name="Normal 2 2 4 20 14" xfId="23299" xr:uid="{00000000-0005-0000-0000-0000E15A0000}"/>
    <cellStyle name="Normal 2 2 4 20 2" xfId="23300" xr:uid="{00000000-0005-0000-0000-0000E25A0000}"/>
    <cellStyle name="Normal 2 2 4 20 2 10" xfId="23301" xr:uid="{00000000-0005-0000-0000-0000E35A0000}"/>
    <cellStyle name="Normal 2 2 4 20 2 2" xfId="23302" xr:uid="{00000000-0005-0000-0000-0000E45A0000}"/>
    <cellStyle name="Normal 2 2 4 20 2 3" xfId="23303" xr:uid="{00000000-0005-0000-0000-0000E55A0000}"/>
    <cellStyle name="Normal 2 2 4 20 2 4" xfId="23304" xr:uid="{00000000-0005-0000-0000-0000E65A0000}"/>
    <cellStyle name="Normal 2 2 4 20 2 5" xfId="23305" xr:uid="{00000000-0005-0000-0000-0000E75A0000}"/>
    <cellStyle name="Normal 2 2 4 20 2 6" xfId="23306" xr:uid="{00000000-0005-0000-0000-0000E85A0000}"/>
    <cellStyle name="Normal 2 2 4 20 2 7" xfId="23307" xr:uid="{00000000-0005-0000-0000-0000E95A0000}"/>
    <cellStyle name="Normal 2 2 4 20 2 8" xfId="23308" xr:uid="{00000000-0005-0000-0000-0000EA5A0000}"/>
    <cellStyle name="Normal 2 2 4 20 2 9" xfId="23309" xr:uid="{00000000-0005-0000-0000-0000EB5A0000}"/>
    <cellStyle name="Normal 2 2 4 20 3" xfId="23310" xr:uid="{00000000-0005-0000-0000-0000EC5A0000}"/>
    <cellStyle name="Normal 2 2 4 20 3 10" xfId="23311" xr:uid="{00000000-0005-0000-0000-0000ED5A0000}"/>
    <cellStyle name="Normal 2 2 4 20 3 2" xfId="23312" xr:uid="{00000000-0005-0000-0000-0000EE5A0000}"/>
    <cellStyle name="Normal 2 2 4 20 3 3" xfId="23313" xr:uid="{00000000-0005-0000-0000-0000EF5A0000}"/>
    <cellStyle name="Normal 2 2 4 20 3 4" xfId="23314" xr:uid="{00000000-0005-0000-0000-0000F05A0000}"/>
    <cellStyle name="Normal 2 2 4 20 3 5" xfId="23315" xr:uid="{00000000-0005-0000-0000-0000F15A0000}"/>
    <cellStyle name="Normal 2 2 4 20 3 6" xfId="23316" xr:uid="{00000000-0005-0000-0000-0000F25A0000}"/>
    <cellStyle name="Normal 2 2 4 20 3 7" xfId="23317" xr:uid="{00000000-0005-0000-0000-0000F35A0000}"/>
    <cellStyle name="Normal 2 2 4 20 3 8" xfId="23318" xr:uid="{00000000-0005-0000-0000-0000F45A0000}"/>
    <cellStyle name="Normal 2 2 4 20 3 9" xfId="23319" xr:uid="{00000000-0005-0000-0000-0000F55A0000}"/>
    <cellStyle name="Normal 2 2 4 20 4" xfId="23320" xr:uid="{00000000-0005-0000-0000-0000F65A0000}"/>
    <cellStyle name="Normal 2 2 4 20 4 10" xfId="23321" xr:uid="{00000000-0005-0000-0000-0000F75A0000}"/>
    <cellStyle name="Normal 2 2 4 20 4 2" xfId="23322" xr:uid="{00000000-0005-0000-0000-0000F85A0000}"/>
    <cellStyle name="Normal 2 2 4 20 4 3" xfId="23323" xr:uid="{00000000-0005-0000-0000-0000F95A0000}"/>
    <cellStyle name="Normal 2 2 4 20 4 4" xfId="23324" xr:uid="{00000000-0005-0000-0000-0000FA5A0000}"/>
    <cellStyle name="Normal 2 2 4 20 4 5" xfId="23325" xr:uid="{00000000-0005-0000-0000-0000FB5A0000}"/>
    <cellStyle name="Normal 2 2 4 20 4 6" xfId="23326" xr:uid="{00000000-0005-0000-0000-0000FC5A0000}"/>
    <cellStyle name="Normal 2 2 4 20 4 7" xfId="23327" xr:uid="{00000000-0005-0000-0000-0000FD5A0000}"/>
    <cellStyle name="Normal 2 2 4 20 4 8" xfId="23328" xr:uid="{00000000-0005-0000-0000-0000FE5A0000}"/>
    <cellStyle name="Normal 2 2 4 20 4 9" xfId="23329" xr:uid="{00000000-0005-0000-0000-0000FF5A0000}"/>
    <cellStyle name="Normal 2 2 4 20 5" xfId="23330" xr:uid="{00000000-0005-0000-0000-0000005B0000}"/>
    <cellStyle name="Normal 2 2 4 20 5 10" xfId="23331" xr:uid="{00000000-0005-0000-0000-0000015B0000}"/>
    <cellStyle name="Normal 2 2 4 20 5 2" xfId="23332" xr:uid="{00000000-0005-0000-0000-0000025B0000}"/>
    <cellStyle name="Normal 2 2 4 20 5 3" xfId="23333" xr:uid="{00000000-0005-0000-0000-0000035B0000}"/>
    <cellStyle name="Normal 2 2 4 20 5 4" xfId="23334" xr:uid="{00000000-0005-0000-0000-0000045B0000}"/>
    <cellStyle name="Normal 2 2 4 20 5 5" xfId="23335" xr:uid="{00000000-0005-0000-0000-0000055B0000}"/>
    <cellStyle name="Normal 2 2 4 20 5 6" xfId="23336" xr:uid="{00000000-0005-0000-0000-0000065B0000}"/>
    <cellStyle name="Normal 2 2 4 20 5 7" xfId="23337" xr:uid="{00000000-0005-0000-0000-0000075B0000}"/>
    <cellStyle name="Normal 2 2 4 20 5 8" xfId="23338" xr:uid="{00000000-0005-0000-0000-0000085B0000}"/>
    <cellStyle name="Normal 2 2 4 20 5 9" xfId="23339" xr:uid="{00000000-0005-0000-0000-0000095B0000}"/>
    <cellStyle name="Normal 2 2 4 20 6" xfId="23340" xr:uid="{00000000-0005-0000-0000-00000A5B0000}"/>
    <cellStyle name="Normal 2 2 4 20 7" xfId="23341" xr:uid="{00000000-0005-0000-0000-00000B5B0000}"/>
    <cellStyle name="Normal 2 2 4 20 8" xfId="23342" xr:uid="{00000000-0005-0000-0000-00000C5B0000}"/>
    <cellStyle name="Normal 2 2 4 20 9" xfId="23343" xr:uid="{00000000-0005-0000-0000-00000D5B0000}"/>
    <cellStyle name="Normal 2 2 4 21" xfId="23344" xr:uid="{00000000-0005-0000-0000-00000E5B0000}"/>
    <cellStyle name="Normal 2 2 4 21 10" xfId="23345" xr:uid="{00000000-0005-0000-0000-00000F5B0000}"/>
    <cellStyle name="Normal 2 2 4 21 11" xfId="23346" xr:uid="{00000000-0005-0000-0000-0000105B0000}"/>
    <cellStyle name="Normal 2 2 4 21 12" xfId="23347" xr:uid="{00000000-0005-0000-0000-0000115B0000}"/>
    <cellStyle name="Normal 2 2 4 21 13" xfId="23348" xr:uid="{00000000-0005-0000-0000-0000125B0000}"/>
    <cellStyle name="Normal 2 2 4 21 14" xfId="23349" xr:uid="{00000000-0005-0000-0000-0000135B0000}"/>
    <cellStyle name="Normal 2 2 4 21 2" xfId="23350" xr:uid="{00000000-0005-0000-0000-0000145B0000}"/>
    <cellStyle name="Normal 2 2 4 21 2 10" xfId="23351" xr:uid="{00000000-0005-0000-0000-0000155B0000}"/>
    <cellStyle name="Normal 2 2 4 21 2 2" xfId="23352" xr:uid="{00000000-0005-0000-0000-0000165B0000}"/>
    <cellStyle name="Normal 2 2 4 21 2 3" xfId="23353" xr:uid="{00000000-0005-0000-0000-0000175B0000}"/>
    <cellStyle name="Normal 2 2 4 21 2 4" xfId="23354" xr:uid="{00000000-0005-0000-0000-0000185B0000}"/>
    <cellStyle name="Normal 2 2 4 21 2 5" xfId="23355" xr:uid="{00000000-0005-0000-0000-0000195B0000}"/>
    <cellStyle name="Normal 2 2 4 21 2 6" xfId="23356" xr:uid="{00000000-0005-0000-0000-00001A5B0000}"/>
    <cellStyle name="Normal 2 2 4 21 2 7" xfId="23357" xr:uid="{00000000-0005-0000-0000-00001B5B0000}"/>
    <cellStyle name="Normal 2 2 4 21 2 8" xfId="23358" xr:uid="{00000000-0005-0000-0000-00001C5B0000}"/>
    <cellStyle name="Normal 2 2 4 21 2 9" xfId="23359" xr:uid="{00000000-0005-0000-0000-00001D5B0000}"/>
    <cellStyle name="Normal 2 2 4 21 3" xfId="23360" xr:uid="{00000000-0005-0000-0000-00001E5B0000}"/>
    <cellStyle name="Normal 2 2 4 21 3 10" xfId="23361" xr:uid="{00000000-0005-0000-0000-00001F5B0000}"/>
    <cellStyle name="Normal 2 2 4 21 3 2" xfId="23362" xr:uid="{00000000-0005-0000-0000-0000205B0000}"/>
    <cellStyle name="Normal 2 2 4 21 3 3" xfId="23363" xr:uid="{00000000-0005-0000-0000-0000215B0000}"/>
    <cellStyle name="Normal 2 2 4 21 3 4" xfId="23364" xr:uid="{00000000-0005-0000-0000-0000225B0000}"/>
    <cellStyle name="Normal 2 2 4 21 3 5" xfId="23365" xr:uid="{00000000-0005-0000-0000-0000235B0000}"/>
    <cellStyle name="Normal 2 2 4 21 3 6" xfId="23366" xr:uid="{00000000-0005-0000-0000-0000245B0000}"/>
    <cellStyle name="Normal 2 2 4 21 3 7" xfId="23367" xr:uid="{00000000-0005-0000-0000-0000255B0000}"/>
    <cellStyle name="Normal 2 2 4 21 3 8" xfId="23368" xr:uid="{00000000-0005-0000-0000-0000265B0000}"/>
    <cellStyle name="Normal 2 2 4 21 3 9" xfId="23369" xr:uid="{00000000-0005-0000-0000-0000275B0000}"/>
    <cellStyle name="Normal 2 2 4 21 4" xfId="23370" xr:uid="{00000000-0005-0000-0000-0000285B0000}"/>
    <cellStyle name="Normal 2 2 4 21 4 10" xfId="23371" xr:uid="{00000000-0005-0000-0000-0000295B0000}"/>
    <cellStyle name="Normal 2 2 4 21 4 2" xfId="23372" xr:uid="{00000000-0005-0000-0000-00002A5B0000}"/>
    <cellStyle name="Normal 2 2 4 21 4 3" xfId="23373" xr:uid="{00000000-0005-0000-0000-00002B5B0000}"/>
    <cellStyle name="Normal 2 2 4 21 4 4" xfId="23374" xr:uid="{00000000-0005-0000-0000-00002C5B0000}"/>
    <cellStyle name="Normal 2 2 4 21 4 5" xfId="23375" xr:uid="{00000000-0005-0000-0000-00002D5B0000}"/>
    <cellStyle name="Normal 2 2 4 21 4 6" xfId="23376" xr:uid="{00000000-0005-0000-0000-00002E5B0000}"/>
    <cellStyle name="Normal 2 2 4 21 4 7" xfId="23377" xr:uid="{00000000-0005-0000-0000-00002F5B0000}"/>
    <cellStyle name="Normal 2 2 4 21 4 8" xfId="23378" xr:uid="{00000000-0005-0000-0000-0000305B0000}"/>
    <cellStyle name="Normal 2 2 4 21 4 9" xfId="23379" xr:uid="{00000000-0005-0000-0000-0000315B0000}"/>
    <cellStyle name="Normal 2 2 4 21 5" xfId="23380" xr:uid="{00000000-0005-0000-0000-0000325B0000}"/>
    <cellStyle name="Normal 2 2 4 21 5 10" xfId="23381" xr:uid="{00000000-0005-0000-0000-0000335B0000}"/>
    <cellStyle name="Normal 2 2 4 21 5 2" xfId="23382" xr:uid="{00000000-0005-0000-0000-0000345B0000}"/>
    <cellStyle name="Normal 2 2 4 21 5 3" xfId="23383" xr:uid="{00000000-0005-0000-0000-0000355B0000}"/>
    <cellStyle name="Normal 2 2 4 21 5 4" xfId="23384" xr:uid="{00000000-0005-0000-0000-0000365B0000}"/>
    <cellStyle name="Normal 2 2 4 21 5 5" xfId="23385" xr:uid="{00000000-0005-0000-0000-0000375B0000}"/>
    <cellStyle name="Normal 2 2 4 21 5 6" xfId="23386" xr:uid="{00000000-0005-0000-0000-0000385B0000}"/>
    <cellStyle name="Normal 2 2 4 21 5 7" xfId="23387" xr:uid="{00000000-0005-0000-0000-0000395B0000}"/>
    <cellStyle name="Normal 2 2 4 21 5 8" xfId="23388" xr:uid="{00000000-0005-0000-0000-00003A5B0000}"/>
    <cellStyle name="Normal 2 2 4 21 5 9" xfId="23389" xr:uid="{00000000-0005-0000-0000-00003B5B0000}"/>
    <cellStyle name="Normal 2 2 4 21 6" xfId="23390" xr:uid="{00000000-0005-0000-0000-00003C5B0000}"/>
    <cellStyle name="Normal 2 2 4 21 7" xfId="23391" xr:uid="{00000000-0005-0000-0000-00003D5B0000}"/>
    <cellStyle name="Normal 2 2 4 21 8" xfId="23392" xr:uid="{00000000-0005-0000-0000-00003E5B0000}"/>
    <cellStyle name="Normal 2 2 4 21 9" xfId="23393" xr:uid="{00000000-0005-0000-0000-00003F5B0000}"/>
    <cellStyle name="Normal 2 2 4 22" xfId="23394" xr:uid="{00000000-0005-0000-0000-0000405B0000}"/>
    <cellStyle name="Normal 2 2 4 22 10" xfId="23395" xr:uid="{00000000-0005-0000-0000-0000415B0000}"/>
    <cellStyle name="Normal 2 2 4 22 11" xfId="23396" xr:uid="{00000000-0005-0000-0000-0000425B0000}"/>
    <cellStyle name="Normal 2 2 4 22 12" xfId="23397" xr:uid="{00000000-0005-0000-0000-0000435B0000}"/>
    <cellStyle name="Normal 2 2 4 22 13" xfId="23398" xr:uid="{00000000-0005-0000-0000-0000445B0000}"/>
    <cellStyle name="Normal 2 2 4 22 14" xfId="23399" xr:uid="{00000000-0005-0000-0000-0000455B0000}"/>
    <cellStyle name="Normal 2 2 4 22 2" xfId="23400" xr:uid="{00000000-0005-0000-0000-0000465B0000}"/>
    <cellStyle name="Normal 2 2 4 22 2 10" xfId="23401" xr:uid="{00000000-0005-0000-0000-0000475B0000}"/>
    <cellStyle name="Normal 2 2 4 22 2 2" xfId="23402" xr:uid="{00000000-0005-0000-0000-0000485B0000}"/>
    <cellStyle name="Normal 2 2 4 22 2 3" xfId="23403" xr:uid="{00000000-0005-0000-0000-0000495B0000}"/>
    <cellStyle name="Normal 2 2 4 22 2 4" xfId="23404" xr:uid="{00000000-0005-0000-0000-00004A5B0000}"/>
    <cellStyle name="Normal 2 2 4 22 2 5" xfId="23405" xr:uid="{00000000-0005-0000-0000-00004B5B0000}"/>
    <cellStyle name="Normal 2 2 4 22 2 6" xfId="23406" xr:uid="{00000000-0005-0000-0000-00004C5B0000}"/>
    <cellStyle name="Normal 2 2 4 22 2 7" xfId="23407" xr:uid="{00000000-0005-0000-0000-00004D5B0000}"/>
    <cellStyle name="Normal 2 2 4 22 2 8" xfId="23408" xr:uid="{00000000-0005-0000-0000-00004E5B0000}"/>
    <cellStyle name="Normal 2 2 4 22 2 9" xfId="23409" xr:uid="{00000000-0005-0000-0000-00004F5B0000}"/>
    <cellStyle name="Normal 2 2 4 22 3" xfId="23410" xr:uid="{00000000-0005-0000-0000-0000505B0000}"/>
    <cellStyle name="Normal 2 2 4 22 3 10" xfId="23411" xr:uid="{00000000-0005-0000-0000-0000515B0000}"/>
    <cellStyle name="Normal 2 2 4 22 3 2" xfId="23412" xr:uid="{00000000-0005-0000-0000-0000525B0000}"/>
    <cellStyle name="Normal 2 2 4 22 3 3" xfId="23413" xr:uid="{00000000-0005-0000-0000-0000535B0000}"/>
    <cellStyle name="Normal 2 2 4 22 3 4" xfId="23414" xr:uid="{00000000-0005-0000-0000-0000545B0000}"/>
    <cellStyle name="Normal 2 2 4 22 3 5" xfId="23415" xr:uid="{00000000-0005-0000-0000-0000555B0000}"/>
    <cellStyle name="Normal 2 2 4 22 3 6" xfId="23416" xr:uid="{00000000-0005-0000-0000-0000565B0000}"/>
    <cellStyle name="Normal 2 2 4 22 3 7" xfId="23417" xr:uid="{00000000-0005-0000-0000-0000575B0000}"/>
    <cellStyle name="Normal 2 2 4 22 3 8" xfId="23418" xr:uid="{00000000-0005-0000-0000-0000585B0000}"/>
    <cellStyle name="Normal 2 2 4 22 3 9" xfId="23419" xr:uid="{00000000-0005-0000-0000-0000595B0000}"/>
    <cellStyle name="Normal 2 2 4 22 4" xfId="23420" xr:uid="{00000000-0005-0000-0000-00005A5B0000}"/>
    <cellStyle name="Normal 2 2 4 22 4 10" xfId="23421" xr:uid="{00000000-0005-0000-0000-00005B5B0000}"/>
    <cellStyle name="Normal 2 2 4 22 4 2" xfId="23422" xr:uid="{00000000-0005-0000-0000-00005C5B0000}"/>
    <cellStyle name="Normal 2 2 4 22 4 3" xfId="23423" xr:uid="{00000000-0005-0000-0000-00005D5B0000}"/>
    <cellStyle name="Normal 2 2 4 22 4 4" xfId="23424" xr:uid="{00000000-0005-0000-0000-00005E5B0000}"/>
    <cellStyle name="Normal 2 2 4 22 4 5" xfId="23425" xr:uid="{00000000-0005-0000-0000-00005F5B0000}"/>
    <cellStyle name="Normal 2 2 4 22 4 6" xfId="23426" xr:uid="{00000000-0005-0000-0000-0000605B0000}"/>
    <cellStyle name="Normal 2 2 4 22 4 7" xfId="23427" xr:uid="{00000000-0005-0000-0000-0000615B0000}"/>
    <cellStyle name="Normal 2 2 4 22 4 8" xfId="23428" xr:uid="{00000000-0005-0000-0000-0000625B0000}"/>
    <cellStyle name="Normal 2 2 4 22 4 9" xfId="23429" xr:uid="{00000000-0005-0000-0000-0000635B0000}"/>
    <cellStyle name="Normal 2 2 4 22 5" xfId="23430" xr:uid="{00000000-0005-0000-0000-0000645B0000}"/>
    <cellStyle name="Normal 2 2 4 22 5 10" xfId="23431" xr:uid="{00000000-0005-0000-0000-0000655B0000}"/>
    <cellStyle name="Normal 2 2 4 22 5 2" xfId="23432" xr:uid="{00000000-0005-0000-0000-0000665B0000}"/>
    <cellStyle name="Normal 2 2 4 22 5 3" xfId="23433" xr:uid="{00000000-0005-0000-0000-0000675B0000}"/>
    <cellStyle name="Normal 2 2 4 22 5 4" xfId="23434" xr:uid="{00000000-0005-0000-0000-0000685B0000}"/>
    <cellStyle name="Normal 2 2 4 22 5 5" xfId="23435" xr:uid="{00000000-0005-0000-0000-0000695B0000}"/>
    <cellStyle name="Normal 2 2 4 22 5 6" xfId="23436" xr:uid="{00000000-0005-0000-0000-00006A5B0000}"/>
    <cellStyle name="Normal 2 2 4 22 5 7" xfId="23437" xr:uid="{00000000-0005-0000-0000-00006B5B0000}"/>
    <cellStyle name="Normal 2 2 4 22 5 8" xfId="23438" xr:uid="{00000000-0005-0000-0000-00006C5B0000}"/>
    <cellStyle name="Normal 2 2 4 22 5 9" xfId="23439" xr:uid="{00000000-0005-0000-0000-00006D5B0000}"/>
    <cellStyle name="Normal 2 2 4 22 6" xfId="23440" xr:uid="{00000000-0005-0000-0000-00006E5B0000}"/>
    <cellStyle name="Normal 2 2 4 22 7" xfId="23441" xr:uid="{00000000-0005-0000-0000-00006F5B0000}"/>
    <cellStyle name="Normal 2 2 4 22 8" xfId="23442" xr:uid="{00000000-0005-0000-0000-0000705B0000}"/>
    <cellStyle name="Normal 2 2 4 22 9" xfId="23443" xr:uid="{00000000-0005-0000-0000-0000715B0000}"/>
    <cellStyle name="Normal 2 2 4 23" xfId="23444" xr:uid="{00000000-0005-0000-0000-0000725B0000}"/>
    <cellStyle name="Normal 2 2 4 23 10" xfId="23445" xr:uid="{00000000-0005-0000-0000-0000735B0000}"/>
    <cellStyle name="Normal 2 2 4 23 11" xfId="23446" xr:uid="{00000000-0005-0000-0000-0000745B0000}"/>
    <cellStyle name="Normal 2 2 4 23 12" xfId="23447" xr:uid="{00000000-0005-0000-0000-0000755B0000}"/>
    <cellStyle name="Normal 2 2 4 23 13" xfId="23448" xr:uid="{00000000-0005-0000-0000-0000765B0000}"/>
    <cellStyle name="Normal 2 2 4 23 14" xfId="23449" xr:uid="{00000000-0005-0000-0000-0000775B0000}"/>
    <cellStyle name="Normal 2 2 4 23 2" xfId="23450" xr:uid="{00000000-0005-0000-0000-0000785B0000}"/>
    <cellStyle name="Normal 2 2 4 23 2 10" xfId="23451" xr:uid="{00000000-0005-0000-0000-0000795B0000}"/>
    <cellStyle name="Normal 2 2 4 23 2 2" xfId="23452" xr:uid="{00000000-0005-0000-0000-00007A5B0000}"/>
    <cellStyle name="Normal 2 2 4 23 2 3" xfId="23453" xr:uid="{00000000-0005-0000-0000-00007B5B0000}"/>
    <cellStyle name="Normal 2 2 4 23 2 4" xfId="23454" xr:uid="{00000000-0005-0000-0000-00007C5B0000}"/>
    <cellStyle name="Normal 2 2 4 23 2 5" xfId="23455" xr:uid="{00000000-0005-0000-0000-00007D5B0000}"/>
    <cellStyle name="Normal 2 2 4 23 2 6" xfId="23456" xr:uid="{00000000-0005-0000-0000-00007E5B0000}"/>
    <cellStyle name="Normal 2 2 4 23 2 7" xfId="23457" xr:uid="{00000000-0005-0000-0000-00007F5B0000}"/>
    <cellStyle name="Normal 2 2 4 23 2 8" xfId="23458" xr:uid="{00000000-0005-0000-0000-0000805B0000}"/>
    <cellStyle name="Normal 2 2 4 23 2 9" xfId="23459" xr:uid="{00000000-0005-0000-0000-0000815B0000}"/>
    <cellStyle name="Normal 2 2 4 23 3" xfId="23460" xr:uid="{00000000-0005-0000-0000-0000825B0000}"/>
    <cellStyle name="Normal 2 2 4 23 3 10" xfId="23461" xr:uid="{00000000-0005-0000-0000-0000835B0000}"/>
    <cellStyle name="Normal 2 2 4 23 3 2" xfId="23462" xr:uid="{00000000-0005-0000-0000-0000845B0000}"/>
    <cellStyle name="Normal 2 2 4 23 3 3" xfId="23463" xr:uid="{00000000-0005-0000-0000-0000855B0000}"/>
    <cellStyle name="Normal 2 2 4 23 3 4" xfId="23464" xr:uid="{00000000-0005-0000-0000-0000865B0000}"/>
    <cellStyle name="Normal 2 2 4 23 3 5" xfId="23465" xr:uid="{00000000-0005-0000-0000-0000875B0000}"/>
    <cellStyle name="Normal 2 2 4 23 3 6" xfId="23466" xr:uid="{00000000-0005-0000-0000-0000885B0000}"/>
    <cellStyle name="Normal 2 2 4 23 3 7" xfId="23467" xr:uid="{00000000-0005-0000-0000-0000895B0000}"/>
    <cellStyle name="Normal 2 2 4 23 3 8" xfId="23468" xr:uid="{00000000-0005-0000-0000-00008A5B0000}"/>
    <cellStyle name="Normal 2 2 4 23 3 9" xfId="23469" xr:uid="{00000000-0005-0000-0000-00008B5B0000}"/>
    <cellStyle name="Normal 2 2 4 23 4" xfId="23470" xr:uid="{00000000-0005-0000-0000-00008C5B0000}"/>
    <cellStyle name="Normal 2 2 4 23 4 10" xfId="23471" xr:uid="{00000000-0005-0000-0000-00008D5B0000}"/>
    <cellStyle name="Normal 2 2 4 23 4 2" xfId="23472" xr:uid="{00000000-0005-0000-0000-00008E5B0000}"/>
    <cellStyle name="Normal 2 2 4 23 4 3" xfId="23473" xr:uid="{00000000-0005-0000-0000-00008F5B0000}"/>
    <cellStyle name="Normal 2 2 4 23 4 4" xfId="23474" xr:uid="{00000000-0005-0000-0000-0000905B0000}"/>
    <cellStyle name="Normal 2 2 4 23 4 5" xfId="23475" xr:uid="{00000000-0005-0000-0000-0000915B0000}"/>
    <cellStyle name="Normal 2 2 4 23 4 6" xfId="23476" xr:uid="{00000000-0005-0000-0000-0000925B0000}"/>
    <cellStyle name="Normal 2 2 4 23 4 7" xfId="23477" xr:uid="{00000000-0005-0000-0000-0000935B0000}"/>
    <cellStyle name="Normal 2 2 4 23 4 8" xfId="23478" xr:uid="{00000000-0005-0000-0000-0000945B0000}"/>
    <cellStyle name="Normal 2 2 4 23 4 9" xfId="23479" xr:uid="{00000000-0005-0000-0000-0000955B0000}"/>
    <cellStyle name="Normal 2 2 4 23 5" xfId="23480" xr:uid="{00000000-0005-0000-0000-0000965B0000}"/>
    <cellStyle name="Normal 2 2 4 23 5 10" xfId="23481" xr:uid="{00000000-0005-0000-0000-0000975B0000}"/>
    <cellStyle name="Normal 2 2 4 23 5 2" xfId="23482" xr:uid="{00000000-0005-0000-0000-0000985B0000}"/>
    <cellStyle name="Normal 2 2 4 23 5 3" xfId="23483" xr:uid="{00000000-0005-0000-0000-0000995B0000}"/>
    <cellStyle name="Normal 2 2 4 23 5 4" xfId="23484" xr:uid="{00000000-0005-0000-0000-00009A5B0000}"/>
    <cellStyle name="Normal 2 2 4 23 5 5" xfId="23485" xr:uid="{00000000-0005-0000-0000-00009B5B0000}"/>
    <cellStyle name="Normal 2 2 4 23 5 6" xfId="23486" xr:uid="{00000000-0005-0000-0000-00009C5B0000}"/>
    <cellStyle name="Normal 2 2 4 23 5 7" xfId="23487" xr:uid="{00000000-0005-0000-0000-00009D5B0000}"/>
    <cellStyle name="Normal 2 2 4 23 5 8" xfId="23488" xr:uid="{00000000-0005-0000-0000-00009E5B0000}"/>
    <cellStyle name="Normal 2 2 4 23 5 9" xfId="23489" xr:uid="{00000000-0005-0000-0000-00009F5B0000}"/>
    <cellStyle name="Normal 2 2 4 23 6" xfId="23490" xr:uid="{00000000-0005-0000-0000-0000A05B0000}"/>
    <cellStyle name="Normal 2 2 4 23 7" xfId="23491" xr:uid="{00000000-0005-0000-0000-0000A15B0000}"/>
    <cellStyle name="Normal 2 2 4 23 8" xfId="23492" xr:uid="{00000000-0005-0000-0000-0000A25B0000}"/>
    <cellStyle name="Normal 2 2 4 23 9" xfId="23493" xr:uid="{00000000-0005-0000-0000-0000A35B0000}"/>
    <cellStyle name="Normal 2 2 4 24" xfId="23494" xr:uid="{00000000-0005-0000-0000-0000A45B0000}"/>
    <cellStyle name="Normal 2 2 4 24 10" xfId="23495" xr:uid="{00000000-0005-0000-0000-0000A55B0000}"/>
    <cellStyle name="Normal 2 2 4 24 11" xfId="23496" xr:uid="{00000000-0005-0000-0000-0000A65B0000}"/>
    <cellStyle name="Normal 2 2 4 24 12" xfId="23497" xr:uid="{00000000-0005-0000-0000-0000A75B0000}"/>
    <cellStyle name="Normal 2 2 4 24 13" xfId="23498" xr:uid="{00000000-0005-0000-0000-0000A85B0000}"/>
    <cellStyle name="Normal 2 2 4 24 14" xfId="23499" xr:uid="{00000000-0005-0000-0000-0000A95B0000}"/>
    <cellStyle name="Normal 2 2 4 24 2" xfId="23500" xr:uid="{00000000-0005-0000-0000-0000AA5B0000}"/>
    <cellStyle name="Normal 2 2 4 24 2 10" xfId="23501" xr:uid="{00000000-0005-0000-0000-0000AB5B0000}"/>
    <cellStyle name="Normal 2 2 4 24 2 2" xfId="23502" xr:uid="{00000000-0005-0000-0000-0000AC5B0000}"/>
    <cellStyle name="Normal 2 2 4 24 2 3" xfId="23503" xr:uid="{00000000-0005-0000-0000-0000AD5B0000}"/>
    <cellStyle name="Normal 2 2 4 24 2 4" xfId="23504" xr:uid="{00000000-0005-0000-0000-0000AE5B0000}"/>
    <cellStyle name="Normal 2 2 4 24 2 5" xfId="23505" xr:uid="{00000000-0005-0000-0000-0000AF5B0000}"/>
    <cellStyle name="Normal 2 2 4 24 2 6" xfId="23506" xr:uid="{00000000-0005-0000-0000-0000B05B0000}"/>
    <cellStyle name="Normal 2 2 4 24 2 7" xfId="23507" xr:uid="{00000000-0005-0000-0000-0000B15B0000}"/>
    <cellStyle name="Normal 2 2 4 24 2 8" xfId="23508" xr:uid="{00000000-0005-0000-0000-0000B25B0000}"/>
    <cellStyle name="Normal 2 2 4 24 2 9" xfId="23509" xr:uid="{00000000-0005-0000-0000-0000B35B0000}"/>
    <cellStyle name="Normal 2 2 4 24 3" xfId="23510" xr:uid="{00000000-0005-0000-0000-0000B45B0000}"/>
    <cellStyle name="Normal 2 2 4 24 3 10" xfId="23511" xr:uid="{00000000-0005-0000-0000-0000B55B0000}"/>
    <cellStyle name="Normal 2 2 4 24 3 2" xfId="23512" xr:uid="{00000000-0005-0000-0000-0000B65B0000}"/>
    <cellStyle name="Normal 2 2 4 24 3 3" xfId="23513" xr:uid="{00000000-0005-0000-0000-0000B75B0000}"/>
    <cellStyle name="Normal 2 2 4 24 3 4" xfId="23514" xr:uid="{00000000-0005-0000-0000-0000B85B0000}"/>
    <cellStyle name="Normal 2 2 4 24 3 5" xfId="23515" xr:uid="{00000000-0005-0000-0000-0000B95B0000}"/>
    <cellStyle name="Normal 2 2 4 24 3 6" xfId="23516" xr:uid="{00000000-0005-0000-0000-0000BA5B0000}"/>
    <cellStyle name="Normal 2 2 4 24 3 7" xfId="23517" xr:uid="{00000000-0005-0000-0000-0000BB5B0000}"/>
    <cellStyle name="Normal 2 2 4 24 3 8" xfId="23518" xr:uid="{00000000-0005-0000-0000-0000BC5B0000}"/>
    <cellStyle name="Normal 2 2 4 24 3 9" xfId="23519" xr:uid="{00000000-0005-0000-0000-0000BD5B0000}"/>
    <cellStyle name="Normal 2 2 4 24 4" xfId="23520" xr:uid="{00000000-0005-0000-0000-0000BE5B0000}"/>
    <cellStyle name="Normal 2 2 4 24 4 10" xfId="23521" xr:uid="{00000000-0005-0000-0000-0000BF5B0000}"/>
    <cellStyle name="Normal 2 2 4 24 4 2" xfId="23522" xr:uid="{00000000-0005-0000-0000-0000C05B0000}"/>
    <cellStyle name="Normal 2 2 4 24 4 3" xfId="23523" xr:uid="{00000000-0005-0000-0000-0000C15B0000}"/>
    <cellStyle name="Normal 2 2 4 24 4 4" xfId="23524" xr:uid="{00000000-0005-0000-0000-0000C25B0000}"/>
    <cellStyle name="Normal 2 2 4 24 4 5" xfId="23525" xr:uid="{00000000-0005-0000-0000-0000C35B0000}"/>
    <cellStyle name="Normal 2 2 4 24 4 6" xfId="23526" xr:uid="{00000000-0005-0000-0000-0000C45B0000}"/>
    <cellStyle name="Normal 2 2 4 24 4 7" xfId="23527" xr:uid="{00000000-0005-0000-0000-0000C55B0000}"/>
    <cellStyle name="Normal 2 2 4 24 4 8" xfId="23528" xr:uid="{00000000-0005-0000-0000-0000C65B0000}"/>
    <cellStyle name="Normal 2 2 4 24 4 9" xfId="23529" xr:uid="{00000000-0005-0000-0000-0000C75B0000}"/>
    <cellStyle name="Normal 2 2 4 24 5" xfId="23530" xr:uid="{00000000-0005-0000-0000-0000C85B0000}"/>
    <cellStyle name="Normal 2 2 4 24 5 10" xfId="23531" xr:uid="{00000000-0005-0000-0000-0000C95B0000}"/>
    <cellStyle name="Normal 2 2 4 24 5 2" xfId="23532" xr:uid="{00000000-0005-0000-0000-0000CA5B0000}"/>
    <cellStyle name="Normal 2 2 4 24 5 3" xfId="23533" xr:uid="{00000000-0005-0000-0000-0000CB5B0000}"/>
    <cellStyle name="Normal 2 2 4 24 5 4" xfId="23534" xr:uid="{00000000-0005-0000-0000-0000CC5B0000}"/>
    <cellStyle name="Normal 2 2 4 24 5 5" xfId="23535" xr:uid="{00000000-0005-0000-0000-0000CD5B0000}"/>
    <cellStyle name="Normal 2 2 4 24 5 6" xfId="23536" xr:uid="{00000000-0005-0000-0000-0000CE5B0000}"/>
    <cellStyle name="Normal 2 2 4 24 5 7" xfId="23537" xr:uid="{00000000-0005-0000-0000-0000CF5B0000}"/>
    <cellStyle name="Normal 2 2 4 24 5 8" xfId="23538" xr:uid="{00000000-0005-0000-0000-0000D05B0000}"/>
    <cellStyle name="Normal 2 2 4 24 5 9" xfId="23539" xr:uid="{00000000-0005-0000-0000-0000D15B0000}"/>
    <cellStyle name="Normal 2 2 4 24 6" xfId="23540" xr:uid="{00000000-0005-0000-0000-0000D25B0000}"/>
    <cellStyle name="Normal 2 2 4 24 7" xfId="23541" xr:uid="{00000000-0005-0000-0000-0000D35B0000}"/>
    <cellStyle name="Normal 2 2 4 24 8" xfId="23542" xr:uid="{00000000-0005-0000-0000-0000D45B0000}"/>
    <cellStyle name="Normal 2 2 4 24 9" xfId="23543" xr:uid="{00000000-0005-0000-0000-0000D55B0000}"/>
    <cellStyle name="Normal 2 2 4 25" xfId="23544" xr:uid="{00000000-0005-0000-0000-0000D65B0000}"/>
    <cellStyle name="Normal 2 2 4 25 10" xfId="23545" xr:uid="{00000000-0005-0000-0000-0000D75B0000}"/>
    <cellStyle name="Normal 2 2 4 25 11" xfId="23546" xr:uid="{00000000-0005-0000-0000-0000D85B0000}"/>
    <cellStyle name="Normal 2 2 4 25 12" xfId="23547" xr:uid="{00000000-0005-0000-0000-0000D95B0000}"/>
    <cellStyle name="Normal 2 2 4 25 13" xfId="23548" xr:uid="{00000000-0005-0000-0000-0000DA5B0000}"/>
    <cellStyle name="Normal 2 2 4 25 14" xfId="23549" xr:uid="{00000000-0005-0000-0000-0000DB5B0000}"/>
    <cellStyle name="Normal 2 2 4 25 2" xfId="23550" xr:uid="{00000000-0005-0000-0000-0000DC5B0000}"/>
    <cellStyle name="Normal 2 2 4 25 2 10" xfId="23551" xr:uid="{00000000-0005-0000-0000-0000DD5B0000}"/>
    <cellStyle name="Normal 2 2 4 25 2 2" xfId="23552" xr:uid="{00000000-0005-0000-0000-0000DE5B0000}"/>
    <cellStyle name="Normal 2 2 4 25 2 3" xfId="23553" xr:uid="{00000000-0005-0000-0000-0000DF5B0000}"/>
    <cellStyle name="Normal 2 2 4 25 2 4" xfId="23554" xr:uid="{00000000-0005-0000-0000-0000E05B0000}"/>
    <cellStyle name="Normal 2 2 4 25 2 5" xfId="23555" xr:uid="{00000000-0005-0000-0000-0000E15B0000}"/>
    <cellStyle name="Normal 2 2 4 25 2 6" xfId="23556" xr:uid="{00000000-0005-0000-0000-0000E25B0000}"/>
    <cellStyle name="Normal 2 2 4 25 2 7" xfId="23557" xr:uid="{00000000-0005-0000-0000-0000E35B0000}"/>
    <cellStyle name="Normal 2 2 4 25 2 8" xfId="23558" xr:uid="{00000000-0005-0000-0000-0000E45B0000}"/>
    <cellStyle name="Normal 2 2 4 25 2 9" xfId="23559" xr:uid="{00000000-0005-0000-0000-0000E55B0000}"/>
    <cellStyle name="Normal 2 2 4 25 3" xfId="23560" xr:uid="{00000000-0005-0000-0000-0000E65B0000}"/>
    <cellStyle name="Normal 2 2 4 25 3 10" xfId="23561" xr:uid="{00000000-0005-0000-0000-0000E75B0000}"/>
    <cellStyle name="Normal 2 2 4 25 3 2" xfId="23562" xr:uid="{00000000-0005-0000-0000-0000E85B0000}"/>
    <cellStyle name="Normal 2 2 4 25 3 3" xfId="23563" xr:uid="{00000000-0005-0000-0000-0000E95B0000}"/>
    <cellStyle name="Normal 2 2 4 25 3 4" xfId="23564" xr:uid="{00000000-0005-0000-0000-0000EA5B0000}"/>
    <cellStyle name="Normal 2 2 4 25 3 5" xfId="23565" xr:uid="{00000000-0005-0000-0000-0000EB5B0000}"/>
    <cellStyle name="Normal 2 2 4 25 3 6" xfId="23566" xr:uid="{00000000-0005-0000-0000-0000EC5B0000}"/>
    <cellStyle name="Normal 2 2 4 25 3 7" xfId="23567" xr:uid="{00000000-0005-0000-0000-0000ED5B0000}"/>
    <cellStyle name="Normal 2 2 4 25 3 8" xfId="23568" xr:uid="{00000000-0005-0000-0000-0000EE5B0000}"/>
    <cellStyle name="Normal 2 2 4 25 3 9" xfId="23569" xr:uid="{00000000-0005-0000-0000-0000EF5B0000}"/>
    <cellStyle name="Normal 2 2 4 25 4" xfId="23570" xr:uid="{00000000-0005-0000-0000-0000F05B0000}"/>
    <cellStyle name="Normal 2 2 4 25 4 10" xfId="23571" xr:uid="{00000000-0005-0000-0000-0000F15B0000}"/>
    <cellStyle name="Normal 2 2 4 25 4 2" xfId="23572" xr:uid="{00000000-0005-0000-0000-0000F25B0000}"/>
    <cellStyle name="Normal 2 2 4 25 4 3" xfId="23573" xr:uid="{00000000-0005-0000-0000-0000F35B0000}"/>
    <cellStyle name="Normal 2 2 4 25 4 4" xfId="23574" xr:uid="{00000000-0005-0000-0000-0000F45B0000}"/>
    <cellStyle name="Normal 2 2 4 25 4 5" xfId="23575" xr:uid="{00000000-0005-0000-0000-0000F55B0000}"/>
    <cellStyle name="Normal 2 2 4 25 4 6" xfId="23576" xr:uid="{00000000-0005-0000-0000-0000F65B0000}"/>
    <cellStyle name="Normal 2 2 4 25 4 7" xfId="23577" xr:uid="{00000000-0005-0000-0000-0000F75B0000}"/>
    <cellStyle name="Normal 2 2 4 25 4 8" xfId="23578" xr:uid="{00000000-0005-0000-0000-0000F85B0000}"/>
    <cellStyle name="Normal 2 2 4 25 4 9" xfId="23579" xr:uid="{00000000-0005-0000-0000-0000F95B0000}"/>
    <cellStyle name="Normal 2 2 4 25 5" xfId="23580" xr:uid="{00000000-0005-0000-0000-0000FA5B0000}"/>
    <cellStyle name="Normal 2 2 4 25 5 10" xfId="23581" xr:uid="{00000000-0005-0000-0000-0000FB5B0000}"/>
    <cellStyle name="Normal 2 2 4 25 5 2" xfId="23582" xr:uid="{00000000-0005-0000-0000-0000FC5B0000}"/>
    <cellStyle name="Normal 2 2 4 25 5 3" xfId="23583" xr:uid="{00000000-0005-0000-0000-0000FD5B0000}"/>
    <cellStyle name="Normal 2 2 4 25 5 4" xfId="23584" xr:uid="{00000000-0005-0000-0000-0000FE5B0000}"/>
    <cellStyle name="Normal 2 2 4 25 5 5" xfId="23585" xr:uid="{00000000-0005-0000-0000-0000FF5B0000}"/>
    <cellStyle name="Normal 2 2 4 25 5 6" xfId="23586" xr:uid="{00000000-0005-0000-0000-0000005C0000}"/>
    <cellStyle name="Normal 2 2 4 25 5 7" xfId="23587" xr:uid="{00000000-0005-0000-0000-0000015C0000}"/>
    <cellStyle name="Normal 2 2 4 25 5 8" xfId="23588" xr:uid="{00000000-0005-0000-0000-0000025C0000}"/>
    <cellStyle name="Normal 2 2 4 25 5 9" xfId="23589" xr:uid="{00000000-0005-0000-0000-0000035C0000}"/>
    <cellStyle name="Normal 2 2 4 25 6" xfId="23590" xr:uid="{00000000-0005-0000-0000-0000045C0000}"/>
    <cellStyle name="Normal 2 2 4 25 7" xfId="23591" xr:uid="{00000000-0005-0000-0000-0000055C0000}"/>
    <cellStyle name="Normal 2 2 4 25 8" xfId="23592" xr:uid="{00000000-0005-0000-0000-0000065C0000}"/>
    <cellStyle name="Normal 2 2 4 25 9" xfId="23593" xr:uid="{00000000-0005-0000-0000-0000075C0000}"/>
    <cellStyle name="Normal 2 2 4 26" xfId="23594" xr:uid="{00000000-0005-0000-0000-0000085C0000}"/>
    <cellStyle name="Normal 2 2 4 26 10" xfId="23595" xr:uid="{00000000-0005-0000-0000-0000095C0000}"/>
    <cellStyle name="Normal 2 2 4 26 11" xfId="23596" xr:uid="{00000000-0005-0000-0000-00000A5C0000}"/>
    <cellStyle name="Normal 2 2 4 26 12" xfId="23597" xr:uid="{00000000-0005-0000-0000-00000B5C0000}"/>
    <cellStyle name="Normal 2 2 4 26 13" xfId="23598" xr:uid="{00000000-0005-0000-0000-00000C5C0000}"/>
    <cellStyle name="Normal 2 2 4 26 14" xfId="23599" xr:uid="{00000000-0005-0000-0000-00000D5C0000}"/>
    <cellStyle name="Normal 2 2 4 26 2" xfId="23600" xr:uid="{00000000-0005-0000-0000-00000E5C0000}"/>
    <cellStyle name="Normal 2 2 4 26 2 10" xfId="23601" xr:uid="{00000000-0005-0000-0000-00000F5C0000}"/>
    <cellStyle name="Normal 2 2 4 26 2 2" xfId="23602" xr:uid="{00000000-0005-0000-0000-0000105C0000}"/>
    <cellStyle name="Normal 2 2 4 26 2 3" xfId="23603" xr:uid="{00000000-0005-0000-0000-0000115C0000}"/>
    <cellStyle name="Normal 2 2 4 26 2 4" xfId="23604" xr:uid="{00000000-0005-0000-0000-0000125C0000}"/>
    <cellStyle name="Normal 2 2 4 26 2 5" xfId="23605" xr:uid="{00000000-0005-0000-0000-0000135C0000}"/>
    <cellStyle name="Normal 2 2 4 26 2 6" xfId="23606" xr:uid="{00000000-0005-0000-0000-0000145C0000}"/>
    <cellStyle name="Normal 2 2 4 26 2 7" xfId="23607" xr:uid="{00000000-0005-0000-0000-0000155C0000}"/>
    <cellStyle name="Normal 2 2 4 26 2 8" xfId="23608" xr:uid="{00000000-0005-0000-0000-0000165C0000}"/>
    <cellStyle name="Normal 2 2 4 26 2 9" xfId="23609" xr:uid="{00000000-0005-0000-0000-0000175C0000}"/>
    <cellStyle name="Normal 2 2 4 26 3" xfId="23610" xr:uid="{00000000-0005-0000-0000-0000185C0000}"/>
    <cellStyle name="Normal 2 2 4 26 3 10" xfId="23611" xr:uid="{00000000-0005-0000-0000-0000195C0000}"/>
    <cellStyle name="Normal 2 2 4 26 3 2" xfId="23612" xr:uid="{00000000-0005-0000-0000-00001A5C0000}"/>
    <cellStyle name="Normal 2 2 4 26 3 3" xfId="23613" xr:uid="{00000000-0005-0000-0000-00001B5C0000}"/>
    <cellStyle name="Normal 2 2 4 26 3 4" xfId="23614" xr:uid="{00000000-0005-0000-0000-00001C5C0000}"/>
    <cellStyle name="Normal 2 2 4 26 3 5" xfId="23615" xr:uid="{00000000-0005-0000-0000-00001D5C0000}"/>
    <cellStyle name="Normal 2 2 4 26 3 6" xfId="23616" xr:uid="{00000000-0005-0000-0000-00001E5C0000}"/>
    <cellStyle name="Normal 2 2 4 26 3 7" xfId="23617" xr:uid="{00000000-0005-0000-0000-00001F5C0000}"/>
    <cellStyle name="Normal 2 2 4 26 3 8" xfId="23618" xr:uid="{00000000-0005-0000-0000-0000205C0000}"/>
    <cellStyle name="Normal 2 2 4 26 3 9" xfId="23619" xr:uid="{00000000-0005-0000-0000-0000215C0000}"/>
    <cellStyle name="Normal 2 2 4 26 4" xfId="23620" xr:uid="{00000000-0005-0000-0000-0000225C0000}"/>
    <cellStyle name="Normal 2 2 4 26 4 10" xfId="23621" xr:uid="{00000000-0005-0000-0000-0000235C0000}"/>
    <cellStyle name="Normal 2 2 4 26 4 2" xfId="23622" xr:uid="{00000000-0005-0000-0000-0000245C0000}"/>
    <cellStyle name="Normal 2 2 4 26 4 3" xfId="23623" xr:uid="{00000000-0005-0000-0000-0000255C0000}"/>
    <cellStyle name="Normal 2 2 4 26 4 4" xfId="23624" xr:uid="{00000000-0005-0000-0000-0000265C0000}"/>
    <cellStyle name="Normal 2 2 4 26 4 5" xfId="23625" xr:uid="{00000000-0005-0000-0000-0000275C0000}"/>
    <cellStyle name="Normal 2 2 4 26 4 6" xfId="23626" xr:uid="{00000000-0005-0000-0000-0000285C0000}"/>
    <cellStyle name="Normal 2 2 4 26 4 7" xfId="23627" xr:uid="{00000000-0005-0000-0000-0000295C0000}"/>
    <cellStyle name="Normal 2 2 4 26 4 8" xfId="23628" xr:uid="{00000000-0005-0000-0000-00002A5C0000}"/>
    <cellStyle name="Normal 2 2 4 26 4 9" xfId="23629" xr:uid="{00000000-0005-0000-0000-00002B5C0000}"/>
    <cellStyle name="Normal 2 2 4 26 5" xfId="23630" xr:uid="{00000000-0005-0000-0000-00002C5C0000}"/>
    <cellStyle name="Normal 2 2 4 26 5 10" xfId="23631" xr:uid="{00000000-0005-0000-0000-00002D5C0000}"/>
    <cellStyle name="Normal 2 2 4 26 5 2" xfId="23632" xr:uid="{00000000-0005-0000-0000-00002E5C0000}"/>
    <cellStyle name="Normal 2 2 4 26 5 3" xfId="23633" xr:uid="{00000000-0005-0000-0000-00002F5C0000}"/>
    <cellStyle name="Normal 2 2 4 26 5 4" xfId="23634" xr:uid="{00000000-0005-0000-0000-0000305C0000}"/>
    <cellStyle name="Normal 2 2 4 26 5 5" xfId="23635" xr:uid="{00000000-0005-0000-0000-0000315C0000}"/>
    <cellStyle name="Normal 2 2 4 26 5 6" xfId="23636" xr:uid="{00000000-0005-0000-0000-0000325C0000}"/>
    <cellStyle name="Normal 2 2 4 26 5 7" xfId="23637" xr:uid="{00000000-0005-0000-0000-0000335C0000}"/>
    <cellStyle name="Normal 2 2 4 26 5 8" xfId="23638" xr:uid="{00000000-0005-0000-0000-0000345C0000}"/>
    <cellStyle name="Normal 2 2 4 26 5 9" xfId="23639" xr:uid="{00000000-0005-0000-0000-0000355C0000}"/>
    <cellStyle name="Normal 2 2 4 26 6" xfId="23640" xr:uid="{00000000-0005-0000-0000-0000365C0000}"/>
    <cellStyle name="Normal 2 2 4 26 7" xfId="23641" xr:uid="{00000000-0005-0000-0000-0000375C0000}"/>
    <cellStyle name="Normal 2 2 4 26 8" xfId="23642" xr:uid="{00000000-0005-0000-0000-0000385C0000}"/>
    <cellStyle name="Normal 2 2 4 26 9" xfId="23643" xr:uid="{00000000-0005-0000-0000-0000395C0000}"/>
    <cellStyle name="Normal 2 2 4 27" xfId="23644" xr:uid="{00000000-0005-0000-0000-00003A5C0000}"/>
    <cellStyle name="Normal 2 2 4 27 10" xfId="23645" xr:uid="{00000000-0005-0000-0000-00003B5C0000}"/>
    <cellStyle name="Normal 2 2 4 27 11" xfId="23646" xr:uid="{00000000-0005-0000-0000-00003C5C0000}"/>
    <cellStyle name="Normal 2 2 4 27 12" xfId="23647" xr:uid="{00000000-0005-0000-0000-00003D5C0000}"/>
    <cellStyle name="Normal 2 2 4 27 13" xfId="23648" xr:uid="{00000000-0005-0000-0000-00003E5C0000}"/>
    <cellStyle name="Normal 2 2 4 27 14" xfId="23649" xr:uid="{00000000-0005-0000-0000-00003F5C0000}"/>
    <cellStyle name="Normal 2 2 4 27 2" xfId="23650" xr:uid="{00000000-0005-0000-0000-0000405C0000}"/>
    <cellStyle name="Normal 2 2 4 27 2 10" xfId="23651" xr:uid="{00000000-0005-0000-0000-0000415C0000}"/>
    <cellStyle name="Normal 2 2 4 27 2 2" xfId="23652" xr:uid="{00000000-0005-0000-0000-0000425C0000}"/>
    <cellStyle name="Normal 2 2 4 27 2 3" xfId="23653" xr:uid="{00000000-0005-0000-0000-0000435C0000}"/>
    <cellStyle name="Normal 2 2 4 27 2 4" xfId="23654" xr:uid="{00000000-0005-0000-0000-0000445C0000}"/>
    <cellStyle name="Normal 2 2 4 27 2 5" xfId="23655" xr:uid="{00000000-0005-0000-0000-0000455C0000}"/>
    <cellStyle name="Normal 2 2 4 27 2 6" xfId="23656" xr:uid="{00000000-0005-0000-0000-0000465C0000}"/>
    <cellStyle name="Normal 2 2 4 27 2 7" xfId="23657" xr:uid="{00000000-0005-0000-0000-0000475C0000}"/>
    <cellStyle name="Normal 2 2 4 27 2 8" xfId="23658" xr:uid="{00000000-0005-0000-0000-0000485C0000}"/>
    <cellStyle name="Normal 2 2 4 27 2 9" xfId="23659" xr:uid="{00000000-0005-0000-0000-0000495C0000}"/>
    <cellStyle name="Normal 2 2 4 27 3" xfId="23660" xr:uid="{00000000-0005-0000-0000-00004A5C0000}"/>
    <cellStyle name="Normal 2 2 4 27 3 10" xfId="23661" xr:uid="{00000000-0005-0000-0000-00004B5C0000}"/>
    <cellStyle name="Normal 2 2 4 27 3 2" xfId="23662" xr:uid="{00000000-0005-0000-0000-00004C5C0000}"/>
    <cellStyle name="Normal 2 2 4 27 3 3" xfId="23663" xr:uid="{00000000-0005-0000-0000-00004D5C0000}"/>
    <cellStyle name="Normal 2 2 4 27 3 4" xfId="23664" xr:uid="{00000000-0005-0000-0000-00004E5C0000}"/>
    <cellStyle name="Normal 2 2 4 27 3 5" xfId="23665" xr:uid="{00000000-0005-0000-0000-00004F5C0000}"/>
    <cellStyle name="Normal 2 2 4 27 3 6" xfId="23666" xr:uid="{00000000-0005-0000-0000-0000505C0000}"/>
    <cellStyle name="Normal 2 2 4 27 3 7" xfId="23667" xr:uid="{00000000-0005-0000-0000-0000515C0000}"/>
    <cellStyle name="Normal 2 2 4 27 3 8" xfId="23668" xr:uid="{00000000-0005-0000-0000-0000525C0000}"/>
    <cellStyle name="Normal 2 2 4 27 3 9" xfId="23669" xr:uid="{00000000-0005-0000-0000-0000535C0000}"/>
    <cellStyle name="Normal 2 2 4 27 4" xfId="23670" xr:uid="{00000000-0005-0000-0000-0000545C0000}"/>
    <cellStyle name="Normal 2 2 4 27 4 10" xfId="23671" xr:uid="{00000000-0005-0000-0000-0000555C0000}"/>
    <cellStyle name="Normal 2 2 4 27 4 2" xfId="23672" xr:uid="{00000000-0005-0000-0000-0000565C0000}"/>
    <cellStyle name="Normal 2 2 4 27 4 3" xfId="23673" xr:uid="{00000000-0005-0000-0000-0000575C0000}"/>
    <cellStyle name="Normal 2 2 4 27 4 4" xfId="23674" xr:uid="{00000000-0005-0000-0000-0000585C0000}"/>
    <cellStyle name="Normal 2 2 4 27 4 5" xfId="23675" xr:uid="{00000000-0005-0000-0000-0000595C0000}"/>
    <cellStyle name="Normal 2 2 4 27 4 6" xfId="23676" xr:uid="{00000000-0005-0000-0000-00005A5C0000}"/>
    <cellStyle name="Normal 2 2 4 27 4 7" xfId="23677" xr:uid="{00000000-0005-0000-0000-00005B5C0000}"/>
    <cellStyle name="Normal 2 2 4 27 4 8" xfId="23678" xr:uid="{00000000-0005-0000-0000-00005C5C0000}"/>
    <cellStyle name="Normal 2 2 4 27 4 9" xfId="23679" xr:uid="{00000000-0005-0000-0000-00005D5C0000}"/>
    <cellStyle name="Normal 2 2 4 27 5" xfId="23680" xr:uid="{00000000-0005-0000-0000-00005E5C0000}"/>
    <cellStyle name="Normal 2 2 4 27 5 10" xfId="23681" xr:uid="{00000000-0005-0000-0000-00005F5C0000}"/>
    <cellStyle name="Normal 2 2 4 27 5 2" xfId="23682" xr:uid="{00000000-0005-0000-0000-0000605C0000}"/>
    <cellStyle name="Normal 2 2 4 27 5 3" xfId="23683" xr:uid="{00000000-0005-0000-0000-0000615C0000}"/>
    <cellStyle name="Normal 2 2 4 27 5 4" xfId="23684" xr:uid="{00000000-0005-0000-0000-0000625C0000}"/>
    <cellStyle name="Normal 2 2 4 27 5 5" xfId="23685" xr:uid="{00000000-0005-0000-0000-0000635C0000}"/>
    <cellStyle name="Normal 2 2 4 27 5 6" xfId="23686" xr:uid="{00000000-0005-0000-0000-0000645C0000}"/>
    <cellStyle name="Normal 2 2 4 27 5 7" xfId="23687" xr:uid="{00000000-0005-0000-0000-0000655C0000}"/>
    <cellStyle name="Normal 2 2 4 27 5 8" xfId="23688" xr:uid="{00000000-0005-0000-0000-0000665C0000}"/>
    <cellStyle name="Normal 2 2 4 27 5 9" xfId="23689" xr:uid="{00000000-0005-0000-0000-0000675C0000}"/>
    <cellStyle name="Normal 2 2 4 27 6" xfId="23690" xr:uid="{00000000-0005-0000-0000-0000685C0000}"/>
    <cellStyle name="Normal 2 2 4 27 7" xfId="23691" xr:uid="{00000000-0005-0000-0000-0000695C0000}"/>
    <cellStyle name="Normal 2 2 4 27 8" xfId="23692" xr:uid="{00000000-0005-0000-0000-00006A5C0000}"/>
    <cellStyle name="Normal 2 2 4 27 9" xfId="23693" xr:uid="{00000000-0005-0000-0000-00006B5C0000}"/>
    <cellStyle name="Normal 2 2 4 28" xfId="23694" xr:uid="{00000000-0005-0000-0000-00006C5C0000}"/>
    <cellStyle name="Normal 2 2 4 28 10" xfId="23695" xr:uid="{00000000-0005-0000-0000-00006D5C0000}"/>
    <cellStyle name="Normal 2 2 4 28 11" xfId="23696" xr:uid="{00000000-0005-0000-0000-00006E5C0000}"/>
    <cellStyle name="Normal 2 2 4 28 12" xfId="23697" xr:uid="{00000000-0005-0000-0000-00006F5C0000}"/>
    <cellStyle name="Normal 2 2 4 28 13" xfId="23698" xr:uid="{00000000-0005-0000-0000-0000705C0000}"/>
    <cellStyle name="Normal 2 2 4 28 14" xfId="23699" xr:uid="{00000000-0005-0000-0000-0000715C0000}"/>
    <cellStyle name="Normal 2 2 4 28 2" xfId="23700" xr:uid="{00000000-0005-0000-0000-0000725C0000}"/>
    <cellStyle name="Normal 2 2 4 28 2 10" xfId="23701" xr:uid="{00000000-0005-0000-0000-0000735C0000}"/>
    <cellStyle name="Normal 2 2 4 28 2 2" xfId="23702" xr:uid="{00000000-0005-0000-0000-0000745C0000}"/>
    <cellStyle name="Normal 2 2 4 28 2 3" xfId="23703" xr:uid="{00000000-0005-0000-0000-0000755C0000}"/>
    <cellStyle name="Normal 2 2 4 28 2 4" xfId="23704" xr:uid="{00000000-0005-0000-0000-0000765C0000}"/>
    <cellStyle name="Normal 2 2 4 28 2 5" xfId="23705" xr:uid="{00000000-0005-0000-0000-0000775C0000}"/>
    <cellStyle name="Normal 2 2 4 28 2 6" xfId="23706" xr:uid="{00000000-0005-0000-0000-0000785C0000}"/>
    <cellStyle name="Normal 2 2 4 28 2 7" xfId="23707" xr:uid="{00000000-0005-0000-0000-0000795C0000}"/>
    <cellStyle name="Normal 2 2 4 28 2 8" xfId="23708" xr:uid="{00000000-0005-0000-0000-00007A5C0000}"/>
    <cellStyle name="Normal 2 2 4 28 2 9" xfId="23709" xr:uid="{00000000-0005-0000-0000-00007B5C0000}"/>
    <cellStyle name="Normal 2 2 4 28 3" xfId="23710" xr:uid="{00000000-0005-0000-0000-00007C5C0000}"/>
    <cellStyle name="Normal 2 2 4 28 3 10" xfId="23711" xr:uid="{00000000-0005-0000-0000-00007D5C0000}"/>
    <cellStyle name="Normal 2 2 4 28 3 2" xfId="23712" xr:uid="{00000000-0005-0000-0000-00007E5C0000}"/>
    <cellStyle name="Normal 2 2 4 28 3 3" xfId="23713" xr:uid="{00000000-0005-0000-0000-00007F5C0000}"/>
    <cellStyle name="Normal 2 2 4 28 3 4" xfId="23714" xr:uid="{00000000-0005-0000-0000-0000805C0000}"/>
    <cellStyle name="Normal 2 2 4 28 3 5" xfId="23715" xr:uid="{00000000-0005-0000-0000-0000815C0000}"/>
    <cellStyle name="Normal 2 2 4 28 3 6" xfId="23716" xr:uid="{00000000-0005-0000-0000-0000825C0000}"/>
    <cellStyle name="Normal 2 2 4 28 3 7" xfId="23717" xr:uid="{00000000-0005-0000-0000-0000835C0000}"/>
    <cellStyle name="Normal 2 2 4 28 3 8" xfId="23718" xr:uid="{00000000-0005-0000-0000-0000845C0000}"/>
    <cellStyle name="Normal 2 2 4 28 3 9" xfId="23719" xr:uid="{00000000-0005-0000-0000-0000855C0000}"/>
    <cellStyle name="Normal 2 2 4 28 4" xfId="23720" xr:uid="{00000000-0005-0000-0000-0000865C0000}"/>
    <cellStyle name="Normal 2 2 4 28 4 10" xfId="23721" xr:uid="{00000000-0005-0000-0000-0000875C0000}"/>
    <cellStyle name="Normal 2 2 4 28 4 2" xfId="23722" xr:uid="{00000000-0005-0000-0000-0000885C0000}"/>
    <cellStyle name="Normal 2 2 4 28 4 3" xfId="23723" xr:uid="{00000000-0005-0000-0000-0000895C0000}"/>
    <cellStyle name="Normal 2 2 4 28 4 4" xfId="23724" xr:uid="{00000000-0005-0000-0000-00008A5C0000}"/>
    <cellStyle name="Normal 2 2 4 28 4 5" xfId="23725" xr:uid="{00000000-0005-0000-0000-00008B5C0000}"/>
    <cellStyle name="Normal 2 2 4 28 4 6" xfId="23726" xr:uid="{00000000-0005-0000-0000-00008C5C0000}"/>
    <cellStyle name="Normal 2 2 4 28 4 7" xfId="23727" xr:uid="{00000000-0005-0000-0000-00008D5C0000}"/>
    <cellStyle name="Normal 2 2 4 28 4 8" xfId="23728" xr:uid="{00000000-0005-0000-0000-00008E5C0000}"/>
    <cellStyle name="Normal 2 2 4 28 4 9" xfId="23729" xr:uid="{00000000-0005-0000-0000-00008F5C0000}"/>
    <cellStyle name="Normal 2 2 4 28 5" xfId="23730" xr:uid="{00000000-0005-0000-0000-0000905C0000}"/>
    <cellStyle name="Normal 2 2 4 28 5 10" xfId="23731" xr:uid="{00000000-0005-0000-0000-0000915C0000}"/>
    <cellStyle name="Normal 2 2 4 28 5 2" xfId="23732" xr:uid="{00000000-0005-0000-0000-0000925C0000}"/>
    <cellStyle name="Normal 2 2 4 28 5 3" xfId="23733" xr:uid="{00000000-0005-0000-0000-0000935C0000}"/>
    <cellStyle name="Normal 2 2 4 28 5 4" xfId="23734" xr:uid="{00000000-0005-0000-0000-0000945C0000}"/>
    <cellStyle name="Normal 2 2 4 28 5 5" xfId="23735" xr:uid="{00000000-0005-0000-0000-0000955C0000}"/>
    <cellStyle name="Normal 2 2 4 28 5 6" xfId="23736" xr:uid="{00000000-0005-0000-0000-0000965C0000}"/>
    <cellStyle name="Normal 2 2 4 28 5 7" xfId="23737" xr:uid="{00000000-0005-0000-0000-0000975C0000}"/>
    <cellStyle name="Normal 2 2 4 28 5 8" xfId="23738" xr:uid="{00000000-0005-0000-0000-0000985C0000}"/>
    <cellStyle name="Normal 2 2 4 28 5 9" xfId="23739" xr:uid="{00000000-0005-0000-0000-0000995C0000}"/>
    <cellStyle name="Normal 2 2 4 28 6" xfId="23740" xr:uid="{00000000-0005-0000-0000-00009A5C0000}"/>
    <cellStyle name="Normal 2 2 4 28 7" xfId="23741" xr:uid="{00000000-0005-0000-0000-00009B5C0000}"/>
    <cellStyle name="Normal 2 2 4 28 8" xfId="23742" xr:uid="{00000000-0005-0000-0000-00009C5C0000}"/>
    <cellStyle name="Normal 2 2 4 28 9" xfId="23743" xr:uid="{00000000-0005-0000-0000-00009D5C0000}"/>
    <cellStyle name="Normal 2 2 4 29" xfId="23744" xr:uid="{00000000-0005-0000-0000-00009E5C0000}"/>
    <cellStyle name="Normal 2 2 4 29 10" xfId="23745" xr:uid="{00000000-0005-0000-0000-00009F5C0000}"/>
    <cellStyle name="Normal 2 2 4 29 11" xfId="23746" xr:uid="{00000000-0005-0000-0000-0000A05C0000}"/>
    <cellStyle name="Normal 2 2 4 29 12" xfId="23747" xr:uid="{00000000-0005-0000-0000-0000A15C0000}"/>
    <cellStyle name="Normal 2 2 4 29 13" xfId="23748" xr:uid="{00000000-0005-0000-0000-0000A25C0000}"/>
    <cellStyle name="Normal 2 2 4 29 14" xfId="23749" xr:uid="{00000000-0005-0000-0000-0000A35C0000}"/>
    <cellStyle name="Normal 2 2 4 29 2" xfId="23750" xr:uid="{00000000-0005-0000-0000-0000A45C0000}"/>
    <cellStyle name="Normal 2 2 4 29 2 10" xfId="23751" xr:uid="{00000000-0005-0000-0000-0000A55C0000}"/>
    <cellStyle name="Normal 2 2 4 29 2 2" xfId="23752" xr:uid="{00000000-0005-0000-0000-0000A65C0000}"/>
    <cellStyle name="Normal 2 2 4 29 2 3" xfId="23753" xr:uid="{00000000-0005-0000-0000-0000A75C0000}"/>
    <cellStyle name="Normal 2 2 4 29 2 4" xfId="23754" xr:uid="{00000000-0005-0000-0000-0000A85C0000}"/>
    <cellStyle name="Normal 2 2 4 29 2 5" xfId="23755" xr:uid="{00000000-0005-0000-0000-0000A95C0000}"/>
    <cellStyle name="Normal 2 2 4 29 2 6" xfId="23756" xr:uid="{00000000-0005-0000-0000-0000AA5C0000}"/>
    <cellStyle name="Normal 2 2 4 29 2 7" xfId="23757" xr:uid="{00000000-0005-0000-0000-0000AB5C0000}"/>
    <cellStyle name="Normal 2 2 4 29 2 8" xfId="23758" xr:uid="{00000000-0005-0000-0000-0000AC5C0000}"/>
    <cellStyle name="Normal 2 2 4 29 2 9" xfId="23759" xr:uid="{00000000-0005-0000-0000-0000AD5C0000}"/>
    <cellStyle name="Normal 2 2 4 29 3" xfId="23760" xr:uid="{00000000-0005-0000-0000-0000AE5C0000}"/>
    <cellStyle name="Normal 2 2 4 29 3 10" xfId="23761" xr:uid="{00000000-0005-0000-0000-0000AF5C0000}"/>
    <cellStyle name="Normal 2 2 4 29 3 2" xfId="23762" xr:uid="{00000000-0005-0000-0000-0000B05C0000}"/>
    <cellStyle name="Normal 2 2 4 29 3 3" xfId="23763" xr:uid="{00000000-0005-0000-0000-0000B15C0000}"/>
    <cellStyle name="Normal 2 2 4 29 3 4" xfId="23764" xr:uid="{00000000-0005-0000-0000-0000B25C0000}"/>
    <cellStyle name="Normal 2 2 4 29 3 5" xfId="23765" xr:uid="{00000000-0005-0000-0000-0000B35C0000}"/>
    <cellStyle name="Normal 2 2 4 29 3 6" xfId="23766" xr:uid="{00000000-0005-0000-0000-0000B45C0000}"/>
    <cellStyle name="Normal 2 2 4 29 3 7" xfId="23767" xr:uid="{00000000-0005-0000-0000-0000B55C0000}"/>
    <cellStyle name="Normal 2 2 4 29 3 8" xfId="23768" xr:uid="{00000000-0005-0000-0000-0000B65C0000}"/>
    <cellStyle name="Normal 2 2 4 29 3 9" xfId="23769" xr:uid="{00000000-0005-0000-0000-0000B75C0000}"/>
    <cellStyle name="Normal 2 2 4 29 4" xfId="23770" xr:uid="{00000000-0005-0000-0000-0000B85C0000}"/>
    <cellStyle name="Normal 2 2 4 29 4 10" xfId="23771" xr:uid="{00000000-0005-0000-0000-0000B95C0000}"/>
    <cellStyle name="Normal 2 2 4 29 4 2" xfId="23772" xr:uid="{00000000-0005-0000-0000-0000BA5C0000}"/>
    <cellStyle name="Normal 2 2 4 29 4 3" xfId="23773" xr:uid="{00000000-0005-0000-0000-0000BB5C0000}"/>
    <cellStyle name="Normal 2 2 4 29 4 4" xfId="23774" xr:uid="{00000000-0005-0000-0000-0000BC5C0000}"/>
    <cellStyle name="Normal 2 2 4 29 4 5" xfId="23775" xr:uid="{00000000-0005-0000-0000-0000BD5C0000}"/>
    <cellStyle name="Normal 2 2 4 29 4 6" xfId="23776" xr:uid="{00000000-0005-0000-0000-0000BE5C0000}"/>
    <cellStyle name="Normal 2 2 4 29 4 7" xfId="23777" xr:uid="{00000000-0005-0000-0000-0000BF5C0000}"/>
    <cellStyle name="Normal 2 2 4 29 4 8" xfId="23778" xr:uid="{00000000-0005-0000-0000-0000C05C0000}"/>
    <cellStyle name="Normal 2 2 4 29 4 9" xfId="23779" xr:uid="{00000000-0005-0000-0000-0000C15C0000}"/>
    <cellStyle name="Normal 2 2 4 29 5" xfId="23780" xr:uid="{00000000-0005-0000-0000-0000C25C0000}"/>
    <cellStyle name="Normal 2 2 4 29 5 10" xfId="23781" xr:uid="{00000000-0005-0000-0000-0000C35C0000}"/>
    <cellStyle name="Normal 2 2 4 29 5 2" xfId="23782" xr:uid="{00000000-0005-0000-0000-0000C45C0000}"/>
    <cellStyle name="Normal 2 2 4 29 5 3" xfId="23783" xr:uid="{00000000-0005-0000-0000-0000C55C0000}"/>
    <cellStyle name="Normal 2 2 4 29 5 4" xfId="23784" xr:uid="{00000000-0005-0000-0000-0000C65C0000}"/>
    <cellStyle name="Normal 2 2 4 29 5 5" xfId="23785" xr:uid="{00000000-0005-0000-0000-0000C75C0000}"/>
    <cellStyle name="Normal 2 2 4 29 5 6" xfId="23786" xr:uid="{00000000-0005-0000-0000-0000C85C0000}"/>
    <cellStyle name="Normal 2 2 4 29 5 7" xfId="23787" xr:uid="{00000000-0005-0000-0000-0000C95C0000}"/>
    <cellStyle name="Normal 2 2 4 29 5 8" xfId="23788" xr:uid="{00000000-0005-0000-0000-0000CA5C0000}"/>
    <cellStyle name="Normal 2 2 4 29 5 9" xfId="23789" xr:uid="{00000000-0005-0000-0000-0000CB5C0000}"/>
    <cellStyle name="Normal 2 2 4 29 6" xfId="23790" xr:uid="{00000000-0005-0000-0000-0000CC5C0000}"/>
    <cellStyle name="Normal 2 2 4 29 7" xfId="23791" xr:uid="{00000000-0005-0000-0000-0000CD5C0000}"/>
    <cellStyle name="Normal 2 2 4 29 8" xfId="23792" xr:uid="{00000000-0005-0000-0000-0000CE5C0000}"/>
    <cellStyle name="Normal 2 2 4 29 9" xfId="23793" xr:uid="{00000000-0005-0000-0000-0000CF5C0000}"/>
    <cellStyle name="Normal 2 2 4 3" xfId="23794" xr:uid="{00000000-0005-0000-0000-0000D05C0000}"/>
    <cellStyle name="Normal 2 2 4 3 10" xfId="23795" xr:uid="{00000000-0005-0000-0000-0000D15C0000}"/>
    <cellStyle name="Normal 2 2 4 3 11" xfId="23796" xr:uid="{00000000-0005-0000-0000-0000D25C0000}"/>
    <cellStyle name="Normal 2 2 4 3 12" xfId="23797" xr:uid="{00000000-0005-0000-0000-0000D35C0000}"/>
    <cellStyle name="Normal 2 2 4 3 13" xfId="23798" xr:uid="{00000000-0005-0000-0000-0000D45C0000}"/>
    <cellStyle name="Normal 2 2 4 3 14" xfId="23799" xr:uid="{00000000-0005-0000-0000-0000D55C0000}"/>
    <cellStyle name="Normal 2 2 4 3 2" xfId="23800" xr:uid="{00000000-0005-0000-0000-0000D65C0000}"/>
    <cellStyle name="Normal 2 2 4 3 2 10" xfId="23801" xr:uid="{00000000-0005-0000-0000-0000D75C0000}"/>
    <cellStyle name="Normal 2 2 4 3 2 2" xfId="23802" xr:uid="{00000000-0005-0000-0000-0000D85C0000}"/>
    <cellStyle name="Normal 2 2 4 3 2 3" xfId="23803" xr:uid="{00000000-0005-0000-0000-0000D95C0000}"/>
    <cellStyle name="Normal 2 2 4 3 2 4" xfId="23804" xr:uid="{00000000-0005-0000-0000-0000DA5C0000}"/>
    <cellStyle name="Normal 2 2 4 3 2 5" xfId="23805" xr:uid="{00000000-0005-0000-0000-0000DB5C0000}"/>
    <cellStyle name="Normal 2 2 4 3 2 6" xfId="23806" xr:uid="{00000000-0005-0000-0000-0000DC5C0000}"/>
    <cellStyle name="Normal 2 2 4 3 2 7" xfId="23807" xr:uid="{00000000-0005-0000-0000-0000DD5C0000}"/>
    <cellStyle name="Normal 2 2 4 3 2 8" xfId="23808" xr:uid="{00000000-0005-0000-0000-0000DE5C0000}"/>
    <cellStyle name="Normal 2 2 4 3 2 9" xfId="23809" xr:uid="{00000000-0005-0000-0000-0000DF5C0000}"/>
    <cellStyle name="Normal 2 2 4 3 3" xfId="23810" xr:uid="{00000000-0005-0000-0000-0000E05C0000}"/>
    <cellStyle name="Normal 2 2 4 3 3 10" xfId="23811" xr:uid="{00000000-0005-0000-0000-0000E15C0000}"/>
    <cellStyle name="Normal 2 2 4 3 3 2" xfId="23812" xr:uid="{00000000-0005-0000-0000-0000E25C0000}"/>
    <cellStyle name="Normal 2 2 4 3 3 3" xfId="23813" xr:uid="{00000000-0005-0000-0000-0000E35C0000}"/>
    <cellStyle name="Normal 2 2 4 3 3 4" xfId="23814" xr:uid="{00000000-0005-0000-0000-0000E45C0000}"/>
    <cellStyle name="Normal 2 2 4 3 3 5" xfId="23815" xr:uid="{00000000-0005-0000-0000-0000E55C0000}"/>
    <cellStyle name="Normal 2 2 4 3 3 6" xfId="23816" xr:uid="{00000000-0005-0000-0000-0000E65C0000}"/>
    <cellStyle name="Normal 2 2 4 3 3 7" xfId="23817" xr:uid="{00000000-0005-0000-0000-0000E75C0000}"/>
    <cellStyle name="Normal 2 2 4 3 3 8" xfId="23818" xr:uid="{00000000-0005-0000-0000-0000E85C0000}"/>
    <cellStyle name="Normal 2 2 4 3 3 9" xfId="23819" xr:uid="{00000000-0005-0000-0000-0000E95C0000}"/>
    <cellStyle name="Normal 2 2 4 3 4" xfId="23820" xr:uid="{00000000-0005-0000-0000-0000EA5C0000}"/>
    <cellStyle name="Normal 2 2 4 3 4 10" xfId="23821" xr:uid="{00000000-0005-0000-0000-0000EB5C0000}"/>
    <cellStyle name="Normal 2 2 4 3 4 2" xfId="23822" xr:uid="{00000000-0005-0000-0000-0000EC5C0000}"/>
    <cellStyle name="Normal 2 2 4 3 4 3" xfId="23823" xr:uid="{00000000-0005-0000-0000-0000ED5C0000}"/>
    <cellStyle name="Normal 2 2 4 3 4 4" xfId="23824" xr:uid="{00000000-0005-0000-0000-0000EE5C0000}"/>
    <cellStyle name="Normal 2 2 4 3 4 5" xfId="23825" xr:uid="{00000000-0005-0000-0000-0000EF5C0000}"/>
    <cellStyle name="Normal 2 2 4 3 4 6" xfId="23826" xr:uid="{00000000-0005-0000-0000-0000F05C0000}"/>
    <cellStyle name="Normal 2 2 4 3 4 7" xfId="23827" xr:uid="{00000000-0005-0000-0000-0000F15C0000}"/>
    <cellStyle name="Normal 2 2 4 3 4 8" xfId="23828" xr:uid="{00000000-0005-0000-0000-0000F25C0000}"/>
    <cellStyle name="Normal 2 2 4 3 4 9" xfId="23829" xr:uid="{00000000-0005-0000-0000-0000F35C0000}"/>
    <cellStyle name="Normal 2 2 4 3 5" xfId="23830" xr:uid="{00000000-0005-0000-0000-0000F45C0000}"/>
    <cellStyle name="Normal 2 2 4 3 5 10" xfId="23831" xr:uid="{00000000-0005-0000-0000-0000F55C0000}"/>
    <cellStyle name="Normal 2 2 4 3 5 2" xfId="23832" xr:uid="{00000000-0005-0000-0000-0000F65C0000}"/>
    <cellStyle name="Normal 2 2 4 3 5 3" xfId="23833" xr:uid="{00000000-0005-0000-0000-0000F75C0000}"/>
    <cellStyle name="Normal 2 2 4 3 5 4" xfId="23834" xr:uid="{00000000-0005-0000-0000-0000F85C0000}"/>
    <cellStyle name="Normal 2 2 4 3 5 5" xfId="23835" xr:uid="{00000000-0005-0000-0000-0000F95C0000}"/>
    <cellStyle name="Normal 2 2 4 3 5 6" xfId="23836" xr:uid="{00000000-0005-0000-0000-0000FA5C0000}"/>
    <cellStyle name="Normal 2 2 4 3 5 7" xfId="23837" xr:uid="{00000000-0005-0000-0000-0000FB5C0000}"/>
    <cellStyle name="Normal 2 2 4 3 5 8" xfId="23838" xr:uid="{00000000-0005-0000-0000-0000FC5C0000}"/>
    <cellStyle name="Normal 2 2 4 3 5 9" xfId="23839" xr:uid="{00000000-0005-0000-0000-0000FD5C0000}"/>
    <cellStyle name="Normal 2 2 4 3 6" xfId="23840" xr:uid="{00000000-0005-0000-0000-0000FE5C0000}"/>
    <cellStyle name="Normal 2 2 4 3 7" xfId="23841" xr:uid="{00000000-0005-0000-0000-0000FF5C0000}"/>
    <cellStyle name="Normal 2 2 4 3 8" xfId="23842" xr:uid="{00000000-0005-0000-0000-0000005D0000}"/>
    <cellStyle name="Normal 2 2 4 3 9" xfId="23843" xr:uid="{00000000-0005-0000-0000-0000015D0000}"/>
    <cellStyle name="Normal 2 2 4 30" xfId="23844" xr:uid="{00000000-0005-0000-0000-0000025D0000}"/>
    <cellStyle name="Normal 2 2 4 30 10" xfId="23845" xr:uid="{00000000-0005-0000-0000-0000035D0000}"/>
    <cellStyle name="Normal 2 2 4 30 11" xfId="23846" xr:uid="{00000000-0005-0000-0000-0000045D0000}"/>
    <cellStyle name="Normal 2 2 4 30 12" xfId="23847" xr:uid="{00000000-0005-0000-0000-0000055D0000}"/>
    <cellStyle name="Normal 2 2 4 30 13" xfId="23848" xr:uid="{00000000-0005-0000-0000-0000065D0000}"/>
    <cellStyle name="Normal 2 2 4 30 14" xfId="23849" xr:uid="{00000000-0005-0000-0000-0000075D0000}"/>
    <cellStyle name="Normal 2 2 4 30 2" xfId="23850" xr:uid="{00000000-0005-0000-0000-0000085D0000}"/>
    <cellStyle name="Normal 2 2 4 30 2 10" xfId="23851" xr:uid="{00000000-0005-0000-0000-0000095D0000}"/>
    <cellStyle name="Normal 2 2 4 30 2 2" xfId="23852" xr:uid="{00000000-0005-0000-0000-00000A5D0000}"/>
    <cellStyle name="Normal 2 2 4 30 2 3" xfId="23853" xr:uid="{00000000-0005-0000-0000-00000B5D0000}"/>
    <cellStyle name="Normal 2 2 4 30 2 4" xfId="23854" xr:uid="{00000000-0005-0000-0000-00000C5D0000}"/>
    <cellStyle name="Normal 2 2 4 30 2 5" xfId="23855" xr:uid="{00000000-0005-0000-0000-00000D5D0000}"/>
    <cellStyle name="Normal 2 2 4 30 2 6" xfId="23856" xr:uid="{00000000-0005-0000-0000-00000E5D0000}"/>
    <cellStyle name="Normal 2 2 4 30 2 7" xfId="23857" xr:uid="{00000000-0005-0000-0000-00000F5D0000}"/>
    <cellStyle name="Normal 2 2 4 30 2 8" xfId="23858" xr:uid="{00000000-0005-0000-0000-0000105D0000}"/>
    <cellStyle name="Normal 2 2 4 30 2 9" xfId="23859" xr:uid="{00000000-0005-0000-0000-0000115D0000}"/>
    <cellStyle name="Normal 2 2 4 30 3" xfId="23860" xr:uid="{00000000-0005-0000-0000-0000125D0000}"/>
    <cellStyle name="Normal 2 2 4 30 3 10" xfId="23861" xr:uid="{00000000-0005-0000-0000-0000135D0000}"/>
    <cellStyle name="Normal 2 2 4 30 3 2" xfId="23862" xr:uid="{00000000-0005-0000-0000-0000145D0000}"/>
    <cellStyle name="Normal 2 2 4 30 3 3" xfId="23863" xr:uid="{00000000-0005-0000-0000-0000155D0000}"/>
    <cellStyle name="Normal 2 2 4 30 3 4" xfId="23864" xr:uid="{00000000-0005-0000-0000-0000165D0000}"/>
    <cellStyle name="Normal 2 2 4 30 3 5" xfId="23865" xr:uid="{00000000-0005-0000-0000-0000175D0000}"/>
    <cellStyle name="Normal 2 2 4 30 3 6" xfId="23866" xr:uid="{00000000-0005-0000-0000-0000185D0000}"/>
    <cellStyle name="Normal 2 2 4 30 3 7" xfId="23867" xr:uid="{00000000-0005-0000-0000-0000195D0000}"/>
    <cellStyle name="Normal 2 2 4 30 3 8" xfId="23868" xr:uid="{00000000-0005-0000-0000-00001A5D0000}"/>
    <cellStyle name="Normal 2 2 4 30 3 9" xfId="23869" xr:uid="{00000000-0005-0000-0000-00001B5D0000}"/>
    <cellStyle name="Normal 2 2 4 30 4" xfId="23870" xr:uid="{00000000-0005-0000-0000-00001C5D0000}"/>
    <cellStyle name="Normal 2 2 4 30 4 10" xfId="23871" xr:uid="{00000000-0005-0000-0000-00001D5D0000}"/>
    <cellStyle name="Normal 2 2 4 30 4 2" xfId="23872" xr:uid="{00000000-0005-0000-0000-00001E5D0000}"/>
    <cellStyle name="Normal 2 2 4 30 4 3" xfId="23873" xr:uid="{00000000-0005-0000-0000-00001F5D0000}"/>
    <cellStyle name="Normal 2 2 4 30 4 4" xfId="23874" xr:uid="{00000000-0005-0000-0000-0000205D0000}"/>
    <cellStyle name="Normal 2 2 4 30 4 5" xfId="23875" xr:uid="{00000000-0005-0000-0000-0000215D0000}"/>
    <cellStyle name="Normal 2 2 4 30 4 6" xfId="23876" xr:uid="{00000000-0005-0000-0000-0000225D0000}"/>
    <cellStyle name="Normal 2 2 4 30 4 7" xfId="23877" xr:uid="{00000000-0005-0000-0000-0000235D0000}"/>
    <cellStyle name="Normal 2 2 4 30 4 8" xfId="23878" xr:uid="{00000000-0005-0000-0000-0000245D0000}"/>
    <cellStyle name="Normal 2 2 4 30 4 9" xfId="23879" xr:uid="{00000000-0005-0000-0000-0000255D0000}"/>
    <cellStyle name="Normal 2 2 4 30 5" xfId="23880" xr:uid="{00000000-0005-0000-0000-0000265D0000}"/>
    <cellStyle name="Normal 2 2 4 30 5 10" xfId="23881" xr:uid="{00000000-0005-0000-0000-0000275D0000}"/>
    <cellStyle name="Normal 2 2 4 30 5 2" xfId="23882" xr:uid="{00000000-0005-0000-0000-0000285D0000}"/>
    <cellStyle name="Normal 2 2 4 30 5 3" xfId="23883" xr:uid="{00000000-0005-0000-0000-0000295D0000}"/>
    <cellStyle name="Normal 2 2 4 30 5 4" xfId="23884" xr:uid="{00000000-0005-0000-0000-00002A5D0000}"/>
    <cellStyle name="Normal 2 2 4 30 5 5" xfId="23885" xr:uid="{00000000-0005-0000-0000-00002B5D0000}"/>
    <cellStyle name="Normal 2 2 4 30 5 6" xfId="23886" xr:uid="{00000000-0005-0000-0000-00002C5D0000}"/>
    <cellStyle name="Normal 2 2 4 30 5 7" xfId="23887" xr:uid="{00000000-0005-0000-0000-00002D5D0000}"/>
    <cellStyle name="Normal 2 2 4 30 5 8" xfId="23888" xr:uid="{00000000-0005-0000-0000-00002E5D0000}"/>
    <cellStyle name="Normal 2 2 4 30 5 9" xfId="23889" xr:uid="{00000000-0005-0000-0000-00002F5D0000}"/>
    <cellStyle name="Normal 2 2 4 30 6" xfId="23890" xr:uid="{00000000-0005-0000-0000-0000305D0000}"/>
    <cellStyle name="Normal 2 2 4 30 7" xfId="23891" xr:uid="{00000000-0005-0000-0000-0000315D0000}"/>
    <cellStyle name="Normal 2 2 4 30 8" xfId="23892" xr:uid="{00000000-0005-0000-0000-0000325D0000}"/>
    <cellStyle name="Normal 2 2 4 30 9" xfId="23893" xr:uid="{00000000-0005-0000-0000-0000335D0000}"/>
    <cellStyle name="Normal 2 2 4 31" xfId="23894" xr:uid="{00000000-0005-0000-0000-0000345D0000}"/>
    <cellStyle name="Normal 2 2 4 31 10" xfId="23895" xr:uid="{00000000-0005-0000-0000-0000355D0000}"/>
    <cellStyle name="Normal 2 2 4 31 11" xfId="23896" xr:uid="{00000000-0005-0000-0000-0000365D0000}"/>
    <cellStyle name="Normal 2 2 4 31 12" xfId="23897" xr:uid="{00000000-0005-0000-0000-0000375D0000}"/>
    <cellStyle name="Normal 2 2 4 31 13" xfId="23898" xr:uid="{00000000-0005-0000-0000-0000385D0000}"/>
    <cellStyle name="Normal 2 2 4 31 14" xfId="23899" xr:uid="{00000000-0005-0000-0000-0000395D0000}"/>
    <cellStyle name="Normal 2 2 4 31 2" xfId="23900" xr:uid="{00000000-0005-0000-0000-00003A5D0000}"/>
    <cellStyle name="Normal 2 2 4 31 2 10" xfId="23901" xr:uid="{00000000-0005-0000-0000-00003B5D0000}"/>
    <cellStyle name="Normal 2 2 4 31 2 2" xfId="23902" xr:uid="{00000000-0005-0000-0000-00003C5D0000}"/>
    <cellStyle name="Normal 2 2 4 31 2 3" xfId="23903" xr:uid="{00000000-0005-0000-0000-00003D5D0000}"/>
    <cellStyle name="Normal 2 2 4 31 2 4" xfId="23904" xr:uid="{00000000-0005-0000-0000-00003E5D0000}"/>
    <cellStyle name="Normal 2 2 4 31 2 5" xfId="23905" xr:uid="{00000000-0005-0000-0000-00003F5D0000}"/>
    <cellStyle name="Normal 2 2 4 31 2 6" xfId="23906" xr:uid="{00000000-0005-0000-0000-0000405D0000}"/>
    <cellStyle name="Normal 2 2 4 31 2 7" xfId="23907" xr:uid="{00000000-0005-0000-0000-0000415D0000}"/>
    <cellStyle name="Normal 2 2 4 31 2 8" xfId="23908" xr:uid="{00000000-0005-0000-0000-0000425D0000}"/>
    <cellStyle name="Normal 2 2 4 31 2 9" xfId="23909" xr:uid="{00000000-0005-0000-0000-0000435D0000}"/>
    <cellStyle name="Normal 2 2 4 31 3" xfId="23910" xr:uid="{00000000-0005-0000-0000-0000445D0000}"/>
    <cellStyle name="Normal 2 2 4 31 3 10" xfId="23911" xr:uid="{00000000-0005-0000-0000-0000455D0000}"/>
    <cellStyle name="Normal 2 2 4 31 3 2" xfId="23912" xr:uid="{00000000-0005-0000-0000-0000465D0000}"/>
    <cellStyle name="Normal 2 2 4 31 3 3" xfId="23913" xr:uid="{00000000-0005-0000-0000-0000475D0000}"/>
    <cellStyle name="Normal 2 2 4 31 3 4" xfId="23914" xr:uid="{00000000-0005-0000-0000-0000485D0000}"/>
    <cellStyle name="Normal 2 2 4 31 3 5" xfId="23915" xr:uid="{00000000-0005-0000-0000-0000495D0000}"/>
    <cellStyle name="Normal 2 2 4 31 3 6" xfId="23916" xr:uid="{00000000-0005-0000-0000-00004A5D0000}"/>
    <cellStyle name="Normal 2 2 4 31 3 7" xfId="23917" xr:uid="{00000000-0005-0000-0000-00004B5D0000}"/>
    <cellStyle name="Normal 2 2 4 31 3 8" xfId="23918" xr:uid="{00000000-0005-0000-0000-00004C5D0000}"/>
    <cellStyle name="Normal 2 2 4 31 3 9" xfId="23919" xr:uid="{00000000-0005-0000-0000-00004D5D0000}"/>
    <cellStyle name="Normal 2 2 4 31 4" xfId="23920" xr:uid="{00000000-0005-0000-0000-00004E5D0000}"/>
    <cellStyle name="Normal 2 2 4 31 4 10" xfId="23921" xr:uid="{00000000-0005-0000-0000-00004F5D0000}"/>
    <cellStyle name="Normal 2 2 4 31 4 2" xfId="23922" xr:uid="{00000000-0005-0000-0000-0000505D0000}"/>
    <cellStyle name="Normal 2 2 4 31 4 3" xfId="23923" xr:uid="{00000000-0005-0000-0000-0000515D0000}"/>
    <cellStyle name="Normal 2 2 4 31 4 4" xfId="23924" xr:uid="{00000000-0005-0000-0000-0000525D0000}"/>
    <cellStyle name="Normal 2 2 4 31 4 5" xfId="23925" xr:uid="{00000000-0005-0000-0000-0000535D0000}"/>
    <cellStyle name="Normal 2 2 4 31 4 6" xfId="23926" xr:uid="{00000000-0005-0000-0000-0000545D0000}"/>
    <cellStyle name="Normal 2 2 4 31 4 7" xfId="23927" xr:uid="{00000000-0005-0000-0000-0000555D0000}"/>
    <cellStyle name="Normal 2 2 4 31 4 8" xfId="23928" xr:uid="{00000000-0005-0000-0000-0000565D0000}"/>
    <cellStyle name="Normal 2 2 4 31 4 9" xfId="23929" xr:uid="{00000000-0005-0000-0000-0000575D0000}"/>
    <cellStyle name="Normal 2 2 4 31 5" xfId="23930" xr:uid="{00000000-0005-0000-0000-0000585D0000}"/>
    <cellStyle name="Normal 2 2 4 31 5 10" xfId="23931" xr:uid="{00000000-0005-0000-0000-0000595D0000}"/>
    <cellStyle name="Normal 2 2 4 31 5 2" xfId="23932" xr:uid="{00000000-0005-0000-0000-00005A5D0000}"/>
    <cellStyle name="Normal 2 2 4 31 5 3" xfId="23933" xr:uid="{00000000-0005-0000-0000-00005B5D0000}"/>
    <cellStyle name="Normal 2 2 4 31 5 4" xfId="23934" xr:uid="{00000000-0005-0000-0000-00005C5D0000}"/>
    <cellStyle name="Normal 2 2 4 31 5 5" xfId="23935" xr:uid="{00000000-0005-0000-0000-00005D5D0000}"/>
    <cellStyle name="Normal 2 2 4 31 5 6" xfId="23936" xr:uid="{00000000-0005-0000-0000-00005E5D0000}"/>
    <cellStyle name="Normal 2 2 4 31 5 7" xfId="23937" xr:uid="{00000000-0005-0000-0000-00005F5D0000}"/>
    <cellStyle name="Normal 2 2 4 31 5 8" xfId="23938" xr:uid="{00000000-0005-0000-0000-0000605D0000}"/>
    <cellStyle name="Normal 2 2 4 31 5 9" xfId="23939" xr:uid="{00000000-0005-0000-0000-0000615D0000}"/>
    <cellStyle name="Normal 2 2 4 31 6" xfId="23940" xr:uid="{00000000-0005-0000-0000-0000625D0000}"/>
    <cellStyle name="Normal 2 2 4 31 7" xfId="23941" xr:uid="{00000000-0005-0000-0000-0000635D0000}"/>
    <cellStyle name="Normal 2 2 4 31 8" xfId="23942" xr:uid="{00000000-0005-0000-0000-0000645D0000}"/>
    <cellStyle name="Normal 2 2 4 31 9" xfId="23943" xr:uid="{00000000-0005-0000-0000-0000655D0000}"/>
    <cellStyle name="Normal 2 2 4 32" xfId="23944" xr:uid="{00000000-0005-0000-0000-0000665D0000}"/>
    <cellStyle name="Normal 2 2 4 32 10" xfId="23945" xr:uid="{00000000-0005-0000-0000-0000675D0000}"/>
    <cellStyle name="Normal 2 2 4 32 11" xfId="23946" xr:uid="{00000000-0005-0000-0000-0000685D0000}"/>
    <cellStyle name="Normal 2 2 4 32 12" xfId="23947" xr:uid="{00000000-0005-0000-0000-0000695D0000}"/>
    <cellStyle name="Normal 2 2 4 32 13" xfId="23948" xr:uid="{00000000-0005-0000-0000-00006A5D0000}"/>
    <cellStyle name="Normal 2 2 4 32 14" xfId="23949" xr:uid="{00000000-0005-0000-0000-00006B5D0000}"/>
    <cellStyle name="Normal 2 2 4 32 2" xfId="23950" xr:uid="{00000000-0005-0000-0000-00006C5D0000}"/>
    <cellStyle name="Normal 2 2 4 32 2 10" xfId="23951" xr:uid="{00000000-0005-0000-0000-00006D5D0000}"/>
    <cellStyle name="Normal 2 2 4 32 2 2" xfId="23952" xr:uid="{00000000-0005-0000-0000-00006E5D0000}"/>
    <cellStyle name="Normal 2 2 4 32 2 3" xfId="23953" xr:uid="{00000000-0005-0000-0000-00006F5D0000}"/>
    <cellStyle name="Normal 2 2 4 32 2 4" xfId="23954" xr:uid="{00000000-0005-0000-0000-0000705D0000}"/>
    <cellStyle name="Normal 2 2 4 32 2 5" xfId="23955" xr:uid="{00000000-0005-0000-0000-0000715D0000}"/>
    <cellStyle name="Normal 2 2 4 32 2 6" xfId="23956" xr:uid="{00000000-0005-0000-0000-0000725D0000}"/>
    <cellStyle name="Normal 2 2 4 32 2 7" xfId="23957" xr:uid="{00000000-0005-0000-0000-0000735D0000}"/>
    <cellStyle name="Normal 2 2 4 32 2 8" xfId="23958" xr:uid="{00000000-0005-0000-0000-0000745D0000}"/>
    <cellStyle name="Normal 2 2 4 32 2 9" xfId="23959" xr:uid="{00000000-0005-0000-0000-0000755D0000}"/>
    <cellStyle name="Normal 2 2 4 32 3" xfId="23960" xr:uid="{00000000-0005-0000-0000-0000765D0000}"/>
    <cellStyle name="Normal 2 2 4 32 3 10" xfId="23961" xr:uid="{00000000-0005-0000-0000-0000775D0000}"/>
    <cellStyle name="Normal 2 2 4 32 3 2" xfId="23962" xr:uid="{00000000-0005-0000-0000-0000785D0000}"/>
    <cellStyle name="Normal 2 2 4 32 3 3" xfId="23963" xr:uid="{00000000-0005-0000-0000-0000795D0000}"/>
    <cellStyle name="Normal 2 2 4 32 3 4" xfId="23964" xr:uid="{00000000-0005-0000-0000-00007A5D0000}"/>
    <cellStyle name="Normal 2 2 4 32 3 5" xfId="23965" xr:uid="{00000000-0005-0000-0000-00007B5D0000}"/>
    <cellStyle name="Normal 2 2 4 32 3 6" xfId="23966" xr:uid="{00000000-0005-0000-0000-00007C5D0000}"/>
    <cellStyle name="Normal 2 2 4 32 3 7" xfId="23967" xr:uid="{00000000-0005-0000-0000-00007D5D0000}"/>
    <cellStyle name="Normal 2 2 4 32 3 8" xfId="23968" xr:uid="{00000000-0005-0000-0000-00007E5D0000}"/>
    <cellStyle name="Normal 2 2 4 32 3 9" xfId="23969" xr:uid="{00000000-0005-0000-0000-00007F5D0000}"/>
    <cellStyle name="Normal 2 2 4 32 4" xfId="23970" xr:uid="{00000000-0005-0000-0000-0000805D0000}"/>
    <cellStyle name="Normal 2 2 4 32 4 10" xfId="23971" xr:uid="{00000000-0005-0000-0000-0000815D0000}"/>
    <cellStyle name="Normal 2 2 4 32 4 2" xfId="23972" xr:uid="{00000000-0005-0000-0000-0000825D0000}"/>
    <cellStyle name="Normal 2 2 4 32 4 3" xfId="23973" xr:uid="{00000000-0005-0000-0000-0000835D0000}"/>
    <cellStyle name="Normal 2 2 4 32 4 4" xfId="23974" xr:uid="{00000000-0005-0000-0000-0000845D0000}"/>
    <cellStyle name="Normal 2 2 4 32 4 5" xfId="23975" xr:uid="{00000000-0005-0000-0000-0000855D0000}"/>
    <cellStyle name="Normal 2 2 4 32 4 6" xfId="23976" xr:uid="{00000000-0005-0000-0000-0000865D0000}"/>
    <cellStyle name="Normal 2 2 4 32 4 7" xfId="23977" xr:uid="{00000000-0005-0000-0000-0000875D0000}"/>
    <cellStyle name="Normal 2 2 4 32 4 8" xfId="23978" xr:uid="{00000000-0005-0000-0000-0000885D0000}"/>
    <cellStyle name="Normal 2 2 4 32 4 9" xfId="23979" xr:uid="{00000000-0005-0000-0000-0000895D0000}"/>
    <cellStyle name="Normal 2 2 4 32 5" xfId="23980" xr:uid="{00000000-0005-0000-0000-00008A5D0000}"/>
    <cellStyle name="Normal 2 2 4 32 5 10" xfId="23981" xr:uid="{00000000-0005-0000-0000-00008B5D0000}"/>
    <cellStyle name="Normal 2 2 4 32 5 2" xfId="23982" xr:uid="{00000000-0005-0000-0000-00008C5D0000}"/>
    <cellStyle name="Normal 2 2 4 32 5 3" xfId="23983" xr:uid="{00000000-0005-0000-0000-00008D5D0000}"/>
    <cellStyle name="Normal 2 2 4 32 5 4" xfId="23984" xr:uid="{00000000-0005-0000-0000-00008E5D0000}"/>
    <cellStyle name="Normal 2 2 4 32 5 5" xfId="23985" xr:uid="{00000000-0005-0000-0000-00008F5D0000}"/>
    <cellStyle name="Normal 2 2 4 32 5 6" xfId="23986" xr:uid="{00000000-0005-0000-0000-0000905D0000}"/>
    <cellStyle name="Normal 2 2 4 32 5 7" xfId="23987" xr:uid="{00000000-0005-0000-0000-0000915D0000}"/>
    <cellStyle name="Normal 2 2 4 32 5 8" xfId="23988" xr:uid="{00000000-0005-0000-0000-0000925D0000}"/>
    <cellStyle name="Normal 2 2 4 32 5 9" xfId="23989" xr:uid="{00000000-0005-0000-0000-0000935D0000}"/>
    <cellStyle name="Normal 2 2 4 32 6" xfId="23990" xr:uid="{00000000-0005-0000-0000-0000945D0000}"/>
    <cellStyle name="Normal 2 2 4 32 7" xfId="23991" xr:uid="{00000000-0005-0000-0000-0000955D0000}"/>
    <cellStyle name="Normal 2 2 4 32 8" xfId="23992" xr:uid="{00000000-0005-0000-0000-0000965D0000}"/>
    <cellStyle name="Normal 2 2 4 32 9" xfId="23993" xr:uid="{00000000-0005-0000-0000-0000975D0000}"/>
    <cellStyle name="Normal 2 2 4 33" xfId="23994" xr:uid="{00000000-0005-0000-0000-0000985D0000}"/>
    <cellStyle name="Normal 2 2 4 33 10" xfId="23995" xr:uid="{00000000-0005-0000-0000-0000995D0000}"/>
    <cellStyle name="Normal 2 2 4 33 11" xfId="23996" xr:uid="{00000000-0005-0000-0000-00009A5D0000}"/>
    <cellStyle name="Normal 2 2 4 33 12" xfId="23997" xr:uid="{00000000-0005-0000-0000-00009B5D0000}"/>
    <cellStyle name="Normal 2 2 4 33 13" xfId="23998" xr:uid="{00000000-0005-0000-0000-00009C5D0000}"/>
    <cellStyle name="Normal 2 2 4 33 14" xfId="23999" xr:uid="{00000000-0005-0000-0000-00009D5D0000}"/>
    <cellStyle name="Normal 2 2 4 33 2" xfId="24000" xr:uid="{00000000-0005-0000-0000-00009E5D0000}"/>
    <cellStyle name="Normal 2 2 4 33 2 10" xfId="24001" xr:uid="{00000000-0005-0000-0000-00009F5D0000}"/>
    <cellStyle name="Normal 2 2 4 33 2 2" xfId="24002" xr:uid="{00000000-0005-0000-0000-0000A05D0000}"/>
    <cellStyle name="Normal 2 2 4 33 2 3" xfId="24003" xr:uid="{00000000-0005-0000-0000-0000A15D0000}"/>
    <cellStyle name="Normal 2 2 4 33 2 4" xfId="24004" xr:uid="{00000000-0005-0000-0000-0000A25D0000}"/>
    <cellStyle name="Normal 2 2 4 33 2 5" xfId="24005" xr:uid="{00000000-0005-0000-0000-0000A35D0000}"/>
    <cellStyle name="Normal 2 2 4 33 2 6" xfId="24006" xr:uid="{00000000-0005-0000-0000-0000A45D0000}"/>
    <cellStyle name="Normal 2 2 4 33 2 7" xfId="24007" xr:uid="{00000000-0005-0000-0000-0000A55D0000}"/>
    <cellStyle name="Normal 2 2 4 33 2 8" xfId="24008" xr:uid="{00000000-0005-0000-0000-0000A65D0000}"/>
    <cellStyle name="Normal 2 2 4 33 2 9" xfId="24009" xr:uid="{00000000-0005-0000-0000-0000A75D0000}"/>
    <cellStyle name="Normal 2 2 4 33 3" xfId="24010" xr:uid="{00000000-0005-0000-0000-0000A85D0000}"/>
    <cellStyle name="Normal 2 2 4 33 3 10" xfId="24011" xr:uid="{00000000-0005-0000-0000-0000A95D0000}"/>
    <cellStyle name="Normal 2 2 4 33 3 2" xfId="24012" xr:uid="{00000000-0005-0000-0000-0000AA5D0000}"/>
    <cellStyle name="Normal 2 2 4 33 3 3" xfId="24013" xr:uid="{00000000-0005-0000-0000-0000AB5D0000}"/>
    <cellStyle name="Normal 2 2 4 33 3 4" xfId="24014" xr:uid="{00000000-0005-0000-0000-0000AC5D0000}"/>
    <cellStyle name="Normal 2 2 4 33 3 5" xfId="24015" xr:uid="{00000000-0005-0000-0000-0000AD5D0000}"/>
    <cellStyle name="Normal 2 2 4 33 3 6" xfId="24016" xr:uid="{00000000-0005-0000-0000-0000AE5D0000}"/>
    <cellStyle name="Normal 2 2 4 33 3 7" xfId="24017" xr:uid="{00000000-0005-0000-0000-0000AF5D0000}"/>
    <cellStyle name="Normal 2 2 4 33 3 8" xfId="24018" xr:uid="{00000000-0005-0000-0000-0000B05D0000}"/>
    <cellStyle name="Normal 2 2 4 33 3 9" xfId="24019" xr:uid="{00000000-0005-0000-0000-0000B15D0000}"/>
    <cellStyle name="Normal 2 2 4 33 4" xfId="24020" xr:uid="{00000000-0005-0000-0000-0000B25D0000}"/>
    <cellStyle name="Normal 2 2 4 33 4 10" xfId="24021" xr:uid="{00000000-0005-0000-0000-0000B35D0000}"/>
    <cellStyle name="Normal 2 2 4 33 4 2" xfId="24022" xr:uid="{00000000-0005-0000-0000-0000B45D0000}"/>
    <cellStyle name="Normal 2 2 4 33 4 3" xfId="24023" xr:uid="{00000000-0005-0000-0000-0000B55D0000}"/>
    <cellStyle name="Normal 2 2 4 33 4 4" xfId="24024" xr:uid="{00000000-0005-0000-0000-0000B65D0000}"/>
    <cellStyle name="Normal 2 2 4 33 4 5" xfId="24025" xr:uid="{00000000-0005-0000-0000-0000B75D0000}"/>
    <cellStyle name="Normal 2 2 4 33 4 6" xfId="24026" xr:uid="{00000000-0005-0000-0000-0000B85D0000}"/>
    <cellStyle name="Normal 2 2 4 33 4 7" xfId="24027" xr:uid="{00000000-0005-0000-0000-0000B95D0000}"/>
    <cellStyle name="Normal 2 2 4 33 4 8" xfId="24028" xr:uid="{00000000-0005-0000-0000-0000BA5D0000}"/>
    <cellStyle name="Normal 2 2 4 33 4 9" xfId="24029" xr:uid="{00000000-0005-0000-0000-0000BB5D0000}"/>
    <cellStyle name="Normal 2 2 4 33 5" xfId="24030" xr:uid="{00000000-0005-0000-0000-0000BC5D0000}"/>
    <cellStyle name="Normal 2 2 4 33 5 10" xfId="24031" xr:uid="{00000000-0005-0000-0000-0000BD5D0000}"/>
    <cellStyle name="Normal 2 2 4 33 5 2" xfId="24032" xr:uid="{00000000-0005-0000-0000-0000BE5D0000}"/>
    <cellStyle name="Normal 2 2 4 33 5 3" xfId="24033" xr:uid="{00000000-0005-0000-0000-0000BF5D0000}"/>
    <cellStyle name="Normal 2 2 4 33 5 4" xfId="24034" xr:uid="{00000000-0005-0000-0000-0000C05D0000}"/>
    <cellStyle name="Normal 2 2 4 33 5 5" xfId="24035" xr:uid="{00000000-0005-0000-0000-0000C15D0000}"/>
    <cellStyle name="Normal 2 2 4 33 5 6" xfId="24036" xr:uid="{00000000-0005-0000-0000-0000C25D0000}"/>
    <cellStyle name="Normal 2 2 4 33 5 7" xfId="24037" xr:uid="{00000000-0005-0000-0000-0000C35D0000}"/>
    <cellStyle name="Normal 2 2 4 33 5 8" xfId="24038" xr:uid="{00000000-0005-0000-0000-0000C45D0000}"/>
    <cellStyle name="Normal 2 2 4 33 5 9" xfId="24039" xr:uid="{00000000-0005-0000-0000-0000C55D0000}"/>
    <cellStyle name="Normal 2 2 4 33 6" xfId="24040" xr:uid="{00000000-0005-0000-0000-0000C65D0000}"/>
    <cellStyle name="Normal 2 2 4 33 7" xfId="24041" xr:uid="{00000000-0005-0000-0000-0000C75D0000}"/>
    <cellStyle name="Normal 2 2 4 33 8" xfId="24042" xr:uid="{00000000-0005-0000-0000-0000C85D0000}"/>
    <cellStyle name="Normal 2 2 4 33 9" xfId="24043" xr:uid="{00000000-0005-0000-0000-0000C95D0000}"/>
    <cellStyle name="Normal 2 2 4 34" xfId="24044" xr:uid="{00000000-0005-0000-0000-0000CA5D0000}"/>
    <cellStyle name="Normal 2 2 4 35" xfId="24045" xr:uid="{00000000-0005-0000-0000-0000CB5D0000}"/>
    <cellStyle name="Normal 2 2 4 36" xfId="24046" xr:uid="{00000000-0005-0000-0000-0000CC5D0000}"/>
    <cellStyle name="Normal 2 2 4 37" xfId="21774" xr:uid="{00000000-0005-0000-0000-0000CD5D0000}"/>
    <cellStyle name="Normal 2 2 4 4" xfId="24047" xr:uid="{00000000-0005-0000-0000-0000CE5D0000}"/>
    <cellStyle name="Normal 2 2 4 4 10" xfId="24048" xr:uid="{00000000-0005-0000-0000-0000CF5D0000}"/>
    <cellStyle name="Normal 2 2 4 4 11" xfId="24049" xr:uid="{00000000-0005-0000-0000-0000D05D0000}"/>
    <cellStyle name="Normal 2 2 4 4 12" xfId="24050" xr:uid="{00000000-0005-0000-0000-0000D15D0000}"/>
    <cellStyle name="Normal 2 2 4 4 13" xfId="24051" xr:uid="{00000000-0005-0000-0000-0000D25D0000}"/>
    <cellStyle name="Normal 2 2 4 4 14" xfId="24052" xr:uid="{00000000-0005-0000-0000-0000D35D0000}"/>
    <cellStyle name="Normal 2 2 4 4 2" xfId="24053" xr:uid="{00000000-0005-0000-0000-0000D45D0000}"/>
    <cellStyle name="Normal 2 2 4 4 2 10" xfId="24054" xr:uid="{00000000-0005-0000-0000-0000D55D0000}"/>
    <cellStyle name="Normal 2 2 4 4 2 2" xfId="24055" xr:uid="{00000000-0005-0000-0000-0000D65D0000}"/>
    <cellStyle name="Normal 2 2 4 4 2 3" xfId="24056" xr:uid="{00000000-0005-0000-0000-0000D75D0000}"/>
    <cellStyle name="Normal 2 2 4 4 2 4" xfId="24057" xr:uid="{00000000-0005-0000-0000-0000D85D0000}"/>
    <cellStyle name="Normal 2 2 4 4 2 5" xfId="24058" xr:uid="{00000000-0005-0000-0000-0000D95D0000}"/>
    <cellStyle name="Normal 2 2 4 4 2 6" xfId="24059" xr:uid="{00000000-0005-0000-0000-0000DA5D0000}"/>
    <cellStyle name="Normal 2 2 4 4 2 7" xfId="24060" xr:uid="{00000000-0005-0000-0000-0000DB5D0000}"/>
    <cellStyle name="Normal 2 2 4 4 2 8" xfId="24061" xr:uid="{00000000-0005-0000-0000-0000DC5D0000}"/>
    <cellStyle name="Normal 2 2 4 4 2 9" xfId="24062" xr:uid="{00000000-0005-0000-0000-0000DD5D0000}"/>
    <cellStyle name="Normal 2 2 4 4 3" xfId="24063" xr:uid="{00000000-0005-0000-0000-0000DE5D0000}"/>
    <cellStyle name="Normal 2 2 4 4 3 10" xfId="24064" xr:uid="{00000000-0005-0000-0000-0000DF5D0000}"/>
    <cellStyle name="Normal 2 2 4 4 3 2" xfId="24065" xr:uid="{00000000-0005-0000-0000-0000E05D0000}"/>
    <cellStyle name="Normal 2 2 4 4 3 3" xfId="24066" xr:uid="{00000000-0005-0000-0000-0000E15D0000}"/>
    <cellStyle name="Normal 2 2 4 4 3 4" xfId="24067" xr:uid="{00000000-0005-0000-0000-0000E25D0000}"/>
    <cellStyle name="Normal 2 2 4 4 3 5" xfId="24068" xr:uid="{00000000-0005-0000-0000-0000E35D0000}"/>
    <cellStyle name="Normal 2 2 4 4 3 6" xfId="24069" xr:uid="{00000000-0005-0000-0000-0000E45D0000}"/>
    <cellStyle name="Normal 2 2 4 4 3 7" xfId="24070" xr:uid="{00000000-0005-0000-0000-0000E55D0000}"/>
    <cellStyle name="Normal 2 2 4 4 3 8" xfId="24071" xr:uid="{00000000-0005-0000-0000-0000E65D0000}"/>
    <cellStyle name="Normal 2 2 4 4 3 9" xfId="24072" xr:uid="{00000000-0005-0000-0000-0000E75D0000}"/>
    <cellStyle name="Normal 2 2 4 4 4" xfId="24073" xr:uid="{00000000-0005-0000-0000-0000E85D0000}"/>
    <cellStyle name="Normal 2 2 4 4 4 10" xfId="24074" xr:uid="{00000000-0005-0000-0000-0000E95D0000}"/>
    <cellStyle name="Normal 2 2 4 4 4 2" xfId="24075" xr:uid="{00000000-0005-0000-0000-0000EA5D0000}"/>
    <cellStyle name="Normal 2 2 4 4 4 3" xfId="24076" xr:uid="{00000000-0005-0000-0000-0000EB5D0000}"/>
    <cellStyle name="Normal 2 2 4 4 4 4" xfId="24077" xr:uid="{00000000-0005-0000-0000-0000EC5D0000}"/>
    <cellStyle name="Normal 2 2 4 4 4 5" xfId="24078" xr:uid="{00000000-0005-0000-0000-0000ED5D0000}"/>
    <cellStyle name="Normal 2 2 4 4 4 6" xfId="24079" xr:uid="{00000000-0005-0000-0000-0000EE5D0000}"/>
    <cellStyle name="Normal 2 2 4 4 4 7" xfId="24080" xr:uid="{00000000-0005-0000-0000-0000EF5D0000}"/>
    <cellStyle name="Normal 2 2 4 4 4 8" xfId="24081" xr:uid="{00000000-0005-0000-0000-0000F05D0000}"/>
    <cellStyle name="Normal 2 2 4 4 4 9" xfId="24082" xr:uid="{00000000-0005-0000-0000-0000F15D0000}"/>
    <cellStyle name="Normal 2 2 4 4 5" xfId="24083" xr:uid="{00000000-0005-0000-0000-0000F25D0000}"/>
    <cellStyle name="Normal 2 2 4 4 5 10" xfId="24084" xr:uid="{00000000-0005-0000-0000-0000F35D0000}"/>
    <cellStyle name="Normal 2 2 4 4 5 2" xfId="24085" xr:uid="{00000000-0005-0000-0000-0000F45D0000}"/>
    <cellStyle name="Normal 2 2 4 4 5 3" xfId="24086" xr:uid="{00000000-0005-0000-0000-0000F55D0000}"/>
    <cellStyle name="Normal 2 2 4 4 5 4" xfId="24087" xr:uid="{00000000-0005-0000-0000-0000F65D0000}"/>
    <cellStyle name="Normal 2 2 4 4 5 5" xfId="24088" xr:uid="{00000000-0005-0000-0000-0000F75D0000}"/>
    <cellStyle name="Normal 2 2 4 4 5 6" xfId="24089" xr:uid="{00000000-0005-0000-0000-0000F85D0000}"/>
    <cellStyle name="Normal 2 2 4 4 5 7" xfId="24090" xr:uid="{00000000-0005-0000-0000-0000F95D0000}"/>
    <cellStyle name="Normal 2 2 4 4 5 8" xfId="24091" xr:uid="{00000000-0005-0000-0000-0000FA5D0000}"/>
    <cellStyle name="Normal 2 2 4 4 5 9" xfId="24092" xr:uid="{00000000-0005-0000-0000-0000FB5D0000}"/>
    <cellStyle name="Normal 2 2 4 4 6" xfId="24093" xr:uid="{00000000-0005-0000-0000-0000FC5D0000}"/>
    <cellStyle name="Normal 2 2 4 4 7" xfId="24094" xr:uid="{00000000-0005-0000-0000-0000FD5D0000}"/>
    <cellStyle name="Normal 2 2 4 4 8" xfId="24095" xr:uid="{00000000-0005-0000-0000-0000FE5D0000}"/>
    <cellStyle name="Normal 2 2 4 4 9" xfId="24096" xr:uid="{00000000-0005-0000-0000-0000FF5D0000}"/>
    <cellStyle name="Normal 2 2 4 5" xfId="24097" xr:uid="{00000000-0005-0000-0000-0000005E0000}"/>
    <cellStyle name="Normal 2 2 4 5 10" xfId="24098" xr:uid="{00000000-0005-0000-0000-0000015E0000}"/>
    <cellStyle name="Normal 2 2 4 5 11" xfId="24099" xr:uid="{00000000-0005-0000-0000-0000025E0000}"/>
    <cellStyle name="Normal 2 2 4 5 12" xfId="24100" xr:uid="{00000000-0005-0000-0000-0000035E0000}"/>
    <cellStyle name="Normal 2 2 4 5 13" xfId="24101" xr:uid="{00000000-0005-0000-0000-0000045E0000}"/>
    <cellStyle name="Normal 2 2 4 5 14" xfId="24102" xr:uid="{00000000-0005-0000-0000-0000055E0000}"/>
    <cellStyle name="Normal 2 2 4 5 2" xfId="24103" xr:uid="{00000000-0005-0000-0000-0000065E0000}"/>
    <cellStyle name="Normal 2 2 4 5 2 10" xfId="24104" xr:uid="{00000000-0005-0000-0000-0000075E0000}"/>
    <cellStyle name="Normal 2 2 4 5 2 2" xfId="24105" xr:uid="{00000000-0005-0000-0000-0000085E0000}"/>
    <cellStyle name="Normal 2 2 4 5 2 3" xfId="24106" xr:uid="{00000000-0005-0000-0000-0000095E0000}"/>
    <cellStyle name="Normal 2 2 4 5 2 4" xfId="24107" xr:uid="{00000000-0005-0000-0000-00000A5E0000}"/>
    <cellStyle name="Normal 2 2 4 5 2 5" xfId="24108" xr:uid="{00000000-0005-0000-0000-00000B5E0000}"/>
    <cellStyle name="Normal 2 2 4 5 2 6" xfId="24109" xr:uid="{00000000-0005-0000-0000-00000C5E0000}"/>
    <cellStyle name="Normal 2 2 4 5 2 7" xfId="24110" xr:uid="{00000000-0005-0000-0000-00000D5E0000}"/>
    <cellStyle name="Normal 2 2 4 5 2 8" xfId="24111" xr:uid="{00000000-0005-0000-0000-00000E5E0000}"/>
    <cellStyle name="Normal 2 2 4 5 2 9" xfId="24112" xr:uid="{00000000-0005-0000-0000-00000F5E0000}"/>
    <cellStyle name="Normal 2 2 4 5 3" xfId="24113" xr:uid="{00000000-0005-0000-0000-0000105E0000}"/>
    <cellStyle name="Normal 2 2 4 5 3 10" xfId="24114" xr:uid="{00000000-0005-0000-0000-0000115E0000}"/>
    <cellStyle name="Normal 2 2 4 5 3 2" xfId="24115" xr:uid="{00000000-0005-0000-0000-0000125E0000}"/>
    <cellStyle name="Normal 2 2 4 5 3 3" xfId="24116" xr:uid="{00000000-0005-0000-0000-0000135E0000}"/>
    <cellStyle name="Normal 2 2 4 5 3 4" xfId="24117" xr:uid="{00000000-0005-0000-0000-0000145E0000}"/>
    <cellStyle name="Normal 2 2 4 5 3 5" xfId="24118" xr:uid="{00000000-0005-0000-0000-0000155E0000}"/>
    <cellStyle name="Normal 2 2 4 5 3 6" xfId="24119" xr:uid="{00000000-0005-0000-0000-0000165E0000}"/>
    <cellStyle name="Normal 2 2 4 5 3 7" xfId="24120" xr:uid="{00000000-0005-0000-0000-0000175E0000}"/>
    <cellStyle name="Normal 2 2 4 5 3 8" xfId="24121" xr:uid="{00000000-0005-0000-0000-0000185E0000}"/>
    <cellStyle name="Normal 2 2 4 5 3 9" xfId="24122" xr:uid="{00000000-0005-0000-0000-0000195E0000}"/>
    <cellStyle name="Normal 2 2 4 5 4" xfId="24123" xr:uid="{00000000-0005-0000-0000-00001A5E0000}"/>
    <cellStyle name="Normal 2 2 4 5 4 10" xfId="24124" xr:uid="{00000000-0005-0000-0000-00001B5E0000}"/>
    <cellStyle name="Normal 2 2 4 5 4 2" xfId="24125" xr:uid="{00000000-0005-0000-0000-00001C5E0000}"/>
    <cellStyle name="Normal 2 2 4 5 4 3" xfId="24126" xr:uid="{00000000-0005-0000-0000-00001D5E0000}"/>
    <cellStyle name="Normal 2 2 4 5 4 4" xfId="24127" xr:uid="{00000000-0005-0000-0000-00001E5E0000}"/>
    <cellStyle name="Normal 2 2 4 5 4 5" xfId="24128" xr:uid="{00000000-0005-0000-0000-00001F5E0000}"/>
    <cellStyle name="Normal 2 2 4 5 4 6" xfId="24129" xr:uid="{00000000-0005-0000-0000-0000205E0000}"/>
    <cellStyle name="Normal 2 2 4 5 4 7" xfId="24130" xr:uid="{00000000-0005-0000-0000-0000215E0000}"/>
    <cellStyle name="Normal 2 2 4 5 4 8" xfId="24131" xr:uid="{00000000-0005-0000-0000-0000225E0000}"/>
    <cellStyle name="Normal 2 2 4 5 4 9" xfId="24132" xr:uid="{00000000-0005-0000-0000-0000235E0000}"/>
    <cellStyle name="Normal 2 2 4 5 5" xfId="24133" xr:uid="{00000000-0005-0000-0000-0000245E0000}"/>
    <cellStyle name="Normal 2 2 4 5 5 10" xfId="24134" xr:uid="{00000000-0005-0000-0000-0000255E0000}"/>
    <cellStyle name="Normal 2 2 4 5 5 2" xfId="24135" xr:uid="{00000000-0005-0000-0000-0000265E0000}"/>
    <cellStyle name="Normal 2 2 4 5 5 3" xfId="24136" xr:uid="{00000000-0005-0000-0000-0000275E0000}"/>
    <cellStyle name="Normal 2 2 4 5 5 4" xfId="24137" xr:uid="{00000000-0005-0000-0000-0000285E0000}"/>
    <cellStyle name="Normal 2 2 4 5 5 5" xfId="24138" xr:uid="{00000000-0005-0000-0000-0000295E0000}"/>
    <cellStyle name="Normal 2 2 4 5 5 6" xfId="24139" xr:uid="{00000000-0005-0000-0000-00002A5E0000}"/>
    <cellStyle name="Normal 2 2 4 5 5 7" xfId="24140" xr:uid="{00000000-0005-0000-0000-00002B5E0000}"/>
    <cellStyle name="Normal 2 2 4 5 5 8" xfId="24141" xr:uid="{00000000-0005-0000-0000-00002C5E0000}"/>
    <cellStyle name="Normal 2 2 4 5 5 9" xfId="24142" xr:uid="{00000000-0005-0000-0000-00002D5E0000}"/>
    <cellStyle name="Normal 2 2 4 5 6" xfId="24143" xr:uid="{00000000-0005-0000-0000-00002E5E0000}"/>
    <cellStyle name="Normal 2 2 4 5 7" xfId="24144" xr:uid="{00000000-0005-0000-0000-00002F5E0000}"/>
    <cellStyle name="Normal 2 2 4 5 8" xfId="24145" xr:uid="{00000000-0005-0000-0000-0000305E0000}"/>
    <cellStyle name="Normal 2 2 4 5 9" xfId="24146" xr:uid="{00000000-0005-0000-0000-0000315E0000}"/>
    <cellStyle name="Normal 2 2 4 6" xfId="24147" xr:uid="{00000000-0005-0000-0000-0000325E0000}"/>
    <cellStyle name="Normal 2 2 4 6 10" xfId="24148" xr:uid="{00000000-0005-0000-0000-0000335E0000}"/>
    <cellStyle name="Normal 2 2 4 6 11" xfId="24149" xr:uid="{00000000-0005-0000-0000-0000345E0000}"/>
    <cellStyle name="Normal 2 2 4 6 12" xfId="24150" xr:uid="{00000000-0005-0000-0000-0000355E0000}"/>
    <cellStyle name="Normal 2 2 4 6 13" xfId="24151" xr:uid="{00000000-0005-0000-0000-0000365E0000}"/>
    <cellStyle name="Normal 2 2 4 6 14" xfId="24152" xr:uid="{00000000-0005-0000-0000-0000375E0000}"/>
    <cellStyle name="Normal 2 2 4 6 2" xfId="24153" xr:uid="{00000000-0005-0000-0000-0000385E0000}"/>
    <cellStyle name="Normal 2 2 4 6 2 10" xfId="24154" xr:uid="{00000000-0005-0000-0000-0000395E0000}"/>
    <cellStyle name="Normal 2 2 4 6 2 2" xfId="24155" xr:uid="{00000000-0005-0000-0000-00003A5E0000}"/>
    <cellStyle name="Normal 2 2 4 6 2 3" xfId="24156" xr:uid="{00000000-0005-0000-0000-00003B5E0000}"/>
    <cellStyle name="Normal 2 2 4 6 2 4" xfId="24157" xr:uid="{00000000-0005-0000-0000-00003C5E0000}"/>
    <cellStyle name="Normal 2 2 4 6 2 5" xfId="24158" xr:uid="{00000000-0005-0000-0000-00003D5E0000}"/>
    <cellStyle name="Normal 2 2 4 6 2 6" xfId="24159" xr:uid="{00000000-0005-0000-0000-00003E5E0000}"/>
    <cellStyle name="Normal 2 2 4 6 2 7" xfId="24160" xr:uid="{00000000-0005-0000-0000-00003F5E0000}"/>
    <cellStyle name="Normal 2 2 4 6 2 8" xfId="24161" xr:uid="{00000000-0005-0000-0000-0000405E0000}"/>
    <cellStyle name="Normal 2 2 4 6 2 9" xfId="24162" xr:uid="{00000000-0005-0000-0000-0000415E0000}"/>
    <cellStyle name="Normal 2 2 4 6 3" xfId="24163" xr:uid="{00000000-0005-0000-0000-0000425E0000}"/>
    <cellStyle name="Normal 2 2 4 6 3 10" xfId="24164" xr:uid="{00000000-0005-0000-0000-0000435E0000}"/>
    <cellStyle name="Normal 2 2 4 6 3 2" xfId="24165" xr:uid="{00000000-0005-0000-0000-0000445E0000}"/>
    <cellStyle name="Normal 2 2 4 6 3 3" xfId="24166" xr:uid="{00000000-0005-0000-0000-0000455E0000}"/>
    <cellStyle name="Normal 2 2 4 6 3 4" xfId="24167" xr:uid="{00000000-0005-0000-0000-0000465E0000}"/>
    <cellStyle name="Normal 2 2 4 6 3 5" xfId="24168" xr:uid="{00000000-0005-0000-0000-0000475E0000}"/>
    <cellStyle name="Normal 2 2 4 6 3 6" xfId="24169" xr:uid="{00000000-0005-0000-0000-0000485E0000}"/>
    <cellStyle name="Normal 2 2 4 6 3 7" xfId="24170" xr:uid="{00000000-0005-0000-0000-0000495E0000}"/>
    <cellStyle name="Normal 2 2 4 6 3 8" xfId="24171" xr:uid="{00000000-0005-0000-0000-00004A5E0000}"/>
    <cellStyle name="Normal 2 2 4 6 3 9" xfId="24172" xr:uid="{00000000-0005-0000-0000-00004B5E0000}"/>
    <cellStyle name="Normal 2 2 4 6 4" xfId="24173" xr:uid="{00000000-0005-0000-0000-00004C5E0000}"/>
    <cellStyle name="Normal 2 2 4 6 4 10" xfId="24174" xr:uid="{00000000-0005-0000-0000-00004D5E0000}"/>
    <cellStyle name="Normal 2 2 4 6 4 2" xfId="24175" xr:uid="{00000000-0005-0000-0000-00004E5E0000}"/>
    <cellStyle name="Normal 2 2 4 6 4 3" xfId="24176" xr:uid="{00000000-0005-0000-0000-00004F5E0000}"/>
    <cellStyle name="Normal 2 2 4 6 4 4" xfId="24177" xr:uid="{00000000-0005-0000-0000-0000505E0000}"/>
    <cellStyle name="Normal 2 2 4 6 4 5" xfId="24178" xr:uid="{00000000-0005-0000-0000-0000515E0000}"/>
    <cellStyle name="Normal 2 2 4 6 4 6" xfId="24179" xr:uid="{00000000-0005-0000-0000-0000525E0000}"/>
    <cellStyle name="Normal 2 2 4 6 4 7" xfId="24180" xr:uid="{00000000-0005-0000-0000-0000535E0000}"/>
    <cellStyle name="Normal 2 2 4 6 4 8" xfId="24181" xr:uid="{00000000-0005-0000-0000-0000545E0000}"/>
    <cellStyle name="Normal 2 2 4 6 4 9" xfId="24182" xr:uid="{00000000-0005-0000-0000-0000555E0000}"/>
    <cellStyle name="Normal 2 2 4 6 5" xfId="24183" xr:uid="{00000000-0005-0000-0000-0000565E0000}"/>
    <cellStyle name="Normal 2 2 4 6 5 10" xfId="24184" xr:uid="{00000000-0005-0000-0000-0000575E0000}"/>
    <cellStyle name="Normal 2 2 4 6 5 2" xfId="24185" xr:uid="{00000000-0005-0000-0000-0000585E0000}"/>
    <cellStyle name="Normal 2 2 4 6 5 3" xfId="24186" xr:uid="{00000000-0005-0000-0000-0000595E0000}"/>
    <cellStyle name="Normal 2 2 4 6 5 4" xfId="24187" xr:uid="{00000000-0005-0000-0000-00005A5E0000}"/>
    <cellStyle name="Normal 2 2 4 6 5 5" xfId="24188" xr:uid="{00000000-0005-0000-0000-00005B5E0000}"/>
    <cellStyle name="Normal 2 2 4 6 5 6" xfId="24189" xr:uid="{00000000-0005-0000-0000-00005C5E0000}"/>
    <cellStyle name="Normal 2 2 4 6 5 7" xfId="24190" xr:uid="{00000000-0005-0000-0000-00005D5E0000}"/>
    <cellStyle name="Normal 2 2 4 6 5 8" xfId="24191" xr:uid="{00000000-0005-0000-0000-00005E5E0000}"/>
    <cellStyle name="Normal 2 2 4 6 5 9" xfId="24192" xr:uid="{00000000-0005-0000-0000-00005F5E0000}"/>
    <cellStyle name="Normal 2 2 4 6 6" xfId="24193" xr:uid="{00000000-0005-0000-0000-0000605E0000}"/>
    <cellStyle name="Normal 2 2 4 6 7" xfId="24194" xr:uid="{00000000-0005-0000-0000-0000615E0000}"/>
    <cellStyle name="Normal 2 2 4 6 8" xfId="24195" xr:uid="{00000000-0005-0000-0000-0000625E0000}"/>
    <cellStyle name="Normal 2 2 4 6 9" xfId="24196" xr:uid="{00000000-0005-0000-0000-0000635E0000}"/>
    <cellStyle name="Normal 2 2 4 7" xfId="24197" xr:uid="{00000000-0005-0000-0000-0000645E0000}"/>
    <cellStyle name="Normal 2 2 4 7 10" xfId="24198" xr:uid="{00000000-0005-0000-0000-0000655E0000}"/>
    <cellStyle name="Normal 2 2 4 7 11" xfId="24199" xr:uid="{00000000-0005-0000-0000-0000665E0000}"/>
    <cellStyle name="Normal 2 2 4 7 12" xfId="24200" xr:uid="{00000000-0005-0000-0000-0000675E0000}"/>
    <cellStyle name="Normal 2 2 4 7 13" xfId="24201" xr:uid="{00000000-0005-0000-0000-0000685E0000}"/>
    <cellStyle name="Normal 2 2 4 7 14" xfId="24202" xr:uid="{00000000-0005-0000-0000-0000695E0000}"/>
    <cellStyle name="Normal 2 2 4 7 2" xfId="24203" xr:uid="{00000000-0005-0000-0000-00006A5E0000}"/>
    <cellStyle name="Normal 2 2 4 7 2 10" xfId="24204" xr:uid="{00000000-0005-0000-0000-00006B5E0000}"/>
    <cellStyle name="Normal 2 2 4 7 2 2" xfId="24205" xr:uid="{00000000-0005-0000-0000-00006C5E0000}"/>
    <cellStyle name="Normal 2 2 4 7 2 3" xfId="24206" xr:uid="{00000000-0005-0000-0000-00006D5E0000}"/>
    <cellStyle name="Normal 2 2 4 7 2 4" xfId="24207" xr:uid="{00000000-0005-0000-0000-00006E5E0000}"/>
    <cellStyle name="Normal 2 2 4 7 2 5" xfId="24208" xr:uid="{00000000-0005-0000-0000-00006F5E0000}"/>
    <cellStyle name="Normal 2 2 4 7 2 6" xfId="24209" xr:uid="{00000000-0005-0000-0000-0000705E0000}"/>
    <cellStyle name="Normal 2 2 4 7 2 7" xfId="24210" xr:uid="{00000000-0005-0000-0000-0000715E0000}"/>
    <cellStyle name="Normal 2 2 4 7 2 8" xfId="24211" xr:uid="{00000000-0005-0000-0000-0000725E0000}"/>
    <cellStyle name="Normal 2 2 4 7 2 9" xfId="24212" xr:uid="{00000000-0005-0000-0000-0000735E0000}"/>
    <cellStyle name="Normal 2 2 4 7 3" xfId="24213" xr:uid="{00000000-0005-0000-0000-0000745E0000}"/>
    <cellStyle name="Normal 2 2 4 7 3 10" xfId="24214" xr:uid="{00000000-0005-0000-0000-0000755E0000}"/>
    <cellStyle name="Normal 2 2 4 7 3 2" xfId="24215" xr:uid="{00000000-0005-0000-0000-0000765E0000}"/>
    <cellStyle name="Normal 2 2 4 7 3 3" xfId="24216" xr:uid="{00000000-0005-0000-0000-0000775E0000}"/>
    <cellStyle name="Normal 2 2 4 7 3 4" xfId="24217" xr:uid="{00000000-0005-0000-0000-0000785E0000}"/>
    <cellStyle name="Normal 2 2 4 7 3 5" xfId="24218" xr:uid="{00000000-0005-0000-0000-0000795E0000}"/>
    <cellStyle name="Normal 2 2 4 7 3 6" xfId="24219" xr:uid="{00000000-0005-0000-0000-00007A5E0000}"/>
    <cellStyle name="Normal 2 2 4 7 3 7" xfId="24220" xr:uid="{00000000-0005-0000-0000-00007B5E0000}"/>
    <cellStyle name="Normal 2 2 4 7 3 8" xfId="24221" xr:uid="{00000000-0005-0000-0000-00007C5E0000}"/>
    <cellStyle name="Normal 2 2 4 7 3 9" xfId="24222" xr:uid="{00000000-0005-0000-0000-00007D5E0000}"/>
    <cellStyle name="Normal 2 2 4 7 4" xfId="24223" xr:uid="{00000000-0005-0000-0000-00007E5E0000}"/>
    <cellStyle name="Normal 2 2 4 7 4 10" xfId="24224" xr:uid="{00000000-0005-0000-0000-00007F5E0000}"/>
    <cellStyle name="Normal 2 2 4 7 4 2" xfId="24225" xr:uid="{00000000-0005-0000-0000-0000805E0000}"/>
    <cellStyle name="Normal 2 2 4 7 4 3" xfId="24226" xr:uid="{00000000-0005-0000-0000-0000815E0000}"/>
    <cellStyle name="Normal 2 2 4 7 4 4" xfId="24227" xr:uid="{00000000-0005-0000-0000-0000825E0000}"/>
    <cellStyle name="Normal 2 2 4 7 4 5" xfId="24228" xr:uid="{00000000-0005-0000-0000-0000835E0000}"/>
    <cellStyle name="Normal 2 2 4 7 4 6" xfId="24229" xr:uid="{00000000-0005-0000-0000-0000845E0000}"/>
    <cellStyle name="Normal 2 2 4 7 4 7" xfId="24230" xr:uid="{00000000-0005-0000-0000-0000855E0000}"/>
    <cellStyle name="Normal 2 2 4 7 4 8" xfId="24231" xr:uid="{00000000-0005-0000-0000-0000865E0000}"/>
    <cellStyle name="Normal 2 2 4 7 4 9" xfId="24232" xr:uid="{00000000-0005-0000-0000-0000875E0000}"/>
    <cellStyle name="Normal 2 2 4 7 5" xfId="24233" xr:uid="{00000000-0005-0000-0000-0000885E0000}"/>
    <cellStyle name="Normal 2 2 4 7 5 10" xfId="24234" xr:uid="{00000000-0005-0000-0000-0000895E0000}"/>
    <cellStyle name="Normal 2 2 4 7 5 2" xfId="24235" xr:uid="{00000000-0005-0000-0000-00008A5E0000}"/>
    <cellStyle name="Normal 2 2 4 7 5 3" xfId="24236" xr:uid="{00000000-0005-0000-0000-00008B5E0000}"/>
    <cellStyle name="Normal 2 2 4 7 5 4" xfId="24237" xr:uid="{00000000-0005-0000-0000-00008C5E0000}"/>
    <cellStyle name="Normal 2 2 4 7 5 5" xfId="24238" xr:uid="{00000000-0005-0000-0000-00008D5E0000}"/>
    <cellStyle name="Normal 2 2 4 7 5 6" xfId="24239" xr:uid="{00000000-0005-0000-0000-00008E5E0000}"/>
    <cellStyle name="Normal 2 2 4 7 5 7" xfId="24240" xr:uid="{00000000-0005-0000-0000-00008F5E0000}"/>
    <cellStyle name="Normal 2 2 4 7 5 8" xfId="24241" xr:uid="{00000000-0005-0000-0000-0000905E0000}"/>
    <cellStyle name="Normal 2 2 4 7 5 9" xfId="24242" xr:uid="{00000000-0005-0000-0000-0000915E0000}"/>
    <cellStyle name="Normal 2 2 4 7 6" xfId="24243" xr:uid="{00000000-0005-0000-0000-0000925E0000}"/>
    <cellStyle name="Normal 2 2 4 7 7" xfId="24244" xr:uid="{00000000-0005-0000-0000-0000935E0000}"/>
    <cellStyle name="Normal 2 2 4 7 8" xfId="24245" xr:uid="{00000000-0005-0000-0000-0000945E0000}"/>
    <cellStyle name="Normal 2 2 4 7 9" xfId="24246" xr:uid="{00000000-0005-0000-0000-0000955E0000}"/>
    <cellStyle name="Normal 2 2 4 8" xfId="24247" xr:uid="{00000000-0005-0000-0000-0000965E0000}"/>
    <cellStyle name="Normal 2 2 4 8 10" xfId="24248" xr:uid="{00000000-0005-0000-0000-0000975E0000}"/>
    <cellStyle name="Normal 2 2 4 8 11" xfId="24249" xr:uid="{00000000-0005-0000-0000-0000985E0000}"/>
    <cellStyle name="Normal 2 2 4 8 12" xfId="24250" xr:uid="{00000000-0005-0000-0000-0000995E0000}"/>
    <cellStyle name="Normal 2 2 4 8 13" xfId="24251" xr:uid="{00000000-0005-0000-0000-00009A5E0000}"/>
    <cellStyle name="Normal 2 2 4 8 14" xfId="24252" xr:uid="{00000000-0005-0000-0000-00009B5E0000}"/>
    <cellStyle name="Normal 2 2 4 8 2" xfId="24253" xr:uid="{00000000-0005-0000-0000-00009C5E0000}"/>
    <cellStyle name="Normal 2 2 4 8 2 10" xfId="24254" xr:uid="{00000000-0005-0000-0000-00009D5E0000}"/>
    <cellStyle name="Normal 2 2 4 8 2 2" xfId="24255" xr:uid="{00000000-0005-0000-0000-00009E5E0000}"/>
    <cellStyle name="Normal 2 2 4 8 2 3" xfId="24256" xr:uid="{00000000-0005-0000-0000-00009F5E0000}"/>
    <cellStyle name="Normal 2 2 4 8 2 4" xfId="24257" xr:uid="{00000000-0005-0000-0000-0000A05E0000}"/>
    <cellStyle name="Normal 2 2 4 8 2 5" xfId="24258" xr:uid="{00000000-0005-0000-0000-0000A15E0000}"/>
    <cellStyle name="Normal 2 2 4 8 2 6" xfId="24259" xr:uid="{00000000-0005-0000-0000-0000A25E0000}"/>
    <cellStyle name="Normal 2 2 4 8 2 7" xfId="24260" xr:uid="{00000000-0005-0000-0000-0000A35E0000}"/>
    <cellStyle name="Normal 2 2 4 8 2 8" xfId="24261" xr:uid="{00000000-0005-0000-0000-0000A45E0000}"/>
    <cellStyle name="Normal 2 2 4 8 2 9" xfId="24262" xr:uid="{00000000-0005-0000-0000-0000A55E0000}"/>
    <cellStyle name="Normal 2 2 4 8 3" xfId="24263" xr:uid="{00000000-0005-0000-0000-0000A65E0000}"/>
    <cellStyle name="Normal 2 2 4 8 3 10" xfId="24264" xr:uid="{00000000-0005-0000-0000-0000A75E0000}"/>
    <cellStyle name="Normal 2 2 4 8 3 2" xfId="24265" xr:uid="{00000000-0005-0000-0000-0000A85E0000}"/>
    <cellStyle name="Normal 2 2 4 8 3 3" xfId="24266" xr:uid="{00000000-0005-0000-0000-0000A95E0000}"/>
    <cellStyle name="Normal 2 2 4 8 3 4" xfId="24267" xr:uid="{00000000-0005-0000-0000-0000AA5E0000}"/>
    <cellStyle name="Normal 2 2 4 8 3 5" xfId="24268" xr:uid="{00000000-0005-0000-0000-0000AB5E0000}"/>
    <cellStyle name="Normal 2 2 4 8 3 6" xfId="24269" xr:uid="{00000000-0005-0000-0000-0000AC5E0000}"/>
    <cellStyle name="Normal 2 2 4 8 3 7" xfId="24270" xr:uid="{00000000-0005-0000-0000-0000AD5E0000}"/>
    <cellStyle name="Normal 2 2 4 8 3 8" xfId="24271" xr:uid="{00000000-0005-0000-0000-0000AE5E0000}"/>
    <cellStyle name="Normal 2 2 4 8 3 9" xfId="24272" xr:uid="{00000000-0005-0000-0000-0000AF5E0000}"/>
    <cellStyle name="Normal 2 2 4 8 4" xfId="24273" xr:uid="{00000000-0005-0000-0000-0000B05E0000}"/>
    <cellStyle name="Normal 2 2 4 8 4 10" xfId="24274" xr:uid="{00000000-0005-0000-0000-0000B15E0000}"/>
    <cellStyle name="Normal 2 2 4 8 4 2" xfId="24275" xr:uid="{00000000-0005-0000-0000-0000B25E0000}"/>
    <cellStyle name="Normal 2 2 4 8 4 3" xfId="24276" xr:uid="{00000000-0005-0000-0000-0000B35E0000}"/>
    <cellStyle name="Normal 2 2 4 8 4 4" xfId="24277" xr:uid="{00000000-0005-0000-0000-0000B45E0000}"/>
    <cellStyle name="Normal 2 2 4 8 4 5" xfId="24278" xr:uid="{00000000-0005-0000-0000-0000B55E0000}"/>
    <cellStyle name="Normal 2 2 4 8 4 6" xfId="24279" xr:uid="{00000000-0005-0000-0000-0000B65E0000}"/>
    <cellStyle name="Normal 2 2 4 8 4 7" xfId="24280" xr:uid="{00000000-0005-0000-0000-0000B75E0000}"/>
    <cellStyle name="Normal 2 2 4 8 4 8" xfId="24281" xr:uid="{00000000-0005-0000-0000-0000B85E0000}"/>
    <cellStyle name="Normal 2 2 4 8 4 9" xfId="24282" xr:uid="{00000000-0005-0000-0000-0000B95E0000}"/>
    <cellStyle name="Normal 2 2 4 8 5" xfId="24283" xr:uid="{00000000-0005-0000-0000-0000BA5E0000}"/>
    <cellStyle name="Normal 2 2 4 8 5 10" xfId="24284" xr:uid="{00000000-0005-0000-0000-0000BB5E0000}"/>
    <cellStyle name="Normal 2 2 4 8 5 2" xfId="24285" xr:uid="{00000000-0005-0000-0000-0000BC5E0000}"/>
    <cellStyle name="Normal 2 2 4 8 5 3" xfId="24286" xr:uid="{00000000-0005-0000-0000-0000BD5E0000}"/>
    <cellStyle name="Normal 2 2 4 8 5 4" xfId="24287" xr:uid="{00000000-0005-0000-0000-0000BE5E0000}"/>
    <cellStyle name="Normal 2 2 4 8 5 5" xfId="24288" xr:uid="{00000000-0005-0000-0000-0000BF5E0000}"/>
    <cellStyle name="Normal 2 2 4 8 5 6" xfId="24289" xr:uid="{00000000-0005-0000-0000-0000C05E0000}"/>
    <cellStyle name="Normal 2 2 4 8 5 7" xfId="24290" xr:uid="{00000000-0005-0000-0000-0000C15E0000}"/>
    <cellStyle name="Normal 2 2 4 8 5 8" xfId="24291" xr:uid="{00000000-0005-0000-0000-0000C25E0000}"/>
    <cellStyle name="Normal 2 2 4 8 5 9" xfId="24292" xr:uid="{00000000-0005-0000-0000-0000C35E0000}"/>
    <cellStyle name="Normal 2 2 4 8 6" xfId="24293" xr:uid="{00000000-0005-0000-0000-0000C45E0000}"/>
    <cellStyle name="Normal 2 2 4 8 7" xfId="24294" xr:uid="{00000000-0005-0000-0000-0000C55E0000}"/>
    <cellStyle name="Normal 2 2 4 8 8" xfId="24295" xr:uid="{00000000-0005-0000-0000-0000C65E0000}"/>
    <cellStyle name="Normal 2 2 4 8 9" xfId="24296" xr:uid="{00000000-0005-0000-0000-0000C75E0000}"/>
    <cellStyle name="Normal 2 2 4 9" xfId="24297" xr:uid="{00000000-0005-0000-0000-0000C85E0000}"/>
    <cellStyle name="Normal 2 2 4 9 10" xfId="24298" xr:uid="{00000000-0005-0000-0000-0000C95E0000}"/>
    <cellStyle name="Normal 2 2 4 9 11" xfId="24299" xr:uid="{00000000-0005-0000-0000-0000CA5E0000}"/>
    <cellStyle name="Normal 2 2 4 9 12" xfId="24300" xr:uid="{00000000-0005-0000-0000-0000CB5E0000}"/>
    <cellStyle name="Normal 2 2 4 9 13" xfId="24301" xr:uid="{00000000-0005-0000-0000-0000CC5E0000}"/>
    <cellStyle name="Normal 2 2 4 9 14" xfId="24302" xr:uid="{00000000-0005-0000-0000-0000CD5E0000}"/>
    <cellStyle name="Normal 2 2 4 9 2" xfId="24303" xr:uid="{00000000-0005-0000-0000-0000CE5E0000}"/>
    <cellStyle name="Normal 2 2 4 9 2 10" xfId="24304" xr:uid="{00000000-0005-0000-0000-0000CF5E0000}"/>
    <cellStyle name="Normal 2 2 4 9 2 2" xfId="24305" xr:uid="{00000000-0005-0000-0000-0000D05E0000}"/>
    <cellStyle name="Normal 2 2 4 9 2 3" xfId="24306" xr:uid="{00000000-0005-0000-0000-0000D15E0000}"/>
    <cellStyle name="Normal 2 2 4 9 2 4" xfId="24307" xr:uid="{00000000-0005-0000-0000-0000D25E0000}"/>
    <cellStyle name="Normal 2 2 4 9 2 5" xfId="24308" xr:uid="{00000000-0005-0000-0000-0000D35E0000}"/>
    <cellStyle name="Normal 2 2 4 9 2 6" xfId="24309" xr:uid="{00000000-0005-0000-0000-0000D45E0000}"/>
    <cellStyle name="Normal 2 2 4 9 2 7" xfId="24310" xr:uid="{00000000-0005-0000-0000-0000D55E0000}"/>
    <cellStyle name="Normal 2 2 4 9 2 8" xfId="24311" xr:uid="{00000000-0005-0000-0000-0000D65E0000}"/>
    <cellStyle name="Normal 2 2 4 9 2 9" xfId="24312" xr:uid="{00000000-0005-0000-0000-0000D75E0000}"/>
    <cellStyle name="Normal 2 2 4 9 3" xfId="24313" xr:uid="{00000000-0005-0000-0000-0000D85E0000}"/>
    <cellStyle name="Normal 2 2 4 9 3 10" xfId="24314" xr:uid="{00000000-0005-0000-0000-0000D95E0000}"/>
    <cellStyle name="Normal 2 2 4 9 3 2" xfId="24315" xr:uid="{00000000-0005-0000-0000-0000DA5E0000}"/>
    <cellStyle name="Normal 2 2 4 9 3 3" xfId="24316" xr:uid="{00000000-0005-0000-0000-0000DB5E0000}"/>
    <cellStyle name="Normal 2 2 4 9 3 4" xfId="24317" xr:uid="{00000000-0005-0000-0000-0000DC5E0000}"/>
    <cellStyle name="Normal 2 2 4 9 3 5" xfId="24318" xr:uid="{00000000-0005-0000-0000-0000DD5E0000}"/>
    <cellStyle name="Normal 2 2 4 9 3 6" xfId="24319" xr:uid="{00000000-0005-0000-0000-0000DE5E0000}"/>
    <cellStyle name="Normal 2 2 4 9 3 7" xfId="24320" xr:uid="{00000000-0005-0000-0000-0000DF5E0000}"/>
    <cellStyle name="Normal 2 2 4 9 3 8" xfId="24321" xr:uid="{00000000-0005-0000-0000-0000E05E0000}"/>
    <cellStyle name="Normal 2 2 4 9 3 9" xfId="24322" xr:uid="{00000000-0005-0000-0000-0000E15E0000}"/>
    <cellStyle name="Normal 2 2 4 9 4" xfId="24323" xr:uid="{00000000-0005-0000-0000-0000E25E0000}"/>
    <cellStyle name="Normal 2 2 4 9 4 10" xfId="24324" xr:uid="{00000000-0005-0000-0000-0000E35E0000}"/>
    <cellStyle name="Normal 2 2 4 9 4 2" xfId="24325" xr:uid="{00000000-0005-0000-0000-0000E45E0000}"/>
    <cellStyle name="Normal 2 2 4 9 4 3" xfId="24326" xr:uid="{00000000-0005-0000-0000-0000E55E0000}"/>
    <cellStyle name="Normal 2 2 4 9 4 4" xfId="24327" xr:uid="{00000000-0005-0000-0000-0000E65E0000}"/>
    <cellStyle name="Normal 2 2 4 9 4 5" xfId="24328" xr:uid="{00000000-0005-0000-0000-0000E75E0000}"/>
    <cellStyle name="Normal 2 2 4 9 4 6" xfId="24329" xr:uid="{00000000-0005-0000-0000-0000E85E0000}"/>
    <cellStyle name="Normal 2 2 4 9 4 7" xfId="24330" xr:uid="{00000000-0005-0000-0000-0000E95E0000}"/>
    <cellStyle name="Normal 2 2 4 9 4 8" xfId="24331" xr:uid="{00000000-0005-0000-0000-0000EA5E0000}"/>
    <cellStyle name="Normal 2 2 4 9 4 9" xfId="24332" xr:uid="{00000000-0005-0000-0000-0000EB5E0000}"/>
    <cellStyle name="Normal 2 2 4 9 5" xfId="24333" xr:uid="{00000000-0005-0000-0000-0000EC5E0000}"/>
    <cellStyle name="Normal 2 2 4 9 5 10" xfId="24334" xr:uid="{00000000-0005-0000-0000-0000ED5E0000}"/>
    <cellStyle name="Normal 2 2 4 9 5 2" xfId="24335" xr:uid="{00000000-0005-0000-0000-0000EE5E0000}"/>
    <cellStyle name="Normal 2 2 4 9 5 3" xfId="24336" xr:uid="{00000000-0005-0000-0000-0000EF5E0000}"/>
    <cellStyle name="Normal 2 2 4 9 5 4" xfId="24337" xr:uid="{00000000-0005-0000-0000-0000F05E0000}"/>
    <cellStyle name="Normal 2 2 4 9 5 5" xfId="24338" xr:uid="{00000000-0005-0000-0000-0000F15E0000}"/>
    <cellStyle name="Normal 2 2 4 9 5 6" xfId="24339" xr:uid="{00000000-0005-0000-0000-0000F25E0000}"/>
    <cellStyle name="Normal 2 2 4 9 5 7" xfId="24340" xr:uid="{00000000-0005-0000-0000-0000F35E0000}"/>
    <cellStyle name="Normal 2 2 4 9 5 8" xfId="24341" xr:uid="{00000000-0005-0000-0000-0000F45E0000}"/>
    <cellStyle name="Normal 2 2 4 9 5 9" xfId="24342" xr:uid="{00000000-0005-0000-0000-0000F55E0000}"/>
    <cellStyle name="Normal 2 2 4 9 6" xfId="24343" xr:uid="{00000000-0005-0000-0000-0000F65E0000}"/>
    <cellStyle name="Normal 2 2 4 9 7" xfId="24344" xr:uid="{00000000-0005-0000-0000-0000F75E0000}"/>
    <cellStyle name="Normal 2 2 4 9 8" xfId="24345" xr:uid="{00000000-0005-0000-0000-0000F85E0000}"/>
    <cellStyle name="Normal 2 2 4 9 9" xfId="24346" xr:uid="{00000000-0005-0000-0000-0000F95E0000}"/>
    <cellStyle name="Normal 2 2 40" xfId="24347" xr:uid="{00000000-0005-0000-0000-0000FA5E0000}"/>
    <cellStyle name="Normal 2 2 41" xfId="24348" xr:uid="{00000000-0005-0000-0000-0000FB5E0000}"/>
    <cellStyle name="Normal 2 2 41 10" xfId="24349" xr:uid="{00000000-0005-0000-0000-0000FC5E0000}"/>
    <cellStyle name="Normal 2 2 41 2" xfId="24350" xr:uid="{00000000-0005-0000-0000-0000FD5E0000}"/>
    <cellStyle name="Normal 2 2 41 3" xfId="24351" xr:uid="{00000000-0005-0000-0000-0000FE5E0000}"/>
    <cellStyle name="Normal 2 2 41 4" xfId="24352" xr:uid="{00000000-0005-0000-0000-0000FF5E0000}"/>
    <cellStyle name="Normal 2 2 41 5" xfId="24353" xr:uid="{00000000-0005-0000-0000-0000005F0000}"/>
    <cellStyle name="Normal 2 2 41 6" xfId="24354" xr:uid="{00000000-0005-0000-0000-0000015F0000}"/>
    <cellStyle name="Normal 2 2 41 7" xfId="24355" xr:uid="{00000000-0005-0000-0000-0000025F0000}"/>
    <cellStyle name="Normal 2 2 41 8" xfId="24356" xr:uid="{00000000-0005-0000-0000-0000035F0000}"/>
    <cellStyle name="Normal 2 2 41 9" xfId="24357" xr:uid="{00000000-0005-0000-0000-0000045F0000}"/>
    <cellStyle name="Normal 2 2 42" xfId="24358" xr:uid="{00000000-0005-0000-0000-0000055F0000}"/>
    <cellStyle name="Normal 2 2 43" xfId="24359" xr:uid="{00000000-0005-0000-0000-0000065F0000}"/>
    <cellStyle name="Normal 2 2 44" xfId="24360" xr:uid="{00000000-0005-0000-0000-0000075F0000}"/>
    <cellStyle name="Normal 2 2 45" xfId="24361" xr:uid="{00000000-0005-0000-0000-0000085F0000}"/>
    <cellStyle name="Normal 2 2 46" xfId="24362" xr:uid="{00000000-0005-0000-0000-0000095F0000}"/>
    <cellStyle name="Normal 2 2 47" xfId="24363" xr:uid="{00000000-0005-0000-0000-00000A5F0000}"/>
    <cellStyle name="Normal 2 2 48" xfId="24364" xr:uid="{00000000-0005-0000-0000-00000B5F0000}"/>
    <cellStyle name="Normal 2 2 49" xfId="24365" xr:uid="{00000000-0005-0000-0000-00000C5F0000}"/>
    <cellStyle name="Normal 2 2 5" xfId="36" xr:uid="{00000000-0005-0000-0000-00000D5F0000}"/>
    <cellStyle name="Normal 2 2 5 10" xfId="24367" xr:uid="{00000000-0005-0000-0000-00000E5F0000}"/>
    <cellStyle name="Normal 2 2 5 10 10" xfId="24368" xr:uid="{00000000-0005-0000-0000-00000F5F0000}"/>
    <cellStyle name="Normal 2 2 5 10 11" xfId="24369" xr:uid="{00000000-0005-0000-0000-0000105F0000}"/>
    <cellStyle name="Normal 2 2 5 10 12" xfId="24370" xr:uid="{00000000-0005-0000-0000-0000115F0000}"/>
    <cellStyle name="Normal 2 2 5 10 13" xfId="24371" xr:uid="{00000000-0005-0000-0000-0000125F0000}"/>
    <cellStyle name="Normal 2 2 5 10 14" xfId="24372" xr:uid="{00000000-0005-0000-0000-0000135F0000}"/>
    <cellStyle name="Normal 2 2 5 10 2" xfId="24373" xr:uid="{00000000-0005-0000-0000-0000145F0000}"/>
    <cellStyle name="Normal 2 2 5 10 2 10" xfId="24374" xr:uid="{00000000-0005-0000-0000-0000155F0000}"/>
    <cellStyle name="Normal 2 2 5 10 2 2" xfId="24375" xr:uid="{00000000-0005-0000-0000-0000165F0000}"/>
    <cellStyle name="Normal 2 2 5 10 2 3" xfId="24376" xr:uid="{00000000-0005-0000-0000-0000175F0000}"/>
    <cellStyle name="Normal 2 2 5 10 2 4" xfId="24377" xr:uid="{00000000-0005-0000-0000-0000185F0000}"/>
    <cellStyle name="Normal 2 2 5 10 2 5" xfId="24378" xr:uid="{00000000-0005-0000-0000-0000195F0000}"/>
    <cellStyle name="Normal 2 2 5 10 2 6" xfId="24379" xr:uid="{00000000-0005-0000-0000-00001A5F0000}"/>
    <cellStyle name="Normal 2 2 5 10 2 7" xfId="24380" xr:uid="{00000000-0005-0000-0000-00001B5F0000}"/>
    <cellStyle name="Normal 2 2 5 10 2 8" xfId="24381" xr:uid="{00000000-0005-0000-0000-00001C5F0000}"/>
    <cellStyle name="Normal 2 2 5 10 2 9" xfId="24382" xr:uid="{00000000-0005-0000-0000-00001D5F0000}"/>
    <cellStyle name="Normal 2 2 5 10 3" xfId="24383" xr:uid="{00000000-0005-0000-0000-00001E5F0000}"/>
    <cellStyle name="Normal 2 2 5 10 3 10" xfId="24384" xr:uid="{00000000-0005-0000-0000-00001F5F0000}"/>
    <cellStyle name="Normal 2 2 5 10 3 2" xfId="24385" xr:uid="{00000000-0005-0000-0000-0000205F0000}"/>
    <cellStyle name="Normal 2 2 5 10 3 3" xfId="24386" xr:uid="{00000000-0005-0000-0000-0000215F0000}"/>
    <cellStyle name="Normal 2 2 5 10 3 4" xfId="24387" xr:uid="{00000000-0005-0000-0000-0000225F0000}"/>
    <cellStyle name="Normal 2 2 5 10 3 5" xfId="24388" xr:uid="{00000000-0005-0000-0000-0000235F0000}"/>
    <cellStyle name="Normal 2 2 5 10 3 6" xfId="24389" xr:uid="{00000000-0005-0000-0000-0000245F0000}"/>
    <cellStyle name="Normal 2 2 5 10 3 7" xfId="24390" xr:uid="{00000000-0005-0000-0000-0000255F0000}"/>
    <cellStyle name="Normal 2 2 5 10 3 8" xfId="24391" xr:uid="{00000000-0005-0000-0000-0000265F0000}"/>
    <cellStyle name="Normal 2 2 5 10 3 9" xfId="24392" xr:uid="{00000000-0005-0000-0000-0000275F0000}"/>
    <cellStyle name="Normal 2 2 5 10 4" xfId="24393" xr:uid="{00000000-0005-0000-0000-0000285F0000}"/>
    <cellStyle name="Normal 2 2 5 10 4 10" xfId="24394" xr:uid="{00000000-0005-0000-0000-0000295F0000}"/>
    <cellStyle name="Normal 2 2 5 10 4 2" xfId="24395" xr:uid="{00000000-0005-0000-0000-00002A5F0000}"/>
    <cellStyle name="Normal 2 2 5 10 4 3" xfId="24396" xr:uid="{00000000-0005-0000-0000-00002B5F0000}"/>
    <cellStyle name="Normal 2 2 5 10 4 4" xfId="24397" xr:uid="{00000000-0005-0000-0000-00002C5F0000}"/>
    <cellStyle name="Normal 2 2 5 10 4 5" xfId="24398" xr:uid="{00000000-0005-0000-0000-00002D5F0000}"/>
    <cellStyle name="Normal 2 2 5 10 4 6" xfId="24399" xr:uid="{00000000-0005-0000-0000-00002E5F0000}"/>
    <cellStyle name="Normal 2 2 5 10 4 7" xfId="24400" xr:uid="{00000000-0005-0000-0000-00002F5F0000}"/>
    <cellStyle name="Normal 2 2 5 10 4 8" xfId="24401" xr:uid="{00000000-0005-0000-0000-0000305F0000}"/>
    <cellStyle name="Normal 2 2 5 10 4 9" xfId="24402" xr:uid="{00000000-0005-0000-0000-0000315F0000}"/>
    <cellStyle name="Normal 2 2 5 10 5" xfId="24403" xr:uid="{00000000-0005-0000-0000-0000325F0000}"/>
    <cellStyle name="Normal 2 2 5 10 5 10" xfId="24404" xr:uid="{00000000-0005-0000-0000-0000335F0000}"/>
    <cellStyle name="Normal 2 2 5 10 5 2" xfId="24405" xr:uid="{00000000-0005-0000-0000-0000345F0000}"/>
    <cellStyle name="Normal 2 2 5 10 5 3" xfId="24406" xr:uid="{00000000-0005-0000-0000-0000355F0000}"/>
    <cellStyle name="Normal 2 2 5 10 5 4" xfId="24407" xr:uid="{00000000-0005-0000-0000-0000365F0000}"/>
    <cellStyle name="Normal 2 2 5 10 5 5" xfId="24408" xr:uid="{00000000-0005-0000-0000-0000375F0000}"/>
    <cellStyle name="Normal 2 2 5 10 5 6" xfId="24409" xr:uid="{00000000-0005-0000-0000-0000385F0000}"/>
    <cellStyle name="Normal 2 2 5 10 5 7" xfId="24410" xr:uid="{00000000-0005-0000-0000-0000395F0000}"/>
    <cellStyle name="Normal 2 2 5 10 5 8" xfId="24411" xr:uid="{00000000-0005-0000-0000-00003A5F0000}"/>
    <cellStyle name="Normal 2 2 5 10 5 9" xfId="24412" xr:uid="{00000000-0005-0000-0000-00003B5F0000}"/>
    <cellStyle name="Normal 2 2 5 10 6" xfId="24413" xr:uid="{00000000-0005-0000-0000-00003C5F0000}"/>
    <cellStyle name="Normal 2 2 5 10 7" xfId="24414" xr:uid="{00000000-0005-0000-0000-00003D5F0000}"/>
    <cellStyle name="Normal 2 2 5 10 8" xfId="24415" xr:uid="{00000000-0005-0000-0000-00003E5F0000}"/>
    <cellStyle name="Normal 2 2 5 10 9" xfId="24416" xr:uid="{00000000-0005-0000-0000-00003F5F0000}"/>
    <cellStyle name="Normal 2 2 5 11" xfId="24417" xr:uid="{00000000-0005-0000-0000-0000405F0000}"/>
    <cellStyle name="Normal 2 2 5 11 10" xfId="24418" xr:uid="{00000000-0005-0000-0000-0000415F0000}"/>
    <cellStyle name="Normal 2 2 5 11 11" xfId="24419" xr:uid="{00000000-0005-0000-0000-0000425F0000}"/>
    <cellStyle name="Normal 2 2 5 11 12" xfId="24420" xr:uid="{00000000-0005-0000-0000-0000435F0000}"/>
    <cellStyle name="Normal 2 2 5 11 13" xfId="24421" xr:uid="{00000000-0005-0000-0000-0000445F0000}"/>
    <cellStyle name="Normal 2 2 5 11 14" xfId="24422" xr:uid="{00000000-0005-0000-0000-0000455F0000}"/>
    <cellStyle name="Normal 2 2 5 11 2" xfId="24423" xr:uid="{00000000-0005-0000-0000-0000465F0000}"/>
    <cellStyle name="Normal 2 2 5 11 2 10" xfId="24424" xr:uid="{00000000-0005-0000-0000-0000475F0000}"/>
    <cellStyle name="Normal 2 2 5 11 2 2" xfId="24425" xr:uid="{00000000-0005-0000-0000-0000485F0000}"/>
    <cellStyle name="Normal 2 2 5 11 2 3" xfId="24426" xr:uid="{00000000-0005-0000-0000-0000495F0000}"/>
    <cellStyle name="Normal 2 2 5 11 2 4" xfId="24427" xr:uid="{00000000-0005-0000-0000-00004A5F0000}"/>
    <cellStyle name="Normal 2 2 5 11 2 5" xfId="24428" xr:uid="{00000000-0005-0000-0000-00004B5F0000}"/>
    <cellStyle name="Normal 2 2 5 11 2 6" xfId="24429" xr:uid="{00000000-0005-0000-0000-00004C5F0000}"/>
    <cellStyle name="Normal 2 2 5 11 2 7" xfId="24430" xr:uid="{00000000-0005-0000-0000-00004D5F0000}"/>
    <cellStyle name="Normal 2 2 5 11 2 8" xfId="24431" xr:uid="{00000000-0005-0000-0000-00004E5F0000}"/>
    <cellStyle name="Normal 2 2 5 11 2 9" xfId="24432" xr:uid="{00000000-0005-0000-0000-00004F5F0000}"/>
    <cellStyle name="Normal 2 2 5 11 3" xfId="24433" xr:uid="{00000000-0005-0000-0000-0000505F0000}"/>
    <cellStyle name="Normal 2 2 5 11 3 10" xfId="24434" xr:uid="{00000000-0005-0000-0000-0000515F0000}"/>
    <cellStyle name="Normal 2 2 5 11 3 2" xfId="24435" xr:uid="{00000000-0005-0000-0000-0000525F0000}"/>
    <cellStyle name="Normal 2 2 5 11 3 3" xfId="24436" xr:uid="{00000000-0005-0000-0000-0000535F0000}"/>
    <cellStyle name="Normal 2 2 5 11 3 4" xfId="24437" xr:uid="{00000000-0005-0000-0000-0000545F0000}"/>
    <cellStyle name="Normal 2 2 5 11 3 5" xfId="24438" xr:uid="{00000000-0005-0000-0000-0000555F0000}"/>
    <cellStyle name="Normal 2 2 5 11 3 6" xfId="24439" xr:uid="{00000000-0005-0000-0000-0000565F0000}"/>
    <cellStyle name="Normal 2 2 5 11 3 7" xfId="24440" xr:uid="{00000000-0005-0000-0000-0000575F0000}"/>
    <cellStyle name="Normal 2 2 5 11 3 8" xfId="24441" xr:uid="{00000000-0005-0000-0000-0000585F0000}"/>
    <cellStyle name="Normal 2 2 5 11 3 9" xfId="24442" xr:uid="{00000000-0005-0000-0000-0000595F0000}"/>
    <cellStyle name="Normal 2 2 5 11 4" xfId="24443" xr:uid="{00000000-0005-0000-0000-00005A5F0000}"/>
    <cellStyle name="Normal 2 2 5 11 4 10" xfId="24444" xr:uid="{00000000-0005-0000-0000-00005B5F0000}"/>
    <cellStyle name="Normal 2 2 5 11 4 2" xfId="24445" xr:uid="{00000000-0005-0000-0000-00005C5F0000}"/>
    <cellStyle name="Normal 2 2 5 11 4 3" xfId="24446" xr:uid="{00000000-0005-0000-0000-00005D5F0000}"/>
    <cellStyle name="Normal 2 2 5 11 4 4" xfId="24447" xr:uid="{00000000-0005-0000-0000-00005E5F0000}"/>
    <cellStyle name="Normal 2 2 5 11 4 5" xfId="24448" xr:uid="{00000000-0005-0000-0000-00005F5F0000}"/>
    <cellStyle name="Normal 2 2 5 11 4 6" xfId="24449" xr:uid="{00000000-0005-0000-0000-0000605F0000}"/>
    <cellStyle name="Normal 2 2 5 11 4 7" xfId="24450" xr:uid="{00000000-0005-0000-0000-0000615F0000}"/>
    <cellStyle name="Normal 2 2 5 11 4 8" xfId="24451" xr:uid="{00000000-0005-0000-0000-0000625F0000}"/>
    <cellStyle name="Normal 2 2 5 11 4 9" xfId="24452" xr:uid="{00000000-0005-0000-0000-0000635F0000}"/>
    <cellStyle name="Normal 2 2 5 11 5" xfId="24453" xr:uid="{00000000-0005-0000-0000-0000645F0000}"/>
    <cellStyle name="Normal 2 2 5 11 5 10" xfId="24454" xr:uid="{00000000-0005-0000-0000-0000655F0000}"/>
    <cellStyle name="Normal 2 2 5 11 5 2" xfId="24455" xr:uid="{00000000-0005-0000-0000-0000665F0000}"/>
    <cellStyle name="Normal 2 2 5 11 5 3" xfId="24456" xr:uid="{00000000-0005-0000-0000-0000675F0000}"/>
    <cellStyle name="Normal 2 2 5 11 5 4" xfId="24457" xr:uid="{00000000-0005-0000-0000-0000685F0000}"/>
    <cellStyle name="Normal 2 2 5 11 5 5" xfId="24458" xr:uid="{00000000-0005-0000-0000-0000695F0000}"/>
    <cellStyle name="Normal 2 2 5 11 5 6" xfId="24459" xr:uid="{00000000-0005-0000-0000-00006A5F0000}"/>
    <cellStyle name="Normal 2 2 5 11 5 7" xfId="24460" xr:uid="{00000000-0005-0000-0000-00006B5F0000}"/>
    <cellStyle name="Normal 2 2 5 11 5 8" xfId="24461" xr:uid="{00000000-0005-0000-0000-00006C5F0000}"/>
    <cellStyle name="Normal 2 2 5 11 5 9" xfId="24462" xr:uid="{00000000-0005-0000-0000-00006D5F0000}"/>
    <cellStyle name="Normal 2 2 5 11 6" xfId="24463" xr:uid="{00000000-0005-0000-0000-00006E5F0000}"/>
    <cellStyle name="Normal 2 2 5 11 7" xfId="24464" xr:uid="{00000000-0005-0000-0000-00006F5F0000}"/>
    <cellStyle name="Normal 2 2 5 11 8" xfId="24465" xr:uid="{00000000-0005-0000-0000-0000705F0000}"/>
    <cellStyle name="Normal 2 2 5 11 9" xfId="24466" xr:uid="{00000000-0005-0000-0000-0000715F0000}"/>
    <cellStyle name="Normal 2 2 5 12" xfId="24467" xr:uid="{00000000-0005-0000-0000-0000725F0000}"/>
    <cellStyle name="Normal 2 2 5 12 10" xfId="24468" xr:uid="{00000000-0005-0000-0000-0000735F0000}"/>
    <cellStyle name="Normal 2 2 5 12 11" xfId="24469" xr:uid="{00000000-0005-0000-0000-0000745F0000}"/>
    <cellStyle name="Normal 2 2 5 12 12" xfId="24470" xr:uid="{00000000-0005-0000-0000-0000755F0000}"/>
    <cellStyle name="Normal 2 2 5 12 13" xfId="24471" xr:uid="{00000000-0005-0000-0000-0000765F0000}"/>
    <cellStyle name="Normal 2 2 5 12 14" xfId="24472" xr:uid="{00000000-0005-0000-0000-0000775F0000}"/>
    <cellStyle name="Normal 2 2 5 12 2" xfId="24473" xr:uid="{00000000-0005-0000-0000-0000785F0000}"/>
    <cellStyle name="Normal 2 2 5 12 2 10" xfId="24474" xr:uid="{00000000-0005-0000-0000-0000795F0000}"/>
    <cellStyle name="Normal 2 2 5 12 2 2" xfId="24475" xr:uid="{00000000-0005-0000-0000-00007A5F0000}"/>
    <cellStyle name="Normal 2 2 5 12 2 3" xfId="24476" xr:uid="{00000000-0005-0000-0000-00007B5F0000}"/>
    <cellStyle name="Normal 2 2 5 12 2 4" xfId="24477" xr:uid="{00000000-0005-0000-0000-00007C5F0000}"/>
    <cellStyle name="Normal 2 2 5 12 2 5" xfId="24478" xr:uid="{00000000-0005-0000-0000-00007D5F0000}"/>
    <cellStyle name="Normal 2 2 5 12 2 6" xfId="24479" xr:uid="{00000000-0005-0000-0000-00007E5F0000}"/>
    <cellStyle name="Normal 2 2 5 12 2 7" xfId="24480" xr:uid="{00000000-0005-0000-0000-00007F5F0000}"/>
    <cellStyle name="Normal 2 2 5 12 2 8" xfId="24481" xr:uid="{00000000-0005-0000-0000-0000805F0000}"/>
    <cellStyle name="Normal 2 2 5 12 2 9" xfId="24482" xr:uid="{00000000-0005-0000-0000-0000815F0000}"/>
    <cellStyle name="Normal 2 2 5 12 3" xfId="24483" xr:uid="{00000000-0005-0000-0000-0000825F0000}"/>
    <cellStyle name="Normal 2 2 5 12 3 10" xfId="24484" xr:uid="{00000000-0005-0000-0000-0000835F0000}"/>
    <cellStyle name="Normal 2 2 5 12 3 2" xfId="24485" xr:uid="{00000000-0005-0000-0000-0000845F0000}"/>
    <cellStyle name="Normal 2 2 5 12 3 3" xfId="24486" xr:uid="{00000000-0005-0000-0000-0000855F0000}"/>
    <cellStyle name="Normal 2 2 5 12 3 4" xfId="24487" xr:uid="{00000000-0005-0000-0000-0000865F0000}"/>
    <cellStyle name="Normal 2 2 5 12 3 5" xfId="24488" xr:uid="{00000000-0005-0000-0000-0000875F0000}"/>
    <cellStyle name="Normal 2 2 5 12 3 6" xfId="24489" xr:uid="{00000000-0005-0000-0000-0000885F0000}"/>
    <cellStyle name="Normal 2 2 5 12 3 7" xfId="24490" xr:uid="{00000000-0005-0000-0000-0000895F0000}"/>
    <cellStyle name="Normal 2 2 5 12 3 8" xfId="24491" xr:uid="{00000000-0005-0000-0000-00008A5F0000}"/>
    <cellStyle name="Normal 2 2 5 12 3 9" xfId="24492" xr:uid="{00000000-0005-0000-0000-00008B5F0000}"/>
    <cellStyle name="Normal 2 2 5 12 4" xfId="24493" xr:uid="{00000000-0005-0000-0000-00008C5F0000}"/>
    <cellStyle name="Normal 2 2 5 12 4 10" xfId="24494" xr:uid="{00000000-0005-0000-0000-00008D5F0000}"/>
    <cellStyle name="Normal 2 2 5 12 4 2" xfId="24495" xr:uid="{00000000-0005-0000-0000-00008E5F0000}"/>
    <cellStyle name="Normal 2 2 5 12 4 3" xfId="24496" xr:uid="{00000000-0005-0000-0000-00008F5F0000}"/>
    <cellStyle name="Normal 2 2 5 12 4 4" xfId="24497" xr:uid="{00000000-0005-0000-0000-0000905F0000}"/>
    <cellStyle name="Normal 2 2 5 12 4 5" xfId="24498" xr:uid="{00000000-0005-0000-0000-0000915F0000}"/>
    <cellStyle name="Normal 2 2 5 12 4 6" xfId="24499" xr:uid="{00000000-0005-0000-0000-0000925F0000}"/>
    <cellStyle name="Normal 2 2 5 12 4 7" xfId="24500" xr:uid="{00000000-0005-0000-0000-0000935F0000}"/>
    <cellStyle name="Normal 2 2 5 12 4 8" xfId="24501" xr:uid="{00000000-0005-0000-0000-0000945F0000}"/>
    <cellStyle name="Normal 2 2 5 12 4 9" xfId="24502" xr:uid="{00000000-0005-0000-0000-0000955F0000}"/>
    <cellStyle name="Normal 2 2 5 12 5" xfId="24503" xr:uid="{00000000-0005-0000-0000-0000965F0000}"/>
    <cellStyle name="Normal 2 2 5 12 5 10" xfId="24504" xr:uid="{00000000-0005-0000-0000-0000975F0000}"/>
    <cellStyle name="Normal 2 2 5 12 5 2" xfId="24505" xr:uid="{00000000-0005-0000-0000-0000985F0000}"/>
    <cellStyle name="Normal 2 2 5 12 5 3" xfId="24506" xr:uid="{00000000-0005-0000-0000-0000995F0000}"/>
    <cellStyle name="Normal 2 2 5 12 5 4" xfId="24507" xr:uid="{00000000-0005-0000-0000-00009A5F0000}"/>
    <cellStyle name="Normal 2 2 5 12 5 5" xfId="24508" xr:uid="{00000000-0005-0000-0000-00009B5F0000}"/>
    <cellStyle name="Normal 2 2 5 12 5 6" xfId="24509" xr:uid="{00000000-0005-0000-0000-00009C5F0000}"/>
    <cellStyle name="Normal 2 2 5 12 5 7" xfId="24510" xr:uid="{00000000-0005-0000-0000-00009D5F0000}"/>
    <cellStyle name="Normal 2 2 5 12 5 8" xfId="24511" xr:uid="{00000000-0005-0000-0000-00009E5F0000}"/>
    <cellStyle name="Normal 2 2 5 12 5 9" xfId="24512" xr:uid="{00000000-0005-0000-0000-00009F5F0000}"/>
    <cellStyle name="Normal 2 2 5 12 6" xfId="24513" xr:uid="{00000000-0005-0000-0000-0000A05F0000}"/>
    <cellStyle name="Normal 2 2 5 12 7" xfId="24514" xr:uid="{00000000-0005-0000-0000-0000A15F0000}"/>
    <cellStyle name="Normal 2 2 5 12 8" xfId="24515" xr:uid="{00000000-0005-0000-0000-0000A25F0000}"/>
    <cellStyle name="Normal 2 2 5 12 9" xfId="24516" xr:uid="{00000000-0005-0000-0000-0000A35F0000}"/>
    <cellStyle name="Normal 2 2 5 13" xfId="24517" xr:uid="{00000000-0005-0000-0000-0000A45F0000}"/>
    <cellStyle name="Normal 2 2 5 13 10" xfId="24518" xr:uid="{00000000-0005-0000-0000-0000A55F0000}"/>
    <cellStyle name="Normal 2 2 5 13 11" xfId="24519" xr:uid="{00000000-0005-0000-0000-0000A65F0000}"/>
    <cellStyle name="Normal 2 2 5 13 12" xfId="24520" xr:uid="{00000000-0005-0000-0000-0000A75F0000}"/>
    <cellStyle name="Normal 2 2 5 13 13" xfId="24521" xr:uid="{00000000-0005-0000-0000-0000A85F0000}"/>
    <cellStyle name="Normal 2 2 5 13 14" xfId="24522" xr:uid="{00000000-0005-0000-0000-0000A95F0000}"/>
    <cellStyle name="Normal 2 2 5 13 2" xfId="24523" xr:uid="{00000000-0005-0000-0000-0000AA5F0000}"/>
    <cellStyle name="Normal 2 2 5 13 2 10" xfId="24524" xr:uid="{00000000-0005-0000-0000-0000AB5F0000}"/>
    <cellStyle name="Normal 2 2 5 13 2 2" xfId="24525" xr:uid="{00000000-0005-0000-0000-0000AC5F0000}"/>
    <cellStyle name="Normal 2 2 5 13 2 3" xfId="24526" xr:uid="{00000000-0005-0000-0000-0000AD5F0000}"/>
    <cellStyle name="Normal 2 2 5 13 2 4" xfId="24527" xr:uid="{00000000-0005-0000-0000-0000AE5F0000}"/>
    <cellStyle name="Normal 2 2 5 13 2 5" xfId="24528" xr:uid="{00000000-0005-0000-0000-0000AF5F0000}"/>
    <cellStyle name="Normal 2 2 5 13 2 6" xfId="24529" xr:uid="{00000000-0005-0000-0000-0000B05F0000}"/>
    <cellStyle name="Normal 2 2 5 13 2 7" xfId="24530" xr:uid="{00000000-0005-0000-0000-0000B15F0000}"/>
    <cellStyle name="Normal 2 2 5 13 2 8" xfId="24531" xr:uid="{00000000-0005-0000-0000-0000B25F0000}"/>
    <cellStyle name="Normal 2 2 5 13 2 9" xfId="24532" xr:uid="{00000000-0005-0000-0000-0000B35F0000}"/>
    <cellStyle name="Normal 2 2 5 13 3" xfId="24533" xr:uid="{00000000-0005-0000-0000-0000B45F0000}"/>
    <cellStyle name="Normal 2 2 5 13 3 10" xfId="24534" xr:uid="{00000000-0005-0000-0000-0000B55F0000}"/>
    <cellStyle name="Normal 2 2 5 13 3 2" xfId="24535" xr:uid="{00000000-0005-0000-0000-0000B65F0000}"/>
    <cellStyle name="Normal 2 2 5 13 3 3" xfId="24536" xr:uid="{00000000-0005-0000-0000-0000B75F0000}"/>
    <cellStyle name="Normal 2 2 5 13 3 4" xfId="24537" xr:uid="{00000000-0005-0000-0000-0000B85F0000}"/>
    <cellStyle name="Normal 2 2 5 13 3 5" xfId="24538" xr:uid="{00000000-0005-0000-0000-0000B95F0000}"/>
    <cellStyle name="Normal 2 2 5 13 3 6" xfId="24539" xr:uid="{00000000-0005-0000-0000-0000BA5F0000}"/>
    <cellStyle name="Normal 2 2 5 13 3 7" xfId="24540" xr:uid="{00000000-0005-0000-0000-0000BB5F0000}"/>
    <cellStyle name="Normal 2 2 5 13 3 8" xfId="24541" xr:uid="{00000000-0005-0000-0000-0000BC5F0000}"/>
    <cellStyle name="Normal 2 2 5 13 3 9" xfId="24542" xr:uid="{00000000-0005-0000-0000-0000BD5F0000}"/>
    <cellStyle name="Normal 2 2 5 13 4" xfId="24543" xr:uid="{00000000-0005-0000-0000-0000BE5F0000}"/>
    <cellStyle name="Normal 2 2 5 13 4 10" xfId="24544" xr:uid="{00000000-0005-0000-0000-0000BF5F0000}"/>
    <cellStyle name="Normal 2 2 5 13 4 2" xfId="24545" xr:uid="{00000000-0005-0000-0000-0000C05F0000}"/>
    <cellStyle name="Normal 2 2 5 13 4 3" xfId="24546" xr:uid="{00000000-0005-0000-0000-0000C15F0000}"/>
    <cellStyle name="Normal 2 2 5 13 4 4" xfId="24547" xr:uid="{00000000-0005-0000-0000-0000C25F0000}"/>
    <cellStyle name="Normal 2 2 5 13 4 5" xfId="24548" xr:uid="{00000000-0005-0000-0000-0000C35F0000}"/>
    <cellStyle name="Normal 2 2 5 13 4 6" xfId="24549" xr:uid="{00000000-0005-0000-0000-0000C45F0000}"/>
    <cellStyle name="Normal 2 2 5 13 4 7" xfId="24550" xr:uid="{00000000-0005-0000-0000-0000C55F0000}"/>
    <cellStyle name="Normal 2 2 5 13 4 8" xfId="24551" xr:uid="{00000000-0005-0000-0000-0000C65F0000}"/>
    <cellStyle name="Normal 2 2 5 13 4 9" xfId="24552" xr:uid="{00000000-0005-0000-0000-0000C75F0000}"/>
    <cellStyle name="Normal 2 2 5 13 5" xfId="24553" xr:uid="{00000000-0005-0000-0000-0000C85F0000}"/>
    <cellStyle name="Normal 2 2 5 13 5 10" xfId="24554" xr:uid="{00000000-0005-0000-0000-0000C95F0000}"/>
    <cellStyle name="Normal 2 2 5 13 5 2" xfId="24555" xr:uid="{00000000-0005-0000-0000-0000CA5F0000}"/>
    <cellStyle name="Normal 2 2 5 13 5 3" xfId="24556" xr:uid="{00000000-0005-0000-0000-0000CB5F0000}"/>
    <cellStyle name="Normal 2 2 5 13 5 4" xfId="24557" xr:uid="{00000000-0005-0000-0000-0000CC5F0000}"/>
    <cellStyle name="Normal 2 2 5 13 5 5" xfId="24558" xr:uid="{00000000-0005-0000-0000-0000CD5F0000}"/>
    <cellStyle name="Normal 2 2 5 13 5 6" xfId="24559" xr:uid="{00000000-0005-0000-0000-0000CE5F0000}"/>
    <cellStyle name="Normal 2 2 5 13 5 7" xfId="24560" xr:uid="{00000000-0005-0000-0000-0000CF5F0000}"/>
    <cellStyle name="Normal 2 2 5 13 5 8" xfId="24561" xr:uid="{00000000-0005-0000-0000-0000D05F0000}"/>
    <cellStyle name="Normal 2 2 5 13 5 9" xfId="24562" xr:uid="{00000000-0005-0000-0000-0000D15F0000}"/>
    <cellStyle name="Normal 2 2 5 13 6" xfId="24563" xr:uid="{00000000-0005-0000-0000-0000D25F0000}"/>
    <cellStyle name="Normal 2 2 5 13 7" xfId="24564" xr:uid="{00000000-0005-0000-0000-0000D35F0000}"/>
    <cellStyle name="Normal 2 2 5 13 8" xfId="24565" xr:uid="{00000000-0005-0000-0000-0000D45F0000}"/>
    <cellStyle name="Normal 2 2 5 13 9" xfId="24566" xr:uid="{00000000-0005-0000-0000-0000D55F0000}"/>
    <cellStyle name="Normal 2 2 5 14" xfId="24567" xr:uid="{00000000-0005-0000-0000-0000D65F0000}"/>
    <cellStyle name="Normal 2 2 5 14 10" xfId="24568" xr:uid="{00000000-0005-0000-0000-0000D75F0000}"/>
    <cellStyle name="Normal 2 2 5 14 11" xfId="24569" xr:uid="{00000000-0005-0000-0000-0000D85F0000}"/>
    <cellStyle name="Normal 2 2 5 14 12" xfId="24570" xr:uid="{00000000-0005-0000-0000-0000D95F0000}"/>
    <cellStyle name="Normal 2 2 5 14 13" xfId="24571" xr:uid="{00000000-0005-0000-0000-0000DA5F0000}"/>
    <cellStyle name="Normal 2 2 5 14 14" xfId="24572" xr:uid="{00000000-0005-0000-0000-0000DB5F0000}"/>
    <cellStyle name="Normal 2 2 5 14 2" xfId="24573" xr:uid="{00000000-0005-0000-0000-0000DC5F0000}"/>
    <cellStyle name="Normal 2 2 5 14 2 10" xfId="24574" xr:uid="{00000000-0005-0000-0000-0000DD5F0000}"/>
    <cellStyle name="Normal 2 2 5 14 2 2" xfId="24575" xr:uid="{00000000-0005-0000-0000-0000DE5F0000}"/>
    <cellStyle name="Normal 2 2 5 14 2 3" xfId="24576" xr:uid="{00000000-0005-0000-0000-0000DF5F0000}"/>
    <cellStyle name="Normal 2 2 5 14 2 4" xfId="24577" xr:uid="{00000000-0005-0000-0000-0000E05F0000}"/>
    <cellStyle name="Normal 2 2 5 14 2 5" xfId="24578" xr:uid="{00000000-0005-0000-0000-0000E15F0000}"/>
    <cellStyle name="Normal 2 2 5 14 2 6" xfId="24579" xr:uid="{00000000-0005-0000-0000-0000E25F0000}"/>
    <cellStyle name="Normal 2 2 5 14 2 7" xfId="24580" xr:uid="{00000000-0005-0000-0000-0000E35F0000}"/>
    <cellStyle name="Normal 2 2 5 14 2 8" xfId="24581" xr:uid="{00000000-0005-0000-0000-0000E45F0000}"/>
    <cellStyle name="Normal 2 2 5 14 2 9" xfId="24582" xr:uid="{00000000-0005-0000-0000-0000E55F0000}"/>
    <cellStyle name="Normal 2 2 5 14 3" xfId="24583" xr:uid="{00000000-0005-0000-0000-0000E65F0000}"/>
    <cellStyle name="Normal 2 2 5 14 3 10" xfId="24584" xr:uid="{00000000-0005-0000-0000-0000E75F0000}"/>
    <cellStyle name="Normal 2 2 5 14 3 2" xfId="24585" xr:uid="{00000000-0005-0000-0000-0000E85F0000}"/>
    <cellStyle name="Normal 2 2 5 14 3 3" xfId="24586" xr:uid="{00000000-0005-0000-0000-0000E95F0000}"/>
    <cellStyle name="Normal 2 2 5 14 3 4" xfId="24587" xr:uid="{00000000-0005-0000-0000-0000EA5F0000}"/>
    <cellStyle name="Normal 2 2 5 14 3 5" xfId="24588" xr:uid="{00000000-0005-0000-0000-0000EB5F0000}"/>
    <cellStyle name="Normal 2 2 5 14 3 6" xfId="24589" xr:uid="{00000000-0005-0000-0000-0000EC5F0000}"/>
    <cellStyle name="Normal 2 2 5 14 3 7" xfId="24590" xr:uid="{00000000-0005-0000-0000-0000ED5F0000}"/>
    <cellStyle name="Normal 2 2 5 14 3 8" xfId="24591" xr:uid="{00000000-0005-0000-0000-0000EE5F0000}"/>
    <cellStyle name="Normal 2 2 5 14 3 9" xfId="24592" xr:uid="{00000000-0005-0000-0000-0000EF5F0000}"/>
    <cellStyle name="Normal 2 2 5 14 4" xfId="24593" xr:uid="{00000000-0005-0000-0000-0000F05F0000}"/>
    <cellStyle name="Normal 2 2 5 14 4 10" xfId="24594" xr:uid="{00000000-0005-0000-0000-0000F15F0000}"/>
    <cellStyle name="Normal 2 2 5 14 4 2" xfId="24595" xr:uid="{00000000-0005-0000-0000-0000F25F0000}"/>
    <cellStyle name="Normal 2 2 5 14 4 3" xfId="24596" xr:uid="{00000000-0005-0000-0000-0000F35F0000}"/>
    <cellStyle name="Normal 2 2 5 14 4 4" xfId="24597" xr:uid="{00000000-0005-0000-0000-0000F45F0000}"/>
    <cellStyle name="Normal 2 2 5 14 4 5" xfId="24598" xr:uid="{00000000-0005-0000-0000-0000F55F0000}"/>
    <cellStyle name="Normal 2 2 5 14 4 6" xfId="24599" xr:uid="{00000000-0005-0000-0000-0000F65F0000}"/>
    <cellStyle name="Normal 2 2 5 14 4 7" xfId="24600" xr:uid="{00000000-0005-0000-0000-0000F75F0000}"/>
    <cellStyle name="Normal 2 2 5 14 4 8" xfId="24601" xr:uid="{00000000-0005-0000-0000-0000F85F0000}"/>
    <cellStyle name="Normal 2 2 5 14 4 9" xfId="24602" xr:uid="{00000000-0005-0000-0000-0000F95F0000}"/>
    <cellStyle name="Normal 2 2 5 14 5" xfId="24603" xr:uid="{00000000-0005-0000-0000-0000FA5F0000}"/>
    <cellStyle name="Normal 2 2 5 14 5 10" xfId="24604" xr:uid="{00000000-0005-0000-0000-0000FB5F0000}"/>
    <cellStyle name="Normal 2 2 5 14 5 2" xfId="24605" xr:uid="{00000000-0005-0000-0000-0000FC5F0000}"/>
    <cellStyle name="Normal 2 2 5 14 5 3" xfId="24606" xr:uid="{00000000-0005-0000-0000-0000FD5F0000}"/>
    <cellStyle name="Normal 2 2 5 14 5 4" xfId="24607" xr:uid="{00000000-0005-0000-0000-0000FE5F0000}"/>
    <cellStyle name="Normal 2 2 5 14 5 5" xfId="24608" xr:uid="{00000000-0005-0000-0000-0000FF5F0000}"/>
    <cellStyle name="Normal 2 2 5 14 5 6" xfId="24609" xr:uid="{00000000-0005-0000-0000-000000600000}"/>
    <cellStyle name="Normal 2 2 5 14 5 7" xfId="24610" xr:uid="{00000000-0005-0000-0000-000001600000}"/>
    <cellStyle name="Normal 2 2 5 14 5 8" xfId="24611" xr:uid="{00000000-0005-0000-0000-000002600000}"/>
    <cellStyle name="Normal 2 2 5 14 5 9" xfId="24612" xr:uid="{00000000-0005-0000-0000-000003600000}"/>
    <cellStyle name="Normal 2 2 5 14 6" xfId="24613" xr:uid="{00000000-0005-0000-0000-000004600000}"/>
    <cellStyle name="Normal 2 2 5 14 7" xfId="24614" xr:uid="{00000000-0005-0000-0000-000005600000}"/>
    <cellStyle name="Normal 2 2 5 14 8" xfId="24615" xr:uid="{00000000-0005-0000-0000-000006600000}"/>
    <cellStyle name="Normal 2 2 5 14 9" xfId="24616" xr:uid="{00000000-0005-0000-0000-000007600000}"/>
    <cellStyle name="Normal 2 2 5 15" xfId="24617" xr:uid="{00000000-0005-0000-0000-000008600000}"/>
    <cellStyle name="Normal 2 2 5 15 10" xfId="24618" xr:uid="{00000000-0005-0000-0000-000009600000}"/>
    <cellStyle name="Normal 2 2 5 15 11" xfId="24619" xr:uid="{00000000-0005-0000-0000-00000A600000}"/>
    <cellStyle name="Normal 2 2 5 15 12" xfId="24620" xr:uid="{00000000-0005-0000-0000-00000B600000}"/>
    <cellStyle name="Normal 2 2 5 15 13" xfId="24621" xr:uid="{00000000-0005-0000-0000-00000C600000}"/>
    <cellStyle name="Normal 2 2 5 15 14" xfId="24622" xr:uid="{00000000-0005-0000-0000-00000D600000}"/>
    <cellStyle name="Normal 2 2 5 15 2" xfId="24623" xr:uid="{00000000-0005-0000-0000-00000E600000}"/>
    <cellStyle name="Normal 2 2 5 15 2 10" xfId="24624" xr:uid="{00000000-0005-0000-0000-00000F600000}"/>
    <cellStyle name="Normal 2 2 5 15 2 2" xfId="24625" xr:uid="{00000000-0005-0000-0000-000010600000}"/>
    <cellStyle name="Normal 2 2 5 15 2 3" xfId="24626" xr:uid="{00000000-0005-0000-0000-000011600000}"/>
    <cellStyle name="Normal 2 2 5 15 2 4" xfId="24627" xr:uid="{00000000-0005-0000-0000-000012600000}"/>
    <cellStyle name="Normal 2 2 5 15 2 5" xfId="24628" xr:uid="{00000000-0005-0000-0000-000013600000}"/>
    <cellStyle name="Normal 2 2 5 15 2 6" xfId="24629" xr:uid="{00000000-0005-0000-0000-000014600000}"/>
    <cellStyle name="Normal 2 2 5 15 2 7" xfId="24630" xr:uid="{00000000-0005-0000-0000-000015600000}"/>
    <cellStyle name="Normal 2 2 5 15 2 8" xfId="24631" xr:uid="{00000000-0005-0000-0000-000016600000}"/>
    <cellStyle name="Normal 2 2 5 15 2 9" xfId="24632" xr:uid="{00000000-0005-0000-0000-000017600000}"/>
    <cellStyle name="Normal 2 2 5 15 3" xfId="24633" xr:uid="{00000000-0005-0000-0000-000018600000}"/>
    <cellStyle name="Normal 2 2 5 15 3 10" xfId="24634" xr:uid="{00000000-0005-0000-0000-000019600000}"/>
    <cellStyle name="Normal 2 2 5 15 3 2" xfId="24635" xr:uid="{00000000-0005-0000-0000-00001A600000}"/>
    <cellStyle name="Normal 2 2 5 15 3 3" xfId="24636" xr:uid="{00000000-0005-0000-0000-00001B600000}"/>
    <cellStyle name="Normal 2 2 5 15 3 4" xfId="24637" xr:uid="{00000000-0005-0000-0000-00001C600000}"/>
    <cellStyle name="Normal 2 2 5 15 3 5" xfId="24638" xr:uid="{00000000-0005-0000-0000-00001D600000}"/>
    <cellStyle name="Normal 2 2 5 15 3 6" xfId="24639" xr:uid="{00000000-0005-0000-0000-00001E600000}"/>
    <cellStyle name="Normal 2 2 5 15 3 7" xfId="24640" xr:uid="{00000000-0005-0000-0000-00001F600000}"/>
    <cellStyle name="Normal 2 2 5 15 3 8" xfId="24641" xr:uid="{00000000-0005-0000-0000-000020600000}"/>
    <cellStyle name="Normal 2 2 5 15 3 9" xfId="24642" xr:uid="{00000000-0005-0000-0000-000021600000}"/>
    <cellStyle name="Normal 2 2 5 15 4" xfId="24643" xr:uid="{00000000-0005-0000-0000-000022600000}"/>
    <cellStyle name="Normal 2 2 5 15 4 10" xfId="24644" xr:uid="{00000000-0005-0000-0000-000023600000}"/>
    <cellStyle name="Normal 2 2 5 15 4 2" xfId="24645" xr:uid="{00000000-0005-0000-0000-000024600000}"/>
    <cellStyle name="Normal 2 2 5 15 4 3" xfId="24646" xr:uid="{00000000-0005-0000-0000-000025600000}"/>
    <cellStyle name="Normal 2 2 5 15 4 4" xfId="24647" xr:uid="{00000000-0005-0000-0000-000026600000}"/>
    <cellStyle name="Normal 2 2 5 15 4 5" xfId="24648" xr:uid="{00000000-0005-0000-0000-000027600000}"/>
    <cellStyle name="Normal 2 2 5 15 4 6" xfId="24649" xr:uid="{00000000-0005-0000-0000-000028600000}"/>
    <cellStyle name="Normal 2 2 5 15 4 7" xfId="24650" xr:uid="{00000000-0005-0000-0000-000029600000}"/>
    <cellStyle name="Normal 2 2 5 15 4 8" xfId="24651" xr:uid="{00000000-0005-0000-0000-00002A600000}"/>
    <cellStyle name="Normal 2 2 5 15 4 9" xfId="24652" xr:uid="{00000000-0005-0000-0000-00002B600000}"/>
    <cellStyle name="Normal 2 2 5 15 5" xfId="24653" xr:uid="{00000000-0005-0000-0000-00002C600000}"/>
    <cellStyle name="Normal 2 2 5 15 5 10" xfId="24654" xr:uid="{00000000-0005-0000-0000-00002D600000}"/>
    <cellStyle name="Normal 2 2 5 15 5 2" xfId="24655" xr:uid="{00000000-0005-0000-0000-00002E600000}"/>
    <cellStyle name="Normal 2 2 5 15 5 3" xfId="24656" xr:uid="{00000000-0005-0000-0000-00002F600000}"/>
    <cellStyle name="Normal 2 2 5 15 5 4" xfId="24657" xr:uid="{00000000-0005-0000-0000-000030600000}"/>
    <cellStyle name="Normal 2 2 5 15 5 5" xfId="24658" xr:uid="{00000000-0005-0000-0000-000031600000}"/>
    <cellStyle name="Normal 2 2 5 15 5 6" xfId="24659" xr:uid="{00000000-0005-0000-0000-000032600000}"/>
    <cellStyle name="Normal 2 2 5 15 5 7" xfId="24660" xr:uid="{00000000-0005-0000-0000-000033600000}"/>
    <cellStyle name="Normal 2 2 5 15 5 8" xfId="24661" xr:uid="{00000000-0005-0000-0000-000034600000}"/>
    <cellStyle name="Normal 2 2 5 15 5 9" xfId="24662" xr:uid="{00000000-0005-0000-0000-000035600000}"/>
    <cellStyle name="Normal 2 2 5 15 6" xfId="24663" xr:uid="{00000000-0005-0000-0000-000036600000}"/>
    <cellStyle name="Normal 2 2 5 15 7" xfId="24664" xr:uid="{00000000-0005-0000-0000-000037600000}"/>
    <cellStyle name="Normal 2 2 5 15 8" xfId="24665" xr:uid="{00000000-0005-0000-0000-000038600000}"/>
    <cellStyle name="Normal 2 2 5 15 9" xfId="24666" xr:uid="{00000000-0005-0000-0000-000039600000}"/>
    <cellStyle name="Normal 2 2 5 16" xfId="24667" xr:uid="{00000000-0005-0000-0000-00003A600000}"/>
    <cellStyle name="Normal 2 2 5 16 10" xfId="24668" xr:uid="{00000000-0005-0000-0000-00003B600000}"/>
    <cellStyle name="Normal 2 2 5 16 11" xfId="24669" xr:uid="{00000000-0005-0000-0000-00003C600000}"/>
    <cellStyle name="Normal 2 2 5 16 12" xfId="24670" xr:uid="{00000000-0005-0000-0000-00003D600000}"/>
    <cellStyle name="Normal 2 2 5 16 13" xfId="24671" xr:uid="{00000000-0005-0000-0000-00003E600000}"/>
    <cellStyle name="Normal 2 2 5 16 14" xfId="24672" xr:uid="{00000000-0005-0000-0000-00003F600000}"/>
    <cellStyle name="Normal 2 2 5 16 2" xfId="24673" xr:uid="{00000000-0005-0000-0000-000040600000}"/>
    <cellStyle name="Normal 2 2 5 16 2 10" xfId="24674" xr:uid="{00000000-0005-0000-0000-000041600000}"/>
    <cellStyle name="Normal 2 2 5 16 2 2" xfId="24675" xr:uid="{00000000-0005-0000-0000-000042600000}"/>
    <cellStyle name="Normal 2 2 5 16 2 3" xfId="24676" xr:uid="{00000000-0005-0000-0000-000043600000}"/>
    <cellStyle name="Normal 2 2 5 16 2 4" xfId="24677" xr:uid="{00000000-0005-0000-0000-000044600000}"/>
    <cellStyle name="Normal 2 2 5 16 2 5" xfId="24678" xr:uid="{00000000-0005-0000-0000-000045600000}"/>
    <cellStyle name="Normal 2 2 5 16 2 6" xfId="24679" xr:uid="{00000000-0005-0000-0000-000046600000}"/>
    <cellStyle name="Normal 2 2 5 16 2 7" xfId="24680" xr:uid="{00000000-0005-0000-0000-000047600000}"/>
    <cellStyle name="Normal 2 2 5 16 2 8" xfId="24681" xr:uid="{00000000-0005-0000-0000-000048600000}"/>
    <cellStyle name="Normal 2 2 5 16 2 9" xfId="24682" xr:uid="{00000000-0005-0000-0000-000049600000}"/>
    <cellStyle name="Normal 2 2 5 16 3" xfId="24683" xr:uid="{00000000-0005-0000-0000-00004A600000}"/>
    <cellStyle name="Normal 2 2 5 16 3 10" xfId="24684" xr:uid="{00000000-0005-0000-0000-00004B600000}"/>
    <cellStyle name="Normal 2 2 5 16 3 2" xfId="24685" xr:uid="{00000000-0005-0000-0000-00004C600000}"/>
    <cellStyle name="Normal 2 2 5 16 3 3" xfId="24686" xr:uid="{00000000-0005-0000-0000-00004D600000}"/>
    <cellStyle name="Normal 2 2 5 16 3 4" xfId="24687" xr:uid="{00000000-0005-0000-0000-00004E600000}"/>
    <cellStyle name="Normal 2 2 5 16 3 5" xfId="24688" xr:uid="{00000000-0005-0000-0000-00004F600000}"/>
    <cellStyle name="Normal 2 2 5 16 3 6" xfId="24689" xr:uid="{00000000-0005-0000-0000-000050600000}"/>
    <cellStyle name="Normal 2 2 5 16 3 7" xfId="24690" xr:uid="{00000000-0005-0000-0000-000051600000}"/>
    <cellStyle name="Normal 2 2 5 16 3 8" xfId="24691" xr:uid="{00000000-0005-0000-0000-000052600000}"/>
    <cellStyle name="Normal 2 2 5 16 3 9" xfId="24692" xr:uid="{00000000-0005-0000-0000-000053600000}"/>
    <cellStyle name="Normal 2 2 5 16 4" xfId="24693" xr:uid="{00000000-0005-0000-0000-000054600000}"/>
    <cellStyle name="Normal 2 2 5 16 4 10" xfId="24694" xr:uid="{00000000-0005-0000-0000-000055600000}"/>
    <cellStyle name="Normal 2 2 5 16 4 2" xfId="24695" xr:uid="{00000000-0005-0000-0000-000056600000}"/>
    <cellStyle name="Normal 2 2 5 16 4 3" xfId="24696" xr:uid="{00000000-0005-0000-0000-000057600000}"/>
    <cellStyle name="Normal 2 2 5 16 4 4" xfId="24697" xr:uid="{00000000-0005-0000-0000-000058600000}"/>
    <cellStyle name="Normal 2 2 5 16 4 5" xfId="24698" xr:uid="{00000000-0005-0000-0000-000059600000}"/>
    <cellStyle name="Normal 2 2 5 16 4 6" xfId="24699" xr:uid="{00000000-0005-0000-0000-00005A600000}"/>
    <cellStyle name="Normal 2 2 5 16 4 7" xfId="24700" xr:uid="{00000000-0005-0000-0000-00005B600000}"/>
    <cellStyle name="Normal 2 2 5 16 4 8" xfId="24701" xr:uid="{00000000-0005-0000-0000-00005C600000}"/>
    <cellStyle name="Normal 2 2 5 16 4 9" xfId="24702" xr:uid="{00000000-0005-0000-0000-00005D600000}"/>
    <cellStyle name="Normal 2 2 5 16 5" xfId="24703" xr:uid="{00000000-0005-0000-0000-00005E600000}"/>
    <cellStyle name="Normal 2 2 5 16 5 10" xfId="24704" xr:uid="{00000000-0005-0000-0000-00005F600000}"/>
    <cellStyle name="Normal 2 2 5 16 5 2" xfId="24705" xr:uid="{00000000-0005-0000-0000-000060600000}"/>
    <cellStyle name="Normal 2 2 5 16 5 3" xfId="24706" xr:uid="{00000000-0005-0000-0000-000061600000}"/>
    <cellStyle name="Normal 2 2 5 16 5 4" xfId="24707" xr:uid="{00000000-0005-0000-0000-000062600000}"/>
    <cellStyle name="Normal 2 2 5 16 5 5" xfId="24708" xr:uid="{00000000-0005-0000-0000-000063600000}"/>
    <cellStyle name="Normal 2 2 5 16 5 6" xfId="24709" xr:uid="{00000000-0005-0000-0000-000064600000}"/>
    <cellStyle name="Normal 2 2 5 16 5 7" xfId="24710" xr:uid="{00000000-0005-0000-0000-000065600000}"/>
    <cellStyle name="Normal 2 2 5 16 5 8" xfId="24711" xr:uid="{00000000-0005-0000-0000-000066600000}"/>
    <cellStyle name="Normal 2 2 5 16 5 9" xfId="24712" xr:uid="{00000000-0005-0000-0000-000067600000}"/>
    <cellStyle name="Normal 2 2 5 16 6" xfId="24713" xr:uid="{00000000-0005-0000-0000-000068600000}"/>
    <cellStyle name="Normal 2 2 5 16 7" xfId="24714" xr:uid="{00000000-0005-0000-0000-000069600000}"/>
    <cellStyle name="Normal 2 2 5 16 8" xfId="24715" xr:uid="{00000000-0005-0000-0000-00006A600000}"/>
    <cellStyle name="Normal 2 2 5 16 9" xfId="24716" xr:uid="{00000000-0005-0000-0000-00006B600000}"/>
    <cellStyle name="Normal 2 2 5 17" xfId="24717" xr:uid="{00000000-0005-0000-0000-00006C600000}"/>
    <cellStyle name="Normal 2 2 5 17 10" xfId="24718" xr:uid="{00000000-0005-0000-0000-00006D600000}"/>
    <cellStyle name="Normal 2 2 5 17 11" xfId="24719" xr:uid="{00000000-0005-0000-0000-00006E600000}"/>
    <cellStyle name="Normal 2 2 5 17 12" xfId="24720" xr:uid="{00000000-0005-0000-0000-00006F600000}"/>
    <cellStyle name="Normal 2 2 5 17 13" xfId="24721" xr:uid="{00000000-0005-0000-0000-000070600000}"/>
    <cellStyle name="Normal 2 2 5 17 14" xfId="24722" xr:uid="{00000000-0005-0000-0000-000071600000}"/>
    <cellStyle name="Normal 2 2 5 17 2" xfId="24723" xr:uid="{00000000-0005-0000-0000-000072600000}"/>
    <cellStyle name="Normal 2 2 5 17 2 10" xfId="24724" xr:uid="{00000000-0005-0000-0000-000073600000}"/>
    <cellStyle name="Normal 2 2 5 17 2 2" xfId="24725" xr:uid="{00000000-0005-0000-0000-000074600000}"/>
    <cellStyle name="Normal 2 2 5 17 2 3" xfId="24726" xr:uid="{00000000-0005-0000-0000-000075600000}"/>
    <cellStyle name="Normal 2 2 5 17 2 4" xfId="24727" xr:uid="{00000000-0005-0000-0000-000076600000}"/>
    <cellStyle name="Normal 2 2 5 17 2 5" xfId="24728" xr:uid="{00000000-0005-0000-0000-000077600000}"/>
    <cellStyle name="Normal 2 2 5 17 2 6" xfId="24729" xr:uid="{00000000-0005-0000-0000-000078600000}"/>
    <cellStyle name="Normal 2 2 5 17 2 7" xfId="24730" xr:uid="{00000000-0005-0000-0000-000079600000}"/>
    <cellStyle name="Normal 2 2 5 17 2 8" xfId="24731" xr:uid="{00000000-0005-0000-0000-00007A600000}"/>
    <cellStyle name="Normal 2 2 5 17 2 9" xfId="24732" xr:uid="{00000000-0005-0000-0000-00007B600000}"/>
    <cellStyle name="Normal 2 2 5 17 3" xfId="24733" xr:uid="{00000000-0005-0000-0000-00007C600000}"/>
    <cellStyle name="Normal 2 2 5 17 3 10" xfId="24734" xr:uid="{00000000-0005-0000-0000-00007D600000}"/>
    <cellStyle name="Normal 2 2 5 17 3 2" xfId="24735" xr:uid="{00000000-0005-0000-0000-00007E600000}"/>
    <cellStyle name="Normal 2 2 5 17 3 3" xfId="24736" xr:uid="{00000000-0005-0000-0000-00007F600000}"/>
    <cellStyle name="Normal 2 2 5 17 3 4" xfId="24737" xr:uid="{00000000-0005-0000-0000-000080600000}"/>
    <cellStyle name="Normal 2 2 5 17 3 5" xfId="24738" xr:uid="{00000000-0005-0000-0000-000081600000}"/>
    <cellStyle name="Normal 2 2 5 17 3 6" xfId="24739" xr:uid="{00000000-0005-0000-0000-000082600000}"/>
    <cellStyle name="Normal 2 2 5 17 3 7" xfId="24740" xr:uid="{00000000-0005-0000-0000-000083600000}"/>
    <cellStyle name="Normal 2 2 5 17 3 8" xfId="24741" xr:uid="{00000000-0005-0000-0000-000084600000}"/>
    <cellStyle name="Normal 2 2 5 17 3 9" xfId="24742" xr:uid="{00000000-0005-0000-0000-000085600000}"/>
    <cellStyle name="Normal 2 2 5 17 4" xfId="24743" xr:uid="{00000000-0005-0000-0000-000086600000}"/>
    <cellStyle name="Normal 2 2 5 17 4 10" xfId="24744" xr:uid="{00000000-0005-0000-0000-000087600000}"/>
    <cellStyle name="Normal 2 2 5 17 4 2" xfId="24745" xr:uid="{00000000-0005-0000-0000-000088600000}"/>
    <cellStyle name="Normal 2 2 5 17 4 3" xfId="24746" xr:uid="{00000000-0005-0000-0000-000089600000}"/>
    <cellStyle name="Normal 2 2 5 17 4 4" xfId="24747" xr:uid="{00000000-0005-0000-0000-00008A600000}"/>
    <cellStyle name="Normal 2 2 5 17 4 5" xfId="24748" xr:uid="{00000000-0005-0000-0000-00008B600000}"/>
    <cellStyle name="Normal 2 2 5 17 4 6" xfId="24749" xr:uid="{00000000-0005-0000-0000-00008C600000}"/>
    <cellStyle name="Normal 2 2 5 17 4 7" xfId="24750" xr:uid="{00000000-0005-0000-0000-00008D600000}"/>
    <cellStyle name="Normal 2 2 5 17 4 8" xfId="24751" xr:uid="{00000000-0005-0000-0000-00008E600000}"/>
    <cellStyle name="Normal 2 2 5 17 4 9" xfId="24752" xr:uid="{00000000-0005-0000-0000-00008F600000}"/>
    <cellStyle name="Normal 2 2 5 17 5" xfId="24753" xr:uid="{00000000-0005-0000-0000-000090600000}"/>
    <cellStyle name="Normal 2 2 5 17 5 10" xfId="24754" xr:uid="{00000000-0005-0000-0000-000091600000}"/>
    <cellStyle name="Normal 2 2 5 17 5 2" xfId="24755" xr:uid="{00000000-0005-0000-0000-000092600000}"/>
    <cellStyle name="Normal 2 2 5 17 5 3" xfId="24756" xr:uid="{00000000-0005-0000-0000-000093600000}"/>
    <cellStyle name="Normal 2 2 5 17 5 4" xfId="24757" xr:uid="{00000000-0005-0000-0000-000094600000}"/>
    <cellStyle name="Normal 2 2 5 17 5 5" xfId="24758" xr:uid="{00000000-0005-0000-0000-000095600000}"/>
    <cellStyle name="Normal 2 2 5 17 5 6" xfId="24759" xr:uid="{00000000-0005-0000-0000-000096600000}"/>
    <cellStyle name="Normal 2 2 5 17 5 7" xfId="24760" xr:uid="{00000000-0005-0000-0000-000097600000}"/>
    <cellStyle name="Normal 2 2 5 17 5 8" xfId="24761" xr:uid="{00000000-0005-0000-0000-000098600000}"/>
    <cellStyle name="Normal 2 2 5 17 5 9" xfId="24762" xr:uid="{00000000-0005-0000-0000-000099600000}"/>
    <cellStyle name="Normal 2 2 5 17 6" xfId="24763" xr:uid="{00000000-0005-0000-0000-00009A600000}"/>
    <cellStyle name="Normal 2 2 5 17 7" xfId="24764" xr:uid="{00000000-0005-0000-0000-00009B600000}"/>
    <cellStyle name="Normal 2 2 5 17 8" xfId="24765" xr:uid="{00000000-0005-0000-0000-00009C600000}"/>
    <cellStyle name="Normal 2 2 5 17 9" xfId="24766" xr:uid="{00000000-0005-0000-0000-00009D600000}"/>
    <cellStyle name="Normal 2 2 5 18" xfId="24767" xr:uid="{00000000-0005-0000-0000-00009E600000}"/>
    <cellStyle name="Normal 2 2 5 18 10" xfId="24768" xr:uid="{00000000-0005-0000-0000-00009F600000}"/>
    <cellStyle name="Normal 2 2 5 18 11" xfId="24769" xr:uid="{00000000-0005-0000-0000-0000A0600000}"/>
    <cellStyle name="Normal 2 2 5 18 12" xfId="24770" xr:uid="{00000000-0005-0000-0000-0000A1600000}"/>
    <cellStyle name="Normal 2 2 5 18 13" xfId="24771" xr:uid="{00000000-0005-0000-0000-0000A2600000}"/>
    <cellStyle name="Normal 2 2 5 18 14" xfId="24772" xr:uid="{00000000-0005-0000-0000-0000A3600000}"/>
    <cellStyle name="Normal 2 2 5 18 2" xfId="24773" xr:uid="{00000000-0005-0000-0000-0000A4600000}"/>
    <cellStyle name="Normal 2 2 5 18 2 10" xfId="24774" xr:uid="{00000000-0005-0000-0000-0000A5600000}"/>
    <cellStyle name="Normal 2 2 5 18 2 2" xfId="24775" xr:uid="{00000000-0005-0000-0000-0000A6600000}"/>
    <cellStyle name="Normal 2 2 5 18 2 3" xfId="24776" xr:uid="{00000000-0005-0000-0000-0000A7600000}"/>
    <cellStyle name="Normal 2 2 5 18 2 4" xfId="24777" xr:uid="{00000000-0005-0000-0000-0000A8600000}"/>
    <cellStyle name="Normal 2 2 5 18 2 5" xfId="24778" xr:uid="{00000000-0005-0000-0000-0000A9600000}"/>
    <cellStyle name="Normal 2 2 5 18 2 6" xfId="24779" xr:uid="{00000000-0005-0000-0000-0000AA600000}"/>
    <cellStyle name="Normal 2 2 5 18 2 7" xfId="24780" xr:uid="{00000000-0005-0000-0000-0000AB600000}"/>
    <cellStyle name="Normal 2 2 5 18 2 8" xfId="24781" xr:uid="{00000000-0005-0000-0000-0000AC600000}"/>
    <cellStyle name="Normal 2 2 5 18 2 9" xfId="24782" xr:uid="{00000000-0005-0000-0000-0000AD600000}"/>
    <cellStyle name="Normal 2 2 5 18 3" xfId="24783" xr:uid="{00000000-0005-0000-0000-0000AE600000}"/>
    <cellStyle name="Normal 2 2 5 18 3 10" xfId="24784" xr:uid="{00000000-0005-0000-0000-0000AF600000}"/>
    <cellStyle name="Normal 2 2 5 18 3 2" xfId="24785" xr:uid="{00000000-0005-0000-0000-0000B0600000}"/>
    <cellStyle name="Normal 2 2 5 18 3 3" xfId="24786" xr:uid="{00000000-0005-0000-0000-0000B1600000}"/>
    <cellStyle name="Normal 2 2 5 18 3 4" xfId="24787" xr:uid="{00000000-0005-0000-0000-0000B2600000}"/>
    <cellStyle name="Normal 2 2 5 18 3 5" xfId="24788" xr:uid="{00000000-0005-0000-0000-0000B3600000}"/>
    <cellStyle name="Normal 2 2 5 18 3 6" xfId="24789" xr:uid="{00000000-0005-0000-0000-0000B4600000}"/>
    <cellStyle name="Normal 2 2 5 18 3 7" xfId="24790" xr:uid="{00000000-0005-0000-0000-0000B5600000}"/>
    <cellStyle name="Normal 2 2 5 18 3 8" xfId="24791" xr:uid="{00000000-0005-0000-0000-0000B6600000}"/>
    <cellStyle name="Normal 2 2 5 18 3 9" xfId="24792" xr:uid="{00000000-0005-0000-0000-0000B7600000}"/>
    <cellStyle name="Normal 2 2 5 18 4" xfId="24793" xr:uid="{00000000-0005-0000-0000-0000B8600000}"/>
    <cellStyle name="Normal 2 2 5 18 4 10" xfId="24794" xr:uid="{00000000-0005-0000-0000-0000B9600000}"/>
    <cellStyle name="Normal 2 2 5 18 4 2" xfId="24795" xr:uid="{00000000-0005-0000-0000-0000BA600000}"/>
    <cellStyle name="Normal 2 2 5 18 4 3" xfId="24796" xr:uid="{00000000-0005-0000-0000-0000BB600000}"/>
    <cellStyle name="Normal 2 2 5 18 4 4" xfId="24797" xr:uid="{00000000-0005-0000-0000-0000BC600000}"/>
    <cellStyle name="Normal 2 2 5 18 4 5" xfId="24798" xr:uid="{00000000-0005-0000-0000-0000BD600000}"/>
    <cellStyle name="Normal 2 2 5 18 4 6" xfId="24799" xr:uid="{00000000-0005-0000-0000-0000BE600000}"/>
    <cellStyle name="Normal 2 2 5 18 4 7" xfId="24800" xr:uid="{00000000-0005-0000-0000-0000BF600000}"/>
    <cellStyle name="Normal 2 2 5 18 4 8" xfId="24801" xr:uid="{00000000-0005-0000-0000-0000C0600000}"/>
    <cellStyle name="Normal 2 2 5 18 4 9" xfId="24802" xr:uid="{00000000-0005-0000-0000-0000C1600000}"/>
    <cellStyle name="Normal 2 2 5 18 5" xfId="24803" xr:uid="{00000000-0005-0000-0000-0000C2600000}"/>
    <cellStyle name="Normal 2 2 5 18 5 10" xfId="24804" xr:uid="{00000000-0005-0000-0000-0000C3600000}"/>
    <cellStyle name="Normal 2 2 5 18 5 2" xfId="24805" xr:uid="{00000000-0005-0000-0000-0000C4600000}"/>
    <cellStyle name="Normal 2 2 5 18 5 3" xfId="24806" xr:uid="{00000000-0005-0000-0000-0000C5600000}"/>
    <cellStyle name="Normal 2 2 5 18 5 4" xfId="24807" xr:uid="{00000000-0005-0000-0000-0000C6600000}"/>
    <cellStyle name="Normal 2 2 5 18 5 5" xfId="24808" xr:uid="{00000000-0005-0000-0000-0000C7600000}"/>
    <cellStyle name="Normal 2 2 5 18 5 6" xfId="24809" xr:uid="{00000000-0005-0000-0000-0000C8600000}"/>
    <cellStyle name="Normal 2 2 5 18 5 7" xfId="24810" xr:uid="{00000000-0005-0000-0000-0000C9600000}"/>
    <cellStyle name="Normal 2 2 5 18 5 8" xfId="24811" xr:uid="{00000000-0005-0000-0000-0000CA600000}"/>
    <cellStyle name="Normal 2 2 5 18 5 9" xfId="24812" xr:uid="{00000000-0005-0000-0000-0000CB600000}"/>
    <cellStyle name="Normal 2 2 5 18 6" xfId="24813" xr:uid="{00000000-0005-0000-0000-0000CC600000}"/>
    <cellStyle name="Normal 2 2 5 18 7" xfId="24814" xr:uid="{00000000-0005-0000-0000-0000CD600000}"/>
    <cellStyle name="Normal 2 2 5 18 8" xfId="24815" xr:uid="{00000000-0005-0000-0000-0000CE600000}"/>
    <cellStyle name="Normal 2 2 5 18 9" xfId="24816" xr:uid="{00000000-0005-0000-0000-0000CF600000}"/>
    <cellStyle name="Normal 2 2 5 19" xfId="24817" xr:uid="{00000000-0005-0000-0000-0000D0600000}"/>
    <cellStyle name="Normal 2 2 5 19 10" xfId="24818" xr:uid="{00000000-0005-0000-0000-0000D1600000}"/>
    <cellStyle name="Normal 2 2 5 19 11" xfId="24819" xr:uid="{00000000-0005-0000-0000-0000D2600000}"/>
    <cellStyle name="Normal 2 2 5 19 12" xfId="24820" xr:uid="{00000000-0005-0000-0000-0000D3600000}"/>
    <cellStyle name="Normal 2 2 5 19 13" xfId="24821" xr:uid="{00000000-0005-0000-0000-0000D4600000}"/>
    <cellStyle name="Normal 2 2 5 19 14" xfId="24822" xr:uid="{00000000-0005-0000-0000-0000D5600000}"/>
    <cellStyle name="Normal 2 2 5 19 2" xfId="24823" xr:uid="{00000000-0005-0000-0000-0000D6600000}"/>
    <cellStyle name="Normal 2 2 5 19 2 10" xfId="24824" xr:uid="{00000000-0005-0000-0000-0000D7600000}"/>
    <cellStyle name="Normal 2 2 5 19 2 2" xfId="24825" xr:uid="{00000000-0005-0000-0000-0000D8600000}"/>
    <cellStyle name="Normal 2 2 5 19 2 3" xfId="24826" xr:uid="{00000000-0005-0000-0000-0000D9600000}"/>
    <cellStyle name="Normal 2 2 5 19 2 4" xfId="24827" xr:uid="{00000000-0005-0000-0000-0000DA600000}"/>
    <cellStyle name="Normal 2 2 5 19 2 5" xfId="24828" xr:uid="{00000000-0005-0000-0000-0000DB600000}"/>
    <cellStyle name="Normal 2 2 5 19 2 6" xfId="24829" xr:uid="{00000000-0005-0000-0000-0000DC600000}"/>
    <cellStyle name="Normal 2 2 5 19 2 7" xfId="24830" xr:uid="{00000000-0005-0000-0000-0000DD600000}"/>
    <cellStyle name="Normal 2 2 5 19 2 8" xfId="24831" xr:uid="{00000000-0005-0000-0000-0000DE600000}"/>
    <cellStyle name="Normal 2 2 5 19 2 9" xfId="24832" xr:uid="{00000000-0005-0000-0000-0000DF600000}"/>
    <cellStyle name="Normal 2 2 5 19 3" xfId="24833" xr:uid="{00000000-0005-0000-0000-0000E0600000}"/>
    <cellStyle name="Normal 2 2 5 19 3 10" xfId="24834" xr:uid="{00000000-0005-0000-0000-0000E1600000}"/>
    <cellStyle name="Normal 2 2 5 19 3 2" xfId="24835" xr:uid="{00000000-0005-0000-0000-0000E2600000}"/>
    <cellStyle name="Normal 2 2 5 19 3 3" xfId="24836" xr:uid="{00000000-0005-0000-0000-0000E3600000}"/>
    <cellStyle name="Normal 2 2 5 19 3 4" xfId="24837" xr:uid="{00000000-0005-0000-0000-0000E4600000}"/>
    <cellStyle name="Normal 2 2 5 19 3 5" xfId="24838" xr:uid="{00000000-0005-0000-0000-0000E5600000}"/>
    <cellStyle name="Normal 2 2 5 19 3 6" xfId="24839" xr:uid="{00000000-0005-0000-0000-0000E6600000}"/>
    <cellStyle name="Normal 2 2 5 19 3 7" xfId="24840" xr:uid="{00000000-0005-0000-0000-0000E7600000}"/>
    <cellStyle name="Normal 2 2 5 19 3 8" xfId="24841" xr:uid="{00000000-0005-0000-0000-0000E8600000}"/>
    <cellStyle name="Normal 2 2 5 19 3 9" xfId="24842" xr:uid="{00000000-0005-0000-0000-0000E9600000}"/>
    <cellStyle name="Normal 2 2 5 19 4" xfId="24843" xr:uid="{00000000-0005-0000-0000-0000EA600000}"/>
    <cellStyle name="Normal 2 2 5 19 4 10" xfId="24844" xr:uid="{00000000-0005-0000-0000-0000EB600000}"/>
    <cellStyle name="Normal 2 2 5 19 4 2" xfId="24845" xr:uid="{00000000-0005-0000-0000-0000EC600000}"/>
    <cellStyle name="Normal 2 2 5 19 4 3" xfId="24846" xr:uid="{00000000-0005-0000-0000-0000ED600000}"/>
    <cellStyle name="Normal 2 2 5 19 4 4" xfId="24847" xr:uid="{00000000-0005-0000-0000-0000EE600000}"/>
    <cellStyle name="Normal 2 2 5 19 4 5" xfId="24848" xr:uid="{00000000-0005-0000-0000-0000EF600000}"/>
    <cellStyle name="Normal 2 2 5 19 4 6" xfId="24849" xr:uid="{00000000-0005-0000-0000-0000F0600000}"/>
    <cellStyle name="Normal 2 2 5 19 4 7" xfId="24850" xr:uid="{00000000-0005-0000-0000-0000F1600000}"/>
    <cellStyle name="Normal 2 2 5 19 4 8" xfId="24851" xr:uid="{00000000-0005-0000-0000-0000F2600000}"/>
    <cellStyle name="Normal 2 2 5 19 4 9" xfId="24852" xr:uid="{00000000-0005-0000-0000-0000F3600000}"/>
    <cellStyle name="Normal 2 2 5 19 5" xfId="24853" xr:uid="{00000000-0005-0000-0000-0000F4600000}"/>
    <cellStyle name="Normal 2 2 5 19 5 10" xfId="24854" xr:uid="{00000000-0005-0000-0000-0000F5600000}"/>
    <cellStyle name="Normal 2 2 5 19 5 2" xfId="24855" xr:uid="{00000000-0005-0000-0000-0000F6600000}"/>
    <cellStyle name="Normal 2 2 5 19 5 3" xfId="24856" xr:uid="{00000000-0005-0000-0000-0000F7600000}"/>
    <cellStyle name="Normal 2 2 5 19 5 4" xfId="24857" xr:uid="{00000000-0005-0000-0000-0000F8600000}"/>
    <cellStyle name="Normal 2 2 5 19 5 5" xfId="24858" xr:uid="{00000000-0005-0000-0000-0000F9600000}"/>
    <cellStyle name="Normal 2 2 5 19 5 6" xfId="24859" xr:uid="{00000000-0005-0000-0000-0000FA600000}"/>
    <cellStyle name="Normal 2 2 5 19 5 7" xfId="24860" xr:uid="{00000000-0005-0000-0000-0000FB600000}"/>
    <cellStyle name="Normal 2 2 5 19 5 8" xfId="24861" xr:uid="{00000000-0005-0000-0000-0000FC600000}"/>
    <cellStyle name="Normal 2 2 5 19 5 9" xfId="24862" xr:uid="{00000000-0005-0000-0000-0000FD600000}"/>
    <cellStyle name="Normal 2 2 5 19 6" xfId="24863" xr:uid="{00000000-0005-0000-0000-0000FE600000}"/>
    <cellStyle name="Normal 2 2 5 19 7" xfId="24864" xr:uid="{00000000-0005-0000-0000-0000FF600000}"/>
    <cellStyle name="Normal 2 2 5 19 8" xfId="24865" xr:uid="{00000000-0005-0000-0000-000000610000}"/>
    <cellStyle name="Normal 2 2 5 19 9" xfId="24866" xr:uid="{00000000-0005-0000-0000-000001610000}"/>
    <cellStyle name="Normal 2 2 5 2" xfId="24867" xr:uid="{00000000-0005-0000-0000-000002610000}"/>
    <cellStyle name="Normal 2 2 5 2 10" xfId="24868" xr:uid="{00000000-0005-0000-0000-000003610000}"/>
    <cellStyle name="Normal 2 2 5 2 11" xfId="24869" xr:uid="{00000000-0005-0000-0000-000004610000}"/>
    <cellStyle name="Normal 2 2 5 2 12" xfId="24870" xr:uid="{00000000-0005-0000-0000-000005610000}"/>
    <cellStyle name="Normal 2 2 5 2 13" xfId="24871" xr:uid="{00000000-0005-0000-0000-000006610000}"/>
    <cellStyle name="Normal 2 2 5 2 14" xfId="24872" xr:uid="{00000000-0005-0000-0000-000007610000}"/>
    <cellStyle name="Normal 2 2 5 2 15" xfId="24873" xr:uid="{00000000-0005-0000-0000-000008610000}"/>
    <cellStyle name="Normal 2 2 5 2 16" xfId="24874" xr:uid="{00000000-0005-0000-0000-000009610000}"/>
    <cellStyle name="Normal 2 2 5 2 17" xfId="24875" xr:uid="{00000000-0005-0000-0000-00000A610000}"/>
    <cellStyle name="Normal 2 2 5 2 18" xfId="24876" xr:uid="{00000000-0005-0000-0000-00000B610000}"/>
    <cellStyle name="Normal 2 2 5 2 19" xfId="24877" xr:uid="{00000000-0005-0000-0000-00000C610000}"/>
    <cellStyle name="Normal 2 2 5 2 2" xfId="24878" xr:uid="{00000000-0005-0000-0000-00000D610000}"/>
    <cellStyle name="Normal 2 2 5 2 20" xfId="24879" xr:uid="{00000000-0005-0000-0000-00000E610000}"/>
    <cellStyle name="Normal 2 2 5 2 21" xfId="24880" xr:uid="{00000000-0005-0000-0000-00000F610000}"/>
    <cellStyle name="Normal 2 2 5 2 21 10" xfId="24881" xr:uid="{00000000-0005-0000-0000-000010610000}"/>
    <cellStyle name="Normal 2 2 5 2 21 2" xfId="24882" xr:uid="{00000000-0005-0000-0000-000011610000}"/>
    <cellStyle name="Normal 2 2 5 2 21 3" xfId="24883" xr:uid="{00000000-0005-0000-0000-000012610000}"/>
    <cellStyle name="Normal 2 2 5 2 21 4" xfId="24884" xr:uid="{00000000-0005-0000-0000-000013610000}"/>
    <cellStyle name="Normal 2 2 5 2 21 5" xfId="24885" xr:uid="{00000000-0005-0000-0000-000014610000}"/>
    <cellStyle name="Normal 2 2 5 2 21 6" xfId="24886" xr:uid="{00000000-0005-0000-0000-000015610000}"/>
    <cellStyle name="Normal 2 2 5 2 21 7" xfId="24887" xr:uid="{00000000-0005-0000-0000-000016610000}"/>
    <cellStyle name="Normal 2 2 5 2 21 8" xfId="24888" xr:uid="{00000000-0005-0000-0000-000017610000}"/>
    <cellStyle name="Normal 2 2 5 2 21 9" xfId="24889" xr:uid="{00000000-0005-0000-0000-000018610000}"/>
    <cellStyle name="Normal 2 2 5 2 22" xfId="24890" xr:uid="{00000000-0005-0000-0000-000019610000}"/>
    <cellStyle name="Normal 2 2 5 2 22 10" xfId="24891" xr:uid="{00000000-0005-0000-0000-00001A610000}"/>
    <cellStyle name="Normal 2 2 5 2 22 2" xfId="24892" xr:uid="{00000000-0005-0000-0000-00001B610000}"/>
    <cellStyle name="Normal 2 2 5 2 22 3" xfId="24893" xr:uid="{00000000-0005-0000-0000-00001C610000}"/>
    <cellStyle name="Normal 2 2 5 2 22 4" xfId="24894" xr:uid="{00000000-0005-0000-0000-00001D610000}"/>
    <cellStyle name="Normal 2 2 5 2 22 5" xfId="24895" xr:uid="{00000000-0005-0000-0000-00001E610000}"/>
    <cellStyle name="Normal 2 2 5 2 22 6" xfId="24896" xr:uid="{00000000-0005-0000-0000-00001F610000}"/>
    <cellStyle name="Normal 2 2 5 2 22 7" xfId="24897" xr:uid="{00000000-0005-0000-0000-000020610000}"/>
    <cellStyle name="Normal 2 2 5 2 22 8" xfId="24898" xr:uid="{00000000-0005-0000-0000-000021610000}"/>
    <cellStyle name="Normal 2 2 5 2 22 9" xfId="24899" xr:uid="{00000000-0005-0000-0000-000022610000}"/>
    <cellStyle name="Normal 2 2 5 2 23" xfId="24900" xr:uid="{00000000-0005-0000-0000-000023610000}"/>
    <cellStyle name="Normal 2 2 5 2 23 10" xfId="24901" xr:uid="{00000000-0005-0000-0000-000024610000}"/>
    <cellStyle name="Normal 2 2 5 2 23 2" xfId="24902" xr:uid="{00000000-0005-0000-0000-000025610000}"/>
    <cellStyle name="Normal 2 2 5 2 23 3" xfId="24903" xr:uid="{00000000-0005-0000-0000-000026610000}"/>
    <cellStyle name="Normal 2 2 5 2 23 4" xfId="24904" xr:uid="{00000000-0005-0000-0000-000027610000}"/>
    <cellStyle name="Normal 2 2 5 2 23 5" xfId="24905" xr:uid="{00000000-0005-0000-0000-000028610000}"/>
    <cellStyle name="Normal 2 2 5 2 23 6" xfId="24906" xr:uid="{00000000-0005-0000-0000-000029610000}"/>
    <cellStyle name="Normal 2 2 5 2 23 7" xfId="24907" xr:uid="{00000000-0005-0000-0000-00002A610000}"/>
    <cellStyle name="Normal 2 2 5 2 23 8" xfId="24908" xr:uid="{00000000-0005-0000-0000-00002B610000}"/>
    <cellStyle name="Normal 2 2 5 2 23 9" xfId="24909" xr:uid="{00000000-0005-0000-0000-00002C610000}"/>
    <cellStyle name="Normal 2 2 5 2 24" xfId="24910" xr:uid="{00000000-0005-0000-0000-00002D610000}"/>
    <cellStyle name="Normal 2 2 5 2 24 10" xfId="24911" xr:uid="{00000000-0005-0000-0000-00002E610000}"/>
    <cellStyle name="Normal 2 2 5 2 24 2" xfId="24912" xr:uid="{00000000-0005-0000-0000-00002F610000}"/>
    <cellStyle name="Normal 2 2 5 2 24 3" xfId="24913" xr:uid="{00000000-0005-0000-0000-000030610000}"/>
    <cellStyle name="Normal 2 2 5 2 24 4" xfId="24914" xr:uid="{00000000-0005-0000-0000-000031610000}"/>
    <cellStyle name="Normal 2 2 5 2 24 5" xfId="24915" xr:uid="{00000000-0005-0000-0000-000032610000}"/>
    <cellStyle name="Normal 2 2 5 2 24 6" xfId="24916" xr:uid="{00000000-0005-0000-0000-000033610000}"/>
    <cellStyle name="Normal 2 2 5 2 24 7" xfId="24917" xr:uid="{00000000-0005-0000-0000-000034610000}"/>
    <cellStyle name="Normal 2 2 5 2 24 8" xfId="24918" xr:uid="{00000000-0005-0000-0000-000035610000}"/>
    <cellStyle name="Normal 2 2 5 2 24 9" xfId="24919" xr:uid="{00000000-0005-0000-0000-000036610000}"/>
    <cellStyle name="Normal 2 2 5 2 25" xfId="24920" xr:uid="{00000000-0005-0000-0000-000037610000}"/>
    <cellStyle name="Normal 2 2 5 2 26" xfId="24921" xr:uid="{00000000-0005-0000-0000-000038610000}"/>
    <cellStyle name="Normal 2 2 5 2 27" xfId="24922" xr:uid="{00000000-0005-0000-0000-000039610000}"/>
    <cellStyle name="Normal 2 2 5 2 28" xfId="24923" xr:uid="{00000000-0005-0000-0000-00003A610000}"/>
    <cellStyle name="Normal 2 2 5 2 29" xfId="24924" xr:uid="{00000000-0005-0000-0000-00003B610000}"/>
    <cellStyle name="Normal 2 2 5 2 3" xfId="24925" xr:uid="{00000000-0005-0000-0000-00003C610000}"/>
    <cellStyle name="Normal 2 2 5 2 30" xfId="24926" xr:uid="{00000000-0005-0000-0000-00003D610000}"/>
    <cellStyle name="Normal 2 2 5 2 31" xfId="24927" xr:uid="{00000000-0005-0000-0000-00003E610000}"/>
    <cellStyle name="Normal 2 2 5 2 32" xfId="24928" xr:uid="{00000000-0005-0000-0000-00003F610000}"/>
    <cellStyle name="Normal 2 2 5 2 33" xfId="24929" xr:uid="{00000000-0005-0000-0000-000040610000}"/>
    <cellStyle name="Normal 2 2 5 2 4" xfId="24930" xr:uid="{00000000-0005-0000-0000-000041610000}"/>
    <cellStyle name="Normal 2 2 5 2 5" xfId="24931" xr:uid="{00000000-0005-0000-0000-000042610000}"/>
    <cellStyle name="Normal 2 2 5 2 6" xfId="24932" xr:uid="{00000000-0005-0000-0000-000043610000}"/>
    <cellStyle name="Normal 2 2 5 2 7" xfId="24933" xr:uid="{00000000-0005-0000-0000-000044610000}"/>
    <cellStyle name="Normal 2 2 5 2 8" xfId="24934" xr:uid="{00000000-0005-0000-0000-000045610000}"/>
    <cellStyle name="Normal 2 2 5 2 9" xfId="24935" xr:uid="{00000000-0005-0000-0000-000046610000}"/>
    <cellStyle name="Normal 2 2 5 20" xfId="24936" xr:uid="{00000000-0005-0000-0000-000047610000}"/>
    <cellStyle name="Normal 2 2 5 20 10" xfId="24937" xr:uid="{00000000-0005-0000-0000-000048610000}"/>
    <cellStyle name="Normal 2 2 5 20 11" xfId="24938" xr:uid="{00000000-0005-0000-0000-000049610000}"/>
    <cellStyle name="Normal 2 2 5 20 12" xfId="24939" xr:uid="{00000000-0005-0000-0000-00004A610000}"/>
    <cellStyle name="Normal 2 2 5 20 13" xfId="24940" xr:uid="{00000000-0005-0000-0000-00004B610000}"/>
    <cellStyle name="Normal 2 2 5 20 14" xfId="24941" xr:uid="{00000000-0005-0000-0000-00004C610000}"/>
    <cellStyle name="Normal 2 2 5 20 2" xfId="24942" xr:uid="{00000000-0005-0000-0000-00004D610000}"/>
    <cellStyle name="Normal 2 2 5 20 2 10" xfId="24943" xr:uid="{00000000-0005-0000-0000-00004E610000}"/>
    <cellStyle name="Normal 2 2 5 20 2 2" xfId="24944" xr:uid="{00000000-0005-0000-0000-00004F610000}"/>
    <cellStyle name="Normal 2 2 5 20 2 3" xfId="24945" xr:uid="{00000000-0005-0000-0000-000050610000}"/>
    <cellStyle name="Normal 2 2 5 20 2 4" xfId="24946" xr:uid="{00000000-0005-0000-0000-000051610000}"/>
    <cellStyle name="Normal 2 2 5 20 2 5" xfId="24947" xr:uid="{00000000-0005-0000-0000-000052610000}"/>
    <cellStyle name="Normal 2 2 5 20 2 6" xfId="24948" xr:uid="{00000000-0005-0000-0000-000053610000}"/>
    <cellStyle name="Normal 2 2 5 20 2 7" xfId="24949" xr:uid="{00000000-0005-0000-0000-000054610000}"/>
    <cellStyle name="Normal 2 2 5 20 2 8" xfId="24950" xr:uid="{00000000-0005-0000-0000-000055610000}"/>
    <cellStyle name="Normal 2 2 5 20 2 9" xfId="24951" xr:uid="{00000000-0005-0000-0000-000056610000}"/>
    <cellStyle name="Normal 2 2 5 20 3" xfId="24952" xr:uid="{00000000-0005-0000-0000-000057610000}"/>
    <cellStyle name="Normal 2 2 5 20 3 10" xfId="24953" xr:uid="{00000000-0005-0000-0000-000058610000}"/>
    <cellStyle name="Normal 2 2 5 20 3 2" xfId="24954" xr:uid="{00000000-0005-0000-0000-000059610000}"/>
    <cellStyle name="Normal 2 2 5 20 3 3" xfId="24955" xr:uid="{00000000-0005-0000-0000-00005A610000}"/>
    <cellStyle name="Normal 2 2 5 20 3 4" xfId="24956" xr:uid="{00000000-0005-0000-0000-00005B610000}"/>
    <cellStyle name="Normal 2 2 5 20 3 5" xfId="24957" xr:uid="{00000000-0005-0000-0000-00005C610000}"/>
    <cellStyle name="Normal 2 2 5 20 3 6" xfId="24958" xr:uid="{00000000-0005-0000-0000-00005D610000}"/>
    <cellStyle name="Normal 2 2 5 20 3 7" xfId="24959" xr:uid="{00000000-0005-0000-0000-00005E610000}"/>
    <cellStyle name="Normal 2 2 5 20 3 8" xfId="24960" xr:uid="{00000000-0005-0000-0000-00005F610000}"/>
    <cellStyle name="Normal 2 2 5 20 3 9" xfId="24961" xr:uid="{00000000-0005-0000-0000-000060610000}"/>
    <cellStyle name="Normal 2 2 5 20 4" xfId="24962" xr:uid="{00000000-0005-0000-0000-000061610000}"/>
    <cellStyle name="Normal 2 2 5 20 4 10" xfId="24963" xr:uid="{00000000-0005-0000-0000-000062610000}"/>
    <cellStyle name="Normal 2 2 5 20 4 2" xfId="24964" xr:uid="{00000000-0005-0000-0000-000063610000}"/>
    <cellStyle name="Normal 2 2 5 20 4 3" xfId="24965" xr:uid="{00000000-0005-0000-0000-000064610000}"/>
    <cellStyle name="Normal 2 2 5 20 4 4" xfId="24966" xr:uid="{00000000-0005-0000-0000-000065610000}"/>
    <cellStyle name="Normal 2 2 5 20 4 5" xfId="24967" xr:uid="{00000000-0005-0000-0000-000066610000}"/>
    <cellStyle name="Normal 2 2 5 20 4 6" xfId="24968" xr:uid="{00000000-0005-0000-0000-000067610000}"/>
    <cellStyle name="Normal 2 2 5 20 4 7" xfId="24969" xr:uid="{00000000-0005-0000-0000-000068610000}"/>
    <cellStyle name="Normal 2 2 5 20 4 8" xfId="24970" xr:uid="{00000000-0005-0000-0000-000069610000}"/>
    <cellStyle name="Normal 2 2 5 20 4 9" xfId="24971" xr:uid="{00000000-0005-0000-0000-00006A610000}"/>
    <cellStyle name="Normal 2 2 5 20 5" xfId="24972" xr:uid="{00000000-0005-0000-0000-00006B610000}"/>
    <cellStyle name="Normal 2 2 5 20 5 10" xfId="24973" xr:uid="{00000000-0005-0000-0000-00006C610000}"/>
    <cellStyle name="Normal 2 2 5 20 5 2" xfId="24974" xr:uid="{00000000-0005-0000-0000-00006D610000}"/>
    <cellStyle name="Normal 2 2 5 20 5 3" xfId="24975" xr:uid="{00000000-0005-0000-0000-00006E610000}"/>
    <cellStyle name="Normal 2 2 5 20 5 4" xfId="24976" xr:uid="{00000000-0005-0000-0000-00006F610000}"/>
    <cellStyle name="Normal 2 2 5 20 5 5" xfId="24977" xr:uid="{00000000-0005-0000-0000-000070610000}"/>
    <cellStyle name="Normal 2 2 5 20 5 6" xfId="24978" xr:uid="{00000000-0005-0000-0000-000071610000}"/>
    <cellStyle name="Normal 2 2 5 20 5 7" xfId="24979" xr:uid="{00000000-0005-0000-0000-000072610000}"/>
    <cellStyle name="Normal 2 2 5 20 5 8" xfId="24980" xr:uid="{00000000-0005-0000-0000-000073610000}"/>
    <cellStyle name="Normal 2 2 5 20 5 9" xfId="24981" xr:uid="{00000000-0005-0000-0000-000074610000}"/>
    <cellStyle name="Normal 2 2 5 20 6" xfId="24982" xr:uid="{00000000-0005-0000-0000-000075610000}"/>
    <cellStyle name="Normal 2 2 5 20 7" xfId="24983" xr:uid="{00000000-0005-0000-0000-000076610000}"/>
    <cellStyle name="Normal 2 2 5 20 8" xfId="24984" xr:uid="{00000000-0005-0000-0000-000077610000}"/>
    <cellStyle name="Normal 2 2 5 20 9" xfId="24985" xr:uid="{00000000-0005-0000-0000-000078610000}"/>
    <cellStyle name="Normal 2 2 5 21" xfId="24986" xr:uid="{00000000-0005-0000-0000-000079610000}"/>
    <cellStyle name="Normal 2 2 5 22" xfId="24987" xr:uid="{00000000-0005-0000-0000-00007A610000}"/>
    <cellStyle name="Normal 2 2 5 23" xfId="24988" xr:uid="{00000000-0005-0000-0000-00007B610000}"/>
    <cellStyle name="Normal 2 2 5 24" xfId="24366" xr:uid="{00000000-0005-0000-0000-00007C610000}"/>
    <cellStyle name="Normal 2 2 5 3" xfId="24989" xr:uid="{00000000-0005-0000-0000-00007D610000}"/>
    <cellStyle name="Normal 2 2 5 3 10" xfId="24990" xr:uid="{00000000-0005-0000-0000-00007E610000}"/>
    <cellStyle name="Normal 2 2 5 3 11" xfId="24991" xr:uid="{00000000-0005-0000-0000-00007F610000}"/>
    <cellStyle name="Normal 2 2 5 3 12" xfId="24992" xr:uid="{00000000-0005-0000-0000-000080610000}"/>
    <cellStyle name="Normal 2 2 5 3 13" xfId="24993" xr:uid="{00000000-0005-0000-0000-000081610000}"/>
    <cellStyle name="Normal 2 2 5 3 14" xfId="24994" xr:uid="{00000000-0005-0000-0000-000082610000}"/>
    <cellStyle name="Normal 2 2 5 3 2" xfId="24995" xr:uid="{00000000-0005-0000-0000-000083610000}"/>
    <cellStyle name="Normal 2 2 5 3 2 10" xfId="24996" xr:uid="{00000000-0005-0000-0000-000084610000}"/>
    <cellStyle name="Normal 2 2 5 3 2 2" xfId="24997" xr:uid="{00000000-0005-0000-0000-000085610000}"/>
    <cellStyle name="Normal 2 2 5 3 2 3" xfId="24998" xr:uid="{00000000-0005-0000-0000-000086610000}"/>
    <cellStyle name="Normal 2 2 5 3 2 4" xfId="24999" xr:uid="{00000000-0005-0000-0000-000087610000}"/>
    <cellStyle name="Normal 2 2 5 3 2 5" xfId="25000" xr:uid="{00000000-0005-0000-0000-000088610000}"/>
    <cellStyle name="Normal 2 2 5 3 2 6" xfId="25001" xr:uid="{00000000-0005-0000-0000-000089610000}"/>
    <cellStyle name="Normal 2 2 5 3 2 7" xfId="25002" xr:uid="{00000000-0005-0000-0000-00008A610000}"/>
    <cellStyle name="Normal 2 2 5 3 2 8" xfId="25003" xr:uid="{00000000-0005-0000-0000-00008B610000}"/>
    <cellStyle name="Normal 2 2 5 3 2 9" xfId="25004" xr:uid="{00000000-0005-0000-0000-00008C610000}"/>
    <cellStyle name="Normal 2 2 5 3 3" xfId="25005" xr:uid="{00000000-0005-0000-0000-00008D610000}"/>
    <cellStyle name="Normal 2 2 5 3 3 10" xfId="25006" xr:uid="{00000000-0005-0000-0000-00008E610000}"/>
    <cellStyle name="Normal 2 2 5 3 3 2" xfId="25007" xr:uid="{00000000-0005-0000-0000-00008F610000}"/>
    <cellStyle name="Normal 2 2 5 3 3 3" xfId="25008" xr:uid="{00000000-0005-0000-0000-000090610000}"/>
    <cellStyle name="Normal 2 2 5 3 3 4" xfId="25009" xr:uid="{00000000-0005-0000-0000-000091610000}"/>
    <cellStyle name="Normal 2 2 5 3 3 5" xfId="25010" xr:uid="{00000000-0005-0000-0000-000092610000}"/>
    <cellStyle name="Normal 2 2 5 3 3 6" xfId="25011" xr:uid="{00000000-0005-0000-0000-000093610000}"/>
    <cellStyle name="Normal 2 2 5 3 3 7" xfId="25012" xr:uid="{00000000-0005-0000-0000-000094610000}"/>
    <cellStyle name="Normal 2 2 5 3 3 8" xfId="25013" xr:uid="{00000000-0005-0000-0000-000095610000}"/>
    <cellStyle name="Normal 2 2 5 3 3 9" xfId="25014" xr:uid="{00000000-0005-0000-0000-000096610000}"/>
    <cellStyle name="Normal 2 2 5 3 4" xfId="25015" xr:uid="{00000000-0005-0000-0000-000097610000}"/>
    <cellStyle name="Normal 2 2 5 3 4 10" xfId="25016" xr:uid="{00000000-0005-0000-0000-000098610000}"/>
    <cellStyle name="Normal 2 2 5 3 4 2" xfId="25017" xr:uid="{00000000-0005-0000-0000-000099610000}"/>
    <cellStyle name="Normal 2 2 5 3 4 3" xfId="25018" xr:uid="{00000000-0005-0000-0000-00009A610000}"/>
    <cellStyle name="Normal 2 2 5 3 4 4" xfId="25019" xr:uid="{00000000-0005-0000-0000-00009B610000}"/>
    <cellStyle name="Normal 2 2 5 3 4 5" xfId="25020" xr:uid="{00000000-0005-0000-0000-00009C610000}"/>
    <cellStyle name="Normal 2 2 5 3 4 6" xfId="25021" xr:uid="{00000000-0005-0000-0000-00009D610000}"/>
    <cellStyle name="Normal 2 2 5 3 4 7" xfId="25022" xr:uid="{00000000-0005-0000-0000-00009E610000}"/>
    <cellStyle name="Normal 2 2 5 3 4 8" xfId="25023" xr:uid="{00000000-0005-0000-0000-00009F610000}"/>
    <cellStyle name="Normal 2 2 5 3 4 9" xfId="25024" xr:uid="{00000000-0005-0000-0000-0000A0610000}"/>
    <cellStyle name="Normal 2 2 5 3 5" xfId="25025" xr:uid="{00000000-0005-0000-0000-0000A1610000}"/>
    <cellStyle name="Normal 2 2 5 3 5 10" xfId="25026" xr:uid="{00000000-0005-0000-0000-0000A2610000}"/>
    <cellStyle name="Normal 2 2 5 3 5 2" xfId="25027" xr:uid="{00000000-0005-0000-0000-0000A3610000}"/>
    <cellStyle name="Normal 2 2 5 3 5 3" xfId="25028" xr:uid="{00000000-0005-0000-0000-0000A4610000}"/>
    <cellStyle name="Normal 2 2 5 3 5 4" xfId="25029" xr:uid="{00000000-0005-0000-0000-0000A5610000}"/>
    <cellStyle name="Normal 2 2 5 3 5 5" xfId="25030" xr:uid="{00000000-0005-0000-0000-0000A6610000}"/>
    <cellStyle name="Normal 2 2 5 3 5 6" xfId="25031" xr:uid="{00000000-0005-0000-0000-0000A7610000}"/>
    <cellStyle name="Normal 2 2 5 3 5 7" xfId="25032" xr:uid="{00000000-0005-0000-0000-0000A8610000}"/>
    <cellStyle name="Normal 2 2 5 3 5 8" xfId="25033" xr:uid="{00000000-0005-0000-0000-0000A9610000}"/>
    <cellStyle name="Normal 2 2 5 3 5 9" xfId="25034" xr:uid="{00000000-0005-0000-0000-0000AA610000}"/>
    <cellStyle name="Normal 2 2 5 3 6" xfId="25035" xr:uid="{00000000-0005-0000-0000-0000AB610000}"/>
    <cellStyle name="Normal 2 2 5 3 7" xfId="25036" xr:uid="{00000000-0005-0000-0000-0000AC610000}"/>
    <cellStyle name="Normal 2 2 5 3 8" xfId="25037" xr:uid="{00000000-0005-0000-0000-0000AD610000}"/>
    <cellStyle name="Normal 2 2 5 3 9" xfId="25038" xr:uid="{00000000-0005-0000-0000-0000AE610000}"/>
    <cellStyle name="Normal 2 2 5 4" xfId="25039" xr:uid="{00000000-0005-0000-0000-0000AF610000}"/>
    <cellStyle name="Normal 2 2 5 4 10" xfId="25040" xr:uid="{00000000-0005-0000-0000-0000B0610000}"/>
    <cellStyle name="Normal 2 2 5 4 11" xfId="25041" xr:uid="{00000000-0005-0000-0000-0000B1610000}"/>
    <cellStyle name="Normal 2 2 5 4 12" xfId="25042" xr:uid="{00000000-0005-0000-0000-0000B2610000}"/>
    <cellStyle name="Normal 2 2 5 4 13" xfId="25043" xr:uid="{00000000-0005-0000-0000-0000B3610000}"/>
    <cellStyle name="Normal 2 2 5 4 14" xfId="25044" xr:uid="{00000000-0005-0000-0000-0000B4610000}"/>
    <cellStyle name="Normal 2 2 5 4 2" xfId="25045" xr:uid="{00000000-0005-0000-0000-0000B5610000}"/>
    <cellStyle name="Normal 2 2 5 4 2 10" xfId="25046" xr:uid="{00000000-0005-0000-0000-0000B6610000}"/>
    <cellStyle name="Normal 2 2 5 4 2 2" xfId="25047" xr:uid="{00000000-0005-0000-0000-0000B7610000}"/>
    <cellStyle name="Normal 2 2 5 4 2 3" xfId="25048" xr:uid="{00000000-0005-0000-0000-0000B8610000}"/>
    <cellStyle name="Normal 2 2 5 4 2 4" xfId="25049" xr:uid="{00000000-0005-0000-0000-0000B9610000}"/>
    <cellStyle name="Normal 2 2 5 4 2 5" xfId="25050" xr:uid="{00000000-0005-0000-0000-0000BA610000}"/>
    <cellStyle name="Normal 2 2 5 4 2 6" xfId="25051" xr:uid="{00000000-0005-0000-0000-0000BB610000}"/>
    <cellStyle name="Normal 2 2 5 4 2 7" xfId="25052" xr:uid="{00000000-0005-0000-0000-0000BC610000}"/>
    <cellStyle name="Normal 2 2 5 4 2 8" xfId="25053" xr:uid="{00000000-0005-0000-0000-0000BD610000}"/>
    <cellStyle name="Normal 2 2 5 4 2 9" xfId="25054" xr:uid="{00000000-0005-0000-0000-0000BE610000}"/>
    <cellStyle name="Normal 2 2 5 4 3" xfId="25055" xr:uid="{00000000-0005-0000-0000-0000BF610000}"/>
    <cellStyle name="Normal 2 2 5 4 3 10" xfId="25056" xr:uid="{00000000-0005-0000-0000-0000C0610000}"/>
    <cellStyle name="Normal 2 2 5 4 3 2" xfId="25057" xr:uid="{00000000-0005-0000-0000-0000C1610000}"/>
    <cellStyle name="Normal 2 2 5 4 3 3" xfId="25058" xr:uid="{00000000-0005-0000-0000-0000C2610000}"/>
    <cellStyle name="Normal 2 2 5 4 3 4" xfId="25059" xr:uid="{00000000-0005-0000-0000-0000C3610000}"/>
    <cellStyle name="Normal 2 2 5 4 3 5" xfId="25060" xr:uid="{00000000-0005-0000-0000-0000C4610000}"/>
    <cellStyle name="Normal 2 2 5 4 3 6" xfId="25061" xr:uid="{00000000-0005-0000-0000-0000C5610000}"/>
    <cellStyle name="Normal 2 2 5 4 3 7" xfId="25062" xr:uid="{00000000-0005-0000-0000-0000C6610000}"/>
    <cellStyle name="Normal 2 2 5 4 3 8" xfId="25063" xr:uid="{00000000-0005-0000-0000-0000C7610000}"/>
    <cellStyle name="Normal 2 2 5 4 3 9" xfId="25064" xr:uid="{00000000-0005-0000-0000-0000C8610000}"/>
    <cellStyle name="Normal 2 2 5 4 4" xfId="25065" xr:uid="{00000000-0005-0000-0000-0000C9610000}"/>
    <cellStyle name="Normal 2 2 5 4 4 10" xfId="25066" xr:uid="{00000000-0005-0000-0000-0000CA610000}"/>
    <cellStyle name="Normal 2 2 5 4 4 2" xfId="25067" xr:uid="{00000000-0005-0000-0000-0000CB610000}"/>
    <cellStyle name="Normal 2 2 5 4 4 3" xfId="25068" xr:uid="{00000000-0005-0000-0000-0000CC610000}"/>
    <cellStyle name="Normal 2 2 5 4 4 4" xfId="25069" xr:uid="{00000000-0005-0000-0000-0000CD610000}"/>
    <cellStyle name="Normal 2 2 5 4 4 5" xfId="25070" xr:uid="{00000000-0005-0000-0000-0000CE610000}"/>
    <cellStyle name="Normal 2 2 5 4 4 6" xfId="25071" xr:uid="{00000000-0005-0000-0000-0000CF610000}"/>
    <cellStyle name="Normal 2 2 5 4 4 7" xfId="25072" xr:uid="{00000000-0005-0000-0000-0000D0610000}"/>
    <cellStyle name="Normal 2 2 5 4 4 8" xfId="25073" xr:uid="{00000000-0005-0000-0000-0000D1610000}"/>
    <cellStyle name="Normal 2 2 5 4 4 9" xfId="25074" xr:uid="{00000000-0005-0000-0000-0000D2610000}"/>
    <cellStyle name="Normal 2 2 5 4 5" xfId="25075" xr:uid="{00000000-0005-0000-0000-0000D3610000}"/>
    <cellStyle name="Normal 2 2 5 4 5 10" xfId="25076" xr:uid="{00000000-0005-0000-0000-0000D4610000}"/>
    <cellStyle name="Normal 2 2 5 4 5 2" xfId="25077" xr:uid="{00000000-0005-0000-0000-0000D5610000}"/>
    <cellStyle name="Normal 2 2 5 4 5 3" xfId="25078" xr:uid="{00000000-0005-0000-0000-0000D6610000}"/>
    <cellStyle name="Normal 2 2 5 4 5 4" xfId="25079" xr:uid="{00000000-0005-0000-0000-0000D7610000}"/>
    <cellStyle name="Normal 2 2 5 4 5 5" xfId="25080" xr:uid="{00000000-0005-0000-0000-0000D8610000}"/>
    <cellStyle name="Normal 2 2 5 4 5 6" xfId="25081" xr:uid="{00000000-0005-0000-0000-0000D9610000}"/>
    <cellStyle name="Normal 2 2 5 4 5 7" xfId="25082" xr:uid="{00000000-0005-0000-0000-0000DA610000}"/>
    <cellStyle name="Normal 2 2 5 4 5 8" xfId="25083" xr:uid="{00000000-0005-0000-0000-0000DB610000}"/>
    <cellStyle name="Normal 2 2 5 4 5 9" xfId="25084" xr:uid="{00000000-0005-0000-0000-0000DC610000}"/>
    <cellStyle name="Normal 2 2 5 4 6" xfId="25085" xr:uid="{00000000-0005-0000-0000-0000DD610000}"/>
    <cellStyle name="Normal 2 2 5 4 7" xfId="25086" xr:uid="{00000000-0005-0000-0000-0000DE610000}"/>
    <cellStyle name="Normal 2 2 5 4 8" xfId="25087" xr:uid="{00000000-0005-0000-0000-0000DF610000}"/>
    <cellStyle name="Normal 2 2 5 4 9" xfId="25088" xr:uid="{00000000-0005-0000-0000-0000E0610000}"/>
    <cellStyle name="Normal 2 2 5 5" xfId="25089" xr:uid="{00000000-0005-0000-0000-0000E1610000}"/>
    <cellStyle name="Normal 2 2 5 5 10" xfId="25090" xr:uid="{00000000-0005-0000-0000-0000E2610000}"/>
    <cellStyle name="Normal 2 2 5 5 11" xfId="25091" xr:uid="{00000000-0005-0000-0000-0000E3610000}"/>
    <cellStyle name="Normal 2 2 5 5 12" xfId="25092" xr:uid="{00000000-0005-0000-0000-0000E4610000}"/>
    <cellStyle name="Normal 2 2 5 5 13" xfId="25093" xr:uid="{00000000-0005-0000-0000-0000E5610000}"/>
    <cellStyle name="Normal 2 2 5 5 14" xfId="25094" xr:uid="{00000000-0005-0000-0000-0000E6610000}"/>
    <cellStyle name="Normal 2 2 5 5 2" xfId="25095" xr:uid="{00000000-0005-0000-0000-0000E7610000}"/>
    <cellStyle name="Normal 2 2 5 5 2 10" xfId="25096" xr:uid="{00000000-0005-0000-0000-0000E8610000}"/>
    <cellStyle name="Normal 2 2 5 5 2 2" xfId="25097" xr:uid="{00000000-0005-0000-0000-0000E9610000}"/>
    <cellStyle name="Normal 2 2 5 5 2 3" xfId="25098" xr:uid="{00000000-0005-0000-0000-0000EA610000}"/>
    <cellStyle name="Normal 2 2 5 5 2 4" xfId="25099" xr:uid="{00000000-0005-0000-0000-0000EB610000}"/>
    <cellStyle name="Normal 2 2 5 5 2 5" xfId="25100" xr:uid="{00000000-0005-0000-0000-0000EC610000}"/>
    <cellStyle name="Normal 2 2 5 5 2 6" xfId="25101" xr:uid="{00000000-0005-0000-0000-0000ED610000}"/>
    <cellStyle name="Normal 2 2 5 5 2 7" xfId="25102" xr:uid="{00000000-0005-0000-0000-0000EE610000}"/>
    <cellStyle name="Normal 2 2 5 5 2 8" xfId="25103" xr:uid="{00000000-0005-0000-0000-0000EF610000}"/>
    <cellStyle name="Normal 2 2 5 5 2 9" xfId="25104" xr:uid="{00000000-0005-0000-0000-0000F0610000}"/>
    <cellStyle name="Normal 2 2 5 5 3" xfId="25105" xr:uid="{00000000-0005-0000-0000-0000F1610000}"/>
    <cellStyle name="Normal 2 2 5 5 3 10" xfId="25106" xr:uid="{00000000-0005-0000-0000-0000F2610000}"/>
    <cellStyle name="Normal 2 2 5 5 3 2" xfId="25107" xr:uid="{00000000-0005-0000-0000-0000F3610000}"/>
    <cellStyle name="Normal 2 2 5 5 3 3" xfId="25108" xr:uid="{00000000-0005-0000-0000-0000F4610000}"/>
    <cellStyle name="Normal 2 2 5 5 3 4" xfId="25109" xr:uid="{00000000-0005-0000-0000-0000F5610000}"/>
    <cellStyle name="Normal 2 2 5 5 3 5" xfId="25110" xr:uid="{00000000-0005-0000-0000-0000F6610000}"/>
    <cellStyle name="Normal 2 2 5 5 3 6" xfId="25111" xr:uid="{00000000-0005-0000-0000-0000F7610000}"/>
    <cellStyle name="Normal 2 2 5 5 3 7" xfId="25112" xr:uid="{00000000-0005-0000-0000-0000F8610000}"/>
    <cellStyle name="Normal 2 2 5 5 3 8" xfId="25113" xr:uid="{00000000-0005-0000-0000-0000F9610000}"/>
    <cellStyle name="Normal 2 2 5 5 3 9" xfId="25114" xr:uid="{00000000-0005-0000-0000-0000FA610000}"/>
    <cellStyle name="Normal 2 2 5 5 4" xfId="25115" xr:uid="{00000000-0005-0000-0000-0000FB610000}"/>
    <cellStyle name="Normal 2 2 5 5 4 10" xfId="25116" xr:uid="{00000000-0005-0000-0000-0000FC610000}"/>
    <cellStyle name="Normal 2 2 5 5 4 2" xfId="25117" xr:uid="{00000000-0005-0000-0000-0000FD610000}"/>
    <cellStyle name="Normal 2 2 5 5 4 3" xfId="25118" xr:uid="{00000000-0005-0000-0000-0000FE610000}"/>
    <cellStyle name="Normal 2 2 5 5 4 4" xfId="25119" xr:uid="{00000000-0005-0000-0000-0000FF610000}"/>
    <cellStyle name="Normal 2 2 5 5 4 5" xfId="25120" xr:uid="{00000000-0005-0000-0000-000000620000}"/>
    <cellStyle name="Normal 2 2 5 5 4 6" xfId="25121" xr:uid="{00000000-0005-0000-0000-000001620000}"/>
    <cellStyle name="Normal 2 2 5 5 4 7" xfId="25122" xr:uid="{00000000-0005-0000-0000-000002620000}"/>
    <cellStyle name="Normal 2 2 5 5 4 8" xfId="25123" xr:uid="{00000000-0005-0000-0000-000003620000}"/>
    <cellStyle name="Normal 2 2 5 5 4 9" xfId="25124" xr:uid="{00000000-0005-0000-0000-000004620000}"/>
    <cellStyle name="Normal 2 2 5 5 5" xfId="25125" xr:uid="{00000000-0005-0000-0000-000005620000}"/>
    <cellStyle name="Normal 2 2 5 5 5 10" xfId="25126" xr:uid="{00000000-0005-0000-0000-000006620000}"/>
    <cellStyle name="Normal 2 2 5 5 5 2" xfId="25127" xr:uid="{00000000-0005-0000-0000-000007620000}"/>
    <cellStyle name="Normal 2 2 5 5 5 3" xfId="25128" xr:uid="{00000000-0005-0000-0000-000008620000}"/>
    <cellStyle name="Normal 2 2 5 5 5 4" xfId="25129" xr:uid="{00000000-0005-0000-0000-000009620000}"/>
    <cellStyle name="Normal 2 2 5 5 5 5" xfId="25130" xr:uid="{00000000-0005-0000-0000-00000A620000}"/>
    <cellStyle name="Normal 2 2 5 5 5 6" xfId="25131" xr:uid="{00000000-0005-0000-0000-00000B620000}"/>
    <cellStyle name="Normal 2 2 5 5 5 7" xfId="25132" xr:uid="{00000000-0005-0000-0000-00000C620000}"/>
    <cellStyle name="Normal 2 2 5 5 5 8" xfId="25133" xr:uid="{00000000-0005-0000-0000-00000D620000}"/>
    <cellStyle name="Normal 2 2 5 5 5 9" xfId="25134" xr:uid="{00000000-0005-0000-0000-00000E620000}"/>
    <cellStyle name="Normal 2 2 5 5 6" xfId="25135" xr:uid="{00000000-0005-0000-0000-00000F620000}"/>
    <cellStyle name="Normal 2 2 5 5 7" xfId="25136" xr:uid="{00000000-0005-0000-0000-000010620000}"/>
    <cellStyle name="Normal 2 2 5 5 8" xfId="25137" xr:uid="{00000000-0005-0000-0000-000011620000}"/>
    <cellStyle name="Normal 2 2 5 5 9" xfId="25138" xr:uid="{00000000-0005-0000-0000-000012620000}"/>
    <cellStyle name="Normal 2 2 5 6" xfId="25139" xr:uid="{00000000-0005-0000-0000-000013620000}"/>
    <cellStyle name="Normal 2 2 5 6 10" xfId="25140" xr:uid="{00000000-0005-0000-0000-000014620000}"/>
    <cellStyle name="Normal 2 2 5 6 11" xfId="25141" xr:uid="{00000000-0005-0000-0000-000015620000}"/>
    <cellStyle name="Normal 2 2 5 6 12" xfId="25142" xr:uid="{00000000-0005-0000-0000-000016620000}"/>
    <cellStyle name="Normal 2 2 5 6 13" xfId="25143" xr:uid="{00000000-0005-0000-0000-000017620000}"/>
    <cellStyle name="Normal 2 2 5 6 14" xfId="25144" xr:uid="{00000000-0005-0000-0000-000018620000}"/>
    <cellStyle name="Normal 2 2 5 6 2" xfId="25145" xr:uid="{00000000-0005-0000-0000-000019620000}"/>
    <cellStyle name="Normal 2 2 5 6 2 10" xfId="25146" xr:uid="{00000000-0005-0000-0000-00001A620000}"/>
    <cellStyle name="Normal 2 2 5 6 2 2" xfId="25147" xr:uid="{00000000-0005-0000-0000-00001B620000}"/>
    <cellStyle name="Normal 2 2 5 6 2 3" xfId="25148" xr:uid="{00000000-0005-0000-0000-00001C620000}"/>
    <cellStyle name="Normal 2 2 5 6 2 4" xfId="25149" xr:uid="{00000000-0005-0000-0000-00001D620000}"/>
    <cellStyle name="Normal 2 2 5 6 2 5" xfId="25150" xr:uid="{00000000-0005-0000-0000-00001E620000}"/>
    <cellStyle name="Normal 2 2 5 6 2 6" xfId="25151" xr:uid="{00000000-0005-0000-0000-00001F620000}"/>
    <cellStyle name="Normal 2 2 5 6 2 7" xfId="25152" xr:uid="{00000000-0005-0000-0000-000020620000}"/>
    <cellStyle name="Normal 2 2 5 6 2 8" xfId="25153" xr:uid="{00000000-0005-0000-0000-000021620000}"/>
    <cellStyle name="Normal 2 2 5 6 2 9" xfId="25154" xr:uid="{00000000-0005-0000-0000-000022620000}"/>
    <cellStyle name="Normal 2 2 5 6 3" xfId="25155" xr:uid="{00000000-0005-0000-0000-000023620000}"/>
    <cellStyle name="Normal 2 2 5 6 3 10" xfId="25156" xr:uid="{00000000-0005-0000-0000-000024620000}"/>
    <cellStyle name="Normal 2 2 5 6 3 2" xfId="25157" xr:uid="{00000000-0005-0000-0000-000025620000}"/>
    <cellStyle name="Normal 2 2 5 6 3 3" xfId="25158" xr:uid="{00000000-0005-0000-0000-000026620000}"/>
    <cellStyle name="Normal 2 2 5 6 3 4" xfId="25159" xr:uid="{00000000-0005-0000-0000-000027620000}"/>
    <cellStyle name="Normal 2 2 5 6 3 5" xfId="25160" xr:uid="{00000000-0005-0000-0000-000028620000}"/>
    <cellStyle name="Normal 2 2 5 6 3 6" xfId="25161" xr:uid="{00000000-0005-0000-0000-000029620000}"/>
    <cellStyle name="Normal 2 2 5 6 3 7" xfId="25162" xr:uid="{00000000-0005-0000-0000-00002A620000}"/>
    <cellStyle name="Normal 2 2 5 6 3 8" xfId="25163" xr:uid="{00000000-0005-0000-0000-00002B620000}"/>
    <cellStyle name="Normal 2 2 5 6 3 9" xfId="25164" xr:uid="{00000000-0005-0000-0000-00002C620000}"/>
    <cellStyle name="Normal 2 2 5 6 4" xfId="25165" xr:uid="{00000000-0005-0000-0000-00002D620000}"/>
    <cellStyle name="Normal 2 2 5 6 4 10" xfId="25166" xr:uid="{00000000-0005-0000-0000-00002E620000}"/>
    <cellStyle name="Normal 2 2 5 6 4 2" xfId="25167" xr:uid="{00000000-0005-0000-0000-00002F620000}"/>
    <cellStyle name="Normal 2 2 5 6 4 3" xfId="25168" xr:uid="{00000000-0005-0000-0000-000030620000}"/>
    <cellStyle name="Normal 2 2 5 6 4 4" xfId="25169" xr:uid="{00000000-0005-0000-0000-000031620000}"/>
    <cellStyle name="Normal 2 2 5 6 4 5" xfId="25170" xr:uid="{00000000-0005-0000-0000-000032620000}"/>
    <cellStyle name="Normal 2 2 5 6 4 6" xfId="25171" xr:uid="{00000000-0005-0000-0000-000033620000}"/>
    <cellStyle name="Normal 2 2 5 6 4 7" xfId="25172" xr:uid="{00000000-0005-0000-0000-000034620000}"/>
    <cellStyle name="Normal 2 2 5 6 4 8" xfId="25173" xr:uid="{00000000-0005-0000-0000-000035620000}"/>
    <cellStyle name="Normal 2 2 5 6 4 9" xfId="25174" xr:uid="{00000000-0005-0000-0000-000036620000}"/>
    <cellStyle name="Normal 2 2 5 6 5" xfId="25175" xr:uid="{00000000-0005-0000-0000-000037620000}"/>
    <cellStyle name="Normal 2 2 5 6 5 10" xfId="25176" xr:uid="{00000000-0005-0000-0000-000038620000}"/>
    <cellStyle name="Normal 2 2 5 6 5 2" xfId="25177" xr:uid="{00000000-0005-0000-0000-000039620000}"/>
    <cellStyle name="Normal 2 2 5 6 5 3" xfId="25178" xr:uid="{00000000-0005-0000-0000-00003A620000}"/>
    <cellStyle name="Normal 2 2 5 6 5 4" xfId="25179" xr:uid="{00000000-0005-0000-0000-00003B620000}"/>
    <cellStyle name="Normal 2 2 5 6 5 5" xfId="25180" xr:uid="{00000000-0005-0000-0000-00003C620000}"/>
    <cellStyle name="Normal 2 2 5 6 5 6" xfId="25181" xr:uid="{00000000-0005-0000-0000-00003D620000}"/>
    <cellStyle name="Normal 2 2 5 6 5 7" xfId="25182" xr:uid="{00000000-0005-0000-0000-00003E620000}"/>
    <cellStyle name="Normal 2 2 5 6 5 8" xfId="25183" xr:uid="{00000000-0005-0000-0000-00003F620000}"/>
    <cellStyle name="Normal 2 2 5 6 5 9" xfId="25184" xr:uid="{00000000-0005-0000-0000-000040620000}"/>
    <cellStyle name="Normal 2 2 5 6 6" xfId="25185" xr:uid="{00000000-0005-0000-0000-000041620000}"/>
    <cellStyle name="Normal 2 2 5 6 7" xfId="25186" xr:uid="{00000000-0005-0000-0000-000042620000}"/>
    <cellStyle name="Normal 2 2 5 6 8" xfId="25187" xr:uid="{00000000-0005-0000-0000-000043620000}"/>
    <cellStyle name="Normal 2 2 5 6 9" xfId="25188" xr:uid="{00000000-0005-0000-0000-000044620000}"/>
    <cellStyle name="Normal 2 2 5 7" xfId="25189" xr:uid="{00000000-0005-0000-0000-000045620000}"/>
    <cellStyle name="Normal 2 2 5 7 10" xfId="25190" xr:uid="{00000000-0005-0000-0000-000046620000}"/>
    <cellStyle name="Normal 2 2 5 7 11" xfId="25191" xr:uid="{00000000-0005-0000-0000-000047620000}"/>
    <cellStyle name="Normal 2 2 5 7 12" xfId="25192" xr:uid="{00000000-0005-0000-0000-000048620000}"/>
    <cellStyle name="Normal 2 2 5 7 13" xfId="25193" xr:uid="{00000000-0005-0000-0000-000049620000}"/>
    <cellStyle name="Normal 2 2 5 7 14" xfId="25194" xr:uid="{00000000-0005-0000-0000-00004A620000}"/>
    <cellStyle name="Normal 2 2 5 7 2" xfId="25195" xr:uid="{00000000-0005-0000-0000-00004B620000}"/>
    <cellStyle name="Normal 2 2 5 7 2 10" xfId="25196" xr:uid="{00000000-0005-0000-0000-00004C620000}"/>
    <cellStyle name="Normal 2 2 5 7 2 2" xfId="25197" xr:uid="{00000000-0005-0000-0000-00004D620000}"/>
    <cellStyle name="Normal 2 2 5 7 2 3" xfId="25198" xr:uid="{00000000-0005-0000-0000-00004E620000}"/>
    <cellStyle name="Normal 2 2 5 7 2 4" xfId="25199" xr:uid="{00000000-0005-0000-0000-00004F620000}"/>
    <cellStyle name="Normal 2 2 5 7 2 5" xfId="25200" xr:uid="{00000000-0005-0000-0000-000050620000}"/>
    <cellStyle name="Normal 2 2 5 7 2 6" xfId="25201" xr:uid="{00000000-0005-0000-0000-000051620000}"/>
    <cellStyle name="Normal 2 2 5 7 2 7" xfId="25202" xr:uid="{00000000-0005-0000-0000-000052620000}"/>
    <cellStyle name="Normal 2 2 5 7 2 8" xfId="25203" xr:uid="{00000000-0005-0000-0000-000053620000}"/>
    <cellStyle name="Normal 2 2 5 7 2 9" xfId="25204" xr:uid="{00000000-0005-0000-0000-000054620000}"/>
    <cellStyle name="Normal 2 2 5 7 3" xfId="25205" xr:uid="{00000000-0005-0000-0000-000055620000}"/>
    <cellStyle name="Normal 2 2 5 7 3 10" xfId="25206" xr:uid="{00000000-0005-0000-0000-000056620000}"/>
    <cellStyle name="Normal 2 2 5 7 3 2" xfId="25207" xr:uid="{00000000-0005-0000-0000-000057620000}"/>
    <cellStyle name="Normal 2 2 5 7 3 3" xfId="25208" xr:uid="{00000000-0005-0000-0000-000058620000}"/>
    <cellStyle name="Normal 2 2 5 7 3 4" xfId="25209" xr:uid="{00000000-0005-0000-0000-000059620000}"/>
    <cellStyle name="Normal 2 2 5 7 3 5" xfId="25210" xr:uid="{00000000-0005-0000-0000-00005A620000}"/>
    <cellStyle name="Normal 2 2 5 7 3 6" xfId="25211" xr:uid="{00000000-0005-0000-0000-00005B620000}"/>
    <cellStyle name="Normal 2 2 5 7 3 7" xfId="25212" xr:uid="{00000000-0005-0000-0000-00005C620000}"/>
    <cellStyle name="Normal 2 2 5 7 3 8" xfId="25213" xr:uid="{00000000-0005-0000-0000-00005D620000}"/>
    <cellStyle name="Normal 2 2 5 7 3 9" xfId="25214" xr:uid="{00000000-0005-0000-0000-00005E620000}"/>
    <cellStyle name="Normal 2 2 5 7 4" xfId="25215" xr:uid="{00000000-0005-0000-0000-00005F620000}"/>
    <cellStyle name="Normal 2 2 5 7 4 10" xfId="25216" xr:uid="{00000000-0005-0000-0000-000060620000}"/>
    <cellStyle name="Normal 2 2 5 7 4 2" xfId="25217" xr:uid="{00000000-0005-0000-0000-000061620000}"/>
    <cellStyle name="Normal 2 2 5 7 4 3" xfId="25218" xr:uid="{00000000-0005-0000-0000-000062620000}"/>
    <cellStyle name="Normal 2 2 5 7 4 4" xfId="25219" xr:uid="{00000000-0005-0000-0000-000063620000}"/>
    <cellStyle name="Normal 2 2 5 7 4 5" xfId="25220" xr:uid="{00000000-0005-0000-0000-000064620000}"/>
    <cellStyle name="Normal 2 2 5 7 4 6" xfId="25221" xr:uid="{00000000-0005-0000-0000-000065620000}"/>
    <cellStyle name="Normal 2 2 5 7 4 7" xfId="25222" xr:uid="{00000000-0005-0000-0000-000066620000}"/>
    <cellStyle name="Normal 2 2 5 7 4 8" xfId="25223" xr:uid="{00000000-0005-0000-0000-000067620000}"/>
    <cellStyle name="Normal 2 2 5 7 4 9" xfId="25224" xr:uid="{00000000-0005-0000-0000-000068620000}"/>
    <cellStyle name="Normal 2 2 5 7 5" xfId="25225" xr:uid="{00000000-0005-0000-0000-000069620000}"/>
    <cellStyle name="Normal 2 2 5 7 5 10" xfId="25226" xr:uid="{00000000-0005-0000-0000-00006A620000}"/>
    <cellStyle name="Normal 2 2 5 7 5 2" xfId="25227" xr:uid="{00000000-0005-0000-0000-00006B620000}"/>
    <cellStyle name="Normal 2 2 5 7 5 3" xfId="25228" xr:uid="{00000000-0005-0000-0000-00006C620000}"/>
    <cellStyle name="Normal 2 2 5 7 5 4" xfId="25229" xr:uid="{00000000-0005-0000-0000-00006D620000}"/>
    <cellStyle name="Normal 2 2 5 7 5 5" xfId="25230" xr:uid="{00000000-0005-0000-0000-00006E620000}"/>
    <cellStyle name="Normal 2 2 5 7 5 6" xfId="25231" xr:uid="{00000000-0005-0000-0000-00006F620000}"/>
    <cellStyle name="Normal 2 2 5 7 5 7" xfId="25232" xr:uid="{00000000-0005-0000-0000-000070620000}"/>
    <cellStyle name="Normal 2 2 5 7 5 8" xfId="25233" xr:uid="{00000000-0005-0000-0000-000071620000}"/>
    <cellStyle name="Normal 2 2 5 7 5 9" xfId="25234" xr:uid="{00000000-0005-0000-0000-000072620000}"/>
    <cellStyle name="Normal 2 2 5 7 6" xfId="25235" xr:uid="{00000000-0005-0000-0000-000073620000}"/>
    <cellStyle name="Normal 2 2 5 7 7" xfId="25236" xr:uid="{00000000-0005-0000-0000-000074620000}"/>
    <cellStyle name="Normal 2 2 5 7 8" xfId="25237" xr:uid="{00000000-0005-0000-0000-000075620000}"/>
    <cellStyle name="Normal 2 2 5 7 9" xfId="25238" xr:uid="{00000000-0005-0000-0000-000076620000}"/>
    <cellStyle name="Normal 2 2 5 8" xfId="25239" xr:uid="{00000000-0005-0000-0000-000077620000}"/>
    <cellStyle name="Normal 2 2 5 8 10" xfId="25240" xr:uid="{00000000-0005-0000-0000-000078620000}"/>
    <cellStyle name="Normal 2 2 5 8 11" xfId="25241" xr:uid="{00000000-0005-0000-0000-000079620000}"/>
    <cellStyle name="Normal 2 2 5 8 12" xfId="25242" xr:uid="{00000000-0005-0000-0000-00007A620000}"/>
    <cellStyle name="Normal 2 2 5 8 13" xfId="25243" xr:uid="{00000000-0005-0000-0000-00007B620000}"/>
    <cellStyle name="Normal 2 2 5 8 14" xfId="25244" xr:uid="{00000000-0005-0000-0000-00007C620000}"/>
    <cellStyle name="Normal 2 2 5 8 2" xfId="25245" xr:uid="{00000000-0005-0000-0000-00007D620000}"/>
    <cellStyle name="Normal 2 2 5 8 2 10" xfId="25246" xr:uid="{00000000-0005-0000-0000-00007E620000}"/>
    <cellStyle name="Normal 2 2 5 8 2 2" xfId="25247" xr:uid="{00000000-0005-0000-0000-00007F620000}"/>
    <cellStyle name="Normal 2 2 5 8 2 3" xfId="25248" xr:uid="{00000000-0005-0000-0000-000080620000}"/>
    <cellStyle name="Normal 2 2 5 8 2 4" xfId="25249" xr:uid="{00000000-0005-0000-0000-000081620000}"/>
    <cellStyle name="Normal 2 2 5 8 2 5" xfId="25250" xr:uid="{00000000-0005-0000-0000-000082620000}"/>
    <cellStyle name="Normal 2 2 5 8 2 6" xfId="25251" xr:uid="{00000000-0005-0000-0000-000083620000}"/>
    <cellStyle name="Normal 2 2 5 8 2 7" xfId="25252" xr:uid="{00000000-0005-0000-0000-000084620000}"/>
    <cellStyle name="Normal 2 2 5 8 2 8" xfId="25253" xr:uid="{00000000-0005-0000-0000-000085620000}"/>
    <cellStyle name="Normal 2 2 5 8 2 9" xfId="25254" xr:uid="{00000000-0005-0000-0000-000086620000}"/>
    <cellStyle name="Normal 2 2 5 8 3" xfId="25255" xr:uid="{00000000-0005-0000-0000-000087620000}"/>
    <cellStyle name="Normal 2 2 5 8 3 10" xfId="25256" xr:uid="{00000000-0005-0000-0000-000088620000}"/>
    <cellStyle name="Normal 2 2 5 8 3 2" xfId="25257" xr:uid="{00000000-0005-0000-0000-000089620000}"/>
    <cellStyle name="Normal 2 2 5 8 3 3" xfId="25258" xr:uid="{00000000-0005-0000-0000-00008A620000}"/>
    <cellStyle name="Normal 2 2 5 8 3 4" xfId="25259" xr:uid="{00000000-0005-0000-0000-00008B620000}"/>
    <cellStyle name="Normal 2 2 5 8 3 5" xfId="25260" xr:uid="{00000000-0005-0000-0000-00008C620000}"/>
    <cellStyle name="Normal 2 2 5 8 3 6" xfId="25261" xr:uid="{00000000-0005-0000-0000-00008D620000}"/>
    <cellStyle name="Normal 2 2 5 8 3 7" xfId="25262" xr:uid="{00000000-0005-0000-0000-00008E620000}"/>
    <cellStyle name="Normal 2 2 5 8 3 8" xfId="25263" xr:uid="{00000000-0005-0000-0000-00008F620000}"/>
    <cellStyle name="Normal 2 2 5 8 3 9" xfId="25264" xr:uid="{00000000-0005-0000-0000-000090620000}"/>
    <cellStyle name="Normal 2 2 5 8 4" xfId="25265" xr:uid="{00000000-0005-0000-0000-000091620000}"/>
    <cellStyle name="Normal 2 2 5 8 4 10" xfId="25266" xr:uid="{00000000-0005-0000-0000-000092620000}"/>
    <cellStyle name="Normal 2 2 5 8 4 2" xfId="25267" xr:uid="{00000000-0005-0000-0000-000093620000}"/>
    <cellStyle name="Normal 2 2 5 8 4 3" xfId="25268" xr:uid="{00000000-0005-0000-0000-000094620000}"/>
    <cellStyle name="Normal 2 2 5 8 4 4" xfId="25269" xr:uid="{00000000-0005-0000-0000-000095620000}"/>
    <cellStyle name="Normal 2 2 5 8 4 5" xfId="25270" xr:uid="{00000000-0005-0000-0000-000096620000}"/>
    <cellStyle name="Normal 2 2 5 8 4 6" xfId="25271" xr:uid="{00000000-0005-0000-0000-000097620000}"/>
    <cellStyle name="Normal 2 2 5 8 4 7" xfId="25272" xr:uid="{00000000-0005-0000-0000-000098620000}"/>
    <cellStyle name="Normal 2 2 5 8 4 8" xfId="25273" xr:uid="{00000000-0005-0000-0000-000099620000}"/>
    <cellStyle name="Normal 2 2 5 8 4 9" xfId="25274" xr:uid="{00000000-0005-0000-0000-00009A620000}"/>
    <cellStyle name="Normal 2 2 5 8 5" xfId="25275" xr:uid="{00000000-0005-0000-0000-00009B620000}"/>
    <cellStyle name="Normal 2 2 5 8 5 10" xfId="25276" xr:uid="{00000000-0005-0000-0000-00009C620000}"/>
    <cellStyle name="Normal 2 2 5 8 5 2" xfId="25277" xr:uid="{00000000-0005-0000-0000-00009D620000}"/>
    <cellStyle name="Normal 2 2 5 8 5 3" xfId="25278" xr:uid="{00000000-0005-0000-0000-00009E620000}"/>
    <cellStyle name="Normal 2 2 5 8 5 4" xfId="25279" xr:uid="{00000000-0005-0000-0000-00009F620000}"/>
    <cellStyle name="Normal 2 2 5 8 5 5" xfId="25280" xr:uid="{00000000-0005-0000-0000-0000A0620000}"/>
    <cellStyle name="Normal 2 2 5 8 5 6" xfId="25281" xr:uid="{00000000-0005-0000-0000-0000A1620000}"/>
    <cellStyle name="Normal 2 2 5 8 5 7" xfId="25282" xr:uid="{00000000-0005-0000-0000-0000A2620000}"/>
    <cellStyle name="Normal 2 2 5 8 5 8" xfId="25283" xr:uid="{00000000-0005-0000-0000-0000A3620000}"/>
    <cellStyle name="Normal 2 2 5 8 5 9" xfId="25284" xr:uid="{00000000-0005-0000-0000-0000A4620000}"/>
    <cellStyle name="Normal 2 2 5 8 6" xfId="25285" xr:uid="{00000000-0005-0000-0000-0000A5620000}"/>
    <cellStyle name="Normal 2 2 5 8 7" xfId="25286" xr:uid="{00000000-0005-0000-0000-0000A6620000}"/>
    <cellStyle name="Normal 2 2 5 8 8" xfId="25287" xr:uid="{00000000-0005-0000-0000-0000A7620000}"/>
    <cellStyle name="Normal 2 2 5 8 9" xfId="25288" xr:uid="{00000000-0005-0000-0000-0000A8620000}"/>
    <cellStyle name="Normal 2 2 5 9" xfId="25289" xr:uid="{00000000-0005-0000-0000-0000A9620000}"/>
    <cellStyle name="Normal 2 2 5 9 10" xfId="25290" xr:uid="{00000000-0005-0000-0000-0000AA620000}"/>
    <cellStyle name="Normal 2 2 5 9 11" xfId="25291" xr:uid="{00000000-0005-0000-0000-0000AB620000}"/>
    <cellStyle name="Normal 2 2 5 9 12" xfId="25292" xr:uid="{00000000-0005-0000-0000-0000AC620000}"/>
    <cellStyle name="Normal 2 2 5 9 13" xfId="25293" xr:uid="{00000000-0005-0000-0000-0000AD620000}"/>
    <cellStyle name="Normal 2 2 5 9 14" xfId="25294" xr:uid="{00000000-0005-0000-0000-0000AE620000}"/>
    <cellStyle name="Normal 2 2 5 9 2" xfId="25295" xr:uid="{00000000-0005-0000-0000-0000AF620000}"/>
    <cellStyle name="Normal 2 2 5 9 2 10" xfId="25296" xr:uid="{00000000-0005-0000-0000-0000B0620000}"/>
    <cellStyle name="Normal 2 2 5 9 2 2" xfId="25297" xr:uid="{00000000-0005-0000-0000-0000B1620000}"/>
    <cellStyle name="Normal 2 2 5 9 2 3" xfId="25298" xr:uid="{00000000-0005-0000-0000-0000B2620000}"/>
    <cellStyle name="Normal 2 2 5 9 2 4" xfId="25299" xr:uid="{00000000-0005-0000-0000-0000B3620000}"/>
    <cellStyle name="Normal 2 2 5 9 2 5" xfId="25300" xr:uid="{00000000-0005-0000-0000-0000B4620000}"/>
    <cellStyle name="Normal 2 2 5 9 2 6" xfId="25301" xr:uid="{00000000-0005-0000-0000-0000B5620000}"/>
    <cellStyle name="Normal 2 2 5 9 2 7" xfId="25302" xr:uid="{00000000-0005-0000-0000-0000B6620000}"/>
    <cellStyle name="Normal 2 2 5 9 2 8" xfId="25303" xr:uid="{00000000-0005-0000-0000-0000B7620000}"/>
    <cellStyle name="Normal 2 2 5 9 2 9" xfId="25304" xr:uid="{00000000-0005-0000-0000-0000B8620000}"/>
    <cellStyle name="Normal 2 2 5 9 3" xfId="25305" xr:uid="{00000000-0005-0000-0000-0000B9620000}"/>
    <cellStyle name="Normal 2 2 5 9 3 10" xfId="25306" xr:uid="{00000000-0005-0000-0000-0000BA620000}"/>
    <cellStyle name="Normal 2 2 5 9 3 2" xfId="25307" xr:uid="{00000000-0005-0000-0000-0000BB620000}"/>
    <cellStyle name="Normal 2 2 5 9 3 3" xfId="25308" xr:uid="{00000000-0005-0000-0000-0000BC620000}"/>
    <cellStyle name="Normal 2 2 5 9 3 4" xfId="25309" xr:uid="{00000000-0005-0000-0000-0000BD620000}"/>
    <cellStyle name="Normal 2 2 5 9 3 5" xfId="25310" xr:uid="{00000000-0005-0000-0000-0000BE620000}"/>
    <cellStyle name="Normal 2 2 5 9 3 6" xfId="25311" xr:uid="{00000000-0005-0000-0000-0000BF620000}"/>
    <cellStyle name="Normal 2 2 5 9 3 7" xfId="25312" xr:uid="{00000000-0005-0000-0000-0000C0620000}"/>
    <cellStyle name="Normal 2 2 5 9 3 8" xfId="25313" xr:uid="{00000000-0005-0000-0000-0000C1620000}"/>
    <cellStyle name="Normal 2 2 5 9 3 9" xfId="25314" xr:uid="{00000000-0005-0000-0000-0000C2620000}"/>
    <cellStyle name="Normal 2 2 5 9 4" xfId="25315" xr:uid="{00000000-0005-0000-0000-0000C3620000}"/>
    <cellStyle name="Normal 2 2 5 9 4 10" xfId="25316" xr:uid="{00000000-0005-0000-0000-0000C4620000}"/>
    <cellStyle name="Normal 2 2 5 9 4 2" xfId="25317" xr:uid="{00000000-0005-0000-0000-0000C5620000}"/>
    <cellStyle name="Normal 2 2 5 9 4 3" xfId="25318" xr:uid="{00000000-0005-0000-0000-0000C6620000}"/>
    <cellStyle name="Normal 2 2 5 9 4 4" xfId="25319" xr:uid="{00000000-0005-0000-0000-0000C7620000}"/>
    <cellStyle name="Normal 2 2 5 9 4 5" xfId="25320" xr:uid="{00000000-0005-0000-0000-0000C8620000}"/>
    <cellStyle name="Normal 2 2 5 9 4 6" xfId="25321" xr:uid="{00000000-0005-0000-0000-0000C9620000}"/>
    <cellStyle name="Normal 2 2 5 9 4 7" xfId="25322" xr:uid="{00000000-0005-0000-0000-0000CA620000}"/>
    <cellStyle name="Normal 2 2 5 9 4 8" xfId="25323" xr:uid="{00000000-0005-0000-0000-0000CB620000}"/>
    <cellStyle name="Normal 2 2 5 9 4 9" xfId="25324" xr:uid="{00000000-0005-0000-0000-0000CC620000}"/>
    <cellStyle name="Normal 2 2 5 9 5" xfId="25325" xr:uid="{00000000-0005-0000-0000-0000CD620000}"/>
    <cellStyle name="Normal 2 2 5 9 5 10" xfId="25326" xr:uid="{00000000-0005-0000-0000-0000CE620000}"/>
    <cellStyle name="Normal 2 2 5 9 5 2" xfId="25327" xr:uid="{00000000-0005-0000-0000-0000CF620000}"/>
    <cellStyle name="Normal 2 2 5 9 5 3" xfId="25328" xr:uid="{00000000-0005-0000-0000-0000D0620000}"/>
    <cellStyle name="Normal 2 2 5 9 5 4" xfId="25329" xr:uid="{00000000-0005-0000-0000-0000D1620000}"/>
    <cellStyle name="Normal 2 2 5 9 5 5" xfId="25330" xr:uid="{00000000-0005-0000-0000-0000D2620000}"/>
    <cellStyle name="Normal 2 2 5 9 5 6" xfId="25331" xr:uid="{00000000-0005-0000-0000-0000D3620000}"/>
    <cellStyle name="Normal 2 2 5 9 5 7" xfId="25332" xr:uid="{00000000-0005-0000-0000-0000D4620000}"/>
    <cellStyle name="Normal 2 2 5 9 5 8" xfId="25333" xr:uid="{00000000-0005-0000-0000-0000D5620000}"/>
    <cellStyle name="Normal 2 2 5 9 5 9" xfId="25334" xr:uid="{00000000-0005-0000-0000-0000D6620000}"/>
    <cellStyle name="Normal 2 2 5 9 6" xfId="25335" xr:uid="{00000000-0005-0000-0000-0000D7620000}"/>
    <cellStyle name="Normal 2 2 5 9 7" xfId="25336" xr:uid="{00000000-0005-0000-0000-0000D8620000}"/>
    <cellStyle name="Normal 2 2 5 9 8" xfId="25337" xr:uid="{00000000-0005-0000-0000-0000D9620000}"/>
    <cellStyle name="Normal 2 2 5 9 9" xfId="25338" xr:uid="{00000000-0005-0000-0000-0000DA620000}"/>
    <cellStyle name="Normal 2 2 50" xfId="25339" xr:uid="{00000000-0005-0000-0000-0000DB620000}"/>
    <cellStyle name="Normal 2 2 51" xfId="25340" xr:uid="{00000000-0005-0000-0000-0000DC620000}"/>
    <cellStyle name="Normal 2 2 52" xfId="55" xr:uid="{00000000-0005-0000-0000-0000DD620000}"/>
    <cellStyle name="Normal 2 2 52 2" xfId="25341" xr:uid="{00000000-0005-0000-0000-0000DE620000}"/>
    <cellStyle name="Normal 2 2 53" xfId="6201" xr:uid="{00000000-0005-0000-0000-0000DF620000}"/>
    <cellStyle name="Normal 2 2 6" xfId="25342" xr:uid="{00000000-0005-0000-0000-0000E0620000}"/>
    <cellStyle name="Normal 2 2 6 2" xfId="25343" xr:uid="{00000000-0005-0000-0000-0000E1620000}"/>
    <cellStyle name="Normal 2 2 6 3" xfId="25344" xr:uid="{00000000-0005-0000-0000-0000E2620000}"/>
    <cellStyle name="Normal 2 2 7" xfId="25345" xr:uid="{00000000-0005-0000-0000-0000E3620000}"/>
    <cellStyle name="Normal 2 2 7 2" xfId="25346" xr:uid="{00000000-0005-0000-0000-0000E4620000}"/>
    <cellStyle name="Normal 2 2 7 3" xfId="25347" xr:uid="{00000000-0005-0000-0000-0000E5620000}"/>
    <cellStyle name="Normal 2 2 8" xfId="25348" xr:uid="{00000000-0005-0000-0000-0000E6620000}"/>
    <cellStyle name="Normal 2 2 8 2" xfId="25349" xr:uid="{00000000-0005-0000-0000-0000E7620000}"/>
    <cellStyle name="Normal 2 2 8 3" xfId="25350" xr:uid="{00000000-0005-0000-0000-0000E8620000}"/>
    <cellStyle name="Normal 2 2 9" xfId="25351" xr:uid="{00000000-0005-0000-0000-0000E9620000}"/>
    <cellStyle name="Normal 2 2 9 2" xfId="25352" xr:uid="{00000000-0005-0000-0000-0000EA620000}"/>
    <cellStyle name="Normal 2 2 9 3" xfId="25353" xr:uid="{00000000-0005-0000-0000-0000EB620000}"/>
    <cellStyle name="Normal 2 20" xfId="25354" xr:uid="{00000000-0005-0000-0000-0000EC620000}"/>
    <cellStyle name="Normal 2 20 2" xfId="25355" xr:uid="{00000000-0005-0000-0000-0000ED620000}"/>
    <cellStyle name="Normal 2 20 3" xfId="25356" xr:uid="{00000000-0005-0000-0000-0000EE620000}"/>
    <cellStyle name="Normal 2 21" xfId="25357" xr:uid="{00000000-0005-0000-0000-0000EF620000}"/>
    <cellStyle name="Normal 2 21 2" xfId="25358" xr:uid="{00000000-0005-0000-0000-0000F0620000}"/>
    <cellStyle name="Normal 2 21 3" xfId="25359" xr:uid="{00000000-0005-0000-0000-0000F1620000}"/>
    <cellStyle name="Normal 2 22" xfId="25360" xr:uid="{00000000-0005-0000-0000-0000F2620000}"/>
    <cellStyle name="Normal 2 22 2" xfId="25361" xr:uid="{00000000-0005-0000-0000-0000F3620000}"/>
    <cellStyle name="Normal 2 22 3" xfId="25362" xr:uid="{00000000-0005-0000-0000-0000F4620000}"/>
    <cellStyle name="Normal 2 23" xfId="25363" xr:uid="{00000000-0005-0000-0000-0000F5620000}"/>
    <cellStyle name="Normal 2 23 2" xfId="25364" xr:uid="{00000000-0005-0000-0000-0000F6620000}"/>
    <cellStyle name="Normal 2 23 2 2" xfId="25365" xr:uid="{00000000-0005-0000-0000-0000F7620000}"/>
    <cellStyle name="Normal 2 23 3" xfId="25366" xr:uid="{00000000-0005-0000-0000-0000F8620000}"/>
    <cellStyle name="Normal 2 24" xfId="25367" xr:uid="{00000000-0005-0000-0000-0000F9620000}"/>
    <cellStyle name="Normal 2 24 2" xfId="25368" xr:uid="{00000000-0005-0000-0000-0000FA620000}"/>
    <cellStyle name="Normal 2 24 3" xfId="25369" xr:uid="{00000000-0005-0000-0000-0000FB620000}"/>
    <cellStyle name="Normal 2 25" xfId="25370" xr:uid="{00000000-0005-0000-0000-0000FC620000}"/>
    <cellStyle name="Normal 2 25 2" xfId="25371" xr:uid="{00000000-0005-0000-0000-0000FD620000}"/>
    <cellStyle name="Normal 2 25 3" xfId="25372" xr:uid="{00000000-0005-0000-0000-0000FE620000}"/>
    <cellStyle name="Normal 2 26" xfId="25373" xr:uid="{00000000-0005-0000-0000-0000FF620000}"/>
    <cellStyle name="Normal 2 26 2" xfId="25374" xr:uid="{00000000-0005-0000-0000-000000630000}"/>
    <cellStyle name="Normal 2 26 3" xfId="25375" xr:uid="{00000000-0005-0000-0000-000001630000}"/>
    <cellStyle name="Normal 2 27" xfId="25376" xr:uid="{00000000-0005-0000-0000-000002630000}"/>
    <cellStyle name="Normal 2 27 2" xfId="25377" xr:uid="{00000000-0005-0000-0000-000003630000}"/>
    <cellStyle name="Normal 2 27 3" xfId="25378" xr:uid="{00000000-0005-0000-0000-000004630000}"/>
    <cellStyle name="Normal 2 28" xfId="25379" xr:uid="{00000000-0005-0000-0000-000005630000}"/>
    <cellStyle name="Normal 2 28 2" xfId="25380" xr:uid="{00000000-0005-0000-0000-000006630000}"/>
    <cellStyle name="Normal 2 28 3" xfId="25381" xr:uid="{00000000-0005-0000-0000-000007630000}"/>
    <cellStyle name="Normal 2 29" xfId="25382" xr:uid="{00000000-0005-0000-0000-000008630000}"/>
    <cellStyle name="Normal 2 29 2" xfId="25383" xr:uid="{00000000-0005-0000-0000-000009630000}"/>
    <cellStyle name="Normal 2 29 3" xfId="25384" xr:uid="{00000000-0005-0000-0000-00000A630000}"/>
    <cellStyle name="Normal 2 3" xfId="27" xr:uid="{00000000-0005-0000-0000-00000B630000}"/>
    <cellStyle name="Normal 2 3 10" xfId="25386" xr:uid="{00000000-0005-0000-0000-00000C630000}"/>
    <cellStyle name="Normal 2 3 10 10" xfId="25387" xr:uid="{00000000-0005-0000-0000-00000D630000}"/>
    <cellStyle name="Normal 2 3 10 11" xfId="25388" xr:uid="{00000000-0005-0000-0000-00000E630000}"/>
    <cellStyle name="Normal 2 3 10 12" xfId="25389" xr:uid="{00000000-0005-0000-0000-00000F630000}"/>
    <cellStyle name="Normal 2 3 10 13" xfId="25390" xr:uid="{00000000-0005-0000-0000-000010630000}"/>
    <cellStyle name="Normal 2 3 10 14" xfId="25391" xr:uid="{00000000-0005-0000-0000-000011630000}"/>
    <cellStyle name="Normal 2 3 10 2" xfId="25392" xr:uid="{00000000-0005-0000-0000-000012630000}"/>
    <cellStyle name="Normal 2 3 10 2 10" xfId="25393" xr:uid="{00000000-0005-0000-0000-000013630000}"/>
    <cellStyle name="Normal 2 3 10 2 2" xfId="25394" xr:uid="{00000000-0005-0000-0000-000014630000}"/>
    <cellStyle name="Normal 2 3 10 2 3" xfId="25395" xr:uid="{00000000-0005-0000-0000-000015630000}"/>
    <cellStyle name="Normal 2 3 10 2 4" xfId="25396" xr:uid="{00000000-0005-0000-0000-000016630000}"/>
    <cellStyle name="Normal 2 3 10 2 5" xfId="25397" xr:uid="{00000000-0005-0000-0000-000017630000}"/>
    <cellStyle name="Normal 2 3 10 2 6" xfId="25398" xr:uid="{00000000-0005-0000-0000-000018630000}"/>
    <cellStyle name="Normal 2 3 10 2 7" xfId="25399" xr:uid="{00000000-0005-0000-0000-000019630000}"/>
    <cellStyle name="Normal 2 3 10 2 8" xfId="25400" xr:uid="{00000000-0005-0000-0000-00001A630000}"/>
    <cellStyle name="Normal 2 3 10 2 9" xfId="25401" xr:uid="{00000000-0005-0000-0000-00001B630000}"/>
    <cellStyle name="Normal 2 3 10 3" xfId="25402" xr:uid="{00000000-0005-0000-0000-00001C630000}"/>
    <cellStyle name="Normal 2 3 10 3 10" xfId="25403" xr:uid="{00000000-0005-0000-0000-00001D630000}"/>
    <cellStyle name="Normal 2 3 10 3 2" xfId="25404" xr:uid="{00000000-0005-0000-0000-00001E630000}"/>
    <cellStyle name="Normal 2 3 10 3 3" xfId="25405" xr:uid="{00000000-0005-0000-0000-00001F630000}"/>
    <cellStyle name="Normal 2 3 10 3 4" xfId="25406" xr:uid="{00000000-0005-0000-0000-000020630000}"/>
    <cellStyle name="Normal 2 3 10 3 5" xfId="25407" xr:uid="{00000000-0005-0000-0000-000021630000}"/>
    <cellStyle name="Normal 2 3 10 3 6" xfId="25408" xr:uid="{00000000-0005-0000-0000-000022630000}"/>
    <cellStyle name="Normal 2 3 10 3 7" xfId="25409" xr:uid="{00000000-0005-0000-0000-000023630000}"/>
    <cellStyle name="Normal 2 3 10 3 8" xfId="25410" xr:uid="{00000000-0005-0000-0000-000024630000}"/>
    <cellStyle name="Normal 2 3 10 3 9" xfId="25411" xr:uid="{00000000-0005-0000-0000-000025630000}"/>
    <cellStyle name="Normal 2 3 10 4" xfId="25412" xr:uid="{00000000-0005-0000-0000-000026630000}"/>
    <cellStyle name="Normal 2 3 10 4 10" xfId="25413" xr:uid="{00000000-0005-0000-0000-000027630000}"/>
    <cellStyle name="Normal 2 3 10 4 2" xfId="25414" xr:uid="{00000000-0005-0000-0000-000028630000}"/>
    <cellStyle name="Normal 2 3 10 4 3" xfId="25415" xr:uid="{00000000-0005-0000-0000-000029630000}"/>
    <cellStyle name="Normal 2 3 10 4 4" xfId="25416" xr:uid="{00000000-0005-0000-0000-00002A630000}"/>
    <cellStyle name="Normal 2 3 10 4 5" xfId="25417" xr:uid="{00000000-0005-0000-0000-00002B630000}"/>
    <cellStyle name="Normal 2 3 10 4 6" xfId="25418" xr:uid="{00000000-0005-0000-0000-00002C630000}"/>
    <cellStyle name="Normal 2 3 10 4 7" xfId="25419" xr:uid="{00000000-0005-0000-0000-00002D630000}"/>
    <cellStyle name="Normal 2 3 10 4 8" xfId="25420" xr:uid="{00000000-0005-0000-0000-00002E630000}"/>
    <cellStyle name="Normal 2 3 10 4 9" xfId="25421" xr:uid="{00000000-0005-0000-0000-00002F630000}"/>
    <cellStyle name="Normal 2 3 10 5" xfId="25422" xr:uid="{00000000-0005-0000-0000-000030630000}"/>
    <cellStyle name="Normal 2 3 10 5 10" xfId="25423" xr:uid="{00000000-0005-0000-0000-000031630000}"/>
    <cellStyle name="Normal 2 3 10 5 2" xfId="25424" xr:uid="{00000000-0005-0000-0000-000032630000}"/>
    <cellStyle name="Normal 2 3 10 5 3" xfId="25425" xr:uid="{00000000-0005-0000-0000-000033630000}"/>
    <cellStyle name="Normal 2 3 10 5 4" xfId="25426" xr:uid="{00000000-0005-0000-0000-000034630000}"/>
    <cellStyle name="Normal 2 3 10 5 5" xfId="25427" xr:uid="{00000000-0005-0000-0000-000035630000}"/>
    <cellStyle name="Normal 2 3 10 5 6" xfId="25428" xr:uid="{00000000-0005-0000-0000-000036630000}"/>
    <cellStyle name="Normal 2 3 10 5 7" xfId="25429" xr:uid="{00000000-0005-0000-0000-000037630000}"/>
    <cellStyle name="Normal 2 3 10 5 8" xfId="25430" xr:uid="{00000000-0005-0000-0000-000038630000}"/>
    <cellStyle name="Normal 2 3 10 5 9" xfId="25431" xr:uid="{00000000-0005-0000-0000-000039630000}"/>
    <cellStyle name="Normal 2 3 10 6" xfId="25432" xr:uid="{00000000-0005-0000-0000-00003A630000}"/>
    <cellStyle name="Normal 2 3 10 7" xfId="25433" xr:uid="{00000000-0005-0000-0000-00003B630000}"/>
    <cellStyle name="Normal 2 3 10 8" xfId="25434" xr:uid="{00000000-0005-0000-0000-00003C630000}"/>
    <cellStyle name="Normal 2 3 10 9" xfId="25435" xr:uid="{00000000-0005-0000-0000-00003D630000}"/>
    <cellStyle name="Normal 2 3 11" xfId="25436" xr:uid="{00000000-0005-0000-0000-00003E630000}"/>
    <cellStyle name="Normal 2 3 11 10" xfId="25437" xr:uid="{00000000-0005-0000-0000-00003F630000}"/>
    <cellStyle name="Normal 2 3 11 11" xfId="25438" xr:uid="{00000000-0005-0000-0000-000040630000}"/>
    <cellStyle name="Normal 2 3 11 12" xfId="25439" xr:uid="{00000000-0005-0000-0000-000041630000}"/>
    <cellStyle name="Normal 2 3 11 13" xfId="25440" xr:uid="{00000000-0005-0000-0000-000042630000}"/>
    <cellStyle name="Normal 2 3 11 14" xfId="25441" xr:uid="{00000000-0005-0000-0000-000043630000}"/>
    <cellStyle name="Normal 2 3 11 2" xfId="25442" xr:uid="{00000000-0005-0000-0000-000044630000}"/>
    <cellStyle name="Normal 2 3 11 2 10" xfId="25443" xr:uid="{00000000-0005-0000-0000-000045630000}"/>
    <cellStyle name="Normal 2 3 11 2 2" xfId="25444" xr:uid="{00000000-0005-0000-0000-000046630000}"/>
    <cellStyle name="Normal 2 3 11 2 3" xfId="25445" xr:uid="{00000000-0005-0000-0000-000047630000}"/>
    <cellStyle name="Normal 2 3 11 2 4" xfId="25446" xr:uid="{00000000-0005-0000-0000-000048630000}"/>
    <cellStyle name="Normal 2 3 11 2 5" xfId="25447" xr:uid="{00000000-0005-0000-0000-000049630000}"/>
    <cellStyle name="Normal 2 3 11 2 6" xfId="25448" xr:uid="{00000000-0005-0000-0000-00004A630000}"/>
    <cellStyle name="Normal 2 3 11 2 7" xfId="25449" xr:uid="{00000000-0005-0000-0000-00004B630000}"/>
    <cellStyle name="Normal 2 3 11 2 8" xfId="25450" xr:uid="{00000000-0005-0000-0000-00004C630000}"/>
    <cellStyle name="Normal 2 3 11 2 9" xfId="25451" xr:uid="{00000000-0005-0000-0000-00004D630000}"/>
    <cellStyle name="Normal 2 3 11 3" xfId="25452" xr:uid="{00000000-0005-0000-0000-00004E630000}"/>
    <cellStyle name="Normal 2 3 11 3 10" xfId="25453" xr:uid="{00000000-0005-0000-0000-00004F630000}"/>
    <cellStyle name="Normal 2 3 11 3 2" xfId="25454" xr:uid="{00000000-0005-0000-0000-000050630000}"/>
    <cellStyle name="Normal 2 3 11 3 3" xfId="25455" xr:uid="{00000000-0005-0000-0000-000051630000}"/>
    <cellStyle name="Normal 2 3 11 3 4" xfId="25456" xr:uid="{00000000-0005-0000-0000-000052630000}"/>
    <cellStyle name="Normal 2 3 11 3 5" xfId="25457" xr:uid="{00000000-0005-0000-0000-000053630000}"/>
    <cellStyle name="Normal 2 3 11 3 6" xfId="25458" xr:uid="{00000000-0005-0000-0000-000054630000}"/>
    <cellStyle name="Normal 2 3 11 3 7" xfId="25459" xr:uid="{00000000-0005-0000-0000-000055630000}"/>
    <cellStyle name="Normal 2 3 11 3 8" xfId="25460" xr:uid="{00000000-0005-0000-0000-000056630000}"/>
    <cellStyle name="Normal 2 3 11 3 9" xfId="25461" xr:uid="{00000000-0005-0000-0000-000057630000}"/>
    <cellStyle name="Normal 2 3 11 4" xfId="25462" xr:uid="{00000000-0005-0000-0000-000058630000}"/>
    <cellStyle name="Normal 2 3 11 4 10" xfId="25463" xr:uid="{00000000-0005-0000-0000-000059630000}"/>
    <cellStyle name="Normal 2 3 11 4 2" xfId="25464" xr:uid="{00000000-0005-0000-0000-00005A630000}"/>
    <cellStyle name="Normal 2 3 11 4 3" xfId="25465" xr:uid="{00000000-0005-0000-0000-00005B630000}"/>
    <cellStyle name="Normal 2 3 11 4 4" xfId="25466" xr:uid="{00000000-0005-0000-0000-00005C630000}"/>
    <cellStyle name="Normal 2 3 11 4 5" xfId="25467" xr:uid="{00000000-0005-0000-0000-00005D630000}"/>
    <cellStyle name="Normal 2 3 11 4 6" xfId="25468" xr:uid="{00000000-0005-0000-0000-00005E630000}"/>
    <cellStyle name="Normal 2 3 11 4 7" xfId="25469" xr:uid="{00000000-0005-0000-0000-00005F630000}"/>
    <cellStyle name="Normal 2 3 11 4 8" xfId="25470" xr:uid="{00000000-0005-0000-0000-000060630000}"/>
    <cellStyle name="Normal 2 3 11 4 9" xfId="25471" xr:uid="{00000000-0005-0000-0000-000061630000}"/>
    <cellStyle name="Normal 2 3 11 5" xfId="25472" xr:uid="{00000000-0005-0000-0000-000062630000}"/>
    <cellStyle name="Normal 2 3 11 5 10" xfId="25473" xr:uid="{00000000-0005-0000-0000-000063630000}"/>
    <cellStyle name="Normal 2 3 11 5 2" xfId="25474" xr:uid="{00000000-0005-0000-0000-000064630000}"/>
    <cellStyle name="Normal 2 3 11 5 3" xfId="25475" xr:uid="{00000000-0005-0000-0000-000065630000}"/>
    <cellStyle name="Normal 2 3 11 5 4" xfId="25476" xr:uid="{00000000-0005-0000-0000-000066630000}"/>
    <cellStyle name="Normal 2 3 11 5 5" xfId="25477" xr:uid="{00000000-0005-0000-0000-000067630000}"/>
    <cellStyle name="Normal 2 3 11 5 6" xfId="25478" xr:uid="{00000000-0005-0000-0000-000068630000}"/>
    <cellStyle name="Normal 2 3 11 5 7" xfId="25479" xr:uid="{00000000-0005-0000-0000-000069630000}"/>
    <cellStyle name="Normal 2 3 11 5 8" xfId="25480" xr:uid="{00000000-0005-0000-0000-00006A630000}"/>
    <cellStyle name="Normal 2 3 11 5 9" xfId="25481" xr:uid="{00000000-0005-0000-0000-00006B630000}"/>
    <cellStyle name="Normal 2 3 11 6" xfId="25482" xr:uid="{00000000-0005-0000-0000-00006C630000}"/>
    <cellStyle name="Normal 2 3 11 7" xfId="25483" xr:uid="{00000000-0005-0000-0000-00006D630000}"/>
    <cellStyle name="Normal 2 3 11 8" xfId="25484" xr:uid="{00000000-0005-0000-0000-00006E630000}"/>
    <cellStyle name="Normal 2 3 11 9" xfId="25485" xr:uid="{00000000-0005-0000-0000-00006F630000}"/>
    <cellStyle name="Normal 2 3 12" xfId="25486" xr:uid="{00000000-0005-0000-0000-000070630000}"/>
    <cellStyle name="Normal 2 3 12 10" xfId="25487" xr:uid="{00000000-0005-0000-0000-000071630000}"/>
    <cellStyle name="Normal 2 3 12 11" xfId="25488" xr:uid="{00000000-0005-0000-0000-000072630000}"/>
    <cellStyle name="Normal 2 3 12 12" xfId="25489" xr:uid="{00000000-0005-0000-0000-000073630000}"/>
    <cellStyle name="Normal 2 3 12 13" xfId="25490" xr:uid="{00000000-0005-0000-0000-000074630000}"/>
    <cellStyle name="Normal 2 3 12 14" xfId="25491" xr:uid="{00000000-0005-0000-0000-000075630000}"/>
    <cellStyle name="Normal 2 3 12 2" xfId="25492" xr:uid="{00000000-0005-0000-0000-000076630000}"/>
    <cellStyle name="Normal 2 3 12 2 10" xfId="25493" xr:uid="{00000000-0005-0000-0000-000077630000}"/>
    <cellStyle name="Normal 2 3 12 2 2" xfId="25494" xr:uid="{00000000-0005-0000-0000-000078630000}"/>
    <cellStyle name="Normal 2 3 12 2 3" xfId="25495" xr:uid="{00000000-0005-0000-0000-000079630000}"/>
    <cellStyle name="Normal 2 3 12 2 4" xfId="25496" xr:uid="{00000000-0005-0000-0000-00007A630000}"/>
    <cellStyle name="Normal 2 3 12 2 5" xfId="25497" xr:uid="{00000000-0005-0000-0000-00007B630000}"/>
    <cellStyle name="Normal 2 3 12 2 6" xfId="25498" xr:uid="{00000000-0005-0000-0000-00007C630000}"/>
    <cellStyle name="Normal 2 3 12 2 7" xfId="25499" xr:uid="{00000000-0005-0000-0000-00007D630000}"/>
    <cellStyle name="Normal 2 3 12 2 8" xfId="25500" xr:uid="{00000000-0005-0000-0000-00007E630000}"/>
    <cellStyle name="Normal 2 3 12 2 9" xfId="25501" xr:uid="{00000000-0005-0000-0000-00007F630000}"/>
    <cellStyle name="Normal 2 3 12 3" xfId="25502" xr:uid="{00000000-0005-0000-0000-000080630000}"/>
    <cellStyle name="Normal 2 3 12 3 10" xfId="25503" xr:uid="{00000000-0005-0000-0000-000081630000}"/>
    <cellStyle name="Normal 2 3 12 3 2" xfId="25504" xr:uid="{00000000-0005-0000-0000-000082630000}"/>
    <cellStyle name="Normal 2 3 12 3 3" xfId="25505" xr:uid="{00000000-0005-0000-0000-000083630000}"/>
    <cellStyle name="Normal 2 3 12 3 4" xfId="25506" xr:uid="{00000000-0005-0000-0000-000084630000}"/>
    <cellStyle name="Normal 2 3 12 3 5" xfId="25507" xr:uid="{00000000-0005-0000-0000-000085630000}"/>
    <cellStyle name="Normal 2 3 12 3 6" xfId="25508" xr:uid="{00000000-0005-0000-0000-000086630000}"/>
    <cellStyle name="Normal 2 3 12 3 7" xfId="25509" xr:uid="{00000000-0005-0000-0000-000087630000}"/>
    <cellStyle name="Normal 2 3 12 3 8" xfId="25510" xr:uid="{00000000-0005-0000-0000-000088630000}"/>
    <cellStyle name="Normal 2 3 12 3 9" xfId="25511" xr:uid="{00000000-0005-0000-0000-000089630000}"/>
    <cellStyle name="Normal 2 3 12 4" xfId="25512" xr:uid="{00000000-0005-0000-0000-00008A630000}"/>
    <cellStyle name="Normal 2 3 12 4 10" xfId="25513" xr:uid="{00000000-0005-0000-0000-00008B630000}"/>
    <cellStyle name="Normal 2 3 12 4 2" xfId="25514" xr:uid="{00000000-0005-0000-0000-00008C630000}"/>
    <cellStyle name="Normal 2 3 12 4 3" xfId="25515" xr:uid="{00000000-0005-0000-0000-00008D630000}"/>
    <cellStyle name="Normal 2 3 12 4 4" xfId="25516" xr:uid="{00000000-0005-0000-0000-00008E630000}"/>
    <cellStyle name="Normal 2 3 12 4 5" xfId="25517" xr:uid="{00000000-0005-0000-0000-00008F630000}"/>
    <cellStyle name="Normal 2 3 12 4 6" xfId="25518" xr:uid="{00000000-0005-0000-0000-000090630000}"/>
    <cellStyle name="Normal 2 3 12 4 7" xfId="25519" xr:uid="{00000000-0005-0000-0000-000091630000}"/>
    <cellStyle name="Normal 2 3 12 4 8" xfId="25520" xr:uid="{00000000-0005-0000-0000-000092630000}"/>
    <cellStyle name="Normal 2 3 12 4 9" xfId="25521" xr:uid="{00000000-0005-0000-0000-000093630000}"/>
    <cellStyle name="Normal 2 3 12 5" xfId="25522" xr:uid="{00000000-0005-0000-0000-000094630000}"/>
    <cellStyle name="Normal 2 3 12 5 10" xfId="25523" xr:uid="{00000000-0005-0000-0000-000095630000}"/>
    <cellStyle name="Normal 2 3 12 5 2" xfId="25524" xr:uid="{00000000-0005-0000-0000-000096630000}"/>
    <cellStyle name="Normal 2 3 12 5 3" xfId="25525" xr:uid="{00000000-0005-0000-0000-000097630000}"/>
    <cellStyle name="Normal 2 3 12 5 4" xfId="25526" xr:uid="{00000000-0005-0000-0000-000098630000}"/>
    <cellStyle name="Normal 2 3 12 5 5" xfId="25527" xr:uid="{00000000-0005-0000-0000-000099630000}"/>
    <cellStyle name="Normal 2 3 12 5 6" xfId="25528" xr:uid="{00000000-0005-0000-0000-00009A630000}"/>
    <cellStyle name="Normal 2 3 12 5 7" xfId="25529" xr:uid="{00000000-0005-0000-0000-00009B630000}"/>
    <cellStyle name="Normal 2 3 12 5 8" xfId="25530" xr:uid="{00000000-0005-0000-0000-00009C630000}"/>
    <cellStyle name="Normal 2 3 12 5 9" xfId="25531" xr:uid="{00000000-0005-0000-0000-00009D630000}"/>
    <cellStyle name="Normal 2 3 12 6" xfId="25532" xr:uid="{00000000-0005-0000-0000-00009E630000}"/>
    <cellStyle name="Normal 2 3 12 7" xfId="25533" xr:uid="{00000000-0005-0000-0000-00009F630000}"/>
    <cellStyle name="Normal 2 3 12 8" xfId="25534" xr:uid="{00000000-0005-0000-0000-0000A0630000}"/>
    <cellStyle name="Normal 2 3 12 9" xfId="25535" xr:uid="{00000000-0005-0000-0000-0000A1630000}"/>
    <cellStyle name="Normal 2 3 13" xfId="25536" xr:uid="{00000000-0005-0000-0000-0000A2630000}"/>
    <cellStyle name="Normal 2 3 13 10" xfId="25537" xr:uid="{00000000-0005-0000-0000-0000A3630000}"/>
    <cellStyle name="Normal 2 3 13 11" xfId="25538" xr:uid="{00000000-0005-0000-0000-0000A4630000}"/>
    <cellStyle name="Normal 2 3 13 12" xfId="25539" xr:uid="{00000000-0005-0000-0000-0000A5630000}"/>
    <cellStyle name="Normal 2 3 13 13" xfId="25540" xr:uid="{00000000-0005-0000-0000-0000A6630000}"/>
    <cellStyle name="Normal 2 3 13 14" xfId="25541" xr:uid="{00000000-0005-0000-0000-0000A7630000}"/>
    <cellStyle name="Normal 2 3 13 2" xfId="25542" xr:uid="{00000000-0005-0000-0000-0000A8630000}"/>
    <cellStyle name="Normal 2 3 13 2 10" xfId="25543" xr:uid="{00000000-0005-0000-0000-0000A9630000}"/>
    <cellStyle name="Normal 2 3 13 2 2" xfId="25544" xr:uid="{00000000-0005-0000-0000-0000AA630000}"/>
    <cellStyle name="Normal 2 3 13 2 3" xfId="25545" xr:uid="{00000000-0005-0000-0000-0000AB630000}"/>
    <cellStyle name="Normal 2 3 13 2 4" xfId="25546" xr:uid="{00000000-0005-0000-0000-0000AC630000}"/>
    <cellStyle name="Normal 2 3 13 2 5" xfId="25547" xr:uid="{00000000-0005-0000-0000-0000AD630000}"/>
    <cellStyle name="Normal 2 3 13 2 6" xfId="25548" xr:uid="{00000000-0005-0000-0000-0000AE630000}"/>
    <cellStyle name="Normal 2 3 13 2 7" xfId="25549" xr:uid="{00000000-0005-0000-0000-0000AF630000}"/>
    <cellStyle name="Normal 2 3 13 2 8" xfId="25550" xr:uid="{00000000-0005-0000-0000-0000B0630000}"/>
    <cellStyle name="Normal 2 3 13 2 9" xfId="25551" xr:uid="{00000000-0005-0000-0000-0000B1630000}"/>
    <cellStyle name="Normal 2 3 13 3" xfId="25552" xr:uid="{00000000-0005-0000-0000-0000B2630000}"/>
    <cellStyle name="Normal 2 3 13 3 10" xfId="25553" xr:uid="{00000000-0005-0000-0000-0000B3630000}"/>
    <cellStyle name="Normal 2 3 13 3 2" xfId="25554" xr:uid="{00000000-0005-0000-0000-0000B4630000}"/>
    <cellStyle name="Normal 2 3 13 3 3" xfId="25555" xr:uid="{00000000-0005-0000-0000-0000B5630000}"/>
    <cellStyle name="Normal 2 3 13 3 4" xfId="25556" xr:uid="{00000000-0005-0000-0000-0000B6630000}"/>
    <cellStyle name="Normal 2 3 13 3 5" xfId="25557" xr:uid="{00000000-0005-0000-0000-0000B7630000}"/>
    <cellStyle name="Normal 2 3 13 3 6" xfId="25558" xr:uid="{00000000-0005-0000-0000-0000B8630000}"/>
    <cellStyle name="Normal 2 3 13 3 7" xfId="25559" xr:uid="{00000000-0005-0000-0000-0000B9630000}"/>
    <cellStyle name="Normal 2 3 13 3 8" xfId="25560" xr:uid="{00000000-0005-0000-0000-0000BA630000}"/>
    <cellStyle name="Normal 2 3 13 3 9" xfId="25561" xr:uid="{00000000-0005-0000-0000-0000BB630000}"/>
    <cellStyle name="Normal 2 3 13 4" xfId="25562" xr:uid="{00000000-0005-0000-0000-0000BC630000}"/>
    <cellStyle name="Normal 2 3 13 4 10" xfId="25563" xr:uid="{00000000-0005-0000-0000-0000BD630000}"/>
    <cellStyle name="Normal 2 3 13 4 2" xfId="25564" xr:uid="{00000000-0005-0000-0000-0000BE630000}"/>
    <cellStyle name="Normal 2 3 13 4 3" xfId="25565" xr:uid="{00000000-0005-0000-0000-0000BF630000}"/>
    <cellStyle name="Normal 2 3 13 4 4" xfId="25566" xr:uid="{00000000-0005-0000-0000-0000C0630000}"/>
    <cellStyle name="Normal 2 3 13 4 5" xfId="25567" xr:uid="{00000000-0005-0000-0000-0000C1630000}"/>
    <cellStyle name="Normal 2 3 13 4 6" xfId="25568" xr:uid="{00000000-0005-0000-0000-0000C2630000}"/>
    <cellStyle name="Normal 2 3 13 4 7" xfId="25569" xr:uid="{00000000-0005-0000-0000-0000C3630000}"/>
    <cellStyle name="Normal 2 3 13 4 8" xfId="25570" xr:uid="{00000000-0005-0000-0000-0000C4630000}"/>
    <cellStyle name="Normal 2 3 13 4 9" xfId="25571" xr:uid="{00000000-0005-0000-0000-0000C5630000}"/>
    <cellStyle name="Normal 2 3 13 5" xfId="25572" xr:uid="{00000000-0005-0000-0000-0000C6630000}"/>
    <cellStyle name="Normal 2 3 13 5 10" xfId="25573" xr:uid="{00000000-0005-0000-0000-0000C7630000}"/>
    <cellStyle name="Normal 2 3 13 5 2" xfId="25574" xr:uid="{00000000-0005-0000-0000-0000C8630000}"/>
    <cellStyle name="Normal 2 3 13 5 3" xfId="25575" xr:uid="{00000000-0005-0000-0000-0000C9630000}"/>
    <cellStyle name="Normal 2 3 13 5 4" xfId="25576" xr:uid="{00000000-0005-0000-0000-0000CA630000}"/>
    <cellStyle name="Normal 2 3 13 5 5" xfId="25577" xr:uid="{00000000-0005-0000-0000-0000CB630000}"/>
    <cellStyle name="Normal 2 3 13 5 6" xfId="25578" xr:uid="{00000000-0005-0000-0000-0000CC630000}"/>
    <cellStyle name="Normal 2 3 13 5 7" xfId="25579" xr:uid="{00000000-0005-0000-0000-0000CD630000}"/>
    <cellStyle name="Normal 2 3 13 5 8" xfId="25580" xr:uid="{00000000-0005-0000-0000-0000CE630000}"/>
    <cellStyle name="Normal 2 3 13 5 9" xfId="25581" xr:uid="{00000000-0005-0000-0000-0000CF630000}"/>
    <cellStyle name="Normal 2 3 13 6" xfId="25582" xr:uid="{00000000-0005-0000-0000-0000D0630000}"/>
    <cellStyle name="Normal 2 3 13 7" xfId="25583" xr:uid="{00000000-0005-0000-0000-0000D1630000}"/>
    <cellStyle name="Normal 2 3 13 8" xfId="25584" xr:uid="{00000000-0005-0000-0000-0000D2630000}"/>
    <cellStyle name="Normal 2 3 13 9" xfId="25585" xr:uid="{00000000-0005-0000-0000-0000D3630000}"/>
    <cellStyle name="Normal 2 3 14" xfId="25586" xr:uid="{00000000-0005-0000-0000-0000D4630000}"/>
    <cellStyle name="Normal 2 3 14 10" xfId="25587" xr:uid="{00000000-0005-0000-0000-0000D5630000}"/>
    <cellStyle name="Normal 2 3 14 11" xfId="25588" xr:uid="{00000000-0005-0000-0000-0000D6630000}"/>
    <cellStyle name="Normal 2 3 14 12" xfId="25589" xr:uid="{00000000-0005-0000-0000-0000D7630000}"/>
    <cellStyle name="Normal 2 3 14 13" xfId="25590" xr:uid="{00000000-0005-0000-0000-0000D8630000}"/>
    <cellStyle name="Normal 2 3 14 14" xfId="25591" xr:uid="{00000000-0005-0000-0000-0000D9630000}"/>
    <cellStyle name="Normal 2 3 14 2" xfId="25592" xr:uid="{00000000-0005-0000-0000-0000DA630000}"/>
    <cellStyle name="Normal 2 3 14 2 10" xfId="25593" xr:uid="{00000000-0005-0000-0000-0000DB630000}"/>
    <cellStyle name="Normal 2 3 14 2 2" xfId="25594" xr:uid="{00000000-0005-0000-0000-0000DC630000}"/>
    <cellStyle name="Normal 2 3 14 2 3" xfId="25595" xr:uid="{00000000-0005-0000-0000-0000DD630000}"/>
    <cellStyle name="Normal 2 3 14 2 4" xfId="25596" xr:uid="{00000000-0005-0000-0000-0000DE630000}"/>
    <cellStyle name="Normal 2 3 14 2 5" xfId="25597" xr:uid="{00000000-0005-0000-0000-0000DF630000}"/>
    <cellStyle name="Normal 2 3 14 2 6" xfId="25598" xr:uid="{00000000-0005-0000-0000-0000E0630000}"/>
    <cellStyle name="Normal 2 3 14 2 7" xfId="25599" xr:uid="{00000000-0005-0000-0000-0000E1630000}"/>
    <cellStyle name="Normal 2 3 14 2 8" xfId="25600" xr:uid="{00000000-0005-0000-0000-0000E2630000}"/>
    <cellStyle name="Normal 2 3 14 2 9" xfId="25601" xr:uid="{00000000-0005-0000-0000-0000E3630000}"/>
    <cellStyle name="Normal 2 3 14 3" xfId="25602" xr:uid="{00000000-0005-0000-0000-0000E4630000}"/>
    <cellStyle name="Normal 2 3 14 3 10" xfId="25603" xr:uid="{00000000-0005-0000-0000-0000E5630000}"/>
    <cellStyle name="Normal 2 3 14 3 2" xfId="25604" xr:uid="{00000000-0005-0000-0000-0000E6630000}"/>
    <cellStyle name="Normal 2 3 14 3 3" xfId="25605" xr:uid="{00000000-0005-0000-0000-0000E7630000}"/>
    <cellStyle name="Normal 2 3 14 3 4" xfId="25606" xr:uid="{00000000-0005-0000-0000-0000E8630000}"/>
    <cellStyle name="Normal 2 3 14 3 5" xfId="25607" xr:uid="{00000000-0005-0000-0000-0000E9630000}"/>
    <cellStyle name="Normal 2 3 14 3 6" xfId="25608" xr:uid="{00000000-0005-0000-0000-0000EA630000}"/>
    <cellStyle name="Normal 2 3 14 3 7" xfId="25609" xr:uid="{00000000-0005-0000-0000-0000EB630000}"/>
    <cellStyle name="Normal 2 3 14 3 8" xfId="25610" xr:uid="{00000000-0005-0000-0000-0000EC630000}"/>
    <cellStyle name="Normal 2 3 14 3 9" xfId="25611" xr:uid="{00000000-0005-0000-0000-0000ED630000}"/>
    <cellStyle name="Normal 2 3 14 4" xfId="25612" xr:uid="{00000000-0005-0000-0000-0000EE630000}"/>
    <cellStyle name="Normal 2 3 14 4 10" xfId="25613" xr:uid="{00000000-0005-0000-0000-0000EF630000}"/>
    <cellStyle name="Normal 2 3 14 4 2" xfId="25614" xr:uid="{00000000-0005-0000-0000-0000F0630000}"/>
    <cellStyle name="Normal 2 3 14 4 3" xfId="25615" xr:uid="{00000000-0005-0000-0000-0000F1630000}"/>
    <cellStyle name="Normal 2 3 14 4 4" xfId="25616" xr:uid="{00000000-0005-0000-0000-0000F2630000}"/>
    <cellStyle name="Normal 2 3 14 4 5" xfId="25617" xr:uid="{00000000-0005-0000-0000-0000F3630000}"/>
    <cellStyle name="Normal 2 3 14 4 6" xfId="25618" xr:uid="{00000000-0005-0000-0000-0000F4630000}"/>
    <cellStyle name="Normal 2 3 14 4 7" xfId="25619" xr:uid="{00000000-0005-0000-0000-0000F5630000}"/>
    <cellStyle name="Normal 2 3 14 4 8" xfId="25620" xr:uid="{00000000-0005-0000-0000-0000F6630000}"/>
    <cellStyle name="Normal 2 3 14 4 9" xfId="25621" xr:uid="{00000000-0005-0000-0000-0000F7630000}"/>
    <cellStyle name="Normal 2 3 14 5" xfId="25622" xr:uid="{00000000-0005-0000-0000-0000F8630000}"/>
    <cellStyle name="Normal 2 3 14 5 10" xfId="25623" xr:uid="{00000000-0005-0000-0000-0000F9630000}"/>
    <cellStyle name="Normal 2 3 14 5 2" xfId="25624" xr:uid="{00000000-0005-0000-0000-0000FA630000}"/>
    <cellStyle name="Normal 2 3 14 5 3" xfId="25625" xr:uid="{00000000-0005-0000-0000-0000FB630000}"/>
    <cellStyle name="Normal 2 3 14 5 4" xfId="25626" xr:uid="{00000000-0005-0000-0000-0000FC630000}"/>
    <cellStyle name="Normal 2 3 14 5 5" xfId="25627" xr:uid="{00000000-0005-0000-0000-0000FD630000}"/>
    <cellStyle name="Normal 2 3 14 5 6" xfId="25628" xr:uid="{00000000-0005-0000-0000-0000FE630000}"/>
    <cellStyle name="Normal 2 3 14 5 7" xfId="25629" xr:uid="{00000000-0005-0000-0000-0000FF630000}"/>
    <cellStyle name="Normal 2 3 14 5 8" xfId="25630" xr:uid="{00000000-0005-0000-0000-000000640000}"/>
    <cellStyle name="Normal 2 3 14 5 9" xfId="25631" xr:uid="{00000000-0005-0000-0000-000001640000}"/>
    <cellStyle name="Normal 2 3 14 6" xfId="25632" xr:uid="{00000000-0005-0000-0000-000002640000}"/>
    <cellStyle name="Normal 2 3 14 7" xfId="25633" xr:uid="{00000000-0005-0000-0000-000003640000}"/>
    <cellStyle name="Normal 2 3 14 8" xfId="25634" xr:uid="{00000000-0005-0000-0000-000004640000}"/>
    <cellStyle name="Normal 2 3 14 9" xfId="25635" xr:uid="{00000000-0005-0000-0000-000005640000}"/>
    <cellStyle name="Normal 2 3 15" xfId="25636" xr:uid="{00000000-0005-0000-0000-000006640000}"/>
    <cellStyle name="Normal 2 3 15 10" xfId="25637" xr:uid="{00000000-0005-0000-0000-000007640000}"/>
    <cellStyle name="Normal 2 3 15 11" xfId="25638" xr:uid="{00000000-0005-0000-0000-000008640000}"/>
    <cellStyle name="Normal 2 3 15 12" xfId="25639" xr:uid="{00000000-0005-0000-0000-000009640000}"/>
    <cellStyle name="Normal 2 3 15 13" xfId="25640" xr:uid="{00000000-0005-0000-0000-00000A640000}"/>
    <cellStyle name="Normal 2 3 15 14" xfId="25641" xr:uid="{00000000-0005-0000-0000-00000B640000}"/>
    <cellStyle name="Normal 2 3 15 2" xfId="25642" xr:uid="{00000000-0005-0000-0000-00000C640000}"/>
    <cellStyle name="Normal 2 3 15 2 10" xfId="25643" xr:uid="{00000000-0005-0000-0000-00000D640000}"/>
    <cellStyle name="Normal 2 3 15 2 2" xfId="25644" xr:uid="{00000000-0005-0000-0000-00000E640000}"/>
    <cellStyle name="Normal 2 3 15 2 3" xfId="25645" xr:uid="{00000000-0005-0000-0000-00000F640000}"/>
    <cellStyle name="Normal 2 3 15 2 4" xfId="25646" xr:uid="{00000000-0005-0000-0000-000010640000}"/>
    <cellStyle name="Normal 2 3 15 2 5" xfId="25647" xr:uid="{00000000-0005-0000-0000-000011640000}"/>
    <cellStyle name="Normal 2 3 15 2 6" xfId="25648" xr:uid="{00000000-0005-0000-0000-000012640000}"/>
    <cellStyle name="Normal 2 3 15 2 7" xfId="25649" xr:uid="{00000000-0005-0000-0000-000013640000}"/>
    <cellStyle name="Normal 2 3 15 2 8" xfId="25650" xr:uid="{00000000-0005-0000-0000-000014640000}"/>
    <cellStyle name="Normal 2 3 15 2 9" xfId="25651" xr:uid="{00000000-0005-0000-0000-000015640000}"/>
    <cellStyle name="Normal 2 3 15 3" xfId="25652" xr:uid="{00000000-0005-0000-0000-000016640000}"/>
    <cellStyle name="Normal 2 3 15 3 10" xfId="25653" xr:uid="{00000000-0005-0000-0000-000017640000}"/>
    <cellStyle name="Normal 2 3 15 3 2" xfId="25654" xr:uid="{00000000-0005-0000-0000-000018640000}"/>
    <cellStyle name="Normal 2 3 15 3 3" xfId="25655" xr:uid="{00000000-0005-0000-0000-000019640000}"/>
    <cellStyle name="Normal 2 3 15 3 4" xfId="25656" xr:uid="{00000000-0005-0000-0000-00001A640000}"/>
    <cellStyle name="Normal 2 3 15 3 5" xfId="25657" xr:uid="{00000000-0005-0000-0000-00001B640000}"/>
    <cellStyle name="Normal 2 3 15 3 6" xfId="25658" xr:uid="{00000000-0005-0000-0000-00001C640000}"/>
    <cellStyle name="Normal 2 3 15 3 7" xfId="25659" xr:uid="{00000000-0005-0000-0000-00001D640000}"/>
    <cellStyle name="Normal 2 3 15 3 8" xfId="25660" xr:uid="{00000000-0005-0000-0000-00001E640000}"/>
    <cellStyle name="Normal 2 3 15 3 9" xfId="25661" xr:uid="{00000000-0005-0000-0000-00001F640000}"/>
    <cellStyle name="Normal 2 3 15 4" xfId="25662" xr:uid="{00000000-0005-0000-0000-000020640000}"/>
    <cellStyle name="Normal 2 3 15 4 10" xfId="25663" xr:uid="{00000000-0005-0000-0000-000021640000}"/>
    <cellStyle name="Normal 2 3 15 4 2" xfId="25664" xr:uid="{00000000-0005-0000-0000-000022640000}"/>
    <cellStyle name="Normal 2 3 15 4 3" xfId="25665" xr:uid="{00000000-0005-0000-0000-000023640000}"/>
    <cellStyle name="Normal 2 3 15 4 4" xfId="25666" xr:uid="{00000000-0005-0000-0000-000024640000}"/>
    <cellStyle name="Normal 2 3 15 4 5" xfId="25667" xr:uid="{00000000-0005-0000-0000-000025640000}"/>
    <cellStyle name="Normal 2 3 15 4 6" xfId="25668" xr:uid="{00000000-0005-0000-0000-000026640000}"/>
    <cellStyle name="Normal 2 3 15 4 7" xfId="25669" xr:uid="{00000000-0005-0000-0000-000027640000}"/>
    <cellStyle name="Normal 2 3 15 4 8" xfId="25670" xr:uid="{00000000-0005-0000-0000-000028640000}"/>
    <cellStyle name="Normal 2 3 15 4 9" xfId="25671" xr:uid="{00000000-0005-0000-0000-000029640000}"/>
    <cellStyle name="Normal 2 3 15 5" xfId="25672" xr:uid="{00000000-0005-0000-0000-00002A640000}"/>
    <cellStyle name="Normal 2 3 15 5 10" xfId="25673" xr:uid="{00000000-0005-0000-0000-00002B640000}"/>
    <cellStyle name="Normal 2 3 15 5 2" xfId="25674" xr:uid="{00000000-0005-0000-0000-00002C640000}"/>
    <cellStyle name="Normal 2 3 15 5 3" xfId="25675" xr:uid="{00000000-0005-0000-0000-00002D640000}"/>
    <cellStyle name="Normal 2 3 15 5 4" xfId="25676" xr:uid="{00000000-0005-0000-0000-00002E640000}"/>
    <cellStyle name="Normal 2 3 15 5 5" xfId="25677" xr:uid="{00000000-0005-0000-0000-00002F640000}"/>
    <cellStyle name="Normal 2 3 15 5 6" xfId="25678" xr:uid="{00000000-0005-0000-0000-000030640000}"/>
    <cellStyle name="Normal 2 3 15 5 7" xfId="25679" xr:uid="{00000000-0005-0000-0000-000031640000}"/>
    <cellStyle name="Normal 2 3 15 5 8" xfId="25680" xr:uid="{00000000-0005-0000-0000-000032640000}"/>
    <cellStyle name="Normal 2 3 15 5 9" xfId="25681" xr:uid="{00000000-0005-0000-0000-000033640000}"/>
    <cellStyle name="Normal 2 3 15 6" xfId="25682" xr:uid="{00000000-0005-0000-0000-000034640000}"/>
    <cellStyle name="Normal 2 3 15 7" xfId="25683" xr:uid="{00000000-0005-0000-0000-000035640000}"/>
    <cellStyle name="Normal 2 3 15 8" xfId="25684" xr:uid="{00000000-0005-0000-0000-000036640000}"/>
    <cellStyle name="Normal 2 3 15 9" xfId="25685" xr:uid="{00000000-0005-0000-0000-000037640000}"/>
    <cellStyle name="Normal 2 3 16" xfId="25686" xr:uid="{00000000-0005-0000-0000-000038640000}"/>
    <cellStyle name="Normal 2 3 16 10" xfId="25687" xr:uid="{00000000-0005-0000-0000-000039640000}"/>
    <cellStyle name="Normal 2 3 16 11" xfId="25688" xr:uid="{00000000-0005-0000-0000-00003A640000}"/>
    <cellStyle name="Normal 2 3 16 12" xfId="25689" xr:uid="{00000000-0005-0000-0000-00003B640000}"/>
    <cellStyle name="Normal 2 3 16 13" xfId="25690" xr:uid="{00000000-0005-0000-0000-00003C640000}"/>
    <cellStyle name="Normal 2 3 16 14" xfId="25691" xr:uid="{00000000-0005-0000-0000-00003D640000}"/>
    <cellStyle name="Normal 2 3 16 2" xfId="25692" xr:uid="{00000000-0005-0000-0000-00003E640000}"/>
    <cellStyle name="Normal 2 3 16 2 10" xfId="25693" xr:uid="{00000000-0005-0000-0000-00003F640000}"/>
    <cellStyle name="Normal 2 3 16 2 2" xfId="25694" xr:uid="{00000000-0005-0000-0000-000040640000}"/>
    <cellStyle name="Normal 2 3 16 2 3" xfId="25695" xr:uid="{00000000-0005-0000-0000-000041640000}"/>
    <cellStyle name="Normal 2 3 16 2 4" xfId="25696" xr:uid="{00000000-0005-0000-0000-000042640000}"/>
    <cellStyle name="Normal 2 3 16 2 5" xfId="25697" xr:uid="{00000000-0005-0000-0000-000043640000}"/>
    <cellStyle name="Normal 2 3 16 2 6" xfId="25698" xr:uid="{00000000-0005-0000-0000-000044640000}"/>
    <cellStyle name="Normal 2 3 16 2 7" xfId="25699" xr:uid="{00000000-0005-0000-0000-000045640000}"/>
    <cellStyle name="Normal 2 3 16 2 8" xfId="25700" xr:uid="{00000000-0005-0000-0000-000046640000}"/>
    <cellStyle name="Normal 2 3 16 2 9" xfId="25701" xr:uid="{00000000-0005-0000-0000-000047640000}"/>
    <cellStyle name="Normal 2 3 16 3" xfId="25702" xr:uid="{00000000-0005-0000-0000-000048640000}"/>
    <cellStyle name="Normal 2 3 16 3 10" xfId="25703" xr:uid="{00000000-0005-0000-0000-000049640000}"/>
    <cellStyle name="Normal 2 3 16 3 2" xfId="25704" xr:uid="{00000000-0005-0000-0000-00004A640000}"/>
    <cellStyle name="Normal 2 3 16 3 3" xfId="25705" xr:uid="{00000000-0005-0000-0000-00004B640000}"/>
    <cellStyle name="Normal 2 3 16 3 4" xfId="25706" xr:uid="{00000000-0005-0000-0000-00004C640000}"/>
    <cellStyle name="Normal 2 3 16 3 5" xfId="25707" xr:uid="{00000000-0005-0000-0000-00004D640000}"/>
    <cellStyle name="Normal 2 3 16 3 6" xfId="25708" xr:uid="{00000000-0005-0000-0000-00004E640000}"/>
    <cellStyle name="Normal 2 3 16 3 7" xfId="25709" xr:uid="{00000000-0005-0000-0000-00004F640000}"/>
    <cellStyle name="Normal 2 3 16 3 8" xfId="25710" xr:uid="{00000000-0005-0000-0000-000050640000}"/>
    <cellStyle name="Normal 2 3 16 3 9" xfId="25711" xr:uid="{00000000-0005-0000-0000-000051640000}"/>
    <cellStyle name="Normal 2 3 16 4" xfId="25712" xr:uid="{00000000-0005-0000-0000-000052640000}"/>
    <cellStyle name="Normal 2 3 16 4 10" xfId="25713" xr:uid="{00000000-0005-0000-0000-000053640000}"/>
    <cellStyle name="Normal 2 3 16 4 2" xfId="25714" xr:uid="{00000000-0005-0000-0000-000054640000}"/>
    <cellStyle name="Normal 2 3 16 4 3" xfId="25715" xr:uid="{00000000-0005-0000-0000-000055640000}"/>
    <cellStyle name="Normal 2 3 16 4 4" xfId="25716" xr:uid="{00000000-0005-0000-0000-000056640000}"/>
    <cellStyle name="Normal 2 3 16 4 5" xfId="25717" xr:uid="{00000000-0005-0000-0000-000057640000}"/>
    <cellStyle name="Normal 2 3 16 4 6" xfId="25718" xr:uid="{00000000-0005-0000-0000-000058640000}"/>
    <cellStyle name="Normal 2 3 16 4 7" xfId="25719" xr:uid="{00000000-0005-0000-0000-000059640000}"/>
    <cellStyle name="Normal 2 3 16 4 8" xfId="25720" xr:uid="{00000000-0005-0000-0000-00005A640000}"/>
    <cellStyle name="Normal 2 3 16 4 9" xfId="25721" xr:uid="{00000000-0005-0000-0000-00005B640000}"/>
    <cellStyle name="Normal 2 3 16 5" xfId="25722" xr:uid="{00000000-0005-0000-0000-00005C640000}"/>
    <cellStyle name="Normal 2 3 16 5 10" xfId="25723" xr:uid="{00000000-0005-0000-0000-00005D640000}"/>
    <cellStyle name="Normal 2 3 16 5 2" xfId="25724" xr:uid="{00000000-0005-0000-0000-00005E640000}"/>
    <cellStyle name="Normal 2 3 16 5 3" xfId="25725" xr:uid="{00000000-0005-0000-0000-00005F640000}"/>
    <cellStyle name="Normal 2 3 16 5 4" xfId="25726" xr:uid="{00000000-0005-0000-0000-000060640000}"/>
    <cellStyle name="Normal 2 3 16 5 5" xfId="25727" xr:uid="{00000000-0005-0000-0000-000061640000}"/>
    <cellStyle name="Normal 2 3 16 5 6" xfId="25728" xr:uid="{00000000-0005-0000-0000-000062640000}"/>
    <cellStyle name="Normal 2 3 16 5 7" xfId="25729" xr:uid="{00000000-0005-0000-0000-000063640000}"/>
    <cellStyle name="Normal 2 3 16 5 8" xfId="25730" xr:uid="{00000000-0005-0000-0000-000064640000}"/>
    <cellStyle name="Normal 2 3 16 5 9" xfId="25731" xr:uid="{00000000-0005-0000-0000-000065640000}"/>
    <cellStyle name="Normal 2 3 16 6" xfId="25732" xr:uid="{00000000-0005-0000-0000-000066640000}"/>
    <cellStyle name="Normal 2 3 16 7" xfId="25733" xr:uid="{00000000-0005-0000-0000-000067640000}"/>
    <cellStyle name="Normal 2 3 16 8" xfId="25734" xr:uid="{00000000-0005-0000-0000-000068640000}"/>
    <cellStyle name="Normal 2 3 16 9" xfId="25735" xr:uid="{00000000-0005-0000-0000-000069640000}"/>
    <cellStyle name="Normal 2 3 17" xfId="25736" xr:uid="{00000000-0005-0000-0000-00006A640000}"/>
    <cellStyle name="Normal 2 3 17 10" xfId="25737" xr:uid="{00000000-0005-0000-0000-00006B640000}"/>
    <cellStyle name="Normal 2 3 17 11" xfId="25738" xr:uid="{00000000-0005-0000-0000-00006C640000}"/>
    <cellStyle name="Normal 2 3 17 12" xfId="25739" xr:uid="{00000000-0005-0000-0000-00006D640000}"/>
    <cellStyle name="Normal 2 3 17 13" xfId="25740" xr:uid="{00000000-0005-0000-0000-00006E640000}"/>
    <cellStyle name="Normal 2 3 17 14" xfId="25741" xr:uid="{00000000-0005-0000-0000-00006F640000}"/>
    <cellStyle name="Normal 2 3 17 2" xfId="25742" xr:uid="{00000000-0005-0000-0000-000070640000}"/>
    <cellStyle name="Normal 2 3 17 2 10" xfId="25743" xr:uid="{00000000-0005-0000-0000-000071640000}"/>
    <cellStyle name="Normal 2 3 17 2 2" xfId="25744" xr:uid="{00000000-0005-0000-0000-000072640000}"/>
    <cellStyle name="Normal 2 3 17 2 3" xfId="25745" xr:uid="{00000000-0005-0000-0000-000073640000}"/>
    <cellStyle name="Normal 2 3 17 2 4" xfId="25746" xr:uid="{00000000-0005-0000-0000-000074640000}"/>
    <cellStyle name="Normal 2 3 17 2 5" xfId="25747" xr:uid="{00000000-0005-0000-0000-000075640000}"/>
    <cellStyle name="Normal 2 3 17 2 6" xfId="25748" xr:uid="{00000000-0005-0000-0000-000076640000}"/>
    <cellStyle name="Normal 2 3 17 2 7" xfId="25749" xr:uid="{00000000-0005-0000-0000-000077640000}"/>
    <cellStyle name="Normal 2 3 17 2 8" xfId="25750" xr:uid="{00000000-0005-0000-0000-000078640000}"/>
    <cellStyle name="Normal 2 3 17 2 9" xfId="25751" xr:uid="{00000000-0005-0000-0000-000079640000}"/>
    <cellStyle name="Normal 2 3 17 3" xfId="25752" xr:uid="{00000000-0005-0000-0000-00007A640000}"/>
    <cellStyle name="Normal 2 3 17 3 10" xfId="25753" xr:uid="{00000000-0005-0000-0000-00007B640000}"/>
    <cellStyle name="Normal 2 3 17 3 2" xfId="25754" xr:uid="{00000000-0005-0000-0000-00007C640000}"/>
    <cellStyle name="Normal 2 3 17 3 3" xfId="25755" xr:uid="{00000000-0005-0000-0000-00007D640000}"/>
    <cellStyle name="Normal 2 3 17 3 4" xfId="25756" xr:uid="{00000000-0005-0000-0000-00007E640000}"/>
    <cellStyle name="Normal 2 3 17 3 5" xfId="25757" xr:uid="{00000000-0005-0000-0000-00007F640000}"/>
    <cellStyle name="Normal 2 3 17 3 6" xfId="25758" xr:uid="{00000000-0005-0000-0000-000080640000}"/>
    <cellStyle name="Normal 2 3 17 3 7" xfId="25759" xr:uid="{00000000-0005-0000-0000-000081640000}"/>
    <cellStyle name="Normal 2 3 17 3 8" xfId="25760" xr:uid="{00000000-0005-0000-0000-000082640000}"/>
    <cellStyle name="Normal 2 3 17 3 9" xfId="25761" xr:uid="{00000000-0005-0000-0000-000083640000}"/>
    <cellStyle name="Normal 2 3 17 4" xfId="25762" xr:uid="{00000000-0005-0000-0000-000084640000}"/>
    <cellStyle name="Normal 2 3 17 4 10" xfId="25763" xr:uid="{00000000-0005-0000-0000-000085640000}"/>
    <cellStyle name="Normal 2 3 17 4 2" xfId="25764" xr:uid="{00000000-0005-0000-0000-000086640000}"/>
    <cellStyle name="Normal 2 3 17 4 3" xfId="25765" xr:uid="{00000000-0005-0000-0000-000087640000}"/>
    <cellStyle name="Normal 2 3 17 4 4" xfId="25766" xr:uid="{00000000-0005-0000-0000-000088640000}"/>
    <cellStyle name="Normal 2 3 17 4 5" xfId="25767" xr:uid="{00000000-0005-0000-0000-000089640000}"/>
    <cellStyle name="Normal 2 3 17 4 6" xfId="25768" xr:uid="{00000000-0005-0000-0000-00008A640000}"/>
    <cellStyle name="Normal 2 3 17 4 7" xfId="25769" xr:uid="{00000000-0005-0000-0000-00008B640000}"/>
    <cellStyle name="Normal 2 3 17 4 8" xfId="25770" xr:uid="{00000000-0005-0000-0000-00008C640000}"/>
    <cellStyle name="Normal 2 3 17 4 9" xfId="25771" xr:uid="{00000000-0005-0000-0000-00008D640000}"/>
    <cellStyle name="Normal 2 3 17 5" xfId="25772" xr:uid="{00000000-0005-0000-0000-00008E640000}"/>
    <cellStyle name="Normal 2 3 17 5 10" xfId="25773" xr:uid="{00000000-0005-0000-0000-00008F640000}"/>
    <cellStyle name="Normal 2 3 17 5 2" xfId="25774" xr:uid="{00000000-0005-0000-0000-000090640000}"/>
    <cellStyle name="Normal 2 3 17 5 3" xfId="25775" xr:uid="{00000000-0005-0000-0000-000091640000}"/>
    <cellStyle name="Normal 2 3 17 5 4" xfId="25776" xr:uid="{00000000-0005-0000-0000-000092640000}"/>
    <cellStyle name="Normal 2 3 17 5 5" xfId="25777" xr:uid="{00000000-0005-0000-0000-000093640000}"/>
    <cellStyle name="Normal 2 3 17 5 6" xfId="25778" xr:uid="{00000000-0005-0000-0000-000094640000}"/>
    <cellStyle name="Normal 2 3 17 5 7" xfId="25779" xr:uid="{00000000-0005-0000-0000-000095640000}"/>
    <cellStyle name="Normal 2 3 17 5 8" xfId="25780" xr:uid="{00000000-0005-0000-0000-000096640000}"/>
    <cellStyle name="Normal 2 3 17 5 9" xfId="25781" xr:uid="{00000000-0005-0000-0000-000097640000}"/>
    <cellStyle name="Normal 2 3 17 6" xfId="25782" xr:uid="{00000000-0005-0000-0000-000098640000}"/>
    <cellStyle name="Normal 2 3 17 7" xfId="25783" xr:uid="{00000000-0005-0000-0000-000099640000}"/>
    <cellStyle name="Normal 2 3 17 8" xfId="25784" xr:uid="{00000000-0005-0000-0000-00009A640000}"/>
    <cellStyle name="Normal 2 3 17 9" xfId="25785" xr:uid="{00000000-0005-0000-0000-00009B640000}"/>
    <cellStyle name="Normal 2 3 18" xfId="25786" xr:uid="{00000000-0005-0000-0000-00009C640000}"/>
    <cellStyle name="Normal 2 3 18 10" xfId="25787" xr:uid="{00000000-0005-0000-0000-00009D640000}"/>
    <cellStyle name="Normal 2 3 18 11" xfId="25788" xr:uid="{00000000-0005-0000-0000-00009E640000}"/>
    <cellStyle name="Normal 2 3 18 12" xfId="25789" xr:uid="{00000000-0005-0000-0000-00009F640000}"/>
    <cellStyle name="Normal 2 3 18 13" xfId="25790" xr:uid="{00000000-0005-0000-0000-0000A0640000}"/>
    <cellStyle name="Normal 2 3 18 14" xfId="25791" xr:uid="{00000000-0005-0000-0000-0000A1640000}"/>
    <cellStyle name="Normal 2 3 18 2" xfId="25792" xr:uid="{00000000-0005-0000-0000-0000A2640000}"/>
    <cellStyle name="Normal 2 3 18 2 10" xfId="25793" xr:uid="{00000000-0005-0000-0000-0000A3640000}"/>
    <cellStyle name="Normal 2 3 18 2 2" xfId="25794" xr:uid="{00000000-0005-0000-0000-0000A4640000}"/>
    <cellStyle name="Normal 2 3 18 2 3" xfId="25795" xr:uid="{00000000-0005-0000-0000-0000A5640000}"/>
    <cellStyle name="Normal 2 3 18 2 4" xfId="25796" xr:uid="{00000000-0005-0000-0000-0000A6640000}"/>
    <cellStyle name="Normal 2 3 18 2 5" xfId="25797" xr:uid="{00000000-0005-0000-0000-0000A7640000}"/>
    <cellStyle name="Normal 2 3 18 2 6" xfId="25798" xr:uid="{00000000-0005-0000-0000-0000A8640000}"/>
    <cellStyle name="Normal 2 3 18 2 7" xfId="25799" xr:uid="{00000000-0005-0000-0000-0000A9640000}"/>
    <cellStyle name="Normal 2 3 18 2 8" xfId="25800" xr:uid="{00000000-0005-0000-0000-0000AA640000}"/>
    <cellStyle name="Normal 2 3 18 2 9" xfId="25801" xr:uid="{00000000-0005-0000-0000-0000AB640000}"/>
    <cellStyle name="Normal 2 3 18 3" xfId="25802" xr:uid="{00000000-0005-0000-0000-0000AC640000}"/>
    <cellStyle name="Normal 2 3 18 3 10" xfId="25803" xr:uid="{00000000-0005-0000-0000-0000AD640000}"/>
    <cellStyle name="Normal 2 3 18 3 2" xfId="25804" xr:uid="{00000000-0005-0000-0000-0000AE640000}"/>
    <cellStyle name="Normal 2 3 18 3 3" xfId="25805" xr:uid="{00000000-0005-0000-0000-0000AF640000}"/>
    <cellStyle name="Normal 2 3 18 3 4" xfId="25806" xr:uid="{00000000-0005-0000-0000-0000B0640000}"/>
    <cellStyle name="Normal 2 3 18 3 5" xfId="25807" xr:uid="{00000000-0005-0000-0000-0000B1640000}"/>
    <cellStyle name="Normal 2 3 18 3 6" xfId="25808" xr:uid="{00000000-0005-0000-0000-0000B2640000}"/>
    <cellStyle name="Normal 2 3 18 3 7" xfId="25809" xr:uid="{00000000-0005-0000-0000-0000B3640000}"/>
    <cellStyle name="Normal 2 3 18 3 8" xfId="25810" xr:uid="{00000000-0005-0000-0000-0000B4640000}"/>
    <cellStyle name="Normal 2 3 18 3 9" xfId="25811" xr:uid="{00000000-0005-0000-0000-0000B5640000}"/>
    <cellStyle name="Normal 2 3 18 4" xfId="25812" xr:uid="{00000000-0005-0000-0000-0000B6640000}"/>
    <cellStyle name="Normal 2 3 18 4 10" xfId="25813" xr:uid="{00000000-0005-0000-0000-0000B7640000}"/>
    <cellStyle name="Normal 2 3 18 4 2" xfId="25814" xr:uid="{00000000-0005-0000-0000-0000B8640000}"/>
    <cellStyle name="Normal 2 3 18 4 3" xfId="25815" xr:uid="{00000000-0005-0000-0000-0000B9640000}"/>
    <cellStyle name="Normal 2 3 18 4 4" xfId="25816" xr:uid="{00000000-0005-0000-0000-0000BA640000}"/>
    <cellStyle name="Normal 2 3 18 4 5" xfId="25817" xr:uid="{00000000-0005-0000-0000-0000BB640000}"/>
    <cellStyle name="Normal 2 3 18 4 6" xfId="25818" xr:uid="{00000000-0005-0000-0000-0000BC640000}"/>
    <cellStyle name="Normal 2 3 18 4 7" xfId="25819" xr:uid="{00000000-0005-0000-0000-0000BD640000}"/>
    <cellStyle name="Normal 2 3 18 4 8" xfId="25820" xr:uid="{00000000-0005-0000-0000-0000BE640000}"/>
    <cellStyle name="Normal 2 3 18 4 9" xfId="25821" xr:uid="{00000000-0005-0000-0000-0000BF640000}"/>
    <cellStyle name="Normal 2 3 18 5" xfId="25822" xr:uid="{00000000-0005-0000-0000-0000C0640000}"/>
    <cellStyle name="Normal 2 3 18 5 10" xfId="25823" xr:uid="{00000000-0005-0000-0000-0000C1640000}"/>
    <cellStyle name="Normal 2 3 18 5 2" xfId="25824" xr:uid="{00000000-0005-0000-0000-0000C2640000}"/>
    <cellStyle name="Normal 2 3 18 5 3" xfId="25825" xr:uid="{00000000-0005-0000-0000-0000C3640000}"/>
    <cellStyle name="Normal 2 3 18 5 4" xfId="25826" xr:uid="{00000000-0005-0000-0000-0000C4640000}"/>
    <cellStyle name="Normal 2 3 18 5 5" xfId="25827" xr:uid="{00000000-0005-0000-0000-0000C5640000}"/>
    <cellStyle name="Normal 2 3 18 5 6" xfId="25828" xr:uid="{00000000-0005-0000-0000-0000C6640000}"/>
    <cellStyle name="Normal 2 3 18 5 7" xfId="25829" xr:uid="{00000000-0005-0000-0000-0000C7640000}"/>
    <cellStyle name="Normal 2 3 18 5 8" xfId="25830" xr:uid="{00000000-0005-0000-0000-0000C8640000}"/>
    <cellStyle name="Normal 2 3 18 5 9" xfId="25831" xr:uid="{00000000-0005-0000-0000-0000C9640000}"/>
    <cellStyle name="Normal 2 3 18 6" xfId="25832" xr:uid="{00000000-0005-0000-0000-0000CA640000}"/>
    <cellStyle name="Normal 2 3 18 7" xfId="25833" xr:uid="{00000000-0005-0000-0000-0000CB640000}"/>
    <cellStyle name="Normal 2 3 18 8" xfId="25834" xr:uid="{00000000-0005-0000-0000-0000CC640000}"/>
    <cellStyle name="Normal 2 3 18 9" xfId="25835" xr:uid="{00000000-0005-0000-0000-0000CD640000}"/>
    <cellStyle name="Normal 2 3 19" xfId="25836" xr:uid="{00000000-0005-0000-0000-0000CE640000}"/>
    <cellStyle name="Normal 2 3 19 10" xfId="25837" xr:uid="{00000000-0005-0000-0000-0000CF640000}"/>
    <cellStyle name="Normal 2 3 19 11" xfId="25838" xr:uid="{00000000-0005-0000-0000-0000D0640000}"/>
    <cellStyle name="Normal 2 3 19 12" xfId="25839" xr:uid="{00000000-0005-0000-0000-0000D1640000}"/>
    <cellStyle name="Normal 2 3 19 13" xfId="25840" xr:uid="{00000000-0005-0000-0000-0000D2640000}"/>
    <cellStyle name="Normal 2 3 19 14" xfId="25841" xr:uid="{00000000-0005-0000-0000-0000D3640000}"/>
    <cellStyle name="Normal 2 3 19 2" xfId="25842" xr:uid="{00000000-0005-0000-0000-0000D4640000}"/>
    <cellStyle name="Normal 2 3 19 2 10" xfId="25843" xr:uid="{00000000-0005-0000-0000-0000D5640000}"/>
    <cellStyle name="Normal 2 3 19 2 2" xfId="25844" xr:uid="{00000000-0005-0000-0000-0000D6640000}"/>
    <cellStyle name="Normal 2 3 19 2 3" xfId="25845" xr:uid="{00000000-0005-0000-0000-0000D7640000}"/>
    <cellStyle name="Normal 2 3 19 2 4" xfId="25846" xr:uid="{00000000-0005-0000-0000-0000D8640000}"/>
    <cellStyle name="Normal 2 3 19 2 5" xfId="25847" xr:uid="{00000000-0005-0000-0000-0000D9640000}"/>
    <cellStyle name="Normal 2 3 19 2 6" xfId="25848" xr:uid="{00000000-0005-0000-0000-0000DA640000}"/>
    <cellStyle name="Normal 2 3 19 2 7" xfId="25849" xr:uid="{00000000-0005-0000-0000-0000DB640000}"/>
    <cellStyle name="Normal 2 3 19 2 8" xfId="25850" xr:uid="{00000000-0005-0000-0000-0000DC640000}"/>
    <cellStyle name="Normal 2 3 19 2 9" xfId="25851" xr:uid="{00000000-0005-0000-0000-0000DD640000}"/>
    <cellStyle name="Normal 2 3 19 3" xfId="25852" xr:uid="{00000000-0005-0000-0000-0000DE640000}"/>
    <cellStyle name="Normal 2 3 19 3 10" xfId="25853" xr:uid="{00000000-0005-0000-0000-0000DF640000}"/>
    <cellStyle name="Normal 2 3 19 3 2" xfId="25854" xr:uid="{00000000-0005-0000-0000-0000E0640000}"/>
    <cellStyle name="Normal 2 3 19 3 3" xfId="25855" xr:uid="{00000000-0005-0000-0000-0000E1640000}"/>
    <cellStyle name="Normal 2 3 19 3 4" xfId="25856" xr:uid="{00000000-0005-0000-0000-0000E2640000}"/>
    <cellStyle name="Normal 2 3 19 3 5" xfId="25857" xr:uid="{00000000-0005-0000-0000-0000E3640000}"/>
    <cellStyle name="Normal 2 3 19 3 6" xfId="25858" xr:uid="{00000000-0005-0000-0000-0000E4640000}"/>
    <cellStyle name="Normal 2 3 19 3 7" xfId="25859" xr:uid="{00000000-0005-0000-0000-0000E5640000}"/>
    <cellStyle name="Normal 2 3 19 3 8" xfId="25860" xr:uid="{00000000-0005-0000-0000-0000E6640000}"/>
    <cellStyle name="Normal 2 3 19 3 9" xfId="25861" xr:uid="{00000000-0005-0000-0000-0000E7640000}"/>
    <cellStyle name="Normal 2 3 19 4" xfId="25862" xr:uid="{00000000-0005-0000-0000-0000E8640000}"/>
    <cellStyle name="Normal 2 3 19 4 10" xfId="25863" xr:uid="{00000000-0005-0000-0000-0000E9640000}"/>
    <cellStyle name="Normal 2 3 19 4 2" xfId="25864" xr:uid="{00000000-0005-0000-0000-0000EA640000}"/>
    <cellStyle name="Normal 2 3 19 4 3" xfId="25865" xr:uid="{00000000-0005-0000-0000-0000EB640000}"/>
    <cellStyle name="Normal 2 3 19 4 4" xfId="25866" xr:uid="{00000000-0005-0000-0000-0000EC640000}"/>
    <cellStyle name="Normal 2 3 19 4 5" xfId="25867" xr:uid="{00000000-0005-0000-0000-0000ED640000}"/>
    <cellStyle name="Normal 2 3 19 4 6" xfId="25868" xr:uid="{00000000-0005-0000-0000-0000EE640000}"/>
    <cellStyle name="Normal 2 3 19 4 7" xfId="25869" xr:uid="{00000000-0005-0000-0000-0000EF640000}"/>
    <cellStyle name="Normal 2 3 19 4 8" xfId="25870" xr:uid="{00000000-0005-0000-0000-0000F0640000}"/>
    <cellStyle name="Normal 2 3 19 4 9" xfId="25871" xr:uid="{00000000-0005-0000-0000-0000F1640000}"/>
    <cellStyle name="Normal 2 3 19 5" xfId="25872" xr:uid="{00000000-0005-0000-0000-0000F2640000}"/>
    <cellStyle name="Normal 2 3 19 5 10" xfId="25873" xr:uid="{00000000-0005-0000-0000-0000F3640000}"/>
    <cellStyle name="Normal 2 3 19 5 2" xfId="25874" xr:uid="{00000000-0005-0000-0000-0000F4640000}"/>
    <cellStyle name="Normal 2 3 19 5 3" xfId="25875" xr:uid="{00000000-0005-0000-0000-0000F5640000}"/>
    <cellStyle name="Normal 2 3 19 5 4" xfId="25876" xr:uid="{00000000-0005-0000-0000-0000F6640000}"/>
    <cellStyle name="Normal 2 3 19 5 5" xfId="25877" xr:uid="{00000000-0005-0000-0000-0000F7640000}"/>
    <cellStyle name="Normal 2 3 19 5 6" xfId="25878" xr:uid="{00000000-0005-0000-0000-0000F8640000}"/>
    <cellStyle name="Normal 2 3 19 5 7" xfId="25879" xr:uid="{00000000-0005-0000-0000-0000F9640000}"/>
    <cellStyle name="Normal 2 3 19 5 8" xfId="25880" xr:uid="{00000000-0005-0000-0000-0000FA640000}"/>
    <cellStyle name="Normal 2 3 19 5 9" xfId="25881" xr:uid="{00000000-0005-0000-0000-0000FB640000}"/>
    <cellStyle name="Normal 2 3 19 6" xfId="25882" xr:uid="{00000000-0005-0000-0000-0000FC640000}"/>
    <cellStyle name="Normal 2 3 19 7" xfId="25883" xr:uid="{00000000-0005-0000-0000-0000FD640000}"/>
    <cellStyle name="Normal 2 3 19 8" xfId="25884" xr:uid="{00000000-0005-0000-0000-0000FE640000}"/>
    <cellStyle name="Normal 2 3 19 9" xfId="25885" xr:uid="{00000000-0005-0000-0000-0000FF640000}"/>
    <cellStyle name="Normal 2 3 2" xfId="56" xr:uid="{00000000-0005-0000-0000-000000650000}"/>
    <cellStyle name="Normal 2 3 2 10" xfId="25887" xr:uid="{00000000-0005-0000-0000-000001650000}"/>
    <cellStyle name="Normal 2 3 2 10 10" xfId="25888" xr:uid="{00000000-0005-0000-0000-000002650000}"/>
    <cellStyle name="Normal 2 3 2 10 11" xfId="25889" xr:uid="{00000000-0005-0000-0000-000003650000}"/>
    <cellStyle name="Normal 2 3 2 10 12" xfId="25890" xr:uid="{00000000-0005-0000-0000-000004650000}"/>
    <cellStyle name="Normal 2 3 2 10 13" xfId="25891" xr:uid="{00000000-0005-0000-0000-000005650000}"/>
    <cellStyle name="Normal 2 3 2 10 14" xfId="25892" xr:uid="{00000000-0005-0000-0000-000006650000}"/>
    <cellStyle name="Normal 2 3 2 10 2" xfId="25893" xr:uid="{00000000-0005-0000-0000-000007650000}"/>
    <cellStyle name="Normal 2 3 2 10 2 10" xfId="25894" xr:uid="{00000000-0005-0000-0000-000008650000}"/>
    <cellStyle name="Normal 2 3 2 10 2 2" xfId="25895" xr:uid="{00000000-0005-0000-0000-000009650000}"/>
    <cellStyle name="Normal 2 3 2 10 2 3" xfId="25896" xr:uid="{00000000-0005-0000-0000-00000A650000}"/>
    <cellStyle name="Normal 2 3 2 10 2 4" xfId="25897" xr:uid="{00000000-0005-0000-0000-00000B650000}"/>
    <cellStyle name="Normal 2 3 2 10 2 5" xfId="25898" xr:uid="{00000000-0005-0000-0000-00000C650000}"/>
    <cellStyle name="Normal 2 3 2 10 2 6" xfId="25899" xr:uid="{00000000-0005-0000-0000-00000D650000}"/>
    <cellStyle name="Normal 2 3 2 10 2 7" xfId="25900" xr:uid="{00000000-0005-0000-0000-00000E650000}"/>
    <cellStyle name="Normal 2 3 2 10 2 8" xfId="25901" xr:uid="{00000000-0005-0000-0000-00000F650000}"/>
    <cellStyle name="Normal 2 3 2 10 2 9" xfId="25902" xr:uid="{00000000-0005-0000-0000-000010650000}"/>
    <cellStyle name="Normal 2 3 2 10 3" xfId="25903" xr:uid="{00000000-0005-0000-0000-000011650000}"/>
    <cellStyle name="Normal 2 3 2 10 3 10" xfId="25904" xr:uid="{00000000-0005-0000-0000-000012650000}"/>
    <cellStyle name="Normal 2 3 2 10 3 2" xfId="25905" xr:uid="{00000000-0005-0000-0000-000013650000}"/>
    <cellStyle name="Normal 2 3 2 10 3 3" xfId="25906" xr:uid="{00000000-0005-0000-0000-000014650000}"/>
    <cellStyle name="Normal 2 3 2 10 3 4" xfId="25907" xr:uid="{00000000-0005-0000-0000-000015650000}"/>
    <cellStyle name="Normal 2 3 2 10 3 5" xfId="25908" xr:uid="{00000000-0005-0000-0000-000016650000}"/>
    <cellStyle name="Normal 2 3 2 10 3 6" xfId="25909" xr:uid="{00000000-0005-0000-0000-000017650000}"/>
    <cellStyle name="Normal 2 3 2 10 3 7" xfId="25910" xr:uid="{00000000-0005-0000-0000-000018650000}"/>
    <cellStyle name="Normal 2 3 2 10 3 8" xfId="25911" xr:uid="{00000000-0005-0000-0000-000019650000}"/>
    <cellStyle name="Normal 2 3 2 10 3 9" xfId="25912" xr:uid="{00000000-0005-0000-0000-00001A650000}"/>
    <cellStyle name="Normal 2 3 2 10 4" xfId="25913" xr:uid="{00000000-0005-0000-0000-00001B650000}"/>
    <cellStyle name="Normal 2 3 2 10 4 10" xfId="25914" xr:uid="{00000000-0005-0000-0000-00001C650000}"/>
    <cellStyle name="Normal 2 3 2 10 4 2" xfId="25915" xr:uid="{00000000-0005-0000-0000-00001D650000}"/>
    <cellStyle name="Normal 2 3 2 10 4 3" xfId="25916" xr:uid="{00000000-0005-0000-0000-00001E650000}"/>
    <cellStyle name="Normal 2 3 2 10 4 4" xfId="25917" xr:uid="{00000000-0005-0000-0000-00001F650000}"/>
    <cellStyle name="Normal 2 3 2 10 4 5" xfId="25918" xr:uid="{00000000-0005-0000-0000-000020650000}"/>
    <cellStyle name="Normal 2 3 2 10 4 6" xfId="25919" xr:uid="{00000000-0005-0000-0000-000021650000}"/>
    <cellStyle name="Normal 2 3 2 10 4 7" xfId="25920" xr:uid="{00000000-0005-0000-0000-000022650000}"/>
    <cellStyle name="Normal 2 3 2 10 4 8" xfId="25921" xr:uid="{00000000-0005-0000-0000-000023650000}"/>
    <cellStyle name="Normal 2 3 2 10 4 9" xfId="25922" xr:uid="{00000000-0005-0000-0000-000024650000}"/>
    <cellStyle name="Normal 2 3 2 10 5" xfId="25923" xr:uid="{00000000-0005-0000-0000-000025650000}"/>
    <cellStyle name="Normal 2 3 2 10 5 10" xfId="25924" xr:uid="{00000000-0005-0000-0000-000026650000}"/>
    <cellStyle name="Normal 2 3 2 10 5 2" xfId="25925" xr:uid="{00000000-0005-0000-0000-000027650000}"/>
    <cellStyle name="Normal 2 3 2 10 5 3" xfId="25926" xr:uid="{00000000-0005-0000-0000-000028650000}"/>
    <cellStyle name="Normal 2 3 2 10 5 4" xfId="25927" xr:uid="{00000000-0005-0000-0000-000029650000}"/>
    <cellStyle name="Normal 2 3 2 10 5 5" xfId="25928" xr:uid="{00000000-0005-0000-0000-00002A650000}"/>
    <cellStyle name="Normal 2 3 2 10 5 6" xfId="25929" xr:uid="{00000000-0005-0000-0000-00002B650000}"/>
    <cellStyle name="Normal 2 3 2 10 5 7" xfId="25930" xr:uid="{00000000-0005-0000-0000-00002C650000}"/>
    <cellStyle name="Normal 2 3 2 10 5 8" xfId="25931" xr:uid="{00000000-0005-0000-0000-00002D650000}"/>
    <cellStyle name="Normal 2 3 2 10 5 9" xfId="25932" xr:uid="{00000000-0005-0000-0000-00002E650000}"/>
    <cellStyle name="Normal 2 3 2 10 6" xfId="25933" xr:uid="{00000000-0005-0000-0000-00002F650000}"/>
    <cellStyle name="Normal 2 3 2 10 7" xfId="25934" xr:uid="{00000000-0005-0000-0000-000030650000}"/>
    <cellStyle name="Normal 2 3 2 10 8" xfId="25935" xr:uid="{00000000-0005-0000-0000-000031650000}"/>
    <cellStyle name="Normal 2 3 2 10 9" xfId="25936" xr:uid="{00000000-0005-0000-0000-000032650000}"/>
    <cellStyle name="Normal 2 3 2 11" xfId="25937" xr:uid="{00000000-0005-0000-0000-000033650000}"/>
    <cellStyle name="Normal 2 3 2 11 10" xfId="25938" xr:uid="{00000000-0005-0000-0000-000034650000}"/>
    <cellStyle name="Normal 2 3 2 11 11" xfId="25939" xr:uid="{00000000-0005-0000-0000-000035650000}"/>
    <cellStyle name="Normal 2 3 2 11 12" xfId="25940" xr:uid="{00000000-0005-0000-0000-000036650000}"/>
    <cellStyle name="Normal 2 3 2 11 13" xfId="25941" xr:uid="{00000000-0005-0000-0000-000037650000}"/>
    <cellStyle name="Normal 2 3 2 11 14" xfId="25942" xr:uid="{00000000-0005-0000-0000-000038650000}"/>
    <cellStyle name="Normal 2 3 2 11 2" xfId="25943" xr:uid="{00000000-0005-0000-0000-000039650000}"/>
    <cellStyle name="Normal 2 3 2 11 2 10" xfId="25944" xr:uid="{00000000-0005-0000-0000-00003A650000}"/>
    <cellStyle name="Normal 2 3 2 11 2 2" xfId="25945" xr:uid="{00000000-0005-0000-0000-00003B650000}"/>
    <cellStyle name="Normal 2 3 2 11 2 3" xfId="25946" xr:uid="{00000000-0005-0000-0000-00003C650000}"/>
    <cellStyle name="Normal 2 3 2 11 2 4" xfId="25947" xr:uid="{00000000-0005-0000-0000-00003D650000}"/>
    <cellStyle name="Normal 2 3 2 11 2 5" xfId="25948" xr:uid="{00000000-0005-0000-0000-00003E650000}"/>
    <cellStyle name="Normal 2 3 2 11 2 6" xfId="25949" xr:uid="{00000000-0005-0000-0000-00003F650000}"/>
    <cellStyle name="Normal 2 3 2 11 2 7" xfId="25950" xr:uid="{00000000-0005-0000-0000-000040650000}"/>
    <cellStyle name="Normal 2 3 2 11 2 8" xfId="25951" xr:uid="{00000000-0005-0000-0000-000041650000}"/>
    <cellStyle name="Normal 2 3 2 11 2 9" xfId="25952" xr:uid="{00000000-0005-0000-0000-000042650000}"/>
    <cellStyle name="Normal 2 3 2 11 3" xfId="25953" xr:uid="{00000000-0005-0000-0000-000043650000}"/>
    <cellStyle name="Normal 2 3 2 11 3 10" xfId="25954" xr:uid="{00000000-0005-0000-0000-000044650000}"/>
    <cellStyle name="Normal 2 3 2 11 3 2" xfId="25955" xr:uid="{00000000-0005-0000-0000-000045650000}"/>
    <cellStyle name="Normal 2 3 2 11 3 3" xfId="25956" xr:uid="{00000000-0005-0000-0000-000046650000}"/>
    <cellStyle name="Normal 2 3 2 11 3 4" xfId="25957" xr:uid="{00000000-0005-0000-0000-000047650000}"/>
    <cellStyle name="Normal 2 3 2 11 3 5" xfId="25958" xr:uid="{00000000-0005-0000-0000-000048650000}"/>
    <cellStyle name="Normal 2 3 2 11 3 6" xfId="25959" xr:uid="{00000000-0005-0000-0000-000049650000}"/>
    <cellStyle name="Normal 2 3 2 11 3 7" xfId="25960" xr:uid="{00000000-0005-0000-0000-00004A650000}"/>
    <cellStyle name="Normal 2 3 2 11 3 8" xfId="25961" xr:uid="{00000000-0005-0000-0000-00004B650000}"/>
    <cellStyle name="Normal 2 3 2 11 3 9" xfId="25962" xr:uid="{00000000-0005-0000-0000-00004C650000}"/>
    <cellStyle name="Normal 2 3 2 11 4" xfId="25963" xr:uid="{00000000-0005-0000-0000-00004D650000}"/>
    <cellStyle name="Normal 2 3 2 11 4 10" xfId="25964" xr:uid="{00000000-0005-0000-0000-00004E650000}"/>
    <cellStyle name="Normal 2 3 2 11 4 2" xfId="25965" xr:uid="{00000000-0005-0000-0000-00004F650000}"/>
    <cellStyle name="Normal 2 3 2 11 4 3" xfId="25966" xr:uid="{00000000-0005-0000-0000-000050650000}"/>
    <cellStyle name="Normal 2 3 2 11 4 4" xfId="25967" xr:uid="{00000000-0005-0000-0000-000051650000}"/>
    <cellStyle name="Normal 2 3 2 11 4 5" xfId="25968" xr:uid="{00000000-0005-0000-0000-000052650000}"/>
    <cellStyle name="Normal 2 3 2 11 4 6" xfId="25969" xr:uid="{00000000-0005-0000-0000-000053650000}"/>
    <cellStyle name="Normal 2 3 2 11 4 7" xfId="25970" xr:uid="{00000000-0005-0000-0000-000054650000}"/>
    <cellStyle name="Normal 2 3 2 11 4 8" xfId="25971" xr:uid="{00000000-0005-0000-0000-000055650000}"/>
    <cellStyle name="Normal 2 3 2 11 4 9" xfId="25972" xr:uid="{00000000-0005-0000-0000-000056650000}"/>
    <cellStyle name="Normal 2 3 2 11 5" xfId="25973" xr:uid="{00000000-0005-0000-0000-000057650000}"/>
    <cellStyle name="Normal 2 3 2 11 5 10" xfId="25974" xr:uid="{00000000-0005-0000-0000-000058650000}"/>
    <cellStyle name="Normal 2 3 2 11 5 2" xfId="25975" xr:uid="{00000000-0005-0000-0000-000059650000}"/>
    <cellStyle name="Normal 2 3 2 11 5 3" xfId="25976" xr:uid="{00000000-0005-0000-0000-00005A650000}"/>
    <cellStyle name="Normal 2 3 2 11 5 4" xfId="25977" xr:uid="{00000000-0005-0000-0000-00005B650000}"/>
    <cellStyle name="Normal 2 3 2 11 5 5" xfId="25978" xr:uid="{00000000-0005-0000-0000-00005C650000}"/>
    <cellStyle name="Normal 2 3 2 11 5 6" xfId="25979" xr:uid="{00000000-0005-0000-0000-00005D650000}"/>
    <cellStyle name="Normal 2 3 2 11 5 7" xfId="25980" xr:uid="{00000000-0005-0000-0000-00005E650000}"/>
    <cellStyle name="Normal 2 3 2 11 5 8" xfId="25981" xr:uid="{00000000-0005-0000-0000-00005F650000}"/>
    <cellStyle name="Normal 2 3 2 11 5 9" xfId="25982" xr:uid="{00000000-0005-0000-0000-000060650000}"/>
    <cellStyle name="Normal 2 3 2 11 6" xfId="25983" xr:uid="{00000000-0005-0000-0000-000061650000}"/>
    <cellStyle name="Normal 2 3 2 11 7" xfId="25984" xr:uid="{00000000-0005-0000-0000-000062650000}"/>
    <cellStyle name="Normal 2 3 2 11 8" xfId="25985" xr:uid="{00000000-0005-0000-0000-000063650000}"/>
    <cellStyle name="Normal 2 3 2 11 9" xfId="25986" xr:uid="{00000000-0005-0000-0000-000064650000}"/>
    <cellStyle name="Normal 2 3 2 12" xfId="25987" xr:uid="{00000000-0005-0000-0000-000065650000}"/>
    <cellStyle name="Normal 2 3 2 12 10" xfId="25988" xr:uid="{00000000-0005-0000-0000-000066650000}"/>
    <cellStyle name="Normal 2 3 2 12 11" xfId="25989" xr:uid="{00000000-0005-0000-0000-000067650000}"/>
    <cellStyle name="Normal 2 3 2 12 12" xfId="25990" xr:uid="{00000000-0005-0000-0000-000068650000}"/>
    <cellStyle name="Normal 2 3 2 12 13" xfId="25991" xr:uid="{00000000-0005-0000-0000-000069650000}"/>
    <cellStyle name="Normal 2 3 2 12 14" xfId="25992" xr:uid="{00000000-0005-0000-0000-00006A650000}"/>
    <cellStyle name="Normal 2 3 2 12 2" xfId="25993" xr:uid="{00000000-0005-0000-0000-00006B650000}"/>
    <cellStyle name="Normal 2 3 2 12 2 10" xfId="25994" xr:uid="{00000000-0005-0000-0000-00006C650000}"/>
    <cellStyle name="Normal 2 3 2 12 2 2" xfId="25995" xr:uid="{00000000-0005-0000-0000-00006D650000}"/>
    <cellStyle name="Normal 2 3 2 12 2 3" xfId="25996" xr:uid="{00000000-0005-0000-0000-00006E650000}"/>
    <cellStyle name="Normal 2 3 2 12 2 4" xfId="25997" xr:uid="{00000000-0005-0000-0000-00006F650000}"/>
    <cellStyle name="Normal 2 3 2 12 2 5" xfId="25998" xr:uid="{00000000-0005-0000-0000-000070650000}"/>
    <cellStyle name="Normal 2 3 2 12 2 6" xfId="25999" xr:uid="{00000000-0005-0000-0000-000071650000}"/>
    <cellStyle name="Normal 2 3 2 12 2 7" xfId="26000" xr:uid="{00000000-0005-0000-0000-000072650000}"/>
    <cellStyle name="Normal 2 3 2 12 2 8" xfId="26001" xr:uid="{00000000-0005-0000-0000-000073650000}"/>
    <cellStyle name="Normal 2 3 2 12 2 9" xfId="26002" xr:uid="{00000000-0005-0000-0000-000074650000}"/>
    <cellStyle name="Normal 2 3 2 12 3" xfId="26003" xr:uid="{00000000-0005-0000-0000-000075650000}"/>
    <cellStyle name="Normal 2 3 2 12 3 10" xfId="26004" xr:uid="{00000000-0005-0000-0000-000076650000}"/>
    <cellStyle name="Normal 2 3 2 12 3 2" xfId="26005" xr:uid="{00000000-0005-0000-0000-000077650000}"/>
    <cellStyle name="Normal 2 3 2 12 3 3" xfId="26006" xr:uid="{00000000-0005-0000-0000-000078650000}"/>
    <cellStyle name="Normal 2 3 2 12 3 4" xfId="26007" xr:uid="{00000000-0005-0000-0000-000079650000}"/>
    <cellStyle name="Normal 2 3 2 12 3 5" xfId="26008" xr:uid="{00000000-0005-0000-0000-00007A650000}"/>
    <cellStyle name="Normal 2 3 2 12 3 6" xfId="26009" xr:uid="{00000000-0005-0000-0000-00007B650000}"/>
    <cellStyle name="Normal 2 3 2 12 3 7" xfId="26010" xr:uid="{00000000-0005-0000-0000-00007C650000}"/>
    <cellStyle name="Normal 2 3 2 12 3 8" xfId="26011" xr:uid="{00000000-0005-0000-0000-00007D650000}"/>
    <cellStyle name="Normal 2 3 2 12 3 9" xfId="26012" xr:uid="{00000000-0005-0000-0000-00007E650000}"/>
    <cellStyle name="Normal 2 3 2 12 4" xfId="26013" xr:uid="{00000000-0005-0000-0000-00007F650000}"/>
    <cellStyle name="Normal 2 3 2 12 4 10" xfId="26014" xr:uid="{00000000-0005-0000-0000-000080650000}"/>
    <cellStyle name="Normal 2 3 2 12 4 2" xfId="26015" xr:uid="{00000000-0005-0000-0000-000081650000}"/>
    <cellStyle name="Normal 2 3 2 12 4 3" xfId="26016" xr:uid="{00000000-0005-0000-0000-000082650000}"/>
    <cellStyle name="Normal 2 3 2 12 4 4" xfId="26017" xr:uid="{00000000-0005-0000-0000-000083650000}"/>
    <cellStyle name="Normal 2 3 2 12 4 5" xfId="26018" xr:uid="{00000000-0005-0000-0000-000084650000}"/>
    <cellStyle name="Normal 2 3 2 12 4 6" xfId="26019" xr:uid="{00000000-0005-0000-0000-000085650000}"/>
    <cellStyle name="Normal 2 3 2 12 4 7" xfId="26020" xr:uid="{00000000-0005-0000-0000-000086650000}"/>
    <cellStyle name="Normal 2 3 2 12 4 8" xfId="26021" xr:uid="{00000000-0005-0000-0000-000087650000}"/>
    <cellStyle name="Normal 2 3 2 12 4 9" xfId="26022" xr:uid="{00000000-0005-0000-0000-000088650000}"/>
    <cellStyle name="Normal 2 3 2 12 5" xfId="26023" xr:uid="{00000000-0005-0000-0000-000089650000}"/>
    <cellStyle name="Normal 2 3 2 12 5 10" xfId="26024" xr:uid="{00000000-0005-0000-0000-00008A650000}"/>
    <cellStyle name="Normal 2 3 2 12 5 2" xfId="26025" xr:uid="{00000000-0005-0000-0000-00008B650000}"/>
    <cellStyle name="Normal 2 3 2 12 5 3" xfId="26026" xr:uid="{00000000-0005-0000-0000-00008C650000}"/>
    <cellStyle name="Normal 2 3 2 12 5 4" xfId="26027" xr:uid="{00000000-0005-0000-0000-00008D650000}"/>
    <cellStyle name="Normal 2 3 2 12 5 5" xfId="26028" xr:uid="{00000000-0005-0000-0000-00008E650000}"/>
    <cellStyle name="Normal 2 3 2 12 5 6" xfId="26029" xr:uid="{00000000-0005-0000-0000-00008F650000}"/>
    <cellStyle name="Normal 2 3 2 12 5 7" xfId="26030" xr:uid="{00000000-0005-0000-0000-000090650000}"/>
    <cellStyle name="Normal 2 3 2 12 5 8" xfId="26031" xr:uid="{00000000-0005-0000-0000-000091650000}"/>
    <cellStyle name="Normal 2 3 2 12 5 9" xfId="26032" xr:uid="{00000000-0005-0000-0000-000092650000}"/>
    <cellStyle name="Normal 2 3 2 12 6" xfId="26033" xr:uid="{00000000-0005-0000-0000-000093650000}"/>
    <cellStyle name="Normal 2 3 2 12 7" xfId="26034" xr:uid="{00000000-0005-0000-0000-000094650000}"/>
    <cellStyle name="Normal 2 3 2 12 8" xfId="26035" xr:uid="{00000000-0005-0000-0000-000095650000}"/>
    <cellStyle name="Normal 2 3 2 12 9" xfId="26036" xr:uid="{00000000-0005-0000-0000-000096650000}"/>
    <cellStyle name="Normal 2 3 2 13" xfId="26037" xr:uid="{00000000-0005-0000-0000-000097650000}"/>
    <cellStyle name="Normal 2 3 2 13 10" xfId="26038" xr:uid="{00000000-0005-0000-0000-000098650000}"/>
    <cellStyle name="Normal 2 3 2 13 11" xfId="26039" xr:uid="{00000000-0005-0000-0000-000099650000}"/>
    <cellStyle name="Normal 2 3 2 13 12" xfId="26040" xr:uid="{00000000-0005-0000-0000-00009A650000}"/>
    <cellStyle name="Normal 2 3 2 13 13" xfId="26041" xr:uid="{00000000-0005-0000-0000-00009B650000}"/>
    <cellStyle name="Normal 2 3 2 13 14" xfId="26042" xr:uid="{00000000-0005-0000-0000-00009C650000}"/>
    <cellStyle name="Normal 2 3 2 13 2" xfId="26043" xr:uid="{00000000-0005-0000-0000-00009D650000}"/>
    <cellStyle name="Normal 2 3 2 13 2 10" xfId="26044" xr:uid="{00000000-0005-0000-0000-00009E650000}"/>
    <cellStyle name="Normal 2 3 2 13 2 2" xfId="26045" xr:uid="{00000000-0005-0000-0000-00009F650000}"/>
    <cellStyle name="Normal 2 3 2 13 2 3" xfId="26046" xr:uid="{00000000-0005-0000-0000-0000A0650000}"/>
    <cellStyle name="Normal 2 3 2 13 2 4" xfId="26047" xr:uid="{00000000-0005-0000-0000-0000A1650000}"/>
    <cellStyle name="Normal 2 3 2 13 2 5" xfId="26048" xr:uid="{00000000-0005-0000-0000-0000A2650000}"/>
    <cellStyle name="Normal 2 3 2 13 2 6" xfId="26049" xr:uid="{00000000-0005-0000-0000-0000A3650000}"/>
    <cellStyle name="Normal 2 3 2 13 2 7" xfId="26050" xr:uid="{00000000-0005-0000-0000-0000A4650000}"/>
    <cellStyle name="Normal 2 3 2 13 2 8" xfId="26051" xr:uid="{00000000-0005-0000-0000-0000A5650000}"/>
    <cellStyle name="Normal 2 3 2 13 2 9" xfId="26052" xr:uid="{00000000-0005-0000-0000-0000A6650000}"/>
    <cellStyle name="Normal 2 3 2 13 3" xfId="26053" xr:uid="{00000000-0005-0000-0000-0000A7650000}"/>
    <cellStyle name="Normal 2 3 2 13 3 10" xfId="26054" xr:uid="{00000000-0005-0000-0000-0000A8650000}"/>
    <cellStyle name="Normal 2 3 2 13 3 2" xfId="26055" xr:uid="{00000000-0005-0000-0000-0000A9650000}"/>
    <cellStyle name="Normal 2 3 2 13 3 3" xfId="26056" xr:uid="{00000000-0005-0000-0000-0000AA650000}"/>
    <cellStyle name="Normal 2 3 2 13 3 4" xfId="26057" xr:uid="{00000000-0005-0000-0000-0000AB650000}"/>
    <cellStyle name="Normal 2 3 2 13 3 5" xfId="26058" xr:uid="{00000000-0005-0000-0000-0000AC650000}"/>
    <cellStyle name="Normal 2 3 2 13 3 6" xfId="26059" xr:uid="{00000000-0005-0000-0000-0000AD650000}"/>
    <cellStyle name="Normal 2 3 2 13 3 7" xfId="26060" xr:uid="{00000000-0005-0000-0000-0000AE650000}"/>
    <cellStyle name="Normal 2 3 2 13 3 8" xfId="26061" xr:uid="{00000000-0005-0000-0000-0000AF650000}"/>
    <cellStyle name="Normal 2 3 2 13 3 9" xfId="26062" xr:uid="{00000000-0005-0000-0000-0000B0650000}"/>
    <cellStyle name="Normal 2 3 2 13 4" xfId="26063" xr:uid="{00000000-0005-0000-0000-0000B1650000}"/>
    <cellStyle name="Normal 2 3 2 13 4 10" xfId="26064" xr:uid="{00000000-0005-0000-0000-0000B2650000}"/>
    <cellStyle name="Normal 2 3 2 13 4 2" xfId="26065" xr:uid="{00000000-0005-0000-0000-0000B3650000}"/>
    <cellStyle name="Normal 2 3 2 13 4 3" xfId="26066" xr:uid="{00000000-0005-0000-0000-0000B4650000}"/>
    <cellStyle name="Normal 2 3 2 13 4 4" xfId="26067" xr:uid="{00000000-0005-0000-0000-0000B5650000}"/>
    <cellStyle name="Normal 2 3 2 13 4 5" xfId="26068" xr:uid="{00000000-0005-0000-0000-0000B6650000}"/>
    <cellStyle name="Normal 2 3 2 13 4 6" xfId="26069" xr:uid="{00000000-0005-0000-0000-0000B7650000}"/>
    <cellStyle name="Normal 2 3 2 13 4 7" xfId="26070" xr:uid="{00000000-0005-0000-0000-0000B8650000}"/>
    <cellStyle name="Normal 2 3 2 13 4 8" xfId="26071" xr:uid="{00000000-0005-0000-0000-0000B9650000}"/>
    <cellStyle name="Normal 2 3 2 13 4 9" xfId="26072" xr:uid="{00000000-0005-0000-0000-0000BA650000}"/>
    <cellStyle name="Normal 2 3 2 13 5" xfId="26073" xr:uid="{00000000-0005-0000-0000-0000BB650000}"/>
    <cellStyle name="Normal 2 3 2 13 5 10" xfId="26074" xr:uid="{00000000-0005-0000-0000-0000BC650000}"/>
    <cellStyle name="Normal 2 3 2 13 5 2" xfId="26075" xr:uid="{00000000-0005-0000-0000-0000BD650000}"/>
    <cellStyle name="Normal 2 3 2 13 5 3" xfId="26076" xr:uid="{00000000-0005-0000-0000-0000BE650000}"/>
    <cellStyle name="Normal 2 3 2 13 5 4" xfId="26077" xr:uid="{00000000-0005-0000-0000-0000BF650000}"/>
    <cellStyle name="Normal 2 3 2 13 5 5" xfId="26078" xr:uid="{00000000-0005-0000-0000-0000C0650000}"/>
    <cellStyle name="Normal 2 3 2 13 5 6" xfId="26079" xr:uid="{00000000-0005-0000-0000-0000C1650000}"/>
    <cellStyle name="Normal 2 3 2 13 5 7" xfId="26080" xr:uid="{00000000-0005-0000-0000-0000C2650000}"/>
    <cellStyle name="Normal 2 3 2 13 5 8" xfId="26081" xr:uid="{00000000-0005-0000-0000-0000C3650000}"/>
    <cellStyle name="Normal 2 3 2 13 5 9" xfId="26082" xr:uid="{00000000-0005-0000-0000-0000C4650000}"/>
    <cellStyle name="Normal 2 3 2 13 6" xfId="26083" xr:uid="{00000000-0005-0000-0000-0000C5650000}"/>
    <cellStyle name="Normal 2 3 2 13 7" xfId="26084" xr:uid="{00000000-0005-0000-0000-0000C6650000}"/>
    <cellStyle name="Normal 2 3 2 13 8" xfId="26085" xr:uid="{00000000-0005-0000-0000-0000C7650000}"/>
    <cellStyle name="Normal 2 3 2 13 9" xfId="26086" xr:uid="{00000000-0005-0000-0000-0000C8650000}"/>
    <cellStyle name="Normal 2 3 2 14" xfId="26087" xr:uid="{00000000-0005-0000-0000-0000C9650000}"/>
    <cellStyle name="Normal 2 3 2 14 10" xfId="26088" xr:uid="{00000000-0005-0000-0000-0000CA650000}"/>
    <cellStyle name="Normal 2 3 2 14 11" xfId="26089" xr:uid="{00000000-0005-0000-0000-0000CB650000}"/>
    <cellStyle name="Normal 2 3 2 14 12" xfId="26090" xr:uid="{00000000-0005-0000-0000-0000CC650000}"/>
    <cellStyle name="Normal 2 3 2 14 13" xfId="26091" xr:uid="{00000000-0005-0000-0000-0000CD650000}"/>
    <cellStyle name="Normal 2 3 2 14 14" xfId="26092" xr:uid="{00000000-0005-0000-0000-0000CE650000}"/>
    <cellStyle name="Normal 2 3 2 14 2" xfId="26093" xr:uid="{00000000-0005-0000-0000-0000CF650000}"/>
    <cellStyle name="Normal 2 3 2 14 2 10" xfId="26094" xr:uid="{00000000-0005-0000-0000-0000D0650000}"/>
    <cellStyle name="Normal 2 3 2 14 2 2" xfId="26095" xr:uid="{00000000-0005-0000-0000-0000D1650000}"/>
    <cellStyle name="Normal 2 3 2 14 2 3" xfId="26096" xr:uid="{00000000-0005-0000-0000-0000D2650000}"/>
    <cellStyle name="Normal 2 3 2 14 2 4" xfId="26097" xr:uid="{00000000-0005-0000-0000-0000D3650000}"/>
    <cellStyle name="Normal 2 3 2 14 2 5" xfId="26098" xr:uid="{00000000-0005-0000-0000-0000D4650000}"/>
    <cellStyle name="Normal 2 3 2 14 2 6" xfId="26099" xr:uid="{00000000-0005-0000-0000-0000D5650000}"/>
    <cellStyle name="Normal 2 3 2 14 2 7" xfId="26100" xr:uid="{00000000-0005-0000-0000-0000D6650000}"/>
    <cellStyle name="Normal 2 3 2 14 2 8" xfId="26101" xr:uid="{00000000-0005-0000-0000-0000D7650000}"/>
    <cellStyle name="Normal 2 3 2 14 2 9" xfId="26102" xr:uid="{00000000-0005-0000-0000-0000D8650000}"/>
    <cellStyle name="Normal 2 3 2 14 3" xfId="26103" xr:uid="{00000000-0005-0000-0000-0000D9650000}"/>
    <cellStyle name="Normal 2 3 2 14 3 10" xfId="26104" xr:uid="{00000000-0005-0000-0000-0000DA650000}"/>
    <cellStyle name="Normal 2 3 2 14 3 2" xfId="26105" xr:uid="{00000000-0005-0000-0000-0000DB650000}"/>
    <cellStyle name="Normal 2 3 2 14 3 3" xfId="26106" xr:uid="{00000000-0005-0000-0000-0000DC650000}"/>
    <cellStyle name="Normal 2 3 2 14 3 4" xfId="26107" xr:uid="{00000000-0005-0000-0000-0000DD650000}"/>
    <cellStyle name="Normal 2 3 2 14 3 5" xfId="26108" xr:uid="{00000000-0005-0000-0000-0000DE650000}"/>
    <cellStyle name="Normal 2 3 2 14 3 6" xfId="26109" xr:uid="{00000000-0005-0000-0000-0000DF650000}"/>
    <cellStyle name="Normal 2 3 2 14 3 7" xfId="26110" xr:uid="{00000000-0005-0000-0000-0000E0650000}"/>
    <cellStyle name="Normal 2 3 2 14 3 8" xfId="26111" xr:uid="{00000000-0005-0000-0000-0000E1650000}"/>
    <cellStyle name="Normal 2 3 2 14 3 9" xfId="26112" xr:uid="{00000000-0005-0000-0000-0000E2650000}"/>
    <cellStyle name="Normal 2 3 2 14 4" xfId="26113" xr:uid="{00000000-0005-0000-0000-0000E3650000}"/>
    <cellStyle name="Normal 2 3 2 14 4 10" xfId="26114" xr:uid="{00000000-0005-0000-0000-0000E4650000}"/>
    <cellStyle name="Normal 2 3 2 14 4 2" xfId="26115" xr:uid="{00000000-0005-0000-0000-0000E5650000}"/>
    <cellStyle name="Normal 2 3 2 14 4 3" xfId="26116" xr:uid="{00000000-0005-0000-0000-0000E6650000}"/>
    <cellStyle name="Normal 2 3 2 14 4 4" xfId="26117" xr:uid="{00000000-0005-0000-0000-0000E7650000}"/>
    <cellStyle name="Normal 2 3 2 14 4 5" xfId="26118" xr:uid="{00000000-0005-0000-0000-0000E8650000}"/>
    <cellStyle name="Normal 2 3 2 14 4 6" xfId="26119" xr:uid="{00000000-0005-0000-0000-0000E9650000}"/>
    <cellStyle name="Normal 2 3 2 14 4 7" xfId="26120" xr:uid="{00000000-0005-0000-0000-0000EA650000}"/>
    <cellStyle name="Normal 2 3 2 14 4 8" xfId="26121" xr:uid="{00000000-0005-0000-0000-0000EB650000}"/>
    <cellStyle name="Normal 2 3 2 14 4 9" xfId="26122" xr:uid="{00000000-0005-0000-0000-0000EC650000}"/>
    <cellStyle name="Normal 2 3 2 14 5" xfId="26123" xr:uid="{00000000-0005-0000-0000-0000ED650000}"/>
    <cellStyle name="Normal 2 3 2 14 5 10" xfId="26124" xr:uid="{00000000-0005-0000-0000-0000EE650000}"/>
    <cellStyle name="Normal 2 3 2 14 5 2" xfId="26125" xr:uid="{00000000-0005-0000-0000-0000EF650000}"/>
    <cellStyle name="Normal 2 3 2 14 5 3" xfId="26126" xr:uid="{00000000-0005-0000-0000-0000F0650000}"/>
    <cellStyle name="Normal 2 3 2 14 5 4" xfId="26127" xr:uid="{00000000-0005-0000-0000-0000F1650000}"/>
    <cellStyle name="Normal 2 3 2 14 5 5" xfId="26128" xr:uid="{00000000-0005-0000-0000-0000F2650000}"/>
    <cellStyle name="Normal 2 3 2 14 5 6" xfId="26129" xr:uid="{00000000-0005-0000-0000-0000F3650000}"/>
    <cellStyle name="Normal 2 3 2 14 5 7" xfId="26130" xr:uid="{00000000-0005-0000-0000-0000F4650000}"/>
    <cellStyle name="Normal 2 3 2 14 5 8" xfId="26131" xr:uid="{00000000-0005-0000-0000-0000F5650000}"/>
    <cellStyle name="Normal 2 3 2 14 5 9" xfId="26132" xr:uid="{00000000-0005-0000-0000-0000F6650000}"/>
    <cellStyle name="Normal 2 3 2 14 6" xfId="26133" xr:uid="{00000000-0005-0000-0000-0000F7650000}"/>
    <cellStyle name="Normal 2 3 2 14 7" xfId="26134" xr:uid="{00000000-0005-0000-0000-0000F8650000}"/>
    <cellStyle name="Normal 2 3 2 14 8" xfId="26135" xr:uid="{00000000-0005-0000-0000-0000F9650000}"/>
    <cellStyle name="Normal 2 3 2 14 9" xfId="26136" xr:uid="{00000000-0005-0000-0000-0000FA650000}"/>
    <cellStyle name="Normal 2 3 2 15" xfId="26137" xr:uid="{00000000-0005-0000-0000-0000FB650000}"/>
    <cellStyle name="Normal 2 3 2 15 10" xfId="26138" xr:uid="{00000000-0005-0000-0000-0000FC650000}"/>
    <cellStyle name="Normal 2 3 2 15 11" xfId="26139" xr:uid="{00000000-0005-0000-0000-0000FD650000}"/>
    <cellStyle name="Normal 2 3 2 15 12" xfId="26140" xr:uid="{00000000-0005-0000-0000-0000FE650000}"/>
    <cellStyle name="Normal 2 3 2 15 13" xfId="26141" xr:uid="{00000000-0005-0000-0000-0000FF650000}"/>
    <cellStyle name="Normal 2 3 2 15 14" xfId="26142" xr:uid="{00000000-0005-0000-0000-000000660000}"/>
    <cellStyle name="Normal 2 3 2 15 2" xfId="26143" xr:uid="{00000000-0005-0000-0000-000001660000}"/>
    <cellStyle name="Normal 2 3 2 15 2 10" xfId="26144" xr:uid="{00000000-0005-0000-0000-000002660000}"/>
    <cellStyle name="Normal 2 3 2 15 2 2" xfId="26145" xr:uid="{00000000-0005-0000-0000-000003660000}"/>
    <cellStyle name="Normal 2 3 2 15 2 3" xfId="26146" xr:uid="{00000000-0005-0000-0000-000004660000}"/>
    <cellStyle name="Normal 2 3 2 15 2 4" xfId="26147" xr:uid="{00000000-0005-0000-0000-000005660000}"/>
    <cellStyle name="Normal 2 3 2 15 2 5" xfId="26148" xr:uid="{00000000-0005-0000-0000-000006660000}"/>
    <cellStyle name="Normal 2 3 2 15 2 6" xfId="26149" xr:uid="{00000000-0005-0000-0000-000007660000}"/>
    <cellStyle name="Normal 2 3 2 15 2 7" xfId="26150" xr:uid="{00000000-0005-0000-0000-000008660000}"/>
    <cellStyle name="Normal 2 3 2 15 2 8" xfId="26151" xr:uid="{00000000-0005-0000-0000-000009660000}"/>
    <cellStyle name="Normal 2 3 2 15 2 9" xfId="26152" xr:uid="{00000000-0005-0000-0000-00000A660000}"/>
    <cellStyle name="Normal 2 3 2 15 3" xfId="26153" xr:uid="{00000000-0005-0000-0000-00000B660000}"/>
    <cellStyle name="Normal 2 3 2 15 3 10" xfId="26154" xr:uid="{00000000-0005-0000-0000-00000C660000}"/>
    <cellStyle name="Normal 2 3 2 15 3 2" xfId="26155" xr:uid="{00000000-0005-0000-0000-00000D660000}"/>
    <cellStyle name="Normal 2 3 2 15 3 3" xfId="26156" xr:uid="{00000000-0005-0000-0000-00000E660000}"/>
    <cellStyle name="Normal 2 3 2 15 3 4" xfId="26157" xr:uid="{00000000-0005-0000-0000-00000F660000}"/>
    <cellStyle name="Normal 2 3 2 15 3 5" xfId="26158" xr:uid="{00000000-0005-0000-0000-000010660000}"/>
    <cellStyle name="Normal 2 3 2 15 3 6" xfId="26159" xr:uid="{00000000-0005-0000-0000-000011660000}"/>
    <cellStyle name="Normal 2 3 2 15 3 7" xfId="26160" xr:uid="{00000000-0005-0000-0000-000012660000}"/>
    <cellStyle name="Normal 2 3 2 15 3 8" xfId="26161" xr:uid="{00000000-0005-0000-0000-000013660000}"/>
    <cellStyle name="Normal 2 3 2 15 3 9" xfId="26162" xr:uid="{00000000-0005-0000-0000-000014660000}"/>
    <cellStyle name="Normal 2 3 2 15 4" xfId="26163" xr:uid="{00000000-0005-0000-0000-000015660000}"/>
    <cellStyle name="Normal 2 3 2 15 4 10" xfId="26164" xr:uid="{00000000-0005-0000-0000-000016660000}"/>
    <cellStyle name="Normal 2 3 2 15 4 2" xfId="26165" xr:uid="{00000000-0005-0000-0000-000017660000}"/>
    <cellStyle name="Normal 2 3 2 15 4 3" xfId="26166" xr:uid="{00000000-0005-0000-0000-000018660000}"/>
    <cellStyle name="Normal 2 3 2 15 4 4" xfId="26167" xr:uid="{00000000-0005-0000-0000-000019660000}"/>
    <cellStyle name="Normal 2 3 2 15 4 5" xfId="26168" xr:uid="{00000000-0005-0000-0000-00001A660000}"/>
    <cellStyle name="Normal 2 3 2 15 4 6" xfId="26169" xr:uid="{00000000-0005-0000-0000-00001B660000}"/>
    <cellStyle name="Normal 2 3 2 15 4 7" xfId="26170" xr:uid="{00000000-0005-0000-0000-00001C660000}"/>
    <cellStyle name="Normal 2 3 2 15 4 8" xfId="26171" xr:uid="{00000000-0005-0000-0000-00001D660000}"/>
    <cellStyle name="Normal 2 3 2 15 4 9" xfId="26172" xr:uid="{00000000-0005-0000-0000-00001E660000}"/>
    <cellStyle name="Normal 2 3 2 15 5" xfId="26173" xr:uid="{00000000-0005-0000-0000-00001F660000}"/>
    <cellStyle name="Normal 2 3 2 15 5 10" xfId="26174" xr:uid="{00000000-0005-0000-0000-000020660000}"/>
    <cellStyle name="Normal 2 3 2 15 5 2" xfId="26175" xr:uid="{00000000-0005-0000-0000-000021660000}"/>
    <cellStyle name="Normal 2 3 2 15 5 3" xfId="26176" xr:uid="{00000000-0005-0000-0000-000022660000}"/>
    <cellStyle name="Normal 2 3 2 15 5 4" xfId="26177" xr:uid="{00000000-0005-0000-0000-000023660000}"/>
    <cellStyle name="Normal 2 3 2 15 5 5" xfId="26178" xr:uid="{00000000-0005-0000-0000-000024660000}"/>
    <cellStyle name="Normal 2 3 2 15 5 6" xfId="26179" xr:uid="{00000000-0005-0000-0000-000025660000}"/>
    <cellStyle name="Normal 2 3 2 15 5 7" xfId="26180" xr:uid="{00000000-0005-0000-0000-000026660000}"/>
    <cellStyle name="Normal 2 3 2 15 5 8" xfId="26181" xr:uid="{00000000-0005-0000-0000-000027660000}"/>
    <cellStyle name="Normal 2 3 2 15 5 9" xfId="26182" xr:uid="{00000000-0005-0000-0000-000028660000}"/>
    <cellStyle name="Normal 2 3 2 15 6" xfId="26183" xr:uid="{00000000-0005-0000-0000-000029660000}"/>
    <cellStyle name="Normal 2 3 2 15 7" xfId="26184" xr:uid="{00000000-0005-0000-0000-00002A660000}"/>
    <cellStyle name="Normal 2 3 2 15 8" xfId="26185" xr:uid="{00000000-0005-0000-0000-00002B660000}"/>
    <cellStyle name="Normal 2 3 2 15 9" xfId="26186" xr:uid="{00000000-0005-0000-0000-00002C660000}"/>
    <cellStyle name="Normal 2 3 2 16" xfId="26187" xr:uid="{00000000-0005-0000-0000-00002D660000}"/>
    <cellStyle name="Normal 2 3 2 16 10" xfId="26188" xr:uid="{00000000-0005-0000-0000-00002E660000}"/>
    <cellStyle name="Normal 2 3 2 16 11" xfId="26189" xr:uid="{00000000-0005-0000-0000-00002F660000}"/>
    <cellStyle name="Normal 2 3 2 16 12" xfId="26190" xr:uid="{00000000-0005-0000-0000-000030660000}"/>
    <cellStyle name="Normal 2 3 2 16 13" xfId="26191" xr:uid="{00000000-0005-0000-0000-000031660000}"/>
    <cellStyle name="Normal 2 3 2 16 14" xfId="26192" xr:uid="{00000000-0005-0000-0000-000032660000}"/>
    <cellStyle name="Normal 2 3 2 16 2" xfId="26193" xr:uid="{00000000-0005-0000-0000-000033660000}"/>
    <cellStyle name="Normal 2 3 2 16 2 10" xfId="26194" xr:uid="{00000000-0005-0000-0000-000034660000}"/>
    <cellStyle name="Normal 2 3 2 16 2 2" xfId="26195" xr:uid="{00000000-0005-0000-0000-000035660000}"/>
    <cellStyle name="Normal 2 3 2 16 2 3" xfId="26196" xr:uid="{00000000-0005-0000-0000-000036660000}"/>
    <cellStyle name="Normal 2 3 2 16 2 4" xfId="26197" xr:uid="{00000000-0005-0000-0000-000037660000}"/>
    <cellStyle name="Normal 2 3 2 16 2 5" xfId="26198" xr:uid="{00000000-0005-0000-0000-000038660000}"/>
    <cellStyle name="Normal 2 3 2 16 2 6" xfId="26199" xr:uid="{00000000-0005-0000-0000-000039660000}"/>
    <cellStyle name="Normal 2 3 2 16 2 7" xfId="26200" xr:uid="{00000000-0005-0000-0000-00003A660000}"/>
    <cellStyle name="Normal 2 3 2 16 2 8" xfId="26201" xr:uid="{00000000-0005-0000-0000-00003B660000}"/>
    <cellStyle name="Normal 2 3 2 16 2 9" xfId="26202" xr:uid="{00000000-0005-0000-0000-00003C660000}"/>
    <cellStyle name="Normal 2 3 2 16 3" xfId="26203" xr:uid="{00000000-0005-0000-0000-00003D660000}"/>
    <cellStyle name="Normal 2 3 2 16 3 10" xfId="26204" xr:uid="{00000000-0005-0000-0000-00003E660000}"/>
    <cellStyle name="Normal 2 3 2 16 3 2" xfId="26205" xr:uid="{00000000-0005-0000-0000-00003F660000}"/>
    <cellStyle name="Normal 2 3 2 16 3 3" xfId="26206" xr:uid="{00000000-0005-0000-0000-000040660000}"/>
    <cellStyle name="Normal 2 3 2 16 3 4" xfId="26207" xr:uid="{00000000-0005-0000-0000-000041660000}"/>
    <cellStyle name="Normal 2 3 2 16 3 5" xfId="26208" xr:uid="{00000000-0005-0000-0000-000042660000}"/>
    <cellStyle name="Normal 2 3 2 16 3 6" xfId="26209" xr:uid="{00000000-0005-0000-0000-000043660000}"/>
    <cellStyle name="Normal 2 3 2 16 3 7" xfId="26210" xr:uid="{00000000-0005-0000-0000-000044660000}"/>
    <cellStyle name="Normal 2 3 2 16 3 8" xfId="26211" xr:uid="{00000000-0005-0000-0000-000045660000}"/>
    <cellStyle name="Normal 2 3 2 16 3 9" xfId="26212" xr:uid="{00000000-0005-0000-0000-000046660000}"/>
    <cellStyle name="Normal 2 3 2 16 4" xfId="26213" xr:uid="{00000000-0005-0000-0000-000047660000}"/>
    <cellStyle name="Normal 2 3 2 16 4 10" xfId="26214" xr:uid="{00000000-0005-0000-0000-000048660000}"/>
    <cellStyle name="Normal 2 3 2 16 4 2" xfId="26215" xr:uid="{00000000-0005-0000-0000-000049660000}"/>
    <cellStyle name="Normal 2 3 2 16 4 3" xfId="26216" xr:uid="{00000000-0005-0000-0000-00004A660000}"/>
    <cellStyle name="Normal 2 3 2 16 4 4" xfId="26217" xr:uid="{00000000-0005-0000-0000-00004B660000}"/>
    <cellStyle name="Normal 2 3 2 16 4 5" xfId="26218" xr:uid="{00000000-0005-0000-0000-00004C660000}"/>
    <cellStyle name="Normal 2 3 2 16 4 6" xfId="26219" xr:uid="{00000000-0005-0000-0000-00004D660000}"/>
    <cellStyle name="Normal 2 3 2 16 4 7" xfId="26220" xr:uid="{00000000-0005-0000-0000-00004E660000}"/>
    <cellStyle name="Normal 2 3 2 16 4 8" xfId="26221" xr:uid="{00000000-0005-0000-0000-00004F660000}"/>
    <cellStyle name="Normal 2 3 2 16 4 9" xfId="26222" xr:uid="{00000000-0005-0000-0000-000050660000}"/>
    <cellStyle name="Normal 2 3 2 16 5" xfId="26223" xr:uid="{00000000-0005-0000-0000-000051660000}"/>
    <cellStyle name="Normal 2 3 2 16 5 10" xfId="26224" xr:uid="{00000000-0005-0000-0000-000052660000}"/>
    <cellStyle name="Normal 2 3 2 16 5 2" xfId="26225" xr:uid="{00000000-0005-0000-0000-000053660000}"/>
    <cellStyle name="Normal 2 3 2 16 5 3" xfId="26226" xr:uid="{00000000-0005-0000-0000-000054660000}"/>
    <cellStyle name="Normal 2 3 2 16 5 4" xfId="26227" xr:uid="{00000000-0005-0000-0000-000055660000}"/>
    <cellStyle name="Normal 2 3 2 16 5 5" xfId="26228" xr:uid="{00000000-0005-0000-0000-000056660000}"/>
    <cellStyle name="Normal 2 3 2 16 5 6" xfId="26229" xr:uid="{00000000-0005-0000-0000-000057660000}"/>
    <cellStyle name="Normal 2 3 2 16 5 7" xfId="26230" xr:uid="{00000000-0005-0000-0000-000058660000}"/>
    <cellStyle name="Normal 2 3 2 16 5 8" xfId="26231" xr:uid="{00000000-0005-0000-0000-000059660000}"/>
    <cellStyle name="Normal 2 3 2 16 5 9" xfId="26232" xr:uid="{00000000-0005-0000-0000-00005A660000}"/>
    <cellStyle name="Normal 2 3 2 16 6" xfId="26233" xr:uid="{00000000-0005-0000-0000-00005B660000}"/>
    <cellStyle name="Normal 2 3 2 16 7" xfId="26234" xr:uid="{00000000-0005-0000-0000-00005C660000}"/>
    <cellStyle name="Normal 2 3 2 16 8" xfId="26235" xr:uid="{00000000-0005-0000-0000-00005D660000}"/>
    <cellStyle name="Normal 2 3 2 16 9" xfId="26236" xr:uid="{00000000-0005-0000-0000-00005E660000}"/>
    <cellStyle name="Normal 2 3 2 17" xfId="26237" xr:uid="{00000000-0005-0000-0000-00005F660000}"/>
    <cellStyle name="Normal 2 3 2 17 10" xfId="26238" xr:uid="{00000000-0005-0000-0000-000060660000}"/>
    <cellStyle name="Normal 2 3 2 17 11" xfId="26239" xr:uid="{00000000-0005-0000-0000-000061660000}"/>
    <cellStyle name="Normal 2 3 2 17 12" xfId="26240" xr:uid="{00000000-0005-0000-0000-000062660000}"/>
    <cellStyle name="Normal 2 3 2 17 13" xfId="26241" xr:uid="{00000000-0005-0000-0000-000063660000}"/>
    <cellStyle name="Normal 2 3 2 17 14" xfId="26242" xr:uid="{00000000-0005-0000-0000-000064660000}"/>
    <cellStyle name="Normal 2 3 2 17 2" xfId="26243" xr:uid="{00000000-0005-0000-0000-000065660000}"/>
    <cellStyle name="Normal 2 3 2 17 2 10" xfId="26244" xr:uid="{00000000-0005-0000-0000-000066660000}"/>
    <cellStyle name="Normal 2 3 2 17 2 2" xfId="26245" xr:uid="{00000000-0005-0000-0000-000067660000}"/>
    <cellStyle name="Normal 2 3 2 17 2 3" xfId="26246" xr:uid="{00000000-0005-0000-0000-000068660000}"/>
    <cellStyle name="Normal 2 3 2 17 2 4" xfId="26247" xr:uid="{00000000-0005-0000-0000-000069660000}"/>
    <cellStyle name="Normal 2 3 2 17 2 5" xfId="26248" xr:uid="{00000000-0005-0000-0000-00006A660000}"/>
    <cellStyle name="Normal 2 3 2 17 2 6" xfId="26249" xr:uid="{00000000-0005-0000-0000-00006B660000}"/>
    <cellStyle name="Normal 2 3 2 17 2 7" xfId="26250" xr:uid="{00000000-0005-0000-0000-00006C660000}"/>
    <cellStyle name="Normal 2 3 2 17 2 8" xfId="26251" xr:uid="{00000000-0005-0000-0000-00006D660000}"/>
    <cellStyle name="Normal 2 3 2 17 2 9" xfId="26252" xr:uid="{00000000-0005-0000-0000-00006E660000}"/>
    <cellStyle name="Normal 2 3 2 17 3" xfId="26253" xr:uid="{00000000-0005-0000-0000-00006F660000}"/>
    <cellStyle name="Normal 2 3 2 17 3 10" xfId="26254" xr:uid="{00000000-0005-0000-0000-000070660000}"/>
    <cellStyle name="Normal 2 3 2 17 3 2" xfId="26255" xr:uid="{00000000-0005-0000-0000-000071660000}"/>
    <cellStyle name="Normal 2 3 2 17 3 3" xfId="26256" xr:uid="{00000000-0005-0000-0000-000072660000}"/>
    <cellStyle name="Normal 2 3 2 17 3 4" xfId="26257" xr:uid="{00000000-0005-0000-0000-000073660000}"/>
    <cellStyle name="Normal 2 3 2 17 3 5" xfId="26258" xr:uid="{00000000-0005-0000-0000-000074660000}"/>
    <cellStyle name="Normal 2 3 2 17 3 6" xfId="26259" xr:uid="{00000000-0005-0000-0000-000075660000}"/>
    <cellStyle name="Normal 2 3 2 17 3 7" xfId="26260" xr:uid="{00000000-0005-0000-0000-000076660000}"/>
    <cellStyle name="Normal 2 3 2 17 3 8" xfId="26261" xr:uid="{00000000-0005-0000-0000-000077660000}"/>
    <cellStyle name="Normal 2 3 2 17 3 9" xfId="26262" xr:uid="{00000000-0005-0000-0000-000078660000}"/>
    <cellStyle name="Normal 2 3 2 17 4" xfId="26263" xr:uid="{00000000-0005-0000-0000-000079660000}"/>
    <cellStyle name="Normal 2 3 2 17 4 10" xfId="26264" xr:uid="{00000000-0005-0000-0000-00007A660000}"/>
    <cellStyle name="Normal 2 3 2 17 4 2" xfId="26265" xr:uid="{00000000-0005-0000-0000-00007B660000}"/>
    <cellStyle name="Normal 2 3 2 17 4 3" xfId="26266" xr:uid="{00000000-0005-0000-0000-00007C660000}"/>
    <cellStyle name="Normal 2 3 2 17 4 4" xfId="26267" xr:uid="{00000000-0005-0000-0000-00007D660000}"/>
    <cellStyle name="Normal 2 3 2 17 4 5" xfId="26268" xr:uid="{00000000-0005-0000-0000-00007E660000}"/>
    <cellStyle name="Normal 2 3 2 17 4 6" xfId="26269" xr:uid="{00000000-0005-0000-0000-00007F660000}"/>
    <cellStyle name="Normal 2 3 2 17 4 7" xfId="26270" xr:uid="{00000000-0005-0000-0000-000080660000}"/>
    <cellStyle name="Normal 2 3 2 17 4 8" xfId="26271" xr:uid="{00000000-0005-0000-0000-000081660000}"/>
    <cellStyle name="Normal 2 3 2 17 4 9" xfId="26272" xr:uid="{00000000-0005-0000-0000-000082660000}"/>
    <cellStyle name="Normal 2 3 2 17 5" xfId="26273" xr:uid="{00000000-0005-0000-0000-000083660000}"/>
    <cellStyle name="Normal 2 3 2 17 5 10" xfId="26274" xr:uid="{00000000-0005-0000-0000-000084660000}"/>
    <cellStyle name="Normal 2 3 2 17 5 2" xfId="26275" xr:uid="{00000000-0005-0000-0000-000085660000}"/>
    <cellStyle name="Normal 2 3 2 17 5 3" xfId="26276" xr:uid="{00000000-0005-0000-0000-000086660000}"/>
    <cellStyle name="Normal 2 3 2 17 5 4" xfId="26277" xr:uid="{00000000-0005-0000-0000-000087660000}"/>
    <cellStyle name="Normal 2 3 2 17 5 5" xfId="26278" xr:uid="{00000000-0005-0000-0000-000088660000}"/>
    <cellStyle name="Normal 2 3 2 17 5 6" xfId="26279" xr:uid="{00000000-0005-0000-0000-000089660000}"/>
    <cellStyle name="Normal 2 3 2 17 5 7" xfId="26280" xr:uid="{00000000-0005-0000-0000-00008A660000}"/>
    <cellStyle name="Normal 2 3 2 17 5 8" xfId="26281" xr:uid="{00000000-0005-0000-0000-00008B660000}"/>
    <cellStyle name="Normal 2 3 2 17 5 9" xfId="26282" xr:uid="{00000000-0005-0000-0000-00008C660000}"/>
    <cellStyle name="Normal 2 3 2 17 6" xfId="26283" xr:uid="{00000000-0005-0000-0000-00008D660000}"/>
    <cellStyle name="Normal 2 3 2 17 7" xfId="26284" xr:uid="{00000000-0005-0000-0000-00008E660000}"/>
    <cellStyle name="Normal 2 3 2 17 8" xfId="26285" xr:uid="{00000000-0005-0000-0000-00008F660000}"/>
    <cellStyle name="Normal 2 3 2 17 9" xfId="26286" xr:uid="{00000000-0005-0000-0000-000090660000}"/>
    <cellStyle name="Normal 2 3 2 18" xfId="26287" xr:uid="{00000000-0005-0000-0000-000091660000}"/>
    <cellStyle name="Normal 2 3 2 18 10" xfId="26288" xr:uid="{00000000-0005-0000-0000-000092660000}"/>
    <cellStyle name="Normal 2 3 2 18 11" xfId="26289" xr:uid="{00000000-0005-0000-0000-000093660000}"/>
    <cellStyle name="Normal 2 3 2 18 12" xfId="26290" xr:uid="{00000000-0005-0000-0000-000094660000}"/>
    <cellStyle name="Normal 2 3 2 18 13" xfId="26291" xr:uid="{00000000-0005-0000-0000-000095660000}"/>
    <cellStyle name="Normal 2 3 2 18 14" xfId="26292" xr:uid="{00000000-0005-0000-0000-000096660000}"/>
    <cellStyle name="Normal 2 3 2 18 2" xfId="26293" xr:uid="{00000000-0005-0000-0000-000097660000}"/>
    <cellStyle name="Normal 2 3 2 18 2 10" xfId="26294" xr:uid="{00000000-0005-0000-0000-000098660000}"/>
    <cellStyle name="Normal 2 3 2 18 2 2" xfId="26295" xr:uid="{00000000-0005-0000-0000-000099660000}"/>
    <cellStyle name="Normal 2 3 2 18 2 3" xfId="26296" xr:uid="{00000000-0005-0000-0000-00009A660000}"/>
    <cellStyle name="Normal 2 3 2 18 2 4" xfId="26297" xr:uid="{00000000-0005-0000-0000-00009B660000}"/>
    <cellStyle name="Normal 2 3 2 18 2 5" xfId="26298" xr:uid="{00000000-0005-0000-0000-00009C660000}"/>
    <cellStyle name="Normal 2 3 2 18 2 6" xfId="26299" xr:uid="{00000000-0005-0000-0000-00009D660000}"/>
    <cellStyle name="Normal 2 3 2 18 2 7" xfId="26300" xr:uid="{00000000-0005-0000-0000-00009E660000}"/>
    <cellStyle name="Normal 2 3 2 18 2 8" xfId="26301" xr:uid="{00000000-0005-0000-0000-00009F660000}"/>
    <cellStyle name="Normal 2 3 2 18 2 9" xfId="26302" xr:uid="{00000000-0005-0000-0000-0000A0660000}"/>
    <cellStyle name="Normal 2 3 2 18 3" xfId="26303" xr:uid="{00000000-0005-0000-0000-0000A1660000}"/>
    <cellStyle name="Normal 2 3 2 18 3 10" xfId="26304" xr:uid="{00000000-0005-0000-0000-0000A2660000}"/>
    <cellStyle name="Normal 2 3 2 18 3 2" xfId="26305" xr:uid="{00000000-0005-0000-0000-0000A3660000}"/>
    <cellStyle name="Normal 2 3 2 18 3 3" xfId="26306" xr:uid="{00000000-0005-0000-0000-0000A4660000}"/>
    <cellStyle name="Normal 2 3 2 18 3 4" xfId="26307" xr:uid="{00000000-0005-0000-0000-0000A5660000}"/>
    <cellStyle name="Normal 2 3 2 18 3 5" xfId="26308" xr:uid="{00000000-0005-0000-0000-0000A6660000}"/>
    <cellStyle name="Normal 2 3 2 18 3 6" xfId="26309" xr:uid="{00000000-0005-0000-0000-0000A7660000}"/>
    <cellStyle name="Normal 2 3 2 18 3 7" xfId="26310" xr:uid="{00000000-0005-0000-0000-0000A8660000}"/>
    <cellStyle name="Normal 2 3 2 18 3 8" xfId="26311" xr:uid="{00000000-0005-0000-0000-0000A9660000}"/>
    <cellStyle name="Normal 2 3 2 18 3 9" xfId="26312" xr:uid="{00000000-0005-0000-0000-0000AA660000}"/>
    <cellStyle name="Normal 2 3 2 18 4" xfId="26313" xr:uid="{00000000-0005-0000-0000-0000AB660000}"/>
    <cellStyle name="Normal 2 3 2 18 4 10" xfId="26314" xr:uid="{00000000-0005-0000-0000-0000AC660000}"/>
    <cellStyle name="Normal 2 3 2 18 4 2" xfId="26315" xr:uid="{00000000-0005-0000-0000-0000AD660000}"/>
    <cellStyle name="Normal 2 3 2 18 4 3" xfId="26316" xr:uid="{00000000-0005-0000-0000-0000AE660000}"/>
    <cellStyle name="Normal 2 3 2 18 4 4" xfId="26317" xr:uid="{00000000-0005-0000-0000-0000AF660000}"/>
    <cellStyle name="Normal 2 3 2 18 4 5" xfId="26318" xr:uid="{00000000-0005-0000-0000-0000B0660000}"/>
    <cellStyle name="Normal 2 3 2 18 4 6" xfId="26319" xr:uid="{00000000-0005-0000-0000-0000B1660000}"/>
    <cellStyle name="Normal 2 3 2 18 4 7" xfId="26320" xr:uid="{00000000-0005-0000-0000-0000B2660000}"/>
    <cellStyle name="Normal 2 3 2 18 4 8" xfId="26321" xr:uid="{00000000-0005-0000-0000-0000B3660000}"/>
    <cellStyle name="Normal 2 3 2 18 4 9" xfId="26322" xr:uid="{00000000-0005-0000-0000-0000B4660000}"/>
    <cellStyle name="Normal 2 3 2 18 5" xfId="26323" xr:uid="{00000000-0005-0000-0000-0000B5660000}"/>
    <cellStyle name="Normal 2 3 2 18 5 10" xfId="26324" xr:uid="{00000000-0005-0000-0000-0000B6660000}"/>
    <cellStyle name="Normal 2 3 2 18 5 2" xfId="26325" xr:uid="{00000000-0005-0000-0000-0000B7660000}"/>
    <cellStyle name="Normal 2 3 2 18 5 3" xfId="26326" xr:uid="{00000000-0005-0000-0000-0000B8660000}"/>
    <cellStyle name="Normal 2 3 2 18 5 4" xfId="26327" xr:uid="{00000000-0005-0000-0000-0000B9660000}"/>
    <cellStyle name="Normal 2 3 2 18 5 5" xfId="26328" xr:uid="{00000000-0005-0000-0000-0000BA660000}"/>
    <cellStyle name="Normal 2 3 2 18 5 6" xfId="26329" xr:uid="{00000000-0005-0000-0000-0000BB660000}"/>
    <cellStyle name="Normal 2 3 2 18 5 7" xfId="26330" xr:uid="{00000000-0005-0000-0000-0000BC660000}"/>
    <cellStyle name="Normal 2 3 2 18 5 8" xfId="26331" xr:uid="{00000000-0005-0000-0000-0000BD660000}"/>
    <cellStyle name="Normal 2 3 2 18 5 9" xfId="26332" xr:uid="{00000000-0005-0000-0000-0000BE660000}"/>
    <cellStyle name="Normal 2 3 2 18 6" xfId="26333" xr:uid="{00000000-0005-0000-0000-0000BF660000}"/>
    <cellStyle name="Normal 2 3 2 18 7" xfId="26334" xr:uid="{00000000-0005-0000-0000-0000C0660000}"/>
    <cellStyle name="Normal 2 3 2 18 8" xfId="26335" xr:uid="{00000000-0005-0000-0000-0000C1660000}"/>
    <cellStyle name="Normal 2 3 2 18 9" xfId="26336" xr:uid="{00000000-0005-0000-0000-0000C2660000}"/>
    <cellStyle name="Normal 2 3 2 19" xfId="26337" xr:uid="{00000000-0005-0000-0000-0000C3660000}"/>
    <cellStyle name="Normal 2 3 2 19 10" xfId="26338" xr:uid="{00000000-0005-0000-0000-0000C4660000}"/>
    <cellStyle name="Normal 2 3 2 19 11" xfId="26339" xr:uid="{00000000-0005-0000-0000-0000C5660000}"/>
    <cellStyle name="Normal 2 3 2 19 12" xfId="26340" xr:uid="{00000000-0005-0000-0000-0000C6660000}"/>
    <cellStyle name="Normal 2 3 2 19 13" xfId="26341" xr:uid="{00000000-0005-0000-0000-0000C7660000}"/>
    <cellStyle name="Normal 2 3 2 19 14" xfId="26342" xr:uid="{00000000-0005-0000-0000-0000C8660000}"/>
    <cellStyle name="Normal 2 3 2 19 2" xfId="26343" xr:uid="{00000000-0005-0000-0000-0000C9660000}"/>
    <cellStyle name="Normal 2 3 2 19 2 10" xfId="26344" xr:uid="{00000000-0005-0000-0000-0000CA660000}"/>
    <cellStyle name="Normal 2 3 2 19 2 2" xfId="26345" xr:uid="{00000000-0005-0000-0000-0000CB660000}"/>
    <cellStyle name="Normal 2 3 2 19 2 3" xfId="26346" xr:uid="{00000000-0005-0000-0000-0000CC660000}"/>
    <cellStyle name="Normal 2 3 2 19 2 4" xfId="26347" xr:uid="{00000000-0005-0000-0000-0000CD660000}"/>
    <cellStyle name="Normal 2 3 2 19 2 5" xfId="26348" xr:uid="{00000000-0005-0000-0000-0000CE660000}"/>
    <cellStyle name="Normal 2 3 2 19 2 6" xfId="26349" xr:uid="{00000000-0005-0000-0000-0000CF660000}"/>
    <cellStyle name="Normal 2 3 2 19 2 7" xfId="26350" xr:uid="{00000000-0005-0000-0000-0000D0660000}"/>
    <cellStyle name="Normal 2 3 2 19 2 8" xfId="26351" xr:uid="{00000000-0005-0000-0000-0000D1660000}"/>
    <cellStyle name="Normal 2 3 2 19 2 9" xfId="26352" xr:uid="{00000000-0005-0000-0000-0000D2660000}"/>
    <cellStyle name="Normal 2 3 2 19 3" xfId="26353" xr:uid="{00000000-0005-0000-0000-0000D3660000}"/>
    <cellStyle name="Normal 2 3 2 19 3 10" xfId="26354" xr:uid="{00000000-0005-0000-0000-0000D4660000}"/>
    <cellStyle name="Normal 2 3 2 19 3 2" xfId="26355" xr:uid="{00000000-0005-0000-0000-0000D5660000}"/>
    <cellStyle name="Normal 2 3 2 19 3 3" xfId="26356" xr:uid="{00000000-0005-0000-0000-0000D6660000}"/>
    <cellStyle name="Normal 2 3 2 19 3 4" xfId="26357" xr:uid="{00000000-0005-0000-0000-0000D7660000}"/>
    <cellStyle name="Normal 2 3 2 19 3 5" xfId="26358" xr:uid="{00000000-0005-0000-0000-0000D8660000}"/>
    <cellStyle name="Normal 2 3 2 19 3 6" xfId="26359" xr:uid="{00000000-0005-0000-0000-0000D9660000}"/>
    <cellStyle name="Normal 2 3 2 19 3 7" xfId="26360" xr:uid="{00000000-0005-0000-0000-0000DA660000}"/>
    <cellStyle name="Normal 2 3 2 19 3 8" xfId="26361" xr:uid="{00000000-0005-0000-0000-0000DB660000}"/>
    <cellStyle name="Normal 2 3 2 19 3 9" xfId="26362" xr:uid="{00000000-0005-0000-0000-0000DC660000}"/>
    <cellStyle name="Normal 2 3 2 19 4" xfId="26363" xr:uid="{00000000-0005-0000-0000-0000DD660000}"/>
    <cellStyle name="Normal 2 3 2 19 4 10" xfId="26364" xr:uid="{00000000-0005-0000-0000-0000DE660000}"/>
    <cellStyle name="Normal 2 3 2 19 4 2" xfId="26365" xr:uid="{00000000-0005-0000-0000-0000DF660000}"/>
    <cellStyle name="Normal 2 3 2 19 4 3" xfId="26366" xr:uid="{00000000-0005-0000-0000-0000E0660000}"/>
    <cellStyle name="Normal 2 3 2 19 4 4" xfId="26367" xr:uid="{00000000-0005-0000-0000-0000E1660000}"/>
    <cellStyle name="Normal 2 3 2 19 4 5" xfId="26368" xr:uid="{00000000-0005-0000-0000-0000E2660000}"/>
    <cellStyle name="Normal 2 3 2 19 4 6" xfId="26369" xr:uid="{00000000-0005-0000-0000-0000E3660000}"/>
    <cellStyle name="Normal 2 3 2 19 4 7" xfId="26370" xr:uid="{00000000-0005-0000-0000-0000E4660000}"/>
    <cellStyle name="Normal 2 3 2 19 4 8" xfId="26371" xr:uid="{00000000-0005-0000-0000-0000E5660000}"/>
    <cellStyle name="Normal 2 3 2 19 4 9" xfId="26372" xr:uid="{00000000-0005-0000-0000-0000E6660000}"/>
    <cellStyle name="Normal 2 3 2 19 5" xfId="26373" xr:uid="{00000000-0005-0000-0000-0000E7660000}"/>
    <cellStyle name="Normal 2 3 2 19 5 10" xfId="26374" xr:uid="{00000000-0005-0000-0000-0000E8660000}"/>
    <cellStyle name="Normal 2 3 2 19 5 2" xfId="26375" xr:uid="{00000000-0005-0000-0000-0000E9660000}"/>
    <cellStyle name="Normal 2 3 2 19 5 3" xfId="26376" xr:uid="{00000000-0005-0000-0000-0000EA660000}"/>
    <cellStyle name="Normal 2 3 2 19 5 4" xfId="26377" xr:uid="{00000000-0005-0000-0000-0000EB660000}"/>
    <cellStyle name="Normal 2 3 2 19 5 5" xfId="26378" xr:uid="{00000000-0005-0000-0000-0000EC660000}"/>
    <cellStyle name="Normal 2 3 2 19 5 6" xfId="26379" xr:uid="{00000000-0005-0000-0000-0000ED660000}"/>
    <cellStyle name="Normal 2 3 2 19 5 7" xfId="26380" xr:uid="{00000000-0005-0000-0000-0000EE660000}"/>
    <cellStyle name="Normal 2 3 2 19 5 8" xfId="26381" xr:uid="{00000000-0005-0000-0000-0000EF660000}"/>
    <cellStyle name="Normal 2 3 2 19 5 9" xfId="26382" xr:uid="{00000000-0005-0000-0000-0000F0660000}"/>
    <cellStyle name="Normal 2 3 2 19 6" xfId="26383" xr:uid="{00000000-0005-0000-0000-0000F1660000}"/>
    <cellStyle name="Normal 2 3 2 19 7" xfId="26384" xr:uid="{00000000-0005-0000-0000-0000F2660000}"/>
    <cellStyle name="Normal 2 3 2 19 8" xfId="26385" xr:uid="{00000000-0005-0000-0000-0000F3660000}"/>
    <cellStyle name="Normal 2 3 2 19 9" xfId="26386" xr:uid="{00000000-0005-0000-0000-0000F4660000}"/>
    <cellStyle name="Normal 2 3 2 2" xfId="26387" xr:uid="{00000000-0005-0000-0000-0000F5660000}"/>
    <cellStyle name="Normal 2 3 2 2 10" xfId="26388" xr:uid="{00000000-0005-0000-0000-0000F6660000}"/>
    <cellStyle name="Normal 2 3 2 2 11" xfId="26389" xr:uid="{00000000-0005-0000-0000-0000F7660000}"/>
    <cellStyle name="Normal 2 3 2 2 12" xfId="26390" xr:uid="{00000000-0005-0000-0000-0000F8660000}"/>
    <cellStyle name="Normal 2 3 2 2 13" xfId="26391" xr:uid="{00000000-0005-0000-0000-0000F9660000}"/>
    <cellStyle name="Normal 2 3 2 2 14" xfId="26392" xr:uid="{00000000-0005-0000-0000-0000FA660000}"/>
    <cellStyle name="Normal 2 3 2 2 15" xfId="26393" xr:uid="{00000000-0005-0000-0000-0000FB660000}"/>
    <cellStyle name="Normal 2 3 2 2 16" xfId="26394" xr:uid="{00000000-0005-0000-0000-0000FC660000}"/>
    <cellStyle name="Normal 2 3 2 2 2" xfId="26395" xr:uid="{00000000-0005-0000-0000-0000FD660000}"/>
    <cellStyle name="Normal 2 3 2 2 2 10" xfId="26396" xr:uid="{00000000-0005-0000-0000-0000FE660000}"/>
    <cellStyle name="Normal 2 3 2 2 2 11" xfId="26397" xr:uid="{00000000-0005-0000-0000-0000FF660000}"/>
    <cellStyle name="Normal 2 3 2 2 2 12" xfId="26398" xr:uid="{00000000-0005-0000-0000-000000670000}"/>
    <cellStyle name="Normal 2 3 2 2 2 2" xfId="26399" xr:uid="{00000000-0005-0000-0000-000001670000}"/>
    <cellStyle name="Normal 2 3 2 2 2 3" xfId="26400" xr:uid="{00000000-0005-0000-0000-000002670000}"/>
    <cellStyle name="Normal 2 3 2 2 2 4" xfId="26401" xr:uid="{00000000-0005-0000-0000-000003670000}"/>
    <cellStyle name="Normal 2 3 2 2 2 5" xfId="26402" xr:uid="{00000000-0005-0000-0000-000004670000}"/>
    <cellStyle name="Normal 2 3 2 2 2 6" xfId="26403" xr:uid="{00000000-0005-0000-0000-000005670000}"/>
    <cellStyle name="Normal 2 3 2 2 2 7" xfId="26404" xr:uid="{00000000-0005-0000-0000-000006670000}"/>
    <cellStyle name="Normal 2 3 2 2 2 8" xfId="26405" xr:uid="{00000000-0005-0000-0000-000007670000}"/>
    <cellStyle name="Normal 2 3 2 2 2 9" xfId="26406" xr:uid="{00000000-0005-0000-0000-000008670000}"/>
    <cellStyle name="Normal 2 3 2 2 3" xfId="26407" xr:uid="{00000000-0005-0000-0000-000009670000}"/>
    <cellStyle name="Normal 2 3 2 2 3 10" xfId="26408" xr:uid="{00000000-0005-0000-0000-00000A670000}"/>
    <cellStyle name="Normal 2 3 2 2 3 2" xfId="26409" xr:uid="{00000000-0005-0000-0000-00000B670000}"/>
    <cellStyle name="Normal 2 3 2 2 3 3" xfId="26410" xr:uid="{00000000-0005-0000-0000-00000C670000}"/>
    <cellStyle name="Normal 2 3 2 2 3 4" xfId="26411" xr:uid="{00000000-0005-0000-0000-00000D670000}"/>
    <cellStyle name="Normal 2 3 2 2 3 5" xfId="26412" xr:uid="{00000000-0005-0000-0000-00000E670000}"/>
    <cellStyle name="Normal 2 3 2 2 3 6" xfId="26413" xr:uid="{00000000-0005-0000-0000-00000F670000}"/>
    <cellStyle name="Normal 2 3 2 2 3 7" xfId="26414" xr:uid="{00000000-0005-0000-0000-000010670000}"/>
    <cellStyle name="Normal 2 3 2 2 3 8" xfId="26415" xr:uid="{00000000-0005-0000-0000-000011670000}"/>
    <cellStyle name="Normal 2 3 2 2 3 9" xfId="26416" xr:uid="{00000000-0005-0000-0000-000012670000}"/>
    <cellStyle name="Normal 2 3 2 2 4" xfId="26417" xr:uid="{00000000-0005-0000-0000-000013670000}"/>
    <cellStyle name="Normal 2 3 2 2 4 10" xfId="26418" xr:uid="{00000000-0005-0000-0000-000014670000}"/>
    <cellStyle name="Normal 2 3 2 2 4 2" xfId="26419" xr:uid="{00000000-0005-0000-0000-000015670000}"/>
    <cellStyle name="Normal 2 3 2 2 4 3" xfId="26420" xr:uid="{00000000-0005-0000-0000-000016670000}"/>
    <cellStyle name="Normal 2 3 2 2 4 4" xfId="26421" xr:uid="{00000000-0005-0000-0000-000017670000}"/>
    <cellStyle name="Normal 2 3 2 2 4 5" xfId="26422" xr:uid="{00000000-0005-0000-0000-000018670000}"/>
    <cellStyle name="Normal 2 3 2 2 4 6" xfId="26423" xr:uid="{00000000-0005-0000-0000-000019670000}"/>
    <cellStyle name="Normal 2 3 2 2 4 7" xfId="26424" xr:uid="{00000000-0005-0000-0000-00001A670000}"/>
    <cellStyle name="Normal 2 3 2 2 4 8" xfId="26425" xr:uid="{00000000-0005-0000-0000-00001B670000}"/>
    <cellStyle name="Normal 2 3 2 2 4 9" xfId="26426" xr:uid="{00000000-0005-0000-0000-00001C670000}"/>
    <cellStyle name="Normal 2 3 2 2 5" xfId="26427" xr:uid="{00000000-0005-0000-0000-00001D670000}"/>
    <cellStyle name="Normal 2 3 2 2 5 10" xfId="26428" xr:uid="{00000000-0005-0000-0000-00001E670000}"/>
    <cellStyle name="Normal 2 3 2 2 5 2" xfId="26429" xr:uid="{00000000-0005-0000-0000-00001F670000}"/>
    <cellStyle name="Normal 2 3 2 2 5 3" xfId="26430" xr:uid="{00000000-0005-0000-0000-000020670000}"/>
    <cellStyle name="Normal 2 3 2 2 5 4" xfId="26431" xr:uid="{00000000-0005-0000-0000-000021670000}"/>
    <cellStyle name="Normal 2 3 2 2 5 5" xfId="26432" xr:uid="{00000000-0005-0000-0000-000022670000}"/>
    <cellStyle name="Normal 2 3 2 2 5 6" xfId="26433" xr:uid="{00000000-0005-0000-0000-000023670000}"/>
    <cellStyle name="Normal 2 3 2 2 5 7" xfId="26434" xr:uid="{00000000-0005-0000-0000-000024670000}"/>
    <cellStyle name="Normal 2 3 2 2 5 8" xfId="26435" xr:uid="{00000000-0005-0000-0000-000025670000}"/>
    <cellStyle name="Normal 2 3 2 2 5 9" xfId="26436" xr:uid="{00000000-0005-0000-0000-000026670000}"/>
    <cellStyle name="Normal 2 3 2 2 6" xfId="26437" xr:uid="{00000000-0005-0000-0000-000027670000}"/>
    <cellStyle name="Normal 2 3 2 2 7" xfId="26438" xr:uid="{00000000-0005-0000-0000-000028670000}"/>
    <cellStyle name="Normal 2 3 2 2 8" xfId="26439" xr:uid="{00000000-0005-0000-0000-000029670000}"/>
    <cellStyle name="Normal 2 3 2 2 9" xfId="26440" xr:uid="{00000000-0005-0000-0000-00002A670000}"/>
    <cellStyle name="Normal 2 3 2 20" xfId="26441" xr:uid="{00000000-0005-0000-0000-00002B670000}"/>
    <cellStyle name="Normal 2 3 2 20 10" xfId="26442" xr:uid="{00000000-0005-0000-0000-00002C670000}"/>
    <cellStyle name="Normal 2 3 2 20 11" xfId="26443" xr:uid="{00000000-0005-0000-0000-00002D670000}"/>
    <cellStyle name="Normal 2 3 2 20 12" xfId="26444" xr:uid="{00000000-0005-0000-0000-00002E670000}"/>
    <cellStyle name="Normal 2 3 2 20 13" xfId="26445" xr:uid="{00000000-0005-0000-0000-00002F670000}"/>
    <cellStyle name="Normal 2 3 2 20 14" xfId="26446" xr:uid="{00000000-0005-0000-0000-000030670000}"/>
    <cellStyle name="Normal 2 3 2 20 2" xfId="26447" xr:uid="{00000000-0005-0000-0000-000031670000}"/>
    <cellStyle name="Normal 2 3 2 20 2 10" xfId="26448" xr:uid="{00000000-0005-0000-0000-000032670000}"/>
    <cellStyle name="Normal 2 3 2 20 2 2" xfId="26449" xr:uid="{00000000-0005-0000-0000-000033670000}"/>
    <cellStyle name="Normal 2 3 2 20 2 3" xfId="26450" xr:uid="{00000000-0005-0000-0000-000034670000}"/>
    <cellStyle name="Normal 2 3 2 20 2 4" xfId="26451" xr:uid="{00000000-0005-0000-0000-000035670000}"/>
    <cellStyle name="Normal 2 3 2 20 2 5" xfId="26452" xr:uid="{00000000-0005-0000-0000-000036670000}"/>
    <cellStyle name="Normal 2 3 2 20 2 6" xfId="26453" xr:uid="{00000000-0005-0000-0000-000037670000}"/>
    <cellStyle name="Normal 2 3 2 20 2 7" xfId="26454" xr:uid="{00000000-0005-0000-0000-000038670000}"/>
    <cellStyle name="Normal 2 3 2 20 2 8" xfId="26455" xr:uid="{00000000-0005-0000-0000-000039670000}"/>
    <cellStyle name="Normal 2 3 2 20 2 9" xfId="26456" xr:uid="{00000000-0005-0000-0000-00003A670000}"/>
    <cellStyle name="Normal 2 3 2 20 3" xfId="26457" xr:uid="{00000000-0005-0000-0000-00003B670000}"/>
    <cellStyle name="Normal 2 3 2 20 3 10" xfId="26458" xr:uid="{00000000-0005-0000-0000-00003C670000}"/>
    <cellStyle name="Normal 2 3 2 20 3 2" xfId="26459" xr:uid="{00000000-0005-0000-0000-00003D670000}"/>
    <cellStyle name="Normal 2 3 2 20 3 3" xfId="26460" xr:uid="{00000000-0005-0000-0000-00003E670000}"/>
    <cellStyle name="Normal 2 3 2 20 3 4" xfId="26461" xr:uid="{00000000-0005-0000-0000-00003F670000}"/>
    <cellStyle name="Normal 2 3 2 20 3 5" xfId="26462" xr:uid="{00000000-0005-0000-0000-000040670000}"/>
    <cellStyle name="Normal 2 3 2 20 3 6" xfId="26463" xr:uid="{00000000-0005-0000-0000-000041670000}"/>
    <cellStyle name="Normal 2 3 2 20 3 7" xfId="26464" xr:uid="{00000000-0005-0000-0000-000042670000}"/>
    <cellStyle name="Normal 2 3 2 20 3 8" xfId="26465" xr:uid="{00000000-0005-0000-0000-000043670000}"/>
    <cellStyle name="Normal 2 3 2 20 3 9" xfId="26466" xr:uid="{00000000-0005-0000-0000-000044670000}"/>
    <cellStyle name="Normal 2 3 2 20 4" xfId="26467" xr:uid="{00000000-0005-0000-0000-000045670000}"/>
    <cellStyle name="Normal 2 3 2 20 4 10" xfId="26468" xr:uid="{00000000-0005-0000-0000-000046670000}"/>
    <cellStyle name="Normal 2 3 2 20 4 2" xfId="26469" xr:uid="{00000000-0005-0000-0000-000047670000}"/>
    <cellStyle name="Normal 2 3 2 20 4 3" xfId="26470" xr:uid="{00000000-0005-0000-0000-000048670000}"/>
    <cellStyle name="Normal 2 3 2 20 4 4" xfId="26471" xr:uid="{00000000-0005-0000-0000-000049670000}"/>
    <cellStyle name="Normal 2 3 2 20 4 5" xfId="26472" xr:uid="{00000000-0005-0000-0000-00004A670000}"/>
    <cellStyle name="Normal 2 3 2 20 4 6" xfId="26473" xr:uid="{00000000-0005-0000-0000-00004B670000}"/>
    <cellStyle name="Normal 2 3 2 20 4 7" xfId="26474" xr:uid="{00000000-0005-0000-0000-00004C670000}"/>
    <cellStyle name="Normal 2 3 2 20 4 8" xfId="26475" xr:uid="{00000000-0005-0000-0000-00004D670000}"/>
    <cellStyle name="Normal 2 3 2 20 4 9" xfId="26476" xr:uid="{00000000-0005-0000-0000-00004E670000}"/>
    <cellStyle name="Normal 2 3 2 20 5" xfId="26477" xr:uid="{00000000-0005-0000-0000-00004F670000}"/>
    <cellStyle name="Normal 2 3 2 20 5 10" xfId="26478" xr:uid="{00000000-0005-0000-0000-000050670000}"/>
    <cellStyle name="Normal 2 3 2 20 5 2" xfId="26479" xr:uid="{00000000-0005-0000-0000-000051670000}"/>
    <cellStyle name="Normal 2 3 2 20 5 3" xfId="26480" xr:uid="{00000000-0005-0000-0000-000052670000}"/>
    <cellStyle name="Normal 2 3 2 20 5 4" xfId="26481" xr:uid="{00000000-0005-0000-0000-000053670000}"/>
    <cellStyle name="Normal 2 3 2 20 5 5" xfId="26482" xr:uid="{00000000-0005-0000-0000-000054670000}"/>
    <cellStyle name="Normal 2 3 2 20 5 6" xfId="26483" xr:uid="{00000000-0005-0000-0000-000055670000}"/>
    <cellStyle name="Normal 2 3 2 20 5 7" xfId="26484" xr:uid="{00000000-0005-0000-0000-000056670000}"/>
    <cellStyle name="Normal 2 3 2 20 5 8" xfId="26485" xr:uid="{00000000-0005-0000-0000-000057670000}"/>
    <cellStyle name="Normal 2 3 2 20 5 9" xfId="26486" xr:uid="{00000000-0005-0000-0000-000058670000}"/>
    <cellStyle name="Normal 2 3 2 20 6" xfId="26487" xr:uid="{00000000-0005-0000-0000-000059670000}"/>
    <cellStyle name="Normal 2 3 2 20 7" xfId="26488" xr:uid="{00000000-0005-0000-0000-00005A670000}"/>
    <cellStyle name="Normal 2 3 2 20 8" xfId="26489" xr:uid="{00000000-0005-0000-0000-00005B670000}"/>
    <cellStyle name="Normal 2 3 2 20 9" xfId="26490" xr:uid="{00000000-0005-0000-0000-00005C670000}"/>
    <cellStyle name="Normal 2 3 2 21" xfId="26491" xr:uid="{00000000-0005-0000-0000-00005D670000}"/>
    <cellStyle name="Normal 2 3 2 21 10" xfId="26492" xr:uid="{00000000-0005-0000-0000-00005E670000}"/>
    <cellStyle name="Normal 2 3 2 21 11" xfId="26493" xr:uid="{00000000-0005-0000-0000-00005F670000}"/>
    <cellStyle name="Normal 2 3 2 21 12" xfId="26494" xr:uid="{00000000-0005-0000-0000-000060670000}"/>
    <cellStyle name="Normal 2 3 2 21 13" xfId="26495" xr:uid="{00000000-0005-0000-0000-000061670000}"/>
    <cellStyle name="Normal 2 3 2 21 14" xfId="26496" xr:uid="{00000000-0005-0000-0000-000062670000}"/>
    <cellStyle name="Normal 2 3 2 21 2" xfId="26497" xr:uid="{00000000-0005-0000-0000-000063670000}"/>
    <cellStyle name="Normal 2 3 2 21 2 10" xfId="26498" xr:uid="{00000000-0005-0000-0000-000064670000}"/>
    <cellStyle name="Normal 2 3 2 21 2 2" xfId="26499" xr:uid="{00000000-0005-0000-0000-000065670000}"/>
    <cellStyle name="Normal 2 3 2 21 2 3" xfId="26500" xr:uid="{00000000-0005-0000-0000-000066670000}"/>
    <cellStyle name="Normal 2 3 2 21 2 4" xfId="26501" xr:uid="{00000000-0005-0000-0000-000067670000}"/>
    <cellStyle name="Normal 2 3 2 21 2 5" xfId="26502" xr:uid="{00000000-0005-0000-0000-000068670000}"/>
    <cellStyle name="Normal 2 3 2 21 2 6" xfId="26503" xr:uid="{00000000-0005-0000-0000-000069670000}"/>
    <cellStyle name="Normal 2 3 2 21 2 7" xfId="26504" xr:uid="{00000000-0005-0000-0000-00006A670000}"/>
    <cellStyle name="Normal 2 3 2 21 2 8" xfId="26505" xr:uid="{00000000-0005-0000-0000-00006B670000}"/>
    <cellStyle name="Normal 2 3 2 21 2 9" xfId="26506" xr:uid="{00000000-0005-0000-0000-00006C670000}"/>
    <cellStyle name="Normal 2 3 2 21 3" xfId="26507" xr:uid="{00000000-0005-0000-0000-00006D670000}"/>
    <cellStyle name="Normal 2 3 2 21 3 10" xfId="26508" xr:uid="{00000000-0005-0000-0000-00006E670000}"/>
    <cellStyle name="Normal 2 3 2 21 3 2" xfId="26509" xr:uid="{00000000-0005-0000-0000-00006F670000}"/>
    <cellStyle name="Normal 2 3 2 21 3 3" xfId="26510" xr:uid="{00000000-0005-0000-0000-000070670000}"/>
    <cellStyle name="Normal 2 3 2 21 3 4" xfId="26511" xr:uid="{00000000-0005-0000-0000-000071670000}"/>
    <cellStyle name="Normal 2 3 2 21 3 5" xfId="26512" xr:uid="{00000000-0005-0000-0000-000072670000}"/>
    <cellStyle name="Normal 2 3 2 21 3 6" xfId="26513" xr:uid="{00000000-0005-0000-0000-000073670000}"/>
    <cellStyle name="Normal 2 3 2 21 3 7" xfId="26514" xr:uid="{00000000-0005-0000-0000-000074670000}"/>
    <cellStyle name="Normal 2 3 2 21 3 8" xfId="26515" xr:uid="{00000000-0005-0000-0000-000075670000}"/>
    <cellStyle name="Normal 2 3 2 21 3 9" xfId="26516" xr:uid="{00000000-0005-0000-0000-000076670000}"/>
    <cellStyle name="Normal 2 3 2 21 4" xfId="26517" xr:uid="{00000000-0005-0000-0000-000077670000}"/>
    <cellStyle name="Normal 2 3 2 21 4 10" xfId="26518" xr:uid="{00000000-0005-0000-0000-000078670000}"/>
    <cellStyle name="Normal 2 3 2 21 4 2" xfId="26519" xr:uid="{00000000-0005-0000-0000-000079670000}"/>
    <cellStyle name="Normal 2 3 2 21 4 3" xfId="26520" xr:uid="{00000000-0005-0000-0000-00007A670000}"/>
    <cellStyle name="Normal 2 3 2 21 4 4" xfId="26521" xr:uid="{00000000-0005-0000-0000-00007B670000}"/>
    <cellStyle name="Normal 2 3 2 21 4 5" xfId="26522" xr:uid="{00000000-0005-0000-0000-00007C670000}"/>
    <cellStyle name="Normal 2 3 2 21 4 6" xfId="26523" xr:uid="{00000000-0005-0000-0000-00007D670000}"/>
    <cellStyle name="Normal 2 3 2 21 4 7" xfId="26524" xr:uid="{00000000-0005-0000-0000-00007E670000}"/>
    <cellStyle name="Normal 2 3 2 21 4 8" xfId="26525" xr:uid="{00000000-0005-0000-0000-00007F670000}"/>
    <cellStyle name="Normal 2 3 2 21 4 9" xfId="26526" xr:uid="{00000000-0005-0000-0000-000080670000}"/>
    <cellStyle name="Normal 2 3 2 21 5" xfId="26527" xr:uid="{00000000-0005-0000-0000-000081670000}"/>
    <cellStyle name="Normal 2 3 2 21 5 10" xfId="26528" xr:uid="{00000000-0005-0000-0000-000082670000}"/>
    <cellStyle name="Normal 2 3 2 21 5 2" xfId="26529" xr:uid="{00000000-0005-0000-0000-000083670000}"/>
    <cellStyle name="Normal 2 3 2 21 5 3" xfId="26530" xr:uid="{00000000-0005-0000-0000-000084670000}"/>
    <cellStyle name="Normal 2 3 2 21 5 4" xfId="26531" xr:uid="{00000000-0005-0000-0000-000085670000}"/>
    <cellStyle name="Normal 2 3 2 21 5 5" xfId="26532" xr:uid="{00000000-0005-0000-0000-000086670000}"/>
    <cellStyle name="Normal 2 3 2 21 5 6" xfId="26533" xr:uid="{00000000-0005-0000-0000-000087670000}"/>
    <cellStyle name="Normal 2 3 2 21 5 7" xfId="26534" xr:uid="{00000000-0005-0000-0000-000088670000}"/>
    <cellStyle name="Normal 2 3 2 21 5 8" xfId="26535" xr:uid="{00000000-0005-0000-0000-000089670000}"/>
    <cellStyle name="Normal 2 3 2 21 5 9" xfId="26536" xr:uid="{00000000-0005-0000-0000-00008A670000}"/>
    <cellStyle name="Normal 2 3 2 21 6" xfId="26537" xr:uid="{00000000-0005-0000-0000-00008B670000}"/>
    <cellStyle name="Normal 2 3 2 21 7" xfId="26538" xr:uid="{00000000-0005-0000-0000-00008C670000}"/>
    <cellStyle name="Normal 2 3 2 21 8" xfId="26539" xr:uid="{00000000-0005-0000-0000-00008D670000}"/>
    <cellStyle name="Normal 2 3 2 21 9" xfId="26540" xr:uid="{00000000-0005-0000-0000-00008E670000}"/>
    <cellStyle name="Normal 2 3 2 22" xfId="26541" xr:uid="{00000000-0005-0000-0000-00008F670000}"/>
    <cellStyle name="Normal 2 3 2 22 10" xfId="26542" xr:uid="{00000000-0005-0000-0000-000090670000}"/>
    <cellStyle name="Normal 2 3 2 22 11" xfId="26543" xr:uid="{00000000-0005-0000-0000-000091670000}"/>
    <cellStyle name="Normal 2 3 2 22 12" xfId="26544" xr:uid="{00000000-0005-0000-0000-000092670000}"/>
    <cellStyle name="Normal 2 3 2 22 13" xfId="26545" xr:uid="{00000000-0005-0000-0000-000093670000}"/>
    <cellStyle name="Normal 2 3 2 22 14" xfId="26546" xr:uid="{00000000-0005-0000-0000-000094670000}"/>
    <cellStyle name="Normal 2 3 2 22 2" xfId="26547" xr:uid="{00000000-0005-0000-0000-000095670000}"/>
    <cellStyle name="Normal 2 3 2 22 2 10" xfId="26548" xr:uid="{00000000-0005-0000-0000-000096670000}"/>
    <cellStyle name="Normal 2 3 2 22 2 2" xfId="26549" xr:uid="{00000000-0005-0000-0000-000097670000}"/>
    <cellStyle name="Normal 2 3 2 22 2 3" xfId="26550" xr:uid="{00000000-0005-0000-0000-000098670000}"/>
    <cellStyle name="Normal 2 3 2 22 2 4" xfId="26551" xr:uid="{00000000-0005-0000-0000-000099670000}"/>
    <cellStyle name="Normal 2 3 2 22 2 5" xfId="26552" xr:uid="{00000000-0005-0000-0000-00009A670000}"/>
    <cellStyle name="Normal 2 3 2 22 2 6" xfId="26553" xr:uid="{00000000-0005-0000-0000-00009B670000}"/>
    <cellStyle name="Normal 2 3 2 22 2 7" xfId="26554" xr:uid="{00000000-0005-0000-0000-00009C670000}"/>
    <cellStyle name="Normal 2 3 2 22 2 8" xfId="26555" xr:uid="{00000000-0005-0000-0000-00009D670000}"/>
    <cellStyle name="Normal 2 3 2 22 2 9" xfId="26556" xr:uid="{00000000-0005-0000-0000-00009E670000}"/>
    <cellStyle name="Normal 2 3 2 22 3" xfId="26557" xr:uid="{00000000-0005-0000-0000-00009F670000}"/>
    <cellStyle name="Normal 2 3 2 22 3 10" xfId="26558" xr:uid="{00000000-0005-0000-0000-0000A0670000}"/>
    <cellStyle name="Normal 2 3 2 22 3 2" xfId="26559" xr:uid="{00000000-0005-0000-0000-0000A1670000}"/>
    <cellStyle name="Normal 2 3 2 22 3 3" xfId="26560" xr:uid="{00000000-0005-0000-0000-0000A2670000}"/>
    <cellStyle name="Normal 2 3 2 22 3 4" xfId="26561" xr:uid="{00000000-0005-0000-0000-0000A3670000}"/>
    <cellStyle name="Normal 2 3 2 22 3 5" xfId="26562" xr:uid="{00000000-0005-0000-0000-0000A4670000}"/>
    <cellStyle name="Normal 2 3 2 22 3 6" xfId="26563" xr:uid="{00000000-0005-0000-0000-0000A5670000}"/>
    <cellStyle name="Normal 2 3 2 22 3 7" xfId="26564" xr:uid="{00000000-0005-0000-0000-0000A6670000}"/>
    <cellStyle name="Normal 2 3 2 22 3 8" xfId="26565" xr:uid="{00000000-0005-0000-0000-0000A7670000}"/>
    <cellStyle name="Normal 2 3 2 22 3 9" xfId="26566" xr:uid="{00000000-0005-0000-0000-0000A8670000}"/>
    <cellStyle name="Normal 2 3 2 22 4" xfId="26567" xr:uid="{00000000-0005-0000-0000-0000A9670000}"/>
    <cellStyle name="Normal 2 3 2 22 4 10" xfId="26568" xr:uid="{00000000-0005-0000-0000-0000AA670000}"/>
    <cellStyle name="Normal 2 3 2 22 4 2" xfId="26569" xr:uid="{00000000-0005-0000-0000-0000AB670000}"/>
    <cellStyle name="Normal 2 3 2 22 4 3" xfId="26570" xr:uid="{00000000-0005-0000-0000-0000AC670000}"/>
    <cellStyle name="Normal 2 3 2 22 4 4" xfId="26571" xr:uid="{00000000-0005-0000-0000-0000AD670000}"/>
    <cellStyle name="Normal 2 3 2 22 4 5" xfId="26572" xr:uid="{00000000-0005-0000-0000-0000AE670000}"/>
    <cellStyle name="Normal 2 3 2 22 4 6" xfId="26573" xr:uid="{00000000-0005-0000-0000-0000AF670000}"/>
    <cellStyle name="Normal 2 3 2 22 4 7" xfId="26574" xr:uid="{00000000-0005-0000-0000-0000B0670000}"/>
    <cellStyle name="Normal 2 3 2 22 4 8" xfId="26575" xr:uid="{00000000-0005-0000-0000-0000B1670000}"/>
    <cellStyle name="Normal 2 3 2 22 4 9" xfId="26576" xr:uid="{00000000-0005-0000-0000-0000B2670000}"/>
    <cellStyle name="Normal 2 3 2 22 5" xfId="26577" xr:uid="{00000000-0005-0000-0000-0000B3670000}"/>
    <cellStyle name="Normal 2 3 2 22 5 10" xfId="26578" xr:uid="{00000000-0005-0000-0000-0000B4670000}"/>
    <cellStyle name="Normal 2 3 2 22 5 2" xfId="26579" xr:uid="{00000000-0005-0000-0000-0000B5670000}"/>
    <cellStyle name="Normal 2 3 2 22 5 3" xfId="26580" xr:uid="{00000000-0005-0000-0000-0000B6670000}"/>
    <cellStyle name="Normal 2 3 2 22 5 4" xfId="26581" xr:uid="{00000000-0005-0000-0000-0000B7670000}"/>
    <cellStyle name="Normal 2 3 2 22 5 5" xfId="26582" xr:uid="{00000000-0005-0000-0000-0000B8670000}"/>
    <cellStyle name="Normal 2 3 2 22 5 6" xfId="26583" xr:uid="{00000000-0005-0000-0000-0000B9670000}"/>
    <cellStyle name="Normal 2 3 2 22 5 7" xfId="26584" xr:uid="{00000000-0005-0000-0000-0000BA670000}"/>
    <cellStyle name="Normal 2 3 2 22 5 8" xfId="26585" xr:uid="{00000000-0005-0000-0000-0000BB670000}"/>
    <cellStyle name="Normal 2 3 2 22 5 9" xfId="26586" xr:uid="{00000000-0005-0000-0000-0000BC670000}"/>
    <cellStyle name="Normal 2 3 2 22 6" xfId="26587" xr:uid="{00000000-0005-0000-0000-0000BD670000}"/>
    <cellStyle name="Normal 2 3 2 22 7" xfId="26588" xr:uid="{00000000-0005-0000-0000-0000BE670000}"/>
    <cellStyle name="Normal 2 3 2 22 8" xfId="26589" xr:uid="{00000000-0005-0000-0000-0000BF670000}"/>
    <cellStyle name="Normal 2 3 2 22 9" xfId="26590" xr:uid="{00000000-0005-0000-0000-0000C0670000}"/>
    <cellStyle name="Normal 2 3 2 23" xfId="26591" xr:uid="{00000000-0005-0000-0000-0000C1670000}"/>
    <cellStyle name="Normal 2 3 2 23 10" xfId="26592" xr:uid="{00000000-0005-0000-0000-0000C2670000}"/>
    <cellStyle name="Normal 2 3 2 23 11" xfId="26593" xr:uid="{00000000-0005-0000-0000-0000C3670000}"/>
    <cellStyle name="Normal 2 3 2 23 12" xfId="26594" xr:uid="{00000000-0005-0000-0000-0000C4670000}"/>
    <cellStyle name="Normal 2 3 2 23 13" xfId="26595" xr:uid="{00000000-0005-0000-0000-0000C5670000}"/>
    <cellStyle name="Normal 2 3 2 23 14" xfId="26596" xr:uid="{00000000-0005-0000-0000-0000C6670000}"/>
    <cellStyle name="Normal 2 3 2 23 2" xfId="26597" xr:uid="{00000000-0005-0000-0000-0000C7670000}"/>
    <cellStyle name="Normal 2 3 2 23 2 10" xfId="26598" xr:uid="{00000000-0005-0000-0000-0000C8670000}"/>
    <cellStyle name="Normal 2 3 2 23 2 2" xfId="26599" xr:uid="{00000000-0005-0000-0000-0000C9670000}"/>
    <cellStyle name="Normal 2 3 2 23 2 3" xfId="26600" xr:uid="{00000000-0005-0000-0000-0000CA670000}"/>
    <cellStyle name="Normal 2 3 2 23 2 4" xfId="26601" xr:uid="{00000000-0005-0000-0000-0000CB670000}"/>
    <cellStyle name="Normal 2 3 2 23 2 5" xfId="26602" xr:uid="{00000000-0005-0000-0000-0000CC670000}"/>
    <cellStyle name="Normal 2 3 2 23 2 6" xfId="26603" xr:uid="{00000000-0005-0000-0000-0000CD670000}"/>
    <cellStyle name="Normal 2 3 2 23 2 7" xfId="26604" xr:uid="{00000000-0005-0000-0000-0000CE670000}"/>
    <cellStyle name="Normal 2 3 2 23 2 8" xfId="26605" xr:uid="{00000000-0005-0000-0000-0000CF670000}"/>
    <cellStyle name="Normal 2 3 2 23 2 9" xfId="26606" xr:uid="{00000000-0005-0000-0000-0000D0670000}"/>
    <cellStyle name="Normal 2 3 2 23 3" xfId="26607" xr:uid="{00000000-0005-0000-0000-0000D1670000}"/>
    <cellStyle name="Normal 2 3 2 23 3 10" xfId="26608" xr:uid="{00000000-0005-0000-0000-0000D2670000}"/>
    <cellStyle name="Normal 2 3 2 23 3 2" xfId="26609" xr:uid="{00000000-0005-0000-0000-0000D3670000}"/>
    <cellStyle name="Normal 2 3 2 23 3 3" xfId="26610" xr:uid="{00000000-0005-0000-0000-0000D4670000}"/>
    <cellStyle name="Normal 2 3 2 23 3 4" xfId="26611" xr:uid="{00000000-0005-0000-0000-0000D5670000}"/>
    <cellStyle name="Normal 2 3 2 23 3 5" xfId="26612" xr:uid="{00000000-0005-0000-0000-0000D6670000}"/>
    <cellStyle name="Normal 2 3 2 23 3 6" xfId="26613" xr:uid="{00000000-0005-0000-0000-0000D7670000}"/>
    <cellStyle name="Normal 2 3 2 23 3 7" xfId="26614" xr:uid="{00000000-0005-0000-0000-0000D8670000}"/>
    <cellStyle name="Normal 2 3 2 23 3 8" xfId="26615" xr:uid="{00000000-0005-0000-0000-0000D9670000}"/>
    <cellStyle name="Normal 2 3 2 23 3 9" xfId="26616" xr:uid="{00000000-0005-0000-0000-0000DA670000}"/>
    <cellStyle name="Normal 2 3 2 23 4" xfId="26617" xr:uid="{00000000-0005-0000-0000-0000DB670000}"/>
    <cellStyle name="Normal 2 3 2 23 4 10" xfId="26618" xr:uid="{00000000-0005-0000-0000-0000DC670000}"/>
    <cellStyle name="Normal 2 3 2 23 4 2" xfId="26619" xr:uid="{00000000-0005-0000-0000-0000DD670000}"/>
    <cellStyle name="Normal 2 3 2 23 4 3" xfId="26620" xr:uid="{00000000-0005-0000-0000-0000DE670000}"/>
    <cellStyle name="Normal 2 3 2 23 4 4" xfId="26621" xr:uid="{00000000-0005-0000-0000-0000DF670000}"/>
    <cellStyle name="Normal 2 3 2 23 4 5" xfId="26622" xr:uid="{00000000-0005-0000-0000-0000E0670000}"/>
    <cellStyle name="Normal 2 3 2 23 4 6" xfId="26623" xr:uid="{00000000-0005-0000-0000-0000E1670000}"/>
    <cellStyle name="Normal 2 3 2 23 4 7" xfId="26624" xr:uid="{00000000-0005-0000-0000-0000E2670000}"/>
    <cellStyle name="Normal 2 3 2 23 4 8" xfId="26625" xr:uid="{00000000-0005-0000-0000-0000E3670000}"/>
    <cellStyle name="Normal 2 3 2 23 4 9" xfId="26626" xr:uid="{00000000-0005-0000-0000-0000E4670000}"/>
    <cellStyle name="Normal 2 3 2 23 5" xfId="26627" xr:uid="{00000000-0005-0000-0000-0000E5670000}"/>
    <cellStyle name="Normal 2 3 2 23 5 10" xfId="26628" xr:uid="{00000000-0005-0000-0000-0000E6670000}"/>
    <cellStyle name="Normal 2 3 2 23 5 2" xfId="26629" xr:uid="{00000000-0005-0000-0000-0000E7670000}"/>
    <cellStyle name="Normal 2 3 2 23 5 3" xfId="26630" xr:uid="{00000000-0005-0000-0000-0000E8670000}"/>
    <cellStyle name="Normal 2 3 2 23 5 4" xfId="26631" xr:uid="{00000000-0005-0000-0000-0000E9670000}"/>
    <cellStyle name="Normal 2 3 2 23 5 5" xfId="26632" xr:uid="{00000000-0005-0000-0000-0000EA670000}"/>
    <cellStyle name="Normal 2 3 2 23 5 6" xfId="26633" xr:uid="{00000000-0005-0000-0000-0000EB670000}"/>
    <cellStyle name="Normal 2 3 2 23 5 7" xfId="26634" xr:uid="{00000000-0005-0000-0000-0000EC670000}"/>
    <cellStyle name="Normal 2 3 2 23 5 8" xfId="26635" xr:uid="{00000000-0005-0000-0000-0000ED670000}"/>
    <cellStyle name="Normal 2 3 2 23 5 9" xfId="26636" xr:uid="{00000000-0005-0000-0000-0000EE670000}"/>
    <cellStyle name="Normal 2 3 2 23 6" xfId="26637" xr:uid="{00000000-0005-0000-0000-0000EF670000}"/>
    <cellStyle name="Normal 2 3 2 23 7" xfId="26638" xr:uid="{00000000-0005-0000-0000-0000F0670000}"/>
    <cellStyle name="Normal 2 3 2 23 8" xfId="26639" xr:uid="{00000000-0005-0000-0000-0000F1670000}"/>
    <cellStyle name="Normal 2 3 2 23 9" xfId="26640" xr:uid="{00000000-0005-0000-0000-0000F2670000}"/>
    <cellStyle name="Normal 2 3 2 24" xfId="26641" xr:uid="{00000000-0005-0000-0000-0000F3670000}"/>
    <cellStyle name="Normal 2 3 2 24 10" xfId="26642" xr:uid="{00000000-0005-0000-0000-0000F4670000}"/>
    <cellStyle name="Normal 2 3 2 24 11" xfId="26643" xr:uid="{00000000-0005-0000-0000-0000F5670000}"/>
    <cellStyle name="Normal 2 3 2 24 12" xfId="26644" xr:uid="{00000000-0005-0000-0000-0000F6670000}"/>
    <cellStyle name="Normal 2 3 2 24 13" xfId="26645" xr:uid="{00000000-0005-0000-0000-0000F7670000}"/>
    <cellStyle name="Normal 2 3 2 24 14" xfId="26646" xr:uid="{00000000-0005-0000-0000-0000F8670000}"/>
    <cellStyle name="Normal 2 3 2 24 2" xfId="26647" xr:uid="{00000000-0005-0000-0000-0000F9670000}"/>
    <cellStyle name="Normal 2 3 2 24 2 10" xfId="26648" xr:uid="{00000000-0005-0000-0000-0000FA670000}"/>
    <cellStyle name="Normal 2 3 2 24 2 2" xfId="26649" xr:uid="{00000000-0005-0000-0000-0000FB670000}"/>
    <cellStyle name="Normal 2 3 2 24 2 3" xfId="26650" xr:uid="{00000000-0005-0000-0000-0000FC670000}"/>
    <cellStyle name="Normal 2 3 2 24 2 4" xfId="26651" xr:uid="{00000000-0005-0000-0000-0000FD670000}"/>
    <cellStyle name="Normal 2 3 2 24 2 5" xfId="26652" xr:uid="{00000000-0005-0000-0000-0000FE670000}"/>
    <cellStyle name="Normal 2 3 2 24 2 6" xfId="26653" xr:uid="{00000000-0005-0000-0000-0000FF670000}"/>
    <cellStyle name="Normal 2 3 2 24 2 7" xfId="26654" xr:uid="{00000000-0005-0000-0000-000000680000}"/>
    <cellStyle name="Normal 2 3 2 24 2 8" xfId="26655" xr:uid="{00000000-0005-0000-0000-000001680000}"/>
    <cellStyle name="Normal 2 3 2 24 2 9" xfId="26656" xr:uid="{00000000-0005-0000-0000-000002680000}"/>
    <cellStyle name="Normal 2 3 2 24 3" xfId="26657" xr:uid="{00000000-0005-0000-0000-000003680000}"/>
    <cellStyle name="Normal 2 3 2 24 3 10" xfId="26658" xr:uid="{00000000-0005-0000-0000-000004680000}"/>
    <cellStyle name="Normal 2 3 2 24 3 2" xfId="26659" xr:uid="{00000000-0005-0000-0000-000005680000}"/>
    <cellStyle name="Normal 2 3 2 24 3 3" xfId="26660" xr:uid="{00000000-0005-0000-0000-000006680000}"/>
    <cellStyle name="Normal 2 3 2 24 3 4" xfId="26661" xr:uid="{00000000-0005-0000-0000-000007680000}"/>
    <cellStyle name="Normal 2 3 2 24 3 5" xfId="26662" xr:uid="{00000000-0005-0000-0000-000008680000}"/>
    <cellStyle name="Normal 2 3 2 24 3 6" xfId="26663" xr:uid="{00000000-0005-0000-0000-000009680000}"/>
    <cellStyle name="Normal 2 3 2 24 3 7" xfId="26664" xr:uid="{00000000-0005-0000-0000-00000A680000}"/>
    <cellStyle name="Normal 2 3 2 24 3 8" xfId="26665" xr:uid="{00000000-0005-0000-0000-00000B680000}"/>
    <cellStyle name="Normal 2 3 2 24 3 9" xfId="26666" xr:uid="{00000000-0005-0000-0000-00000C680000}"/>
    <cellStyle name="Normal 2 3 2 24 4" xfId="26667" xr:uid="{00000000-0005-0000-0000-00000D680000}"/>
    <cellStyle name="Normal 2 3 2 24 4 10" xfId="26668" xr:uid="{00000000-0005-0000-0000-00000E680000}"/>
    <cellStyle name="Normal 2 3 2 24 4 2" xfId="26669" xr:uid="{00000000-0005-0000-0000-00000F680000}"/>
    <cellStyle name="Normal 2 3 2 24 4 3" xfId="26670" xr:uid="{00000000-0005-0000-0000-000010680000}"/>
    <cellStyle name="Normal 2 3 2 24 4 4" xfId="26671" xr:uid="{00000000-0005-0000-0000-000011680000}"/>
    <cellStyle name="Normal 2 3 2 24 4 5" xfId="26672" xr:uid="{00000000-0005-0000-0000-000012680000}"/>
    <cellStyle name="Normal 2 3 2 24 4 6" xfId="26673" xr:uid="{00000000-0005-0000-0000-000013680000}"/>
    <cellStyle name="Normal 2 3 2 24 4 7" xfId="26674" xr:uid="{00000000-0005-0000-0000-000014680000}"/>
    <cellStyle name="Normal 2 3 2 24 4 8" xfId="26675" xr:uid="{00000000-0005-0000-0000-000015680000}"/>
    <cellStyle name="Normal 2 3 2 24 4 9" xfId="26676" xr:uid="{00000000-0005-0000-0000-000016680000}"/>
    <cellStyle name="Normal 2 3 2 24 5" xfId="26677" xr:uid="{00000000-0005-0000-0000-000017680000}"/>
    <cellStyle name="Normal 2 3 2 24 5 10" xfId="26678" xr:uid="{00000000-0005-0000-0000-000018680000}"/>
    <cellStyle name="Normal 2 3 2 24 5 2" xfId="26679" xr:uid="{00000000-0005-0000-0000-000019680000}"/>
    <cellStyle name="Normal 2 3 2 24 5 3" xfId="26680" xr:uid="{00000000-0005-0000-0000-00001A680000}"/>
    <cellStyle name="Normal 2 3 2 24 5 4" xfId="26681" xr:uid="{00000000-0005-0000-0000-00001B680000}"/>
    <cellStyle name="Normal 2 3 2 24 5 5" xfId="26682" xr:uid="{00000000-0005-0000-0000-00001C680000}"/>
    <cellStyle name="Normal 2 3 2 24 5 6" xfId="26683" xr:uid="{00000000-0005-0000-0000-00001D680000}"/>
    <cellStyle name="Normal 2 3 2 24 5 7" xfId="26684" xr:uid="{00000000-0005-0000-0000-00001E680000}"/>
    <cellStyle name="Normal 2 3 2 24 5 8" xfId="26685" xr:uid="{00000000-0005-0000-0000-00001F680000}"/>
    <cellStyle name="Normal 2 3 2 24 5 9" xfId="26686" xr:uid="{00000000-0005-0000-0000-000020680000}"/>
    <cellStyle name="Normal 2 3 2 24 6" xfId="26687" xr:uid="{00000000-0005-0000-0000-000021680000}"/>
    <cellStyle name="Normal 2 3 2 24 7" xfId="26688" xr:uid="{00000000-0005-0000-0000-000022680000}"/>
    <cellStyle name="Normal 2 3 2 24 8" xfId="26689" xr:uid="{00000000-0005-0000-0000-000023680000}"/>
    <cellStyle name="Normal 2 3 2 24 9" xfId="26690" xr:uid="{00000000-0005-0000-0000-000024680000}"/>
    <cellStyle name="Normal 2 3 2 25" xfId="26691" xr:uid="{00000000-0005-0000-0000-000025680000}"/>
    <cellStyle name="Normal 2 3 2 25 10" xfId="26692" xr:uid="{00000000-0005-0000-0000-000026680000}"/>
    <cellStyle name="Normal 2 3 2 25 11" xfId="26693" xr:uid="{00000000-0005-0000-0000-000027680000}"/>
    <cellStyle name="Normal 2 3 2 25 12" xfId="26694" xr:uid="{00000000-0005-0000-0000-000028680000}"/>
    <cellStyle name="Normal 2 3 2 25 13" xfId="26695" xr:uid="{00000000-0005-0000-0000-000029680000}"/>
    <cellStyle name="Normal 2 3 2 25 14" xfId="26696" xr:uid="{00000000-0005-0000-0000-00002A680000}"/>
    <cellStyle name="Normal 2 3 2 25 2" xfId="26697" xr:uid="{00000000-0005-0000-0000-00002B680000}"/>
    <cellStyle name="Normal 2 3 2 25 2 10" xfId="26698" xr:uid="{00000000-0005-0000-0000-00002C680000}"/>
    <cellStyle name="Normal 2 3 2 25 2 2" xfId="26699" xr:uid="{00000000-0005-0000-0000-00002D680000}"/>
    <cellStyle name="Normal 2 3 2 25 2 3" xfId="26700" xr:uid="{00000000-0005-0000-0000-00002E680000}"/>
    <cellStyle name="Normal 2 3 2 25 2 4" xfId="26701" xr:uid="{00000000-0005-0000-0000-00002F680000}"/>
    <cellStyle name="Normal 2 3 2 25 2 5" xfId="26702" xr:uid="{00000000-0005-0000-0000-000030680000}"/>
    <cellStyle name="Normal 2 3 2 25 2 6" xfId="26703" xr:uid="{00000000-0005-0000-0000-000031680000}"/>
    <cellStyle name="Normal 2 3 2 25 2 7" xfId="26704" xr:uid="{00000000-0005-0000-0000-000032680000}"/>
    <cellStyle name="Normal 2 3 2 25 2 8" xfId="26705" xr:uid="{00000000-0005-0000-0000-000033680000}"/>
    <cellStyle name="Normal 2 3 2 25 2 9" xfId="26706" xr:uid="{00000000-0005-0000-0000-000034680000}"/>
    <cellStyle name="Normal 2 3 2 25 3" xfId="26707" xr:uid="{00000000-0005-0000-0000-000035680000}"/>
    <cellStyle name="Normal 2 3 2 25 3 10" xfId="26708" xr:uid="{00000000-0005-0000-0000-000036680000}"/>
    <cellStyle name="Normal 2 3 2 25 3 2" xfId="26709" xr:uid="{00000000-0005-0000-0000-000037680000}"/>
    <cellStyle name="Normal 2 3 2 25 3 3" xfId="26710" xr:uid="{00000000-0005-0000-0000-000038680000}"/>
    <cellStyle name="Normal 2 3 2 25 3 4" xfId="26711" xr:uid="{00000000-0005-0000-0000-000039680000}"/>
    <cellStyle name="Normal 2 3 2 25 3 5" xfId="26712" xr:uid="{00000000-0005-0000-0000-00003A680000}"/>
    <cellStyle name="Normal 2 3 2 25 3 6" xfId="26713" xr:uid="{00000000-0005-0000-0000-00003B680000}"/>
    <cellStyle name="Normal 2 3 2 25 3 7" xfId="26714" xr:uid="{00000000-0005-0000-0000-00003C680000}"/>
    <cellStyle name="Normal 2 3 2 25 3 8" xfId="26715" xr:uid="{00000000-0005-0000-0000-00003D680000}"/>
    <cellStyle name="Normal 2 3 2 25 3 9" xfId="26716" xr:uid="{00000000-0005-0000-0000-00003E680000}"/>
    <cellStyle name="Normal 2 3 2 25 4" xfId="26717" xr:uid="{00000000-0005-0000-0000-00003F680000}"/>
    <cellStyle name="Normal 2 3 2 25 4 10" xfId="26718" xr:uid="{00000000-0005-0000-0000-000040680000}"/>
    <cellStyle name="Normal 2 3 2 25 4 2" xfId="26719" xr:uid="{00000000-0005-0000-0000-000041680000}"/>
    <cellStyle name="Normal 2 3 2 25 4 3" xfId="26720" xr:uid="{00000000-0005-0000-0000-000042680000}"/>
    <cellStyle name="Normal 2 3 2 25 4 4" xfId="26721" xr:uid="{00000000-0005-0000-0000-000043680000}"/>
    <cellStyle name="Normal 2 3 2 25 4 5" xfId="26722" xr:uid="{00000000-0005-0000-0000-000044680000}"/>
    <cellStyle name="Normal 2 3 2 25 4 6" xfId="26723" xr:uid="{00000000-0005-0000-0000-000045680000}"/>
    <cellStyle name="Normal 2 3 2 25 4 7" xfId="26724" xr:uid="{00000000-0005-0000-0000-000046680000}"/>
    <cellStyle name="Normal 2 3 2 25 4 8" xfId="26725" xr:uid="{00000000-0005-0000-0000-000047680000}"/>
    <cellStyle name="Normal 2 3 2 25 4 9" xfId="26726" xr:uid="{00000000-0005-0000-0000-000048680000}"/>
    <cellStyle name="Normal 2 3 2 25 5" xfId="26727" xr:uid="{00000000-0005-0000-0000-000049680000}"/>
    <cellStyle name="Normal 2 3 2 25 5 10" xfId="26728" xr:uid="{00000000-0005-0000-0000-00004A680000}"/>
    <cellStyle name="Normal 2 3 2 25 5 2" xfId="26729" xr:uid="{00000000-0005-0000-0000-00004B680000}"/>
    <cellStyle name="Normal 2 3 2 25 5 3" xfId="26730" xr:uid="{00000000-0005-0000-0000-00004C680000}"/>
    <cellStyle name="Normal 2 3 2 25 5 4" xfId="26731" xr:uid="{00000000-0005-0000-0000-00004D680000}"/>
    <cellStyle name="Normal 2 3 2 25 5 5" xfId="26732" xr:uid="{00000000-0005-0000-0000-00004E680000}"/>
    <cellStyle name="Normal 2 3 2 25 5 6" xfId="26733" xr:uid="{00000000-0005-0000-0000-00004F680000}"/>
    <cellStyle name="Normal 2 3 2 25 5 7" xfId="26734" xr:uid="{00000000-0005-0000-0000-000050680000}"/>
    <cellStyle name="Normal 2 3 2 25 5 8" xfId="26735" xr:uid="{00000000-0005-0000-0000-000051680000}"/>
    <cellStyle name="Normal 2 3 2 25 5 9" xfId="26736" xr:uid="{00000000-0005-0000-0000-000052680000}"/>
    <cellStyle name="Normal 2 3 2 25 6" xfId="26737" xr:uid="{00000000-0005-0000-0000-000053680000}"/>
    <cellStyle name="Normal 2 3 2 25 7" xfId="26738" xr:uid="{00000000-0005-0000-0000-000054680000}"/>
    <cellStyle name="Normal 2 3 2 25 8" xfId="26739" xr:uid="{00000000-0005-0000-0000-000055680000}"/>
    <cellStyle name="Normal 2 3 2 25 9" xfId="26740" xr:uid="{00000000-0005-0000-0000-000056680000}"/>
    <cellStyle name="Normal 2 3 2 26" xfId="26741" xr:uid="{00000000-0005-0000-0000-000057680000}"/>
    <cellStyle name="Normal 2 3 2 26 10" xfId="26742" xr:uid="{00000000-0005-0000-0000-000058680000}"/>
    <cellStyle name="Normal 2 3 2 26 11" xfId="26743" xr:uid="{00000000-0005-0000-0000-000059680000}"/>
    <cellStyle name="Normal 2 3 2 26 12" xfId="26744" xr:uid="{00000000-0005-0000-0000-00005A680000}"/>
    <cellStyle name="Normal 2 3 2 26 13" xfId="26745" xr:uid="{00000000-0005-0000-0000-00005B680000}"/>
    <cellStyle name="Normal 2 3 2 26 14" xfId="26746" xr:uid="{00000000-0005-0000-0000-00005C680000}"/>
    <cellStyle name="Normal 2 3 2 26 2" xfId="26747" xr:uid="{00000000-0005-0000-0000-00005D680000}"/>
    <cellStyle name="Normal 2 3 2 26 2 10" xfId="26748" xr:uid="{00000000-0005-0000-0000-00005E680000}"/>
    <cellStyle name="Normal 2 3 2 26 2 2" xfId="26749" xr:uid="{00000000-0005-0000-0000-00005F680000}"/>
    <cellStyle name="Normal 2 3 2 26 2 3" xfId="26750" xr:uid="{00000000-0005-0000-0000-000060680000}"/>
    <cellStyle name="Normal 2 3 2 26 2 4" xfId="26751" xr:uid="{00000000-0005-0000-0000-000061680000}"/>
    <cellStyle name="Normal 2 3 2 26 2 5" xfId="26752" xr:uid="{00000000-0005-0000-0000-000062680000}"/>
    <cellStyle name="Normal 2 3 2 26 2 6" xfId="26753" xr:uid="{00000000-0005-0000-0000-000063680000}"/>
    <cellStyle name="Normal 2 3 2 26 2 7" xfId="26754" xr:uid="{00000000-0005-0000-0000-000064680000}"/>
    <cellStyle name="Normal 2 3 2 26 2 8" xfId="26755" xr:uid="{00000000-0005-0000-0000-000065680000}"/>
    <cellStyle name="Normal 2 3 2 26 2 9" xfId="26756" xr:uid="{00000000-0005-0000-0000-000066680000}"/>
    <cellStyle name="Normal 2 3 2 26 3" xfId="26757" xr:uid="{00000000-0005-0000-0000-000067680000}"/>
    <cellStyle name="Normal 2 3 2 26 3 10" xfId="26758" xr:uid="{00000000-0005-0000-0000-000068680000}"/>
    <cellStyle name="Normal 2 3 2 26 3 2" xfId="26759" xr:uid="{00000000-0005-0000-0000-000069680000}"/>
    <cellStyle name="Normal 2 3 2 26 3 3" xfId="26760" xr:uid="{00000000-0005-0000-0000-00006A680000}"/>
    <cellStyle name="Normal 2 3 2 26 3 4" xfId="26761" xr:uid="{00000000-0005-0000-0000-00006B680000}"/>
    <cellStyle name="Normal 2 3 2 26 3 5" xfId="26762" xr:uid="{00000000-0005-0000-0000-00006C680000}"/>
    <cellStyle name="Normal 2 3 2 26 3 6" xfId="26763" xr:uid="{00000000-0005-0000-0000-00006D680000}"/>
    <cellStyle name="Normal 2 3 2 26 3 7" xfId="26764" xr:uid="{00000000-0005-0000-0000-00006E680000}"/>
    <cellStyle name="Normal 2 3 2 26 3 8" xfId="26765" xr:uid="{00000000-0005-0000-0000-00006F680000}"/>
    <cellStyle name="Normal 2 3 2 26 3 9" xfId="26766" xr:uid="{00000000-0005-0000-0000-000070680000}"/>
    <cellStyle name="Normal 2 3 2 26 4" xfId="26767" xr:uid="{00000000-0005-0000-0000-000071680000}"/>
    <cellStyle name="Normal 2 3 2 26 4 10" xfId="26768" xr:uid="{00000000-0005-0000-0000-000072680000}"/>
    <cellStyle name="Normal 2 3 2 26 4 2" xfId="26769" xr:uid="{00000000-0005-0000-0000-000073680000}"/>
    <cellStyle name="Normal 2 3 2 26 4 3" xfId="26770" xr:uid="{00000000-0005-0000-0000-000074680000}"/>
    <cellStyle name="Normal 2 3 2 26 4 4" xfId="26771" xr:uid="{00000000-0005-0000-0000-000075680000}"/>
    <cellStyle name="Normal 2 3 2 26 4 5" xfId="26772" xr:uid="{00000000-0005-0000-0000-000076680000}"/>
    <cellStyle name="Normal 2 3 2 26 4 6" xfId="26773" xr:uid="{00000000-0005-0000-0000-000077680000}"/>
    <cellStyle name="Normal 2 3 2 26 4 7" xfId="26774" xr:uid="{00000000-0005-0000-0000-000078680000}"/>
    <cellStyle name="Normal 2 3 2 26 4 8" xfId="26775" xr:uid="{00000000-0005-0000-0000-000079680000}"/>
    <cellStyle name="Normal 2 3 2 26 4 9" xfId="26776" xr:uid="{00000000-0005-0000-0000-00007A680000}"/>
    <cellStyle name="Normal 2 3 2 26 5" xfId="26777" xr:uid="{00000000-0005-0000-0000-00007B680000}"/>
    <cellStyle name="Normal 2 3 2 26 5 10" xfId="26778" xr:uid="{00000000-0005-0000-0000-00007C680000}"/>
    <cellStyle name="Normal 2 3 2 26 5 2" xfId="26779" xr:uid="{00000000-0005-0000-0000-00007D680000}"/>
    <cellStyle name="Normal 2 3 2 26 5 3" xfId="26780" xr:uid="{00000000-0005-0000-0000-00007E680000}"/>
    <cellStyle name="Normal 2 3 2 26 5 4" xfId="26781" xr:uid="{00000000-0005-0000-0000-00007F680000}"/>
    <cellStyle name="Normal 2 3 2 26 5 5" xfId="26782" xr:uid="{00000000-0005-0000-0000-000080680000}"/>
    <cellStyle name="Normal 2 3 2 26 5 6" xfId="26783" xr:uid="{00000000-0005-0000-0000-000081680000}"/>
    <cellStyle name="Normal 2 3 2 26 5 7" xfId="26784" xr:uid="{00000000-0005-0000-0000-000082680000}"/>
    <cellStyle name="Normal 2 3 2 26 5 8" xfId="26785" xr:uid="{00000000-0005-0000-0000-000083680000}"/>
    <cellStyle name="Normal 2 3 2 26 5 9" xfId="26786" xr:uid="{00000000-0005-0000-0000-000084680000}"/>
    <cellStyle name="Normal 2 3 2 26 6" xfId="26787" xr:uid="{00000000-0005-0000-0000-000085680000}"/>
    <cellStyle name="Normal 2 3 2 26 7" xfId="26788" xr:uid="{00000000-0005-0000-0000-000086680000}"/>
    <cellStyle name="Normal 2 3 2 26 8" xfId="26789" xr:uid="{00000000-0005-0000-0000-000087680000}"/>
    <cellStyle name="Normal 2 3 2 26 9" xfId="26790" xr:uid="{00000000-0005-0000-0000-000088680000}"/>
    <cellStyle name="Normal 2 3 2 27" xfId="26791" xr:uid="{00000000-0005-0000-0000-000089680000}"/>
    <cellStyle name="Normal 2 3 2 27 10" xfId="26792" xr:uid="{00000000-0005-0000-0000-00008A680000}"/>
    <cellStyle name="Normal 2 3 2 27 11" xfId="26793" xr:uid="{00000000-0005-0000-0000-00008B680000}"/>
    <cellStyle name="Normal 2 3 2 27 12" xfId="26794" xr:uid="{00000000-0005-0000-0000-00008C680000}"/>
    <cellStyle name="Normal 2 3 2 27 13" xfId="26795" xr:uid="{00000000-0005-0000-0000-00008D680000}"/>
    <cellStyle name="Normal 2 3 2 27 14" xfId="26796" xr:uid="{00000000-0005-0000-0000-00008E680000}"/>
    <cellStyle name="Normal 2 3 2 27 2" xfId="26797" xr:uid="{00000000-0005-0000-0000-00008F680000}"/>
    <cellStyle name="Normal 2 3 2 27 2 10" xfId="26798" xr:uid="{00000000-0005-0000-0000-000090680000}"/>
    <cellStyle name="Normal 2 3 2 27 2 2" xfId="26799" xr:uid="{00000000-0005-0000-0000-000091680000}"/>
    <cellStyle name="Normal 2 3 2 27 2 3" xfId="26800" xr:uid="{00000000-0005-0000-0000-000092680000}"/>
    <cellStyle name="Normal 2 3 2 27 2 4" xfId="26801" xr:uid="{00000000-0005-0000-0000-000093680000}"/>
    <cellStyle name="Normal 2 3 2 27 2 5" xfId="26802" xr:uid="{00000000-0005-0000-0000-000094680000}"/>
    <cellStyle name="Normal 2 3 2 27 2 6" xfId="26803" xr:uid="{00000000-0005-0000-0000-000095680000}"/>
    <cellStyle name="Normal 2 3 2 27 2 7" xfId="26804" xr:uid="{00000000-0005-0000-0000-000096680000}"/>
    <cellStyle name="Normal 2 3 2 27 2 8" xfId="26805" xr:uid="{00000000-0005-0000-0000-000097680000}"/>
    <cellStyle name="Normal 2 3 2 27 2 9" xfId="26806" xr:uid="{00000000-0005-0000-0000-000098680000}"/>
    <cellStyle name="Normal 2 3 2 27 3" xfId="26807" xr:uid="{00000000-0005-0000-0000-000099680000}"/>
    <cellStyle name="Normal 2 3 2 27 3 10" xfId="26808" xr:uid="{00000000-0005-0000-0000-00009A680000}"/>
    <cellStyle name="Normal 2 3 2 27 3 2" xfId="26809" xr:uid="{00000000-0005-0000-0000-00009B680000}"/>
    <cellStyle name="Normal 2 3 2 27 3 3" xfId="26810" xr:uid="{00000000-0005-0000-0000-00009C680000}"/>
    <cellStyle name="Normal 2 3 2 27 3 4" xfId="26811" xr:uid="{00000000-0005-0000-0000-00009D680000}"/>
    <cellStyle name="Normal 2 3 2 27 3 5" xfId="26812" xr:uid="{00000000-0005-0000-0000-00009E680000}"/>
    <cellStyle name="Normal 2 3 2 27 3 6" xfId="26813" xr:uid="{00000000-0005-0000-0000-00009F680000}"/>
    <cellStyle name="Normal 2 3 2 27 3 7" xfId="26814" xr:uid="{00000000-0005-0000-0000-0000A0680000}"/>
    <cellStyle name="Normal 2 3 2 27 3 8" xfId="26815" xr:uid="{00000000-0005-0000-0000-0000A1680000}"/>
    <cellStyle name="Normal 2 3 2 27 3 9" xfId="26816" xr:uid="{00000000-0005-0000-0000-0000A2680000}"/>
    <cellStyle name="Normal 2 3 2 27 4" xfId="26817" xr:uid="{00000000-0005-0000-0000-0000A3680000}"/>
    <cellStyle name="Normal 2 3 2 27 4 10" xfId="26818" xr:uid="{00000000-0005-0000-0000-0000A4680000}"/>
    <cellStyle name="Normal 2 3 2 27 4 2" xfId="26819" xr:uid="{00000000-0005-0000-0000-0000A5680000}"/>
    <cellStyle name="Normal 2 3 2 27 4 3" xfId="26820" xr:uid="{00000000-0005-0000-0000-0000A6680000}"/>
    <cellStyle name="Normal 2 3 2 27 4 4" xfId="26821" xr:uid="{00000000-0005-0000-0000-0000A7680000}"/>
    <cellStyle name="Normal 2 3 2 27 4 5" xfId="26822" xr:uid="{00000000-0005-0000-0000-0000A8680000}"/>
    <cellStyle name="Normal 2 3 2 27 4 6" xfId="26823" xr:uid="{00000000-0005-0000-0000-0000A9680000}"/>
    <cellStyle name="Normal 2 3 2 27 4 7" xfId="26824" xr:uid="{00000000-0005-0000-0000-0000AA680000}"/>
    <cellStyle name="Normal 2 3 2 27 4 8" xfId="26825" xr:uid="{00000000-0005-0000-0000-0000AB680000}"/>
    <cellStyle name="Normal 2 3 2 27 4 9" xfId="26826" xr:uid="{00000000-0005-0000-0000-0000AC680000}"/>
    <cellStyle name="Normal 2 3 2 27 5" xfId="26827" xr:uid="{00000000-0005-0000-0000-0000AD680000}"/>
    <cellStyle name="Normal 2 3 2 27 5 10" xfId="26828" xr:uid="{00000000-0005-0000-0000-0000AE680000}"/>
    <cellStyle name="Normal 2 3 2 27 5 2" xfId="26829" xr:uid="{00000000-0005-0000-0000-0000AF680000}"/>
    <cellStyle name="Normal 2 3 2 27 5 3" xfId="26830" xr:uid="{00000000-0005-0000-0000-0000B0680000}"/>
    <cellStyle name="Normal 2 3 2 27 5 4" xfId="26831" xr:uid="{00000000-0005-0000-0000-0000B1680000}"/>
    <cellStyle name="Normal 2 3 2 27 5 5" xfId="26832" xr:uid="{00000000-0005-0000-0000-0000B2680000}"/>
    <cellStyle name="Normal 2 3 2 27 5 6" xfId="26833" xr:uid="{00000000-0005-0000-0000-0000B3680000}"/>
    <cellStyle name="Normal 2 3 2 27 5 7" xfId="26834" xr:uid="{00000000-0005-0000-0000-0000B4680000}"/>
    <cellStyle name="Normal 2 3 2 27 5 8" xfId="26835" xr:uid="{00000000-0005-0000-0000-0000B5680000}"/>
    <cellStyle name="Normal 2 3 2 27 5 9" xfId="26836" xr:uid="{00000000-0005-0000-0000-0000B6680000}"/>
    <cellStyle name="Normal 2 3 2 27 6" xfId="26837" xr:uid="{00000000-0005-0000-0000-0000B7680000}"/>
    <cellStyle name="Normal 2 3 2 27 7" xfId="26838" xr:uid="{00000000-0005-0000-0000-0000B8680000}"/>
    <cellStyle name="Normal 2 3 2 27 8" xfId="26839" xr:uid="{00000000-0005-0000-0000-0000B9680000}"/>
    <cellStyle name="Normal 2 3 2 27 9" xfId="26840" xr:uid="{00000000-0005-0000-0000-0000BA680000}"/>
    <cellStyle name="Normal 2 3 2 28" xfId="26841" xr:uid="{00000000-0005-0000-0000-0000BB680000}"/>
    <cellStyle name="Normal 2 3 2 28 10" xfId="26842" xr:uid="{00000000-0005-0000-0000-0000BC680000}"/>
    <cellStyle name="Normal 2 3 2 28 11" xfId="26843" xr:uid="{00000000-0005-0000-0000-0000BD680000}"/>
    <cellStyle name="Normal 2 3 2 28 12" xfId="26844" xr:uid="{00000000-0005-0000-0000-0000BE680000}"/>
    <cellStyle name="Normal 2 3 2 28 13" xfId="26845" xr:uid="{00000000-0005-0000-0000-0000BF680000}"/>
    <cellStyle name="Normal 2 3 2 28 14" xfId="26846" xr:uid="{00000000-0005-0000-0000-0000C0680000}"/>
    <cellStyle name="Normal 2 3 2 28 2" xfId="26847" xr:uid="{00000000-0005-0000-0000-0000C1680000}"/>
    <cellStyle name="Normal 2 3 2 28 2 10" xfId="26848" xr:uid="{00000000-0005-0000-0000-0000C2680000}"/>
    <cellStyle name="Normal 2 3 2 28 2 2" xfId="26849" xr:uid="{00000000-0005-0000-0000-0000C3680000}"/>
    <cellStyle name="Normal 2 3 2 28 2 3" xfId="26850" xr:uid="{00000000-0005-0000-0000-0000C4680000}"/>
    <cellStyle name="Normal 2 3 2 28 2 4" xfId="26851" xr:uid="{00000000-0005-0000-0000-0000C5680000}"/>
    <cellStyle name="Normal 2 3 2 28 2 5" xfId="26852" xr:uid="{00000000-0005-0000-0000-0000C6680000}"/>
    <cellStyle name="Normal 2 3 2 28 2 6" xfId="26853" xr:uid="{00000000-0005-0000-0000-0000C7680000}"/>
    <cellStyle name="Normal 2 3 2 28 2 7" xfId="26854" xr:uid="{00000000-0005-0000-0000-0000C8680000}"/>
    <cellStyle name="Normal 2 3 2 28 2 8" xfId="26855" xr:uid="{00000000-0005-0000-0000-0000C9680000}"/>
    <cellStyle name="Normal 2 3 2 28 2 9" xfId="26856" xr:uid="{00000000-0005-0000-0000-0000CA680000}"/>
    <cellStyle name="Normal 2 3 2 28 3" xfId="26857" xr:uid="{00000000-0005-0000-0000-0000CB680000}"/>
    <cellStyle name="Normal 2 3 2 28 3 10" xfId="26858" xr:uid="{00000000-0005-0000-0000-0000CC680000}"/>
    <cellStyle name="Normal 2 3 2 28 3 2" xfId="26859" xr:uid="{00000000-0005-0000-0000-0000CD680000}"/>
    <cellStyle name="Normal 2 3 2 28 3 3" xfId="26860" xr:uid="{00000000-0005-0000-0000-0000CE680000}"/>
    <cellStyle name="Normal 2 3 2 28 3 4" xfId="26861" xr:uid="{00000000-0005-0000-0000-0000CF680000}"/>
    <cellStyle name="Normal 2 3 2 28 3 5" xfId="26862" xr:uid="{00000000-0005-0000-0000-0000D0680000}"/>
    <cellStyle name="Normal 2 3 2 28 3 6" xfId="26863" xr:uid="{00000000-0005-0000-0000-0000D1680000}"/>
    <cellStyle name="Normal 2 3 2 28 3 7" xfId="26864" xr:uid="{00000000-0005-0000-0000-0000D2680000}"/>
    <cellStyle name="Normal 2 3 2 28 3 8" xfId="26865" xr:uid="{00000000-0005-0000-0000-0000D3680000}"/>
    <cellStyle name="Normal 2 3 2 28 3 9" xfId="26866" xr:uid="{00000000-0005-0000-0000-0000D4680000}"/>
    <cellStyle name="Normal 2 3 2 28 4" xfId="26867" xr:uid="{00000000-0005-0000-0000-0000D5680000}"/>
    <cellStyle name="Normal 2 3 2 28 4 10" xfId="26868" xr:uid="{00000000-0005-0000-0000-0000D6680000}"/>
    <cellStyle name="Normal 2 3 2 28 4 2" xfId="26869" xr:uid="{00000000-0005-0000-0000-0000D7680000}"/>
    <cellStyle name="Normal 2 3 2 28 4 3" xfId="26870" xr:uid="{00000000-0005-0000-0000-0000D8680000}"/>
    <cellStyle name="Normal 2 3 2 28 4 4" xfId="26871" xr:uid="{00000000-0005-0000-0000-0000D9680000}"/>
    <cellStyle name="Normal 2 3 2 28 4 5" xfId="26872" xr:uid="{00000000-0005-0000-0000-0000DA680000}"/>
    <cellStyle name="Normal 2 3 2 28 4 6" xfId="26873" xr:uid="{00000000-0005-0000-0000-0000DB680000}"/>
    <cellStyle name="Normal 2 3 2 28 4 7" xfId="26874" xr:uid="{00000000-0005-0000-0000-0000DC680000}"/>
    <cellStyle name="Normal 2 3 2 28 4 8" xfId="26875" xr:uid="{00000000-0005-0000-0000-0000DD680000}"/>
    <cellStyle name="Normal 2 3 2 28 4 9" xfId="26876" xr:uid="{00000000-0005-0000-0000-0000DE680000}"/>
    <cellStyle name="Normal 2 3 2 28 5" xfId="26877" xr:uid="{00000000-0005-0000-0000-0000DF680000}"/>
    <cellStyle name="Normal 2 3 2 28 5 10" xfId="26878" xr:uid="{00000000-0005-0000-0000-0000E0680000}"/>
    <cellStyle name="Normal 2 3 2 28 5 2" xfId="26879" xr:uid="{00000000-0005-0000-0000-0000E1680000}"/>
    <cellStyle name="Normal 2 3 2 28 5 3" xfId="26880" xr:uid="{00000000-0005-0000-0000-0000E2680000}"/>
    <cellStyle name="Normal 2 3 2 28 5 4" xfId="26881" xr:uid="{00000000-0005-0000-0000-0000E3680000}"/>
    <cellStyle name="Normal 2 3 2 28 5 5" xfId="26882" xr:uid="{00000000-0005-0000-0000-0000E4680000}"/>
    <cellStyle name="Normal 2 3 2 28 5 6" xfId="26883" xr:uid="{00000000-0005-0000-0000-0000E5680000}"/>
    <cellStyle name="Normal 2 3 2 28 5 7" xfId="26884" xr:uid="{00000000-0005-0000-0000-0000E6680000}"/>
    <cellStyle name="Normal 2 3 2 28 5 8" xfId="26885" xr:uid="{00000000-0005-0000-0000-0000E7680000}"/>
    <cellStyle name="Normal 2 3 2 28 5 9" xfId="26886" xr:uid="{00000000-0005-0000-0000-0000E8680000}"/>
    <cellStyle name="Normal 2 3 2 28 6" xfId="26887" xr:uid="{00000000-0005-0000-0000-0000E9680000}"/>
    <cellStyle name="Normal 2 3 2 28 7" xfId="26888" xr:uid="{00000000-0005-0000-0000-0000EA680000}"/>
    <cellStyle name="Normal 2 3 2 28 8" xfId="26889" xr:uid="{00000000-0005-0000-0000-0000EB680000}"/>
    <cellStyle name="Normal 2 3 2 28 9" xfId="26890" xr:uid="{00000000-0005-0000-0000-0000EC680000}"/>
    <cellStyle name="Normal 2 3 2 29" xfId="26891" xr:uid="{00000000-0005-0000-0000-0000ED680000}"/>
    <cellStyle name="Normal 2 3 2 29 10" xfId="26892" xr:uid="{00000000-0005-0000-0000-0000EE680000}"/>
    <cellStyle name="Normal 2 3 2 29 11" xfId="26893" xr:uid="{00000000-0005-0000-0000-0000EF680000}"/>
    <cellStyle name="Normal 2 3 2 29 12" xfId="26894" xr:uid="{00000000-0005-0000-0000-0000F0680000}"/>
    <cellStyle name="Normal 2 3 2 29 13" xfId="26895" xr:uid="{00000000-0005-0000-0000-0000F1680000}"/>
    <cellStyle name="Normal 2 3 2 29 14" xfId="26896" xr:uid="{00000000-0005-0000-0000-0000F2680000}"/>
    <cellStyle name="Normal 2 3 2 29 2" xfId="26897" xr:uid="{00000000-0005-0000-0000-0000F3680000}"/>
    <cellStyle name="Normal 2 3 2 29 2 10" xfId="26898" xr:uid="{00000000-0005-0000-0000-0000F4680000}"/>
    <cellStyle name="Normal 2 3 2 29 2 2" xfId="26899" xr:uid="{00000000-0005-0000-0000-0000F5680000}"/>
    <cellStyle name="Normal 2 3 2 29 2 3" xfId="26900" xr:uid="{00000000-0005-0000-0000-0000F6680000}"/>
    <cellStyle name="Normal 2 3 2 29 2 4" xfId="26901" xr:uid="{00000000-0005-0000-0000-0000F7680000}"/>
    <cellStyle name="Normal 2 3 2 29 2 5" xfId="26902" xr:uid="{00000000-0005-0000-0000-0000F8680000}"/>
    <cellStyle name="Normal 2 3 2 29 2 6" xfId="26903" xr:uid="{00000000-0005-0000-0000-0000F9680000}"/>
    <cellStyle name="Normal 2 3 2 29 2 7" xfId="26904" xr:uid="{00000000-0005-0000-0000-0000FA680000}"/>
    <cellStyle name="Normal 2 3 2 29 2 8" xfId="26905" xr:uid="{00000000-0005-0000-0000-0000FB680000}"/>
    <cellStyle name="Normal 2 3 2 29 2 9" xfId="26906" xr:uid="{00000000-0005-0000-0000-0000FC680000}"/>
    <cellStyle name="Normal 2 3 2 29 3" xfId="26907" xr:uid="{00000000-0005-0000-0000-0000FD680000}"/>
    <cellStyle name="Normal 2 3 2 29 3 10" xfId="26908" xr:uid="{00000000-0005-0000-0000-0000FE680000}"/>
    <cellStyle name="Normal 2 3 2 29 3 2" xfId="26909" xr:uid="{00000000-0005-0000-0000-0000FF680000}"/>
    <cellStyle name="Normal 2 3 2 29 3 3" xfId="26910" xr:uid="{00000000-0005-0000-0000-000000690000}"/>
    <cellStyle name="Normal 2 3 2 29 3 4" xfId="26911" xr:uid="{00000000-0005-0000-0000-000001690000}"/>
    <cellStyle name="Normal 2 3 2 29 3 5" xfId="26912" xr:uid="{00000000-0005-0000-0000-000002690000}"/>
    <cellStyle name="Normal 2 3 2 29 3 6" xfId="26913" xr:uid="{00000000-0005-0000-0000-000003690000}"/>
    <cellStyle name="Normal 2 3 2 29 3 7" xfId="26914" xr:uid="{00000000-0005-0000-0000-000004690000}"/>
    <cellStyle name="Normal 2 3 2 29 3 8" xfId="26915" xr:uid="{00000000-0005-0000-0000-000005690000}"/>
    <cellStyle name="Normal 2 3 2 29 3 9" xfId="26916" xr:uid="{00000000-0005-0000-0000-000006690000}"/>
    <cellStyle name="Normal 2 3 2 29 4" xfId="26917" xr:uid="{00000000-0005-0000-0000-000007690000}"/>
    <cellStyle name="Normal 2 3 2 29 4 10" xfId="26918" xr:uid="{00000000-0005-0000-0000-000008690000}"/>
    <cellStyle name="Normal 2 3 2 29 4 2" xfId="26919" xr:uid="{00000000-0005-0000-0000-000009690000}"/>
    <cellStyle name="Normal 2 3 2 29 4 3" xfId="26920" xr:uid="{00000000-0005-0000-0000-00000A690000}"/>
    <cellStyle name="Normal 2 3 2 29 4 4" xfId="26921" xr:uid="{00000000-0005-0000-0000-00000B690000}"/>
    <cellStyle name="Normal 2 3 2 29 4 5" xfId="26922" xr:uid="{00000000-0005-0000-0000-00000C690000}"/>
    <cellStyle name="Normal 2 3 2 29 4 6" xfId="26923" xr:uid="{00000000-0005-0000-0000-00000D690000}"/>
    <cellStyle name="Normal 2 3 2 29 4 7" xfId="26924" xr:uid="{00000000-0005-0000-0000-00000E690000}"/>
    <cellStyle name="Normal 2 3 2 29 4 8" xfId="26925" xr:uid="{00000000-0005-0000-0000-00000F690000}"/>
    <cellStyle name="Normal 2 3 2 29 4 9" xfId="26926" xr:uid="{00000000-0005-0000-0000-000010690000}"/>
    <cellStyle name="Normal 2 3 2 29 5" xfId="26927" xr:uid="{00000000-0005-0000-0000-000011690000}"/>
    <cellStyle name="Normal 2 3 2 29 5 10" xfId="26928" xr:uid="{00000000-0005-0000-0000-000012690000}"/>
    <cellStyle name="Normal 2 3 2 29 5 2" xfId="26929" xr:uid="{00000000-0005-0000-0000-000013690000}"/>
    <cellStyle name="Normal 2 3 2 29 5 3" xfId="26930" xr:uid="{00000000-0005-0000-0000-000014690000}"/>
    <cellStyle name="Normal 2 3 2 29 5 4" xfId="26931" xr:uid="{00000000-0005-0000-0000-000015690000}"/>
    <cellStyle name="Normal 2 3 2 29 5 5" xfId="26932" xr:uid="{00000000-0005-0000-0000-000016690000}"/>
    <cellStyle name="Normal 2 3 2 29 5 6" xfId="26933" xr:uid="{00000000-0005-0000-0000-000017690000}"/>
    <cellStyle name="Normal 2 3 2 29 5 7" xfId="26934" xr:uid="{00000000-0005-0000-0000-000018690000}"/>
    <cellStyle name="Normal 2 3 2 29 5 8" xfId="26935" xr:uid="{00000000-0005-0000-0000-000019690000}"/>
    <cellStyle name="Normal 2 3 2 29 5 9" xfId="26936" xr:uid="{00000000-0005-0000-0000-00001A690000}"/>
    <cellStyle name="Normal 2 3 2 29 6" xfId="26937" xr:uid="{00000000-0005-0000-0000-00001B690000}"/>
    <cellStyle name="Normal 2 3 2 29 7" xfId="26938" xr:uid="{00000000-0005-0000-0000-00001C690000}"/>
    <cellStyle name="Normal 2 3 2 29 8" xfId="26939" xr:uid="{00000000-0005-0000-0000-00001D690000}"/>
    <cellStyle name="Normal 2 3 2 29 9" xfId="26940" xr:uid="{00000000-0005-0000-0000-00001E690000}"/>
    <cellStyle name="Normal 2 3 2 3" xfId="26941" xr:uid="{00000000-0005-0000-0000-00001F690000}"/>
    <cellStyle name="Normal 2 3 2 3 10" xfId="26942" xr:uid="{00000000-0005-0000-0000-000020690000}"/>
    <cellStyle name="Normal 2 3 2 3 11" xfId="26943" xr:uid="{00000000-0005-0000-0000-000021690000}"/>
    <cellStyle name="Normal 2 3 2 3 12" xfId="26944" xr:uid="{00000000-0005-0000-0000-000022690000}"/>
    <cellStyle name="Normal 2 3 2 3 13" xfId="26945" xr:uid="{00000000-0005-0000-0000-000023690000}"/>
    <cellStyle name="Normal 2 3 2 3 14" xfId="26946" xr:uid="{00000000-0005-0000-0000-000024690000}"/>
    <cellStyle name="Normal 2 3 2 3 15" xfId="26947" xr:uid="{00000000-0005-0000-0000-000025690000}"/>
    <cellStyle name="Normal 2 3 2 3 16" xfId="26948" xr:uid="{00000000-0005-0000-0000-000026690000}"/>
    <cellStyle name="Normal 2 3 2 3 2" xfId="26949" xr:uid="{00000000-0005-0000-0000-000027690000}"/>
    <cellStyle name="Normal 2 3 2 3 2 10" xfId="26950" xr:uid="{00000000-0005-0000-0000-000028690000}"/>
    <cellStyle name="Normal 2 3 2 3 2 2" xfId="26951" xr:uid="{00000000-0005-0000-0000-000029690000}"/>
    <cellStyle name="Normal 2 3 2 3 2 3" xfId="26952" xr:uid="{00000000-0005-0000-0000-00002A690000}"/>
    <cellStyle name="Normal 2 3 2 3 2 4" xfId="26953" xr:uid="{00000000-0005-0000-0000-00002B690000}"/>
    <cellStyle name="Normal 2 3 2 3 2 5" xfId="26954" xr:uid="{00000000-0005-0000-0000-00002C690000}"/>
    <cellStyle name="Normal 2 3 2 3 2 6" xfId="26955" xr:uid="{00000000-0005-0000-0000-00002D690000}"/>
    <cellStyle name="Normal 2 3 2 3 2 7" xfId="26956" xr:uid="{00000000-0005-0000-0000-00002E690000}"/>
    <cellStyle name="Normal 2 3 2 3 2 8" xfId="26957" xr:uid="{00000000-0005-0000-0000-00002F690000}"/>
    <cellStyle name="Normal 2 3 2 3 2 9" xfId="26958" xr:uid="{00000000-0005-0000-0000-000030690000}"/>
    <cellStyle name="Normal 2 3 2 3 3" xfId="26959" xr:uid="{00000000-0005-0000-0000-000031690000}"/>
    <cellStyle name="Normal 2 3 2 3 3 10" xfId="26960" xr:uid="{00000000-0005-0000-0000-000032690000}"/>
    <cellStyle name="Normal 2 3 2 3 3 2" xfId="26961" xr:uid="{00000000-0005-0000-0000-000033690000}"/>
    <cellStyle name="Normal 2 3 2 3 3 3" xfId="26962" xr:uid="{00000000-0005-0000-0000-000034690000}"/>
    <cellStyle name="Normal 2 3 2 3 3 4" xfId="26963" xr:uid="{00000000-0005-0000-0000-000035690000}"/>
    <cellStyle name="Normal 2 3 2 3 3 5" xfId="26964" xr:uid="{00000000-0005-0000-0000-000036690000}"/>
    <cellStyle name="Normal 2 3 2 3 3 6" xfId="26965" xr:uid="{00000000-0005-0000-0000-000037690000}"/>
    <cellStyle name="Normal 2 3 2 3 3 7" xfId="26966" xr:uid="{00000000-0005-0000-0000-000038690000}"/>
    <cellStyle name="Normal 2 3 2 3 3 8" xfId="26967" xr:uid="{00000000-0005-0000-0000-000039690000}"/>
    <cellStyle name="Normal 2 3 2 3 3 9" xfId="26968" xr:uid="{00000000-0005-0000-0000-00003A690000}"/>
    <cellStyle name="Normal 2 3 2 3 4" xfId="26969" xr:uid="{00000000-0005-0000-0000-00003B690000}"/>
    <cellStyle name="Normal 2 3 2 3 4 10" xfId="26970" xr:uid="{00000000-0005-0000-0000-00003C690000}"/>
    <cellStyle name="Normal 2 3 2 3 4 2" xfId="26971" xr:uid="{00000000-0005-0000-0000-00003D690000}"/>
    <cellStyle name="Normal 2 3 2 3 4 3" xfId="26972" xr:uid="{00000000-0005-0000-0000-00003E690000}"/>
    <cellStyle name="Normal 2 3 2 3 4 4" xfId="26973" xr:uid="{00000000-0005-0000-0000-00003F690000}"/>
    <cellStyle name="Normal 2 3 2 3 4 5" xfId="26974" xr:uid="{00000000-0005-0000-0000-000040690000}"/>
    <cellStyle name="Normal 2 3 2 3 4 6" xfId="26975" xr:uid="{00000000-0005-0000-0000-000041690000}"/>
    <cellStyle name="Normal 2 3 2 3 4 7" xfId="26976" xr:uid="{00000000-0005-0000-0000-000042690000}"/>
    <cellStyle name="Normal 2 3 2 3 4 8" xfId="26977" xr:uid="{00000000-0005-0000-0000-000043690000}"/>
    <cellStyle name="Normal 2 3 2 3 4 9" xfId="26978" xr:uid="{00000000-0005-0000-0000-000044690000}"/>
    <cellStyle name="Normal 2 3 2 3 5" xfId="26979" xr:uid="{00000000-0005-0000-0000-000045690000}"/>
    <cellStyle name="Normal 2 3 2 3 5 10" xfId="26980" xr:uid="{00000000-0005-0000-0000-000046690000}"/>
    <cellStyle name="Normal 2 3 2 3 5 2" xfId="26981" xr:uid="{00000000-0005-0000-0000-000047690000}"/>
    <cellStyle name="Normal 2 3 2 3 5 3" xfId="26982" xr:uid="{00000000-0005-0000-0000-000048690000}"/>
    <cellStyle name="Normal 2 3 2 3 5 4" xfId="26983" xr:uid="{00000000-0005-0000-0000-000049690000}"/>
    <cellStyle name="Normal 2 3 2 3 5 5" xfId="26984" xr:uid="{00000000-0005-0000-0000-00004A690000}"/>
    <cellStyle name="Normal 2 3 2 3 5 6" xfId="26985" xr:uid="{00000000-0005-0000-0000-00004B690000}"/>
    <cellStyle name="Normal 2 3 2 3 5 7" xfId="26986" xr:uid="{00000000-0005-0000-0000-00004C690000}"/>
    <cellStyle name="Normal 2 3 2 3 5 8" xfId="26987" xr:uid="{00000000-0005-0000-0000-00004D690000}"/>
    <cellStyle name="Normal 2 3 2 3 5 9" xfId="26988" xr:uid="{00000000-0005-0000-0000-00004E690000}"/>
    <cellStyle name="Normal 2 3 2 3 6" xfId="26989" xr:uid="{00000000-0005-0000-0000-00004F690000}"/>
    <cellStyle name="Normal 2 3 2 3 7" xfId="26990" xr:uid="{00000000-0005-0000-0000-000050690000}"/>
    <cellStyle name="Normal 2 3 2 3 8" xfId="26991" xr:uid="{00000000-0005-0000-0000-000051690000}"/>
    <cellStyle name="Normal 2 3 2 3 9" xfId="26992" xr:uid="{00000000-0005-0000-0000-000052690000}"/>
    <cellStyle name="Normal 2 3 2 30" xfId="26993" xr:uid="{00000000-0005-0000-0000-000053690000}"/>
    <cellStyle name="Normal 2 3 2 30 10" xfId="26994" xr:uid="{00000000-0005-0000-0000-000054690000}"/>
    <cellStyle name="Normal 2 3 2 30 11" xfId="26995" xr:uid="{00000000-0005-0000-0000-000055690000}"/>
    <cellStyle name="Normal 2 3 2 30 12" xfId="26996" xr:uid="{00000000-0005-0000-0000-000056690000}"/>
    <cellStyle name="Normal 2 3 2 30 13" xfId="26997" xr:uid="{00000000-0005-0000-0000-000057690000}"/>
    <cellStyle name="Normal 2 3 2 30 14" xfId="26998" xr:uid="{00000000-0005-0000-0000-000058690000}"/>
    <cellStyle name="Normal 2 3 2 30 2" xfId="26999" xr:uid="{00000000-0005-0000-0000-000059690000}"/>
    <cellStyle name="Normal 2 3 2 30 2 10" xfId="27000" xr:uid="{00000000-0005-0000-0000-00005A690000}"/>
    <cellStyle name="Normal 2 3 2 30 2 2" xfId="27001" xr:uid="{00000000-0005-0000-0000-00005B690000}"/>
    <cellStyle name="Normal 2 3 2 30 2 3" xfId="27002" xr:uid="{00000000-0005-0000-0000-00005C690000}"/>
    <cellStyle name="Normal 2 3 2 30 2 4" xfId="27003" xr:uid="{00000000-0005-0000-0000-00005D690000}"/>
    <cellStyle name="Normal 2 3 2 30 2 5" xfId="27004" xr:uid="{00000000-0005-0000-0000-00005E690000}"/>
    <cellStyle name="Normal 2 3 2 30 2 6" xfId="27005" xr:uid="{00000000-0005-0000-0000-00005F690000}"/>
    <cellStyle name="Normal 2 3 2 30 2 7" xfId="27006" xr:uid="{00000000-0005-0000-0000-000060690000}"/>
    <cellStyle name="Normal 2 3 2 30 2 8" xfId="27007" xr:uid="{00000000-0005-0000-0000-000061690000}"/>
    <cellStyle name="Normal 2 3 2 30 2 9" xfId="27008" xr:uid="{00000000-0005-0000-0000-000062690000}"/>
    <cellStyle name="Normal 2 3 2 30 3" xfId="27009" xr:uid="{00000000-0005-0000-0000-000063690000}"/>
    <cellStyle name="Normal 2 3 2 30 3 10" xfId="27010" xr:uid="{00000000-0005-0000-0000-000064690000}"/>
    <cellStyle name="Normal 2 3 2 30 3 2" xfId="27011" xr:uid="{00000000-0005-0000-0000-000065690000}"/>
    <cellStyle name="Normal 2 3 2 30 3 3" xfId="27012" xr:uid="{00000000-0005-0000-0000-000066690000}"/>
    <cellStyle name="Normal 2 3 2 30 3 4" xfId="27013" xr:uid="{00000000-0005-0000-0000-000067690000}"/>
    <cellStyle name="Normal 2 3 2 30 3 5" xfId="27014" xr:uid="{00000000-0005-0000-0000-000068690000}"/>
    <cellStyle name="Normal 2 3 2 30 3 6" xfId="27015" xr:uid="{00000000-0005-0000-0000-000069690000}"/>
    <cellStyle name="Normal 2 3 2 30 3 7" xfId="27016" xr:uid="{00000000-0005-0000-0000-00006A690000}"/>
    <cellStyle name="Normal 2 3 2 30 3 8" xfId="27017" xr:uid="{00000000-0005-0000-0000-00006B690000}"/>
    <cellStyle name="Normal 2 3 2 30 3 9" xfId="27018" xr:uid="{00000000-0005-0000-0000-00006C690000}"/>
    <cellStyle name="Normal 2 3 2 30 4" xfId="27019" xr:uid="{00000000-0005-0000-0000-00006D690000}"/>
    <cellStyle name="Normal 2 3 2 30 4 10" xfId="27020" xr:uid="{00000000-0005-0000-0000-00006E690000}"/>
    <cellStyle name="Normal 2 3 2 30 4 2" xfId="27021" xr:uid="{00000000-0005-0000-0000-00006F690000}"/>
    <cellStyle name="Normal 2 3 2 30 4 3" xfId="27022" xr:uid="{00000000-0005-0000-0000-000070690000}"/>
    <cellStyle name="Normal 2 3 2 30 4 4" xfId="27023" xr:uid="{00000000-0005-0000-0000-000071690000}"/>
    <cellStyle name="Normal 2 3 2 30 4 5" xfId="27024" xr:uid="{00000000-0005-0000-0000-000072690000}"/>
    <cellStyle name="Normal 2 3 2 30 4 6" xfId="27025" xr:uid="{00000000-0005-0000-0000-000073690000}"/>
    <cellStyle name="Normal 2 3 2 30 4 7" xfId="27026" xr:uid="{00000000-0005-0000-0000-000074690000}"/>
    <cellStyle name="Normal 2 3 2 30 4 8" xfId="27027" xr:uid="{00000000-0005-0000-0000-000075690000}"/>
    <cellStyle name="Normal 2 3 2 30 4 9" xfId="27028" xr:uid="{00000000-0005-0000-0000-000076690000}"/>
    <cellStyle name="Normal 2 3 2 30 5" xfId="27029" xr:uid="{00000000-0005-0000-0000-000077690000}"/>
    <cellStyle name="Normal 2 3 2 30 5 10" xfId="27030" xr:uid="{00000000-0005-0000-0000-000078690000}"/>
    <cellStyle name="Normal 2 3 2 30 5 2" xfId="27031" xr:uid="{00000000-0005-0000-0000-000079690000}"/>
    <cellStyle name="Normal 2 3 2 30 5 3" xfId="27032" xr:uid="{00000000-0005-0000-0000-00007A690000}"/>
    <cellStyle name="Normal 2 3 2 30 5 4" xfId="27033" xr:uid="{00000000-0005-0000-0000-00007B690000}"/>
    <cellStyle name="Normal 2 3 2 30 5 5" xfId="27034" xr:uid="{00000000-0005-0000-0000-00007C690000}"/>
    <cellStyle name="Normal 2 3 2 30 5 6" xfId="27035" xr:uid="{00000000-0005-0000-0000-00007D690000}"/>
    <cellStyle name="Normal 2 3 2 30 5 7" xfId="27036" xr:uid="{00000000-0005-0000-0000-00007E690000}"/>
    <cellStyle name="Normal 2 3 2 30 5 8" xfId="27037" xr:uid="{00000000-0005-0000-0000-00007F690000}"/>
    <cellStyle name="Normal 2 3 2 30 5 9" xfId="27038" xr:uid="{00000000-0005-0000-0000-000080690000}"/>
    <cellStyle name="Normal 2 3 2 30 6" xfId="27039" xr:uid="{00000000-0005-0000-0000-000081690000}"/>
    <cellStyle name="Normal 2 3 2 30 7" xfId="27040" xr:uid="{00000000-0005-0000-0000-000082690000}"/>
    <cellStyle name="Normal 2 3 2 30 8" xfId="27041" xr:uid="{00000000-0005-0000-0000-000083690000}"/>
    <cellStyle name="Normal 2 3 2 30 9" xfId="27042" xr:uid="{00000000-0005-0000-0000-000084690000}"/>
    <cellStyle name="Normal 2 3 2 31" xfId="27043" xr:uid="{00000000-0005-0000-0000-000085690000}"/>
    <cellStyle name="Normal 2 3 2 31 10" xfId="27044" xr:uid="{00000000-0005-0000-0000-000086690000}"/>
    <cellStyle name="Normal 2 3 2 31 11" xfId="27045" xr:uid="{00000000-0005-0000-0000-000087690000}"/>
    <cellStyle name="Normal 2 3 2 31 12" xfId="27046" xr:uid="{00000000-0005-0000-0000-000088690000}"/>
    <cellStyle name="Normal 2 3 2 31 13" xfId="27047" xr:uid="{00000000-0005-0000-0000-000089690000}"/>
    <cellStyle name="Normal 2 3 2 31 14" xfId="27048" xr:uid="{00000000-0005-0000-0000-00008A690000}"/>
    <cellStyle name="Normal 2 3 2 31 2" xfId="27049" xr:uid="{00000000-0005-0000-0000-00008B690000}"/>
    <cellStyle name="Normal 2 3 2 31 2 10" xfId="27050" xr:uid="{00000000-0005-0000-0000-00008C690000}"/>
    <cellStyle name="Normal 2 3 2 31 2 2" xfId="27051" xr:uid="{00000000-0005-0000-0000-00008D690000}"/>
    <cellStyle name="Normal 2 3 2 31 2 3" xfId="27052" xr:uid="{00000000-0005-0000-0000-00008E690000}"/>
    <cellStyle name="Normal 2 3 2 31 2 4" xfId="27053" xr:uid="{00000000-0005-0000-0000-00008F690000}"/>
    <cellStyle name="Normal 2 3 2 31 2 5" xfId="27054" xr:uid="{00000000-0005-0000-0000-000090690000}"/>
    <cellStyle name="Normal 2 3 2 31 2 6" xfId="27055" xr:uid="{00000000-0005-0000-0000-000091690000}"/>
    <cellStyle name="Normal 2 3 2 31 2 7" xfId="27056" xr:uid="{00000000-0005-0000-0000-000092690000}"/>
    <cellStyle name="Normal 2 3 2 31 2 8" xfId="27057" xr:uid="{00000000-0005-0000-0000-000093690000}"/>
    <cellStyle name="Normal 2 3 2 31 2 9" xfId="27058" xr:uid="{00000000-0005-0000-0000-000094690000}"/>
    <cellStyle name="Normal 2 3 2 31 3" xfId="27059" xr:uid="{00000000-0005-0000-0000-000095690000}"/>
    <cellStyle name="Normal 2 3 2 31 3 10" xfId="27060" xr:uid="{00000000-0005-0000-0000-000096690000}"/>
    <cellStyle name="Normal 2 3 2 31 3 2" xfId="27061" xr:uid="{00000000-0005-0000-0000-000097690000}"/>
    <cellStyle name="Normal 2 3 2 31 3 3" xfId="27062" xr:uid="{00000000-0005-0000-0000-000098690000}"/>
    <cellStyle name="Normal 2 3 2 31 3 4" xfId="27063" xr:uid="{00000000-0005-0000-0000-000099690000}"/>
    <cellStyle name="Normal 2 3 2 31 3 5" xfId="27064" xr:uid="{00000000-0005-0000-0000-00009A690000}"/>
    <cellStyle name="Normal 2 3 2 31 3 6" xfId="27065" xr:uid="{00000000-0005-0000-0000-00009B690000}"/>
    <cellStyle name="Normal 2 3 2 31 3 7" xfId="27066" xr:uid="{00000000-0005-0000-0000-00009C690000}"/>
    <cellStyle name="Normal 2 3 2 31 3 8" xfId="27067" xr:uid="{00000000-0005-0000-0000-00009D690000}"/>
    <cellStyle name="Normal 2 3 2 31 3 9" xfId="27068" xr:uid="{00000000-0005-0000-0000-00009E690000}"/>
    <cellStyle name="Normal 2 3 2 31 4" xfId="27069" xr:uid="{00000000-0005-0000-0000-00009F690000}"/>
    <cellStyle name="Normal 2 3 2 31 4 10" xfId="27070" xr:uid="{00000000-0005-0000-0000-0000A0690000}"/>
    <cellStyle name="Normal 2 3 2 31 4 2" xfId="27071" xr:uid="{00000000-0005-0000-0000-0000A1690000}"/>
    <cellStyle name="Normal 2 3 2 31 4 3" xfId="27072" xr:uid="{00000000-0005-0000-0000-0000A2690000}"/>
    <cellStyle name="Normal 2 3 2 31 4 4" xfId="27073" xr:uid="{00000000-0005-0000-0000-0000A3690000}"/>
    <cellStyle name="Normal 2 3 2 31 4 5" xfId="27074" xr:uid="{00000000-0005-0000-0000-0000A4690000}"/>
    <cellStyle name="Normal 2 3 2 31 4 6" xfId="27075" xr:uid="{00000000-0005-0000-0000-0000A5690000}"/>
    <cellStyle name="Normal 2 3 2 31 4 7" xfId="27076" xr:uid="{00000000-0005-0000-0000-0000A6690000}"/>
    <cellStyle name="Normal 2 3 2 31 4 8" xfId="27077" xr:uid="{00000000-0005-0000-0000-0000A7690000}"/>
    <cellStyle name="Normal 2 3 2 31 4 9" xfId="27078" xr:uid="{00000000-0005-0000-0000-0000A8690000}"/>
    <cellStyle name="Normal 2 3 2 31 5" xfId="27079" xr:uid="{00000000-0005-0000-0000-0000A9690000}"/>
    <cellStyle name="Normal 2 3 2 31 5 10" xfId="27080" xr:uid="{00000000-0005-0000-0000-0000AA690000}"/>
    <cellStyle name="Normal 2 3 2 31 5 2" xfId="27081" xr:uid="{00000000-0005-0000-0000-0000AB690000}"/>
    <cellStyle name="Normal 2 3 2 31 5 3" xfId="27082" xr:uid="{00000000-0005-0000-0000-0000AC690000}"/>
    <cellStyle name="Normal 2 3 2 31 5 4" xfId="27083" xr:uid="{00000000-0005-0000-0000-0000AD690000}"/>
    <cellStyle name="Normal 2 3 2 31 5 5" xfId="27084" xr:uid="{00000000-0005-0000-0000-0000AE690000}"/>
    <cellStyle name="Normal 2 3 2 31 5 6" xfId="27085" xr:uid="{00000000-0005-0000-0000-0000AF690000}"/>
    <cellStyle name="Normal 2 3 2 31 5 7" xfId="27086" xr:uid="{00000000-0005-0000-0000-0000B0690000}"/>
    <cellStyle name="Normal 2 3 2 31 5 8" xfId="27087" xr:uid="{00000000-0005-0000-0000-0000B1690000}"/>
    <cellStyle name="Normal 2 3 2 31 5 9" xfId="27088" xr:uid="{00000000-0005-0000-0000-0000B2690000}"/>
    <cellStyle name="Normal 2 3 2 31 6" xfId="27089" xr:uid="{00000000-0005-0000-0000-0000B3690000}"/>
    <cellStyle name="Normal 2 3 2 31 7" xfId="27090" xr:uid="{00000000-0005-0000-0000-0000B4690000}"/>
    <cellStyle name="Normal 2 3 2 31 8" xfId="27091" xr:uid="{00000000-0005-0000-0000-0000B5690000}"/>
    <cellStyle name="Normal 2 3 2 31 9" xfId="27092" xr:uid="{00000000-0005-0000-0000-0000B6690000}"/>
    <cellStyle name="Normal 2 3 2 32" xfId="27093" xr:uid="{00000000-0005-0000-0000-0000B7690000}"/>
    <cellStyle name="Normal 2 3 2 32 10" xfId="27094" xr:uid="{00000000-0005-0000-0000-0000B8690000}"/>
    <cellStyle name="Normal 2 3 2 32 11" xfId="27095" xr:uid="{00000000-0005-0000-0000-0000B9690000}"/>
    <cellStyle name="Normal 2 3 2 32 12" xfId="27096" xr:uid="{00000000-0005-0000-0000-0000BA690000}"/>
    <cellStyle name="Normal 2 3 2 32 13" xfId="27097" xr:uid="{00000000-0005-0000-0000-0000BB690000}"/>
    <cellStyle name="Normal 2 3 2 32 14" xfId="27098" xr:uid="{00000000-0005-0000-0000-0000BC690000}"/>
    <cellStyle name="Normal 2 3 2 32 2" xfId="27099" xr:uid="{00000000-0005-0000-0000-0000BD690000}"/>
    <cellStyle name="Normal 2 3 2 32 2 10" xfId="27100" xr:uid="{00000000-0005-0000-0000-0000BE690000}"/>
    <cellStyle name="Normal 2 3 2 32 2 2" xfId="27101" xr:uid="{00000000-0005-0000-0000-0000BF690000}"/>
    <cellStyle name="Normal 2 3 2 32 2 3" xfId="27102" xr:uid="{00000000-0005-0000-0000-0000C0690000}"/>
    <cellStyle name="Normal 2 3 2 32 2 4" xfId="27103" xr:uid="{00000000-0005-0000-0000-0000C1690000}"/>
    <cellStyle name="Normal 2 3 2 32 2 5" xfId="27104" xr:uid="{00000000-0005-0000-0000-0000C2690000}"/>
    <cellStyle name="Normal 2 3 2 32 2 6" xfId="27105" xr:uid="{00000000-0005-0000-0000-0000C3690000}"/>
    <cellStyle name="Normal 2 3 2 32 2 7" xfId="27106" xr:uid="{00000000-0005-0000-0000-0000C4690000}"/>
    <cellStyle name="Normal 2 3 2 32 2 8" xfId="27107" xr:uid="{00000000-0005-0000-0000-0000C5690000}"/>
    <cellStyle name="Normal 2 3 2 32 2 9" xfId="27108" xr:uid="{00000000-0005-0000-0000-0000C6690000}"/>
    <cellStyle name="Normal 2 3 2 32 3" xfId="27109" xr:uid="{00000000-0005-0000-0000-0000C7690000}"/>
    <cellStyle name="Normal 2 3 2 32 3 10" xfId="27110" xr:uid="{00000000-0005-0000-0000-0000C8690000}"/>
    <cellStyle name="Normal 2 3 2 32 3 2" xfId="27111" xr:uid="{00000000-0005-0000-0000-0000C9690000}"/>
    <cellStyle name="Normal 2 3 2 32 3 3" xfId="27112" xr:uid="{00000000-0005-0000-0000-0000CA690000}"/>
    <cellStyle name="Normal 2 3 2 32 3 4" xfId="27113" xr:uid="{00000000-0005-0000-0000-0000CB690000}"/>
    <cellStyle name="Normal 2 3 2 32 3 5" xfId="27114" xr:uid="{00000000-0005-0000-0000-0000CC690000}"/>
    <cellStyle name="Normal 2 3 2 32 3 6" xfId="27115" xr:uid="{00000000-0005-0000-0000-0000CD690000}"/>
    <cellStyle name="Normal 2 3 2 32 3 7" xfId="27116" xr:uid="{00000000-0005-0000-0000-0000CE690000}"/>
    <cellStyle name="Normal 2 3 2 32 3 8" xfId="27117" xr:uid="{00000000-0005-0000-0000-0000CF690000}"/>
    <cellStyle name="Normal 2 3 2 32 3 9" xfId="27118" xr:uid="{00000000-0005-0000-0000-0000D0690000}"/>
    <cellStyle name="Normal 2 3 2 32 4" xfId="27119" xr:uid="{00000000-0005-0000-0000-0000D1690000}"/>
    <cellStyle name="Normal 2 3 2 32 4 10" xfId="27120" xr:uid="{00000000-0005-0000-0000-0000D2690000}"/>
    <cellStyle name="Normal 2 3 2 32 4 2" xfId="27121" xr:uid="{00000000-0005-0000-0000-0000D3690000}"/>
    <cellStyle name="Normal 2 3 2 32 4 3" xfId="27122" xr:uid="{00000000-0005-0000-0000-0000D4690000}"/>
    <cellStyle name="Normal 2 3 2 32 4 4" xfId="27123" xr:uid="{00000000-0005-0000-0000-0000D5690000}"/>
    <cellStyle name="Normal 2 3 2 32 4 5" xfId="27124" xr:uid="{00000000-0005-0000-0000-0000D6690000}"/>
    <cellStyle name="Normal 2 3 2 32 4 6" xfId="27125" xr:uid="{00000000-0005-0000-0000-0000D7690000}"/>
    <cellStyle name="Normal 2 3 2 32 4 7" xfId="27126" xr:uid="{00000000-0005-0000-0000-0000D8690000}"/>
    <cellStyle name="Normal 2 3 2 32 4 8" xfId="27127" xr:uid="{00000000-0005-0000-0000-0000D9690000}"/>
    <cellStyle name="Normal 2 3 2 32 4 9" xfId="27128" xr:uid="{00000000-0005-0000-0000-0000DA690000}"/>
    <cellStyle name="Normal 2 3 2 32 5" xfId="27129" xr:uid="{00000000-0005-0000-0000-0000DB690000}"/>
    <cellStyle name="Normal 2 3 2 32 5 10" xfId="27130" xr:uid="{00000000-0005-0000-0000-0000DC690000}"/>
    <cellStyle name="Normal 2 3 2 32 5 2" xfId="27131" xr:uid="{00000000-0005-0000-0000-0000DD690000}"/>
    <cellStyle name="Normal 2 3 2 32 5 3" xfId="27132" xr:uid="{00000000-0005-0000-0000-0000DE690000}"/>
    <cellStyle name="Normal 2 3 2 32 5 4" xfId="27133" xr:uid="{00000000-0005-0000-0000-0000DF690000}"/>
    <cellStyle name="Normal 2 3 2 32 5 5" xfId="27134" xr:uid="{00000000-0005-0000-0000-0000E0690000}"/>
    <cellStyle name="Normal 2 3 2 32 5 6" xfId="27135" xr:uid="{00000000-0005-0000-0000-0000E1690000}"/>
    <cellStyle name="Normal 2 3 2 32 5 7" xfId="27136" xr:uid="{00000000-0005-0000-0000-0000E2690000}"/>
    <cellStyle name="Normal 2 3 2 32 5 8" xfId="27137" xr:uid="{00000000-0005-0000-0000-0000E3690000}"/>
    <cellStyle name="Normal 2 3 2 32 5 9" xfId="27138" xr:uid="{00000000-0005-0000-0000-0000E4690000}"/>
    <cellStyle name="Normal 2 3 2 32 6" xfId="27139" xr:uid="{00000000-0005-0000-0000-0000E5690000}"/>
    <cellStyle name="Normal 2 3 2 32 7" xfId="27140" xr:uid="{00000000-0005-0000-0000-0000E6690000}"/>
    <cellStyle name="Normal 2 3 2 32 8" xfId="27141" xr:uid="{00000000-0005-0000-0000-0000E7690000}"/>
    <cellStyle name="Normal 2 3 2 32 9" xfId="27142" xr:uid="{00000000-0005-0000-0000-0000E8690000}"/>
    <cellStyle name="Normal 2 3 2 33" xfId="27143" xr:uid="{00000000-0005-0000-0000-0000E9690000}"/>
    <cellStyle name="Normal 2 3 2 33 10" xfId="27144" xr:uid="{00000000-0005-0000-0000-0000EA690000}"/>
    <cellStyle name="Normal 2 3 2 33 11" xfId="27145" xr:uid="{00000000-0005-0000-0000-0000EB690000}"/>
    <cellStyle name="Normal 2 3 2 33 12" xfId="27146" xr:uid="{00000000-0005-0000-0000-0000EC690000}"/>
    <cellStyle name="Normal 2 3 2 33 13" xfId="27147" xr:uid="{00000000-0005-0000-0000-0000ED690000}"/>
    <cellStyle name="Normal 2 3 2 33 14" xfId="27148" xr:uid="{00000000-0005-0000-0000-0000EE690000}"/>
    <cellStyle name="Normal 2 3 2 33 2" xfId="27149" xr:uid="{00000000-0005-0000-0000-0000EF690000}"/>
    <cellStyle name="Normal 2 3 2 33 2 10" xfId="27150" xr:uid="{00000000-0005-0000-0000-0000F0690000}"/>
    <cellStyle name="Normal 2 3 2 33 2 2" xfId="27151" xr:uid="{00000000-0005-0000-0000-0000F1690000}"/>
    <cellStyle name="Normal 2 3 2 33 2 3" xfId="27152" xr:uid="{00000000-0005-0000-0000-0000F2690000}"/>
    <cellStyle name="Normal 2 3 2 33 2 4" xfId="27153" xr:uid="{00000000-0005-0000-0000-0000F3690000}"/>
    <cellStyle name="Normal 2 3 2 33 2 5" xfId="27154" xr:uid="{00000000-0005-0000-0000-0000F4690000}"/>
    <cellStyle name="Normal 2 3 2 33 2 6" xfId="27155" xr:uid="{00000000-0005-0000-0000-0000F5690000}"/>
    <cellStyle name="Normal 2 3 2 33 2 7" xfId="27156" xr:uid="{00000000-0005-0000-0000-0000F6690000}"/>
    <cellStyle name="Normal 2 3 2 33 2 8" xfId="27157" xr:uid="{00000000-0005-0000-0000-0000F7690000}"/>
    <cellStyle name="Normal 2 3 2 33 2 9" xfId="27158" xr:uid="{00000000-0005-0000-0000-0000F8690000}"/>
    <cellStyle name="Normal 2 3 2 33 3" xfId="27159" xr:uid="{00000000-0005-0000-0000-0000F9690000}"/>
    <cellStyle name="Normal 2 3 2 33 3 10" xfId="27160" xr:uid="{00000000-0005-0000-0000-0000FA690000}"/>
    <cellStyle name="Normal 2 3 2 33 3 2" xfId="27161" xr:uid="{00000000-0005-0000-0000-0000FB690000}"/>
    <cellStyle name="Normal 2 3 2 33 3 3" xfId="27162" xr:uid="{00000000-0005-0000-0000-0000FC690000}"/>
    <cellStyle name="Normal 2 3 2 33 3 4" xfId="27163" xr:uid="{00000000-0005-0000-0000-0000FD690000}"/>
    <cellStyle name="Normal 2 3 2 33 3 5" xfId="27164" xr:uid="{00000000-0005-0000-0000-0000FE690000}"/>
    <cellStyle name="Normal 2 3 2 33 3 6" xfId="27165" xr:uid="{00000000-0005-0000-0000-0000FF690000}"/>
    <cellStyle name="Normal 2 3 2 33 3 7" xfId="27166" xr:uid="{00000000-0005-0000-0000-0000006A0000}"/>
    <cellStyle name="Normal 2 3 2 33 3 8" xfId="27167" xr:uid="{00000000-0005-0000-0000-0000016A0000}"/>
    <cellStyle name="Normal 2 3 2 33 3 9" xfId="27168" xr:uid="{00000000-0005-0000-0000-0000026A0000}"/>
    <cellStyle name="Normal 2 3 2 33 4" xfId="27169" xr:uid="{00000000-0005-0000-0000-0000036A0000}"/>
    <cellStyle name="Normal 2 3 2 33 4 10" xfId="27170" xr:uid="{00000000-0005-0000-0000-0000046A0000}"/>
    <cellStyle name="Normal 2 3 2 33 4 2" xfId="27171" xr:uid="{00000000-0005-0000-0000-0000056A0000}"/>
    <cellStyle name="Normal 2 3 2 33 4 3" xfId="27172" xr:uid="{00000000-0005-0000-0000-0000066A0000}"/>
    <cellStyle name="Normal 2 3 2 33 4 4" xfId="27173" xr:uid="{00000000-0005-0000-0000-0000076A0000}"/>
    <cellStyle name="Normal 2 3 2 33 4 5" xfId="27174" xr:uid="{00000000-0005-0000-0000-0000086A0000}"/>
    <cellStyle name="Normal 2 3 2 33 4 6" xfId="27175" xr:uid="{00000000-0005-0000-0000-0000096A0000}"/>
    <cellStyle name="Normal 2 3 2 33 4 7" xfId="27176" xr:uid="{00000000-0005-0000-0000-00000A6A0000}"/>
    <cellStyle name="Normal 2 3 2 33 4 8" xfId="27177" xr:uid="{00000000-0005-0000-0000-00000B6A0000}"/>
    <cellStyle name="Normal 2 3 2 33 4 9" xfId="27178" xr:uid="{00000000-0005-0000-0000-00000C6A0000}"/>
    <cellStyle name="Normal 2 3 2 33 5" xfId="27179" xr:uid="{00000000-0005-0000-0000-00000D6A0000}"/>
    <cellStyle name="Normal 2 3 2 33 5 10" xfId="27180" xr:uid="{00000000-0005-0000-0000-00000E6A0000}"/>
    <cellStyle name="Normal 2 3 2 33 5 2" xfId="27181" xr:uid="{00000000-0005-0000-0000-00000F6A0000}"/>
    <cellStyle name="Normal 2 3 2 33 5 3" xfId="27182" xr:uid="{00000000-0005-0000-0000-0000106A0000}"/>
    <cellStyle name="Normal 2 3 2 33 5 4" xfId="27183" xr:uid="{00000000-0005-0000-0000-0000116A0000}"/>
    <cellStyle name="Normal 2 3 2 33 5 5" xfId="27184" xr:uid="{00000000-0005-0000-0000-0000126A0000}"/>
    <cellStyle name="Normal 2 3 2 33 5 6" xfId="27185" xr:uid="{00000000-0005-0000-0000-0000136A0000}"/>
    <cellStyle name="Normal 2 3 2 33 5 7" xfId="27186" xr:uid="{00000000-0005-0000-0000-0000146A0000}"/>
    <cellStyle name="Normal 2 3 2 33 5 8" xfId="27187" xr:uid="{00000000-0005-0000-0000-0000156A0000}"/>
    <cellStyle name="Normal 2 3 2 33 5 9" xfId="27188" xr:uid="{00000000-0005-0000-0000-0000166A0000}"/>
    <cellStyle name="Normal 2 3 2 33 6" xfId="27189" xr:uid="{00000000-0005-0000-0000-0000176A0000}"/>
    <cellStyle name="Normal 2 3 2 33 7" xfId="27190" xr:uid="{00000000-0005-0000-0000-0000186A0000}"/>
    <cellStyle name="Normal 2 3 2 33 8" xfId="27191" xr:uid="{00000000-0005-0000-0000-0000196A0000}"/>
    <cellStyle name="Normal 2 3 2 33 9" xfId="27192" xr:uid="{00000000-0005-0000-0000-00001A6A0000}"/>
    <cellStyle name="Normal 2 3 2 34" xfId="27193" xr:uid="{00000000-0005-0000-0000-00001B6A0000}"/>
    <cellStyle name="Normal 2 3 2 34 10" xfId="27194" xr:uid="{00000000-0005-0000-0000-00001C6A0000}"/>
    <cellStyle name="Normal 2 3 2 34 2" xfId="27195" xr:uid="{00000000-0005-0000-0000-00001D6A0000}"/>
    <cellStyle name="Normal 2 3 2 34 3" xfId="27196" xr:uid="{00000000-0005-0000-0000-00001E6A0000}"/>
    <cellStyle name="Normal 2 3 2 34 4" xfId="27197" xr:uid="{00000000-0005-0000-0000-00001F6A0000}"/>
    <cellStyle name="Normal 2 3 2 34 5" xfId="27198" xr:uid="{00000000-0005-0000-0000-0000206A0000}"/>
    <cellStyle name="Normal 2 3 2 34 6" xfId="27199" xr:uid="{00000000-0005-0000-0000-0000216A0000}"/>
    <cellStyle name="Normal 2 3 2 34 7" xfId="27200" xr:uid="{00000000-0005-0000-0000-0000226A0000}"/>
    <cellStyle name="Normal 2 3 2 34 8" xfId="27201" xr:uid="{00000000-0005-0000-0000-0000236A0000}"/>
    <cellStyle name="Normal 2 3 2 34 9" xfId="27202" xr:uid="{00000000-0005-0000-0000-0000246A0000}"/>
    <cellStyle name="Normal 2 3 2 35" xfId="27203" xr:uid="{00000000-0005-0000-0000-0000256A0000}"/>
    <cellStyle name="Normal 2 3 2 35 10" xfId="27204" xr:uid="{00000000-0005-0000-0000-0000266A0000}"/>
    <cellStyle name="Normal 2 3 2 35 2" xfId="27205" xr:uid="{00000000-0005-0000-0000-0000276A0000}"/>
    <cellStyle name="Normal 2 3 2 35 3" xfId="27206" xr:uid="{00000000-0005-0000-0000-0000286A0000}"/>
    <cellStyle name="Normal 2 3 2 35 4" xfId="27207" xr:uid="{00000000-0005-0000-0000-0000296A0000}"/>
    <cellStyle name="Normal 2 3 2 35 5" xfId="27208" xr:uid="{00000000-0005-0000-0000-00002A6A0000}"/>
    <cellStyle name="Normal 2 3 2 35 6" xfId="27209" xr:uid="{00000000-0005-0000-0000-00002B6A0000}"/>
    <cellStyle name="Normal 2 3 2 35 7" xfId="27210" xr:uid="{00000000-0005-0000-0000-00002C6A0000}"/>
    <cellStyle name="Normal 2 3 2 35 8" xfId="27211" xr:uid="{00000000-0005-0000-0000-00002D6A0000}"/>
    <cellStyle name="Normal 2 3 2 35 9" xfId="27212" xr:uid="{00000000-0005-0000-0000-00002E6A0000}"/>
    <cellStyle name="Normal 2 3 2 36" xfId="27213" xr:uid="{00000000-0005-0000-0000-00002F6A0000}"/>
    <cellStyle name="Normal 2 3 2 36 10" xfId="27214" xr:uid="{00000000-0005-0000-0000-0000306A0000}"/>
    <cellStyle name="Normal 2 3 2 36 2" xfId="27215" xr:uid="{00000000-0005-0000-0000-0000316A0000}"/>
    <cellStyle name="Normal 2 3 2 36 3" xfId="27216" xr:uid="{00000000-0005-0000-0000-0000326A0000}"/>
    <cellStyle name="Normal 2 3 2 36 4" xfId="27217" xr:uid="{00000000-0005-0000-0000-0000336A0000}"/>
    <cellStyle name="Normal 2 3 2 36 5" xfId="27218" xr:uid="{00000000-0005-0000-0000-0000346A0000}"/>
    <cellStyle name="Normal 2 3 2 36 6" xfId="27219" xr:uid="{00000000-0005-0000-0000-0000356A0000}"/>
    <cellStyle name="Normal 2 3 2 36 7" xfId="27220" xr:uid="{00000000-0005-0000-0000-0000366A0000}"/>
    <cellStyle name="Normal 2 3 2 36 8" xfId="27221" xr:uid="{00000000-0005-0000-0000-0000376A0000}"/>
    <cellStyle name="Normal 2 3 2 36 9" xfId="27222" xr:uid="{00000000-0005-0000-0000-0000386A0000}"/>
    <cellStyle name="Normal 2 3 2 37" xfId="27223" xr:uid="{00000000-0005-0000-0000-0000396A0000}"/>
    <cellStyle name="Normal 2 3 2 37 10" xfId="27224" xr:uid="{00000000-0005-0000-0000-00003A6A0000}"/>
    <cellStyle name="Normal 2 3 2 37 2" xfId="27225" xr:uid="{00000000-0005-0000-0000-00003B6A0000}"/>
    <cellStyle name="Normal 2 3 2 37 3" xfId="27226" xr:uid="{00000000-0005-0000-0000-00003C6A0000}"/>
    <cellStyle name="Normal 2 3 2 37 4" xfId="27227" xr:uid="{00000000-0005-0000-0000-00003D6A0000}"/>
    <cellStyle name="Normal 2 3 2 37 5" xfId="27228" xr:uid="{00000000-0005-0000-0000-00003E6A0000}"/>
    <cellStyle name="Normal 2 3 2 37 6" xfId="27229" xr:uid="{00000000-0005-0000-0000-00003F6A0000}"/>
    <cellStyle name="Normal 2 3 2 37 7" xfId="27230" xr:uid="{00000000-0005-0000-0000-0000406A0000}"/>
    <cellStyle name="Normal 2 3 2 37 8" xfId="27231" xr:uid="{00000000-0005-0000-0000-0000416A0000}"/>
    <cellStyle name="Normal 2 3 2 37 9" xfId="27232" xr:uid="{00000000-0005-0000-0000-0000426A0000}"/>
    <cellStyle name="Normal 2 3 2 38" xfId="27233" xr:uid="{00000000-0005-0000-0000-0000436A0000}"/>
    <cellStyle name="Normal 2 3 2 39" xfId="27234" xr:uid="{00000000-0005-0000-0000-0000446A0000}"/>
    <cellStyle name="Normal 2 3 2 4" xfId="27235" xr:uid="{00000000-0005-0000-0000-0000456A0000}"/>
    <cellStyle name="Normal 2 3 2 4 10" xfId="27236" xr:uid="{00000000-0005-0000-0000-0000466A0000}"/>
    <cellStyle name="Normal 2 3 2 4 11" xfId="27237" xr:uid="{00000000-0005-0000-0000-0000476A0000}"/>
    <cellStyle name="Normal 2 3 2 4 12" xfId="27238" xr:uid="{00000000-0005-0000-0000-0000486A0000}"/>
    <cellStyle name="Normal 2 3 2 4 13" xfId="27239" xr:uid="{00000000-0005-0000-0000-0000496A0000}"/>
    <cellStyle name="Normal 2 3 2 4 14" xfId="27240" xr:uid="{00000000-0005-0000-0000-00004A6A0000}"/>
    <cellStyle name="Normal 2 3 2 4 2" xfId="27241" xr:uid="{00000000-0005-0000-0000-00004B6A0000}"/>
    <cellStyle name="Normal 2 3 2 4 2 10" xfId="27242" xr:uid="{00000000-0005-0000-0000-00004C6A0000}"/>
    <cellStyle name="Normal 2 3 2 4 2 2" xfId="27243" xr:uid="{00000000-0005-0000-0000-00004D6A0000}"/>
    <cellStyle name="Normal 2 3 2 4 2 3" xfId="27244" xr:uid="{00000000-0005-0000-0000-00004E6A0000}"/>
    <cellStyle name="Normal 2 3 2 4 2 4" xfId="27245" xr:uid="{00000000-0005-0000-0000-00004F6A0000}"/>
    <cellStyle name="Normal 2 3 2 4 2 5" xfId="27246" xr:uid="{00000000-0005-0000-0000-0000506A0000}"/>
    <cellStyle name="Normal 2 3 2 4 2 6" xfId="27247" xr:uid="{00000000-0005-0000-0000-0000516A0000}"/>
    <cellStyle name="Normal 2 3 2 4 2 7" xfId="27248" xr:uid="{00000000-0005-0000-0000-0000526A0000}"/>
    <cellStyle name="Normal 2 3 2 4 2 8" xfId="27249" xr:uid="{00000000-0005-0000-0000-0000536A0000}"/>
    <cellStyle name="Normal 2 3 2 4 2 9" xfId="27250" xr:uid="{00000000-0005-0000-0000-0000546A0000}"/>
    <cellStyle name="Normal 2 3 2 4 3" xfId="27251" xr:uid="{00000000-0005-0000-0000-0000556A0000}"/>
    <cellStyle name="Normal 2 3 2 4 3 10" xfId="27252" xr:uid="{00000000-0005-0000-0000-0000566A0000}"/>
    <cellStyle name="Normal 2 3 2 4 3 2" xfId="27253" xr:uid="{00000000-0005-0000-0000-0000576A0000}"/>
    <cellStyle name="Normal 2 3 2 4 3 3" xfId="27254" xr:uid="{00000000-0005-0000-0000-0000586A0000}"/>
    <cellStyle name="Normal 2 3 2 4 3 4" xfId="27255" xr:uid="{00000000-0005-0000-0000-0000596A0000}"/>
    <cellStyle name="Normal 2 3 2 4 3 5" xfId="27256" xr:uid="{00000000-0005-0000-0000-00005A6A0000}"/>
    <cellStyle name="Normal 2 3 2 4 3 6" xfId="27257" xr:uid="{00000000-0005-0000-0000-00005B6A0000}"/>
    <cellStyle name="Normal 2 3 2 4 3 7" xfId="27258" xr:uid="{00000000-0005-0000-0000-00005C6A0000}"/>
    <cellStyle name="Normal 2 3 2 4 3 8" xfId="27259" xr:uid="{00000000-0005-0000-0000-00005D6A0000}"/>
    <cellStyle name="Normal 2 3 2 4 3 9" xfId="27260" xr:uid="{00000000-0005-0000-0000-00005E6A0000}"/>
    <cellStyle name="Normal 2 3 2 4 4" xfId="27261" xr:uid="{00000000-0005-0000-0000-00005F6A0000}"/>
    <cellStyle name="Normal 2 3 2 4 4 10" xfId="27262" xr:uid="{00000000-0005-0000-0000-0000606A0000}"/>
    <cellStyle name="Normal 2 3 2 4 4 2" xfId="27263" xr:uid="{00000000-0005-0000-0000-0000616A0000}"/>
    <cellStyle name="Normal 2 3 2 4 4 3" xfId="27264" xr:uid="{00000000-0005-0000-0000-0000626A0000}"/>
    <cellStyle name="Normal 2 3 2 4 4 4" xfId="27265" xr:uid="{00000000-0005-0000-0000-0000636A0000}"/>
    <cellStyle name="Normal 2 3 2 4 4 5" xfId="27266" xr:uid="{00000000-0005-0000-0000-0000646A0000}"/>
    <cellStyle name="Normal 2 3 2 4 4 6" xfId="27267" xr:uid="{00000000-0005-0000-0000-0000656A0000}"/>
    <cellStyle name="Normal 2 3 2 4 4 7" xfId="27268" xr:uid="{00000000-0005-0000-0000-0000666A0000}"/>
    <cellStyle name="Normal 2 3 2 4 4 8" xfId="27269" xr:uid="{00000000-0005-0000-0000-0000676A0000}"/>
    <cellStyle name="Normal 2 3 2 4 4 9" xfId="27270" xr:uid="{00000000-0005-0000-0000-0000686A0000}"/>
    <cellStyle name="Normal 2 3 2 4 5" xfId="27271" xr:uid="{00000000-0005-0000-0000-0000696A0000}"/>
    <cellStyle name="Normal 2 3 2 4 5 10" xfId="27272" xr:uid="{00000000-0005-0000-0000-00006A6A0000}"/>
    <cellStyle name="Normal 2 3 2 4 5 2" xfId="27273" xr:uid="{00000000-0005-0000-0000-00006B6A0000}"/>
    <cellStyle name="Normal 2 3 2 4 5 3" xfId="27274" xr:uid="{00000000-0005-0000-0000-00006C6A0000}"/>
    <cellStyle name="Normal 2 3 2 4 5 4" xfId="27275" xr:uid="{00000000-0005-0000-0000-00006D6A0000}"/>
    <cellStyle name="Normal 2 3 2 4 5 5" xfId="27276" xr:uid="{00000000-0005-0000-0000-00006E6A0000}"/>
    <cellStyle name="Normal 2 3 2 4 5 6" xfId="27277" xr:uid="{00000000-0005-0000-0000-00006F6A0000}"/>
    <cellStyle name="Normal 2 3 2 4 5 7" xfId="27278" xr:uid="{00000000-0005-0000-0000-0000706A0000}"/>
    <cellStyle name="Normal 2 3 2 4 5 8" xfId="27279" xr:uid="{00000000-0005-0000-0000-0000716A0000}"/>
    <cellStyle name="Normal 2 3 2 4 5 9" xfId="27280" xr:uid="{00000000-0005-0000-0000-0000726A0000}"/>
    <cellStyle name="Normal 2 3 2 4 6" xfId="27281" xr:uid="{00000000-0005-0000-0000-0000736A0000}"/>
    <cellStyle name="Normal 2 3 2 4 7" xfId="27282" xr:uid="{00000000-0005-0000-0000-0000746A0000}"/>
    <cellStyle name="Normal 2 3 2 4 8" xfId="27283" xr:uid="{00000000-0005-0000-0000-0000756A0000}"/>
    <cellStyle name="Normal 2 3 2 4 9" xfId="27284" xr:uid="{00000000-0005-0000-0000-0000766A0000}"/>
    <cellStyle name="Normal 2 3 2 40" xfId="27285" xr:uid="{00000000-0005-0000-0000-0000776A0000}"/>
    <cellStyle name="Normal 2 3 2 41" xfId="27286" xr:uid="{00000000-0005-0000-0000-0000786A0000}"/>
    <cellStyle name="Normal 2 3 2 42" xfId="27287" xr:uid="{00000000-0005-0000-0000-0000796A0000}"/>
    <cellStyle name="Normal 2 3 2 43" xfId="27288" xr:uid="{00000000-0005-0000-0000-00007A6A0000}"/>
    <cellStyle name="Normal 2 3 2 44" xfId="27289" xr:uid="{00000000-0005-0000-0000-00007B6A0000}"/>
    <cellStyle name="Normal 2 3 2 45" xfId="27290" xr:uid="{00000000-0005-0000-0000-00007C6A0000}"/>
    <cellStyle name="Normal 2 3 2 46" xfId="27291" xr:uid="{00000000-0005-0000-0000-00007D6A0000}"/>
    <cellStyle name="Normal 2 3 2 47" xfId="27292" xr:uid="{00000000-0005-0000-0000-00007E6A0000}"/>
    <cellStyle name="Normal 2 3 2 48" xfId="27293" xr:uid="{00000000-0005-0000-0000-00007F6A0000}"/>
    <cellStyle name="Normal 2 3 2 49" xfId="25886" xr:uid="{00000000-0005-0000-0000-0000806A0000}"/>
    <cellStyle name="Normal 2 3 2 5" xfId="27294" xr:uid="{00000000-0005-0000-0000-0000816A0000}"/>
    <cellStyle name="Normal 2 3 2 5 10" xfId="27295" xr:uid="{00000000-0005-0000-0000-0000826A0000}"/>
    <cellStyle name="Normal 2 3 2 5 11" xfId="27296" xr:uid="{00000000-0005-0000-0000-0000836A0000}"/>
    <cellStyle name="Normal 2 3 2 5 12" xfId="27297" xr:uid="{00000000-0005-0000-0000-0000846A0000}"/>
    <cellStyle name="Normal 2 3 2 5 13" xfId="27298" xr:uid="{00000000-0005-0000-0000-0000856A0000}"/>
    <cellStyle name="Normal 2 3 2 5 14" xfId="27299" xr:uid="{00000000-0005-0000-0000-0000866A0000}"/>
    <cellStyle name="Normal 2 3 2 5 2" xfId="27300" xr:uid="{00000000-0005-0000-0000-0000876A0000}"/>
    <cellStyle name="Normal 2 3 2 5 2 10" xfId="27301" xr:uid="{00000000-0005-0000-0000-0000886A0000}"/>
    <cellStyle name="Normal 2 3 2 5 2 2" xfId="27302" xr:uid="{00000000-0005-0000-0000-0000896A0000}"/>
    <cellStyle name="Normal 2 3 2 5 2 3" xfId="27303" xr:uid="{00000000-0005-0000-0000-00008A6A0000}"/>
    <cellStyle name="Normal 2 3 2 5 2 4" xfId="27304" xr:uid="{00000000-0005-0000-0000-00008B6A0000}"/>
    <cellStyle name="Normal 2 3 2 5 2 5" xfId="27305" xr:uid="{00000000-0005-0000-0000-00008C6A0000}"/>
    <cellStyle name="Normal 2 3 2 5 2 6" xfId="27306" xr:uid="{00000000-0005-0000-0000-00008D6A0000}"/>
    <cellStyle name="Normal 2 3 2 5 2 7" xfId="27307" xr:uid="{00000000-0005-0000-0000-00008E6A0000}"/>
    <cellStyle name="Normal 2 3 2 5 2 8" xfId="27308" xr:uid="{00000000-0005-0000-0000-00008F6A0000}"/>
    <cellStyle name="Normal 2 3 2 5 2 9" xfId="27309" xr:uid="{00000000-0005-0000-0000-0000906A0000}"/>
    <cellStyle name="Normal 2 3 2 5 3" xfId="27310" xr:uid="{00000000-0005-0000-0000-0000916A0000}"/>
    <cellStyle name="Normal 2 3 2 5 3 10" xfId="27311" xr:uid="{00000000-0005-0000-0000-0000926A0000}"/>
    <cellStyle name="Normal 2 3 2 5 3 2" xfId="27312" xr:uid="{00000000-0005-0000-0000-0000936A0000}"/>
    <cellStyle name="Normal 2 3 2 5 3 3" xfId="27313" xr:uid="{00000000-0005-0000-0000-0000946A0000}"/>
    <cellStyle name="Normal 2 3 2 5 3 4" xfId="27314" xr:uid="{00000000-0005-0000-0000-0000956A0000}"/>
    <cellStyle name="Normal 2 3 2 5 3 5" xfId="27315" xr:uid="{00000000-0005-0000-0000-0000966A0000}"/>
    <cellStyle name="Normal 2 3 2 5 3 6" xfId="27316" xr:uid="{00000000-0005-0000-0000-0000976A0000}"/>
    <cellStyle name="Normal 2 3 2 5 3 7" xfId="27317" xr:uid="{00000000-0005-0000-0000-0000986A0000}"/>
    <cellStyle name="Normal 2 3 2 5 3 8" xfId="27318" xr:uid="{00000000-0005-0000-0000-0000996A0000}"/>
    <cellStyle name="Normal 2 3 2 5 3 9" xfId="27319" xr:uid="{00000000-0005-0000-0000-00009A6A0000}"/>
    <cellStyle name="Normal 2 3 2 5 4" xfId="27320" xr:uid="{00000000-0005-0000-0000-00009B6A0000}"/>
    <cellStyle name="Normal 2 3 2 5 4 10" xfId="27321" xr:uid="{00000000-0005-0000-0000-00009C6A0000}"/>
    <cellStyle name="Normal 2 3 2 5 4 2" xfId="27322" xr:uid="{00000000-0005-0000-0000-00009D6A0000}"/>
    <cellStyle name="Normal 2 3 2 5 4 3" xfId="27323" xr:uid="{00000000-0005-0000-0000-00009E6A0000}"/>
    <cellStyle name="Normal 2 3 2 5 4 4" xfId="27324" xr:uid="{00000000-0005-0000-0000-00009F6A0000}"/>
    <cellStyle name="Normal 2 3 2 5 4 5" xfId="27325" xr:uid="{00000000-0005-0000-0000-0000A06A0000}"/>
    <cellStyle name="Normal 2 3 2 5 4 6" xfId="27326" xr:uid="{00000000-0005-0000-0000-0000A16A0000}"/>
    <cellStyle name="Normal 2 3 2 5 4 7" xfId="27327" xr:uid="{00000000-0005-0000-0000-0000A26A0000}"/>
    <cellStyle name="Normal 2 3 2 5 4 8" xfId="27328" xr:uid="{00000000-0005-0000-0000-0000A36A0000}"/>
    <cellStyle name="Normal 2 3 2 5 4 9" xfId="27329" xr:uid="{00000000-0005-0000-0000-0000A46A0000}"/>
    <cellStyle name="Normal 2 3 2 5 5" xfId="27330" xr:uid="{00000000-0005-0000-0000-0000A56A0000}"/>
    <cellStyle name="Normal 2 3 2 5 5 10" xfId="27331" xr:uid="{00000000-0005-0000-0000-0000A66A0000}"/>
    <cellStyle name="Normal 2 3 2 5 5 2" xfId="27332" xr:uid="{00000000-0005-0000-0000-0000A76A0000}"/>
    <cellStyle name="Normal 2 3 2 5 5 3" xfId="27333" xr:uid="{00000000-0005-0000-0000-0000A86A0000}"/>
    <cellStyle name="Normal 2 3 2 5 5 4" xfId="27334" xr:uid="{00000000-0005-0000-0000-0000A96A0000}"/>
    <cellStyle name="Normal 2 3 2 5 5 5" xfId="27335" xr:uid="{00000000-0005-0000-0000-0000AA6A0000}"/>
    <cellStyle name="Normal 2 3 2 5 5 6" xfId="27336" xr:uid="{00000000-0005-0000-0000-0000AB6A0000}"/>
    <cellStyle name="Normal 2 3 2 5 5 7" xfId="27337" xr:uid="{00000000-0005-0000-0000-0000AC6A0000}"/>
    <cellStyle name="Normal 2 3 2 5 5 8" xfId="27338" xr:uid="{00000000-0005-0000-0000-0000AD6A0000}"/>
    <cellStyle name="Normal 2 3 2 5 5 9" xfId="27339" xr:uid="{00000000-0005-0000-0000-0000AE6A0000}"/>
    <cellStyle name="Normal 2 3 2 5 6" xfId="27340" xr:uid="{00000000-0005-0000-0000-0000AF6A0000}"/>
    <cellStyle name="Normal 2 3 2 5 7" xfId="27341" xr:uid="{00000000-0005-0000-0000-0000B06A0000}"/>
    <cellStyle name="Normal 2 3 2 5 8" xfId="27342" xr:uid="{00000000-0005-0000-0000-0000B16A0000}"/>
    <cellStyle name="Normal 2 3 2 5 9" xfId="27343" xr:uid="{00000000-0005-0000-0000-0000B26A0000}"/>
    <cellStyle name="Normal 2 3 2 6" xfId="27344" xr:uid="{00000000-0005-0000-0000-0000B36A0000}"/>
    <cellStyle name="Normal 2 3 2 6 10" xfId="27345" xr:uid="{00000000-0005-0000-0000-0000B46A0000}"/>
    <cellStyle name="Normal 2 3 2 6 11" xfId="27346" xr:uid="{00000000-0005-0000-0000-0000B56A0000}"/>
    <cellStyle name="Normal 2 3 2 6 12" xfId="27347" xr:uid="{00000000-0005-0000-0000-0000B66A0000}"/>
    <cellStyle name="Normal 2 3 2 6 13" xfId="27348" xr:uid="{00000000-0005-0000-0000-0000B76A0000}"/>
    <cellStyle name="Normal 2 3 2 6 14" xfId="27349" xr:uid="{00000000-0005-0000-0000-0000B86A0000}"/>
    <cellStyle name="Normal 2 3 2 6 2" xfId="27350" xr:uid="{00000000-0005-0000-0000-0000B96A0000}"/>
    <cellStyle name="Normal 2 3 2 6 2 10" xfId="27351" xr:uid="{00000000-0005-0000-0000-0000BA6A0000}"/>
    <cellStyle name="Normal 2 3 2 6 2 2" xfId="27352" xr:uid="{00000000-0005-0000-0000-0000BB6A0000}"/>
    <cellStyle name="Normal 2 3 2 6 2 3" xfId="27353" xr:uid="{00000000-0005-0000-0000-0000BC6A0000}"/>
    <cellStyle name="Normal 2 3 2 6 2 4" xfId="27354" xr:uid="{00000000-0005-0000-0000-0000BD6A0000}"/>
    <cellStyle name="Normal 2 3 2 6 2 5" xfId="27355" xr:uid="{00000000-0005-0000-0000-0000BE6A0000}"/>
    <cellStyle name="Normal 2 3 2 6 2 6" xfId="27356" xr:uid="{00000000-0005-0000-0000-0000BF6A0000}"/>
    <cellStyle name="Normal 2 3 2 6 2 7" xfId="27357" xr:uid="{00000000-0005-0000-0000-0000C06A0000}"/>
    <cellStyle name="Normal 2 3 2 6 2 8" xfId="27358" xr:uid="{00000000-0005-0000-0000-0000C16A0000}"/>
    <cellStyle name="Normal 2 3 2 6 2 9" xfId="27359" xr:uid="{00000000-0005-0000-0000-0000C26A0000}"/>
    <cellStyle name="Normal 2 3 2 6 3" xfId="27360" xr:uid="{00000000-0005-0000-0000-0000C36A0000}"/>
    <cellStyle name="Normal 2 3 2 6 3 10" xfId="27361" xr:uid="{00000000-0005-0000-0000-0000C46A0000}"/>
    <cellStyle name="Normal 2 3 2 6 3 2" xfId="27362" xr:uid="{00000000-0005-0000-0000-0000C56A0000}"/>
    <cellStyle name="Normal 2 3 2 6 3 3" xfId="27363" xr:uid="{00000000-0005-0000-0000-0000C66A0000}"/>
    <cellStyle name="Normal 2 3 2 6 3 4" xfId="27364" xr:uid="{00000000-0005-0000-0000-0000C76A0000}"/>
    <cellStyle name="Normal 2 3 2 6 3 5" xfId="27365" xr:uid="{00000000-0005-0000-0000-0000C86A0000}"/>
    <cellStyle name="Normal 2 3 2 6 3 6" xfId="27366" xr:uid="{00000000-0005-0000-0000-0000C96A0000}"/>
    <cellStyle name="Normal 2 3 2 6 3 7" xfId="27367" xr:uid="{00000000-0005-0000-0000-0000CA6A0000}"/>
    <cellStyle name="Normal 2 3 2 6 3 8" xfId="27368" xr:uid="{00000000-0005-0000-0000-0000CB6A0000}"/>
    <cellStyle name="Normal 2 3 2 6 3 9" xfId="27369" xr:uid="{00000000-0005-0000-0000-0000CC6A0000}"/>
    <cellStyle name="Normal 2 3 2 6 4" xfId="27370" xr:uid="{00000000-0005-0000-0000-0000CD6A0000}"/>
    <cellStyle name="Normal 2 3 2 6 4 10" xfId="27371" xr:uid="{00000000-0005-0000-0000-0000CE6A0000}"/>
    <cellStyle name="Normal 2 3 2 6 4 2" xfId="27372" xr:uid="{00000000-0005-0000-0000-0000CF6A0000}"/>
    <cellStyle name="Normal 2 3 2 6 4 3" xfId="27373" xr:uid="{00000000-0005-0000-0000-0000D06A0000}"/>
    <cellStyle name="Normal 2 3 2 6 4 4" xfId="27374" xr:uid="{00000000-0005-0000-0000-0000D16A0000}"/>
    <cellStyle name="Normal 2 3 2 6 4 5" xfId="27375" xr:uid="{00000000-0005-0000-0000-0000D26A0000}"/>
    <cellStyle name="Normal 2 3 2 6 4 6" xfId="27376" xr:uid="{00000000-0005-0000-0000-0000D36A0000}"/>
    <cellStyle name="Normal 2 3 2 6 4 7" xfId="27377" xr:uid="{00000000-0005-0000-0000-0000D46A0000}"/>
    <cellStyle name="Normal 2 3 2 6 4 8" xfId="27378" xr:uid="{00000000-0005-0000-0000-0000D56A0000}"/>
    <cellStyle name="Normal 2 3 2 6 4 9" xfId="27379" xr:uid="{00000000-0005-0000-0000-0000D66A0000}"/>
    <cellStyle name="Normal 2 3 2 6 5" xfId="27380" xr:uid="{00000000-0005-0000-0000-0000D76A0000}"/>
    <cellStyle name="Normal 2 3 2 6 5 10" xfId="27381" xr:uid="{00000000-0005-0000-0000-0000D86A0000}"/>
    <cellStyle name="Normal 2 3 2 6 5 2" xfId="27382" xr:uid="{00000000-0005-0000-0000-0000D96A0000}"/>
    <cellStyle name="Normal 2 3 2 6 5 3" xfId="27383" xr:uid="{00000000-0005-0000-0000-0000DA6A0000}"/>
    <cellStyle name="Normal 2 3 2 6 5 4" xfId="27384" xr:uid="{00000000-0005-0000-0000-0000DB6A0000}"/>
    <cellStyle name="Normal 2 3 2 6 5 5" xfId="27385" xr:uid="{00000000-0005-0000-0000-0000DC6A0000}"/>
    <cellStyle name="Normal 2 3 2 6 5 6" xfId="27386" xr:uid="{00000000-0005-0000-0000-0000DD6A0000}"/>
    <cellStyle name="Normal 2 3 2 6 5 7" xfId="27387" xr:uid="{00000000-0005-0000-0000-0000DE6A0000}"/>
    <cellStyle name="Normal 2 3 2 6 5 8" xfId="27388" xr:uid="{00000000-0005-0000-0000-0000DF6A0000}"/>
    <cellStyle name="Normal 2 3 2 6 5 9" xfId="27389" xr:uid="{00000000-0005-0000-0000-0000E06A0000}"/>
    <cellStyle name="Normal 2 3 2 6 6" xfId="27390" xr:uid="{00000000-0005-0000-0000-0000E16A0000}"/>
    <cellStyle name="Normal 2 3 2 6 7" xfId="27391" xr:uid="{00000000-0005-0000-0000-0000E26A0000}"/>
    <cellStyle name="Normal 2 3 2 6 8" xfId="27392" xr:uid="{00000000-0005-0000-0000-0000E36A0000}"/>
    <cellStyle name="Normal 2 3 2 6 9" xfId="27393" xr:uid="{00000000-0005-0000-0000-0000E46A0000}"/>
    <cellStyle name="Normal 2 3 2 7" xfId="27394" xr:uid="{00000000-0005-0000-0000-0000E56A0000}"/>
    <cellStyle name="Normal 2 3 2 7 10" xfId="27395" xr:uid="{00000000-0005-0000-0000-0000E66A0000}"/>
    <cellStyle name="Normal 2 3 2 7 11" xfId="27396" xr:uid="{00000000-0005-0000-0000-0000E76A0000}"/>
    <cellStyle name="Normal 2 3 2 7 12" xfId="27397" xr:uid="{00000000-0005-0000-0000-0000E86A0000}"/>
    <cellStyle name="Normal 2 3 2 7 13" xfId="27398" xr:uid="{00000000-0005-0000-0000-0000E96A0000}"/>
    <cellStyle name="Normal 2 3 2 7 14" xfId="27399" xr:uid="{00000000-0005-0000-0000-0000EA6A0000}"/>
    <cellStyle name="Normal 2 3 2 7 2" xfId="27400" xr:uid="{00000000-0005-0000-0000-0000EB6A0000}"/>
    <cellStyle name="Normal 2 3 2 7 2 10" xfId="27401" xr:uid="{00000000-0005-0000-0000-0000EC6A0000}"/>
    <cellStyle name="Normal 2 3 2 7 2 2" xfId="27402" xr:uid="{00000000-0005-0000-0000-0000ED6A0000}"/>
    <cellStyle name="Normal 2 3 2 7 2 3" xfId="27403" xr:uid="{00000000-0005-0000-0000-0000EE6A0000}"/>
    <cellStyle name="Normal 2 3 2 7 2 4" xfId="27404" xr:uid="{00000000-0005-0000-0000-0000EF6A0000}"/>
    <cellStyle name="Normal 2 3 2 7 2 5" xfId="27405" xr:uid="{00000000-0005-0000-0000-0000F06A0000}"/>
    <cellStyle name="Normal 2 3 2 7 2 6" xfId="27406" xr:uid="{00000000-0005-0000-0000-0000F16A0000}"/>
    <cellStyle name="Normal 2 3 2 7 2 7" xfId="27407" xr:uid="{00000000-0005-0000-0000-0000F26A0000}"/>
    <cellStyle name="Normal 2 3 2 7 2 8" xfId="27408" xr:uid="{00000000-0005-0000-0000-0000F36A0000}"/>
    <cellStyle name="Normal 2 3 2 7 2 9" xfId="27409" xr:uid="{00000000-0005-0000-0000-0000F46A0000}"/>
    <cellStyle name="Normal 2 3 2 7 3" xfId="27410" xr:uid="{00000000-0005-0000-0000-0000F56A0000}"/>
    <cellStyle name="Normal 2 3 2 7 3 10" xfId="27411" xr:uid="{00000000-0005-0000-0000-0000F66A0000}"/>
    <cellStyle name="Normal 2 3 2 7 3 2" xfId="27412" xr:uid="{00000000-0005-0000-0000-0000F76A0000}"/>
    <cellStyle name="Normal 2 3 2 7 3 3" xfId="27413" xr:uid="{00000000-0005-0000-0000-0000F86A0000}"/>
    <cellStyle name="Normal 2 3 2 7 3 4" xfId="27414" xr:uid="{00000000-0005-0000-0000-0000F96A0000}"/>
    <cellStyle name="Normal 2 3 2 7 3 5" xfId="27415" xr:uid="{00000000-0005-0000-0000-0000FA6A0000}"/>
    <cellStyle name="Normal 2 3 2 7 3 6" xfId="27416" xr:uid="{00000000-0005-0000-0000-0000FB6A0000}"/>
    <cellStyle name="Normal 2 3 2 7 3 7" xfId="27417" xr:uid="{00000000-0005-0000-0000-0000FC6A0000}"/>
    <cellStyle name="Normal 2 3 2 7 3 8" xfId="27418" xr:uid="{00000000-0005-0000-0000-0000FD6A0000}"/>
    <cellStyle name="Normal 2 3 2 7 3 9" xfId="27419" xr:uid="{00000000-0005-0000-0000-0000FE6A0000}"/>
    <cellStyle name="Normal 2 3 2 7 4" xfId="27420" xr:uid="{00000000-0005-0000-0000-0000FF6A0000}"/>
    <cellStyle name="Normal 2 3 2 7 4 10" xfId="27421" xr:uid="{00000000-0005-0000-0000-0000006B0000}"/>
    <cellStyle name="Normal 2 3 2 7 4 2" xfId="27422" xr:uid="{00000000-0005-0000-0000-0000016B0000}"/>
    <cellStyle name="Normal 2 3 2 7 4 3" xfId="27423" xr:uid="{00000000-0005-0000-0000-0000026B0000}"/>
    <cellStyle name="Normal 2 3 2 7 4 4" xfId="27424" xr:uid="{00000000-0005-0000-0000-0000036B0000}"/>
    <cellStyle name="Normal 2 3 2 7 4 5" xfId="27425" xr:uid="{00000000-0005-0000-0000-0000046B0000}"/>
    <cellStyle name="Normal 2 3 2 7 4 6" xfId="27426" xr:uid="{00000000-0005-0000-0000-0000056B0000}"/>
    <cellStyle name="Normal 2 3 2 7 4 7" xfId="27427" xr:uid="{00000000-0005-0000-0000-0000066B0000}"/>
    <cellStyle name="Normal 2 3 2 7 4 8" xfId="27428" xr:uid="{00000000-0005-0000-0000-0000076B0000}"/>
    <cellStyle name="Normal 2 3 2 7 4 9" xfId="27429" xr:uid="{00000000-0005-0000-0000-0000086B0000}"/>
    <cellStyle name="Normal 2 3 2 7 5" xfId="27430" xr:uid="{00000000-0005-0000-0000-0000096B0000}"/>
    <cellStyle name="Normal 2 3 2 7 5 10" xfId="27431" xr:uid="{00000000-0005-0000-0000-00000A6B0000}"/>
    <cellStyle name="Normal 2 3 2 7 5 2" xfId="27432" xr:uid="{00000000-0005-0000-0000-00000B6B0000}"/>
    <cellStyle name="Normal 2 3 2 7 5 3" xfId="27433" xr:uid="{00000000-0005-0000-0000-00000C6B0000}"/>
    <cellStyle name="Normal 2 3 2 7 5 4" xfId="27434" xr:uid="{00000000-0005-0000-0000-00000D6B0000}"/>
    <cellStyle name="Normal 2 3 2 7 5 5" xfId="27435" xr:uid="{00000000-0005-0000-0000-00000E6B0000}"/>
    <cellStyle name="Normal 2 3 2 7 5 6" xfId="27436" xr:uid="{00000000-0005-0000-0000-00000F6B0000}"/>
    <cellStyle name="Normal 2 3 2 7 5 7" xfId="27437" xr:uid="{00000000-0005-0000-0000-0000106B0000}"/>
    <cellStyle name="Normal 2 3 2 7 5 8" xfId="27438" xr:uid="{00000000-0005-0000-0000-0000116B0000}"/>
    <cellStyle name="Normal 2 3 2 7 5 9" xfId="27439" xr:uid="{00000000-0005-0000-0000-0000126B0000}"/>
    <cellStyle name="Normal 2 3 2 7 6" xfId="27440" xr:uid="{00000000-0005-0000-0000-0000136B0000}"/>
    <cellStyle name="Normal 2 3 2 7 7" xfId="27441" xr:uid="{00000000-0005-0000-0000-0000146B0000}"/>
    <cellStyle name="Normal 2 3 2 7 8" xfId="27442" xr:uid="{00000000-0005-0000-0000-0000156B0000}"/>
    <cellStyle name="Normal 2 3 2 7 9" xfId="27443" xr:uid="{00000000-0005-0000-0000-0000166B0000}"/>
    <cellStyle name="Normal 2 3 2 8" xfId="27444" xr:uid="{00000000-0005-0000-0000-0000176B0000}"/>
    <cellStyle name="Normal 2 3 2 8 10" xfId="27445" xr:uid="{00000000-0005-0000-0000-0000186B0000}"/>
    <cellStyle name="Normal 2 3 2 8 11" xfId="27446" xr:uid="{00000000-0005-0000-0000-0000196B0000}"/>
    <cellStyle name="Normal 2 3 2 8 12" xfId="27447" xr:uid="{00000000-0005-0000-0000-00001A6B0000}"/>
    <cellStyle name="Normal 2 3 2 8 13" xfId="27448" xr:uid="{00000000-0005-0000-0000-00001B6B0000}"/>
    <cellStyle name="Normal 2 3 2 8 14" xfId="27449" xr:uid="{00000000-0005-0000-0000-00001C6B0000}"/>
    <cellStyle name="Normal 2 3 2 8 2" xfId="27450" xr:uid="{00000000-0005-0000-0000-00001D6B0000}"/>
    <cellStyle name="Normal 2 3 2 8 2 10" xfId="27451" xr:uid="{00000000-0005-0000-0000-00001E6B0000}"/>
    <cellStyle name="Normal 2 3 2 8 2 2" xfId="27452" xr:uid="{00000000-0005-0000-0000-00001F6B0000}"/>
    <cellStyle name="Normal 2 3 2 8 2 3" xfId="27453" xr:uid="{00000000-0005-0000-0000-0000206B0000}"/>
    <cellStyle name="Normal 2 3 2 8 2 4" xfId="27454" xr:uid="{00000000-0005-0000-0000-0000216B0000}"/>
    <cellStyle name="Normal 2 3 2 8 2 5" xfId="27455" xr:uid="{00000000-0005-0000-0000-0000226B0000}"/>
    <cellStyle name="Normal 2 3 2 8 2 6" xfId="27456" xr:uid="{00000000-0005-0000-0000-0000236B0000}"/>
    <cellStyle name="Normal 2 3 2 8 2 7" xfId="27457" xr:uid="{00000000-0005-0000-0000-0000246B0000}"/>
    <cellStyle name="Normal 2 3 2 8 2 8" xfId="27458" xr:uid="{00000000-0005-0000-0000-0000256B0000}"/>
    <cellStyle name="Normal 2 3 2 8 2 9" xfId="27459" xr:uid="{00000000-0005-0000-0000-0000266B0000}"/>
    <cellStyle name="Normal 2 3 2 8 3" xfId="27460" xr:uid="{00000000-0005-0000-0000-0000276B0000}"/>
    <cellStyle name="Normal 2 3 2 8 3 10" xfId="27461" xr:uid="{00000000-0005-0000-0000-0000286B0000}"/>
    <cellStyle name="Normal 2 3 2 8 3 2" xfId="27462" xr:uid="{00000000-0005-0000-0000-0000296B0000}"/>
    <cellStyle name="Normal 2 3 2 8 3 3" xfId="27463" xr:uid="{00000000-0005-0000-0000-00002A6B0000}"/>
    <cellStyle name="Normal 2 3 2 8 3 4" xfId="27464" xr:uid="{00000000-0005-0000-0000-00002B6B0000}"/>
    <cellStyle name="Normal 2 3 2 8 3 5" xfId="27465" xr:uid="{00000000-0005-0000-0000-00002C6B0000}"/>
    <cellStyle name="Normal 2 3 2 8 3 6" xfId="27466" xr:uid="{00000000-0005-0000-0000-00002D6B0000}"/>
    <cellStyle name="Normal 2 3 2 8 3 7" xfId="27467" xr:uid="{00000000-0005-0000-0000-00002E6B0000}"/>
    <cellStyle name="Normal 2 3 2 8 3 8" xfId="27468" xr:uid="{00000000-0005-0000-0000-00002F6B0000}"/>
    <cellStyle name="Normal 2 3 2 8 3 9" xfId="27469" xr:uid="{00000000-0005-0000-0000-0000306B0000}"/>
    <cellStyle name="Normal 2 3 2 8 4" xfId="27470" xr:uid="{00000000-0005-0000-0000-0000316B0000}"/>
    <cellStyle name="Normal 2 3 2 8 4 10" xfId="27471" xr:uid="{00000000-0005-0000-0000-0000326B0000}"/>
    <cellStyle name="Normal 2 3 2 8 4 2" xfId="27472" xr:uid="{00000000-0005-0000-0000-0000336B0000}"/>
    <cellStyle name="Normal 2 3 2 8 4 3" xfId="27473" xr:uid="{00000000-0005-0000-0000-0000346B0000}"/>
    <cellStyle name="Normal 2 3 2 8 4 4" xfId="27474" xr:uid="{00000000-0005-0000-0000-0000356B0000}"/>
    <cellStyle name="Normal 2 3 2 8 4 5" xfId="27475" xr:uid="{00000000-0005-0000-0000-0000366B0000}"/>
    <cellStyle name="Normal 2 3 2 8 4 6" xfId="27476" xr:uid="{00000000-0005-0000-0000-0000376B0000}"/>
    <cellStyle name="Normal 2 3 2 8 4 7" xfId="27477" xr:uid="{00000000-0005-0000-0000-0000386B0000}"/>
    <cellStyle name="Normal 2 3 2 8 4 8" xfId="27478" xr:uid="{00000000-0005-0000-0000-0000396B0000}"/>
    <cellStyle name="Normal 2 3 2 8 4 9" xfId="27479" xr:uid="{00000000-0005-0000-0000-00003A6B0000}"/>
    <cellStyle name="Normal 2 3 2 8 5" xfId="27480" xr:uid="{00000000-0005-0000-0000-00003B6B0000}"/>
    <cellStyle name="Normal 2 3 2 8 5 10" xfId="27481" xr:uid="{00000000-0005-0000-0000-00003C6B0000}"/>
    <cellStyle name="Normal 2 3 2 8 5 2" xfId="27482" xr:uid="{00000000-0005-0000-0000-00003D6B0000}"/>
    <cellStyle name="Normal 2 3 2 8 5 3" xfId="27483" xr:uid="{00000000-0005-0000-0000-00003E6B0000}"/>
    <cellStyle name="Normal 2 3 2 8 5 4" xfId="27484" xr:uid="{00000000-0005-0000-0000-00003F6B0000}"/>
    <cellStyle name="Normal 2 3 2 8 5 5" xfId="27485" xr:uid="{00000000-0005-0000-0000-0000406B0000}"/>
    <cellStyle name="Normal 2 3 2 8 5 6" xfId="27486" xr:uid="{00000000-0005-0000-0000-0000416B0000}"/>
    <cellStyle name="Normal 2 3 2 8 5 7" xfId="27487" xr:uid="{00000000-0005-0000-0000-0000426B0000}"/>
    <cellStyle name="Normal 2 3 2 8 5 8" xfId="27488" xr:uid="{00000000-0005-0000-0000-0000436B0000}"/>
    <cellStyle name="Normal 2 3 2 8 5 9" xfId="27489" xr:uid="{00000000-0005-0000-0000-0000446B0000}"/>
    <cellStyle name="Normal 2 3 2 8 6" xfId="27490" xr:uid="{00000000-0005-0000-0000-0000456B0000}"/>
    <cellStyle name="Normal 2 3 2 8 7" xfId="27491" xr:uid="{00000000-0005-0000-0000-0000466B0000}"/>
    <cellStyle name="Normal 2 3 2 8 8" xfId="27492" xr:uid="{00000000-0005-0000-0000-0000476B0000}"/>
    <cellStyle name="Normal 2 3 2 8 9" xfId="27493" xr:uid="{00000000-0005-0000-0000-0000486B0000}"/>
    <cellStyle name="Normal 2 3 2 9" xfId="27494" xr:uid="{00000000-0005-0000-0000-0000496B0000}"/>
    <cellStyle name="Normal 2 3 2 9 10" xfId="27495" xr:uid="{00000000-0005-0000-0000-00004A6B0000}"/>
    <cellStyle name="Normal 2 3 2 9 11" xfId="27496" xr:uid="{00000000-0005-0000-0000-00004B6B0000}"/>
    <cellStyle name="Normal 2 3 2 9 12" xfId="27497" xr:uid="{00000000-0005-0000-0000-00004C6B0000}"/>
    <cellStyle name="Normal 2 3 2 9 13" xfId="27498" xr:uid="{00000000-0005-0000-0000-00004D6B0000}"/>
    <cellStyle name="Normal 2 3 2 9 14" xfId="27499" xr:uid="{00000000-0005-0000-0000-00004E6B0000}"/>
    <cellStyle name="Normal 2 3 2 9 2" xfId="27500" xr:uid="{00000000-0005-0000-0000-00004F6B0000}"/>
    <cellStyle name="Normal 2 3 2 9 2 10" xfId="27501" xr:uid="{00000000-0005-0000-0000-0000506B0000}"/>
    <cellStyle name="Normal 2 3 2 9 2 2" xfId="27502" xr:uid="{00000000-0005-0000-0000-0000516B0000}"/>
    <cellStyle name="Normal 2 3 2 9 2 3" xfId="27503" xr:uid="{00000000-0005-0000-0000-0000526B0000}"/>
    <cellStyle name="Normal 2 3 2 9 2 4" xfId="27504" xr:uid="{00000000-0005-0000-0000-0000536B0000}"/>
    <cellStyle name="Normal 2 3 2 9 2 5" xfId="27505" xr:uid="{00000000-0005-0000-0000-0000546B0000}"/>
    <cellStyle name="Normal 2 3 2 9 2 6" xfId="27506" xr:uid="{00000000-0005-0000-0000-0000556B0000}"/>
    <cellStyle name="Normal 2 3 2 9 2 7" xfId="27507" xr:uid="{00000000-0005-0000-0000-0000566B0000}"/>
    <cellStyle name="Normal 2 3 2 9 2 8" xfId="27508" xr:uid="{00000000-0005-0000-0000-0000576B0000}"/>
    <cellStyle name="Normal 2 3 2 9 2 9" xfId="27509" xr:uid="{00000000-0005-0000-0000-0000586B0000}"/>
    <cellStyle name="Normal 2 3 2 9 3" xfId="27510" xr:uid="{00000000-0005-0000-0000-0000596B0000}"/>
    <cellStyle name="Normal 2 3 2 9 3 10" xfId="27511" xr:uid="{00000000-0005-0000-0000-00005A6B0000}"/>
    <cellStyle name="Normal 2 3 2 9 3 2" xfId="27512" xr:uid="{00000000-0005-0000-0000-00005B6B0000}"/>
    <cellStyle name="Normal 2 3 2 9 3 3" xfId="27513" xr:uid="{00000000-0005-0000-0000-00005C6B0000}"/>
    <cellStyle name="Normal 2 3 2 9 3 4" xfId="27514" xr:uid="{00000000-0005-0000-0000-00005D6B0000}"/>
    <cellStyle name="Normal 2 3 2 9 3 5" xfId="27515" xr:uid="{00000000-0005-0000-0000-00005E6B0000}"/>
    <cellStyle name="Normal 2 3 2 9 3 6" xfId="27516" xr:uid="{00000000-0005-0000-0000-00005F6B0000}"/>
    <cellStyle name="Normal 2 3 2 9 3 7" xfId="27517" xr:uid="{00000000-0005-0000-0000-0000606B0000}"/>
    <cellStyle name="Normal 2 3 2 9 3 8" xfId="27518" xr:uid="{00000000-0005-0000-0000-0000616B0000}"/>
    <cellStyle name="Normal 2 3 2 9 3 9" xfId="27519" xr:uid="{00000000-0005-0000-0000-0000626B0000}"/>
    <cellStyle name="Normal 2 3 2 9 4" xfId="27520" xr:uid="{00000000-0005-0000-0000-0000636B0000}"/>
    <cellStyle name="Normal 2 3 2 9 4 10" xfId="27521" xr:uid="{00000000-0005-0000-0000-0000646B0000}"/>
    <cellStyle name="Normal 2 3 2 9 4 2" xfId="27522" xr:uid="{00000000-0005-0000-0000-0000656B0000}"/>
    <cellStyle name="Normal 2 3 2 9 4 3" xfId="27523" xr:uid="{00000000-0005-0000-0000-0000666B0000}"/>
    <cellStyle name="Normal 2 3 2 9 4 4" xfId="27524" xr:uid="{00000000-0005-0000-0000-0000676B0000}"/>
    <cellStyle name="Normal 2 3 2 9 4 5" xfId="27525" xr:uid="{00000000-0005-0000-0000-0000686B0000}"/>
    <cellStyle name="Normal 2 3 2 9 4 6" xfId="27526" xr:uid="{00000000-0005-0000-0000-0000696B0000}"/>
    <cellStyle name="Normal 2 3 2 9 4 7" xfId="27527" xr:uid="{00000000-0005-0000-0000-00006A6B0000}"/>
    <cellStyle name="Normal 2 3 2 9 4 8" xfId="27528" xr:uid="{00000000-0005-0000-0000-00006B6B0000}"/>
    <cellStyle name="Normal 2 3 2 9 4 9" xfId="27529" xr:uid="{00000000-0005-0000-0000-00006C6B0000}"/>
    <cellStyle name="Normal 2 3 2 9 5" xfId="27530" xr:uid="{00000000-0005-0000-0000-00006D6B0000}"/>
    <cellStyle name="Normal 2 3 2 9 5 10" xfId="27531" xr:uid="{00000000-0005-0000-0000-00006E6B0000}"/>
    <cellStyle name="Normal 2 3 2 9 5 2" xfId="27532" xr:uid="{00000000-0005-0000-0000-00006F6B0000}"/>
    <cellStyle name="Normal 2 3 2 9 5 3" xfId="27533" xr:uid="{00000000-0005-0000-0000-0000706B0000}"/>
    <cellStyle name="Normal 2 3 2 9 5 4" xfId="27534" xr:uid="{00000000-0005-0000-0000-0000716B0000}"/>
    <cellStyle name="Normal 2 3 2 9 5 5" xfId="27535" xr:uid="{00000000-0005-0000-0000-0000726B0000}"/>
    <cellStyle name="Normal 2 3 2 9 5 6" xfId="27536" xr:uid="{00000000-0005-0000-0000-0000736B0000}"/>
    <cellStyle name="Normal 2 3 2 9 5 7" xfId="27537" xr:uid="{00000000-0005-0000-0000-0000746B0000}"/>
    <cellStyle name="Normal 2 3 2 9 5 8" xfId="27538" xr:uid="{00000000-0005-0000-0000-0000756B0000}"/>
    <cellStyle name="Normal 2 3 2 9 5 9" xfId="27539" xr:uid="{00000000-0005-0000-0000-0000766B0000}"/>
    <cellStyle name="Normal 2 3 2 9 6" xfId="27540" xr:uid="{00000000-0005-0000-0000-0000776B0000}"/>
    <cellStyle name="Normal 2 3 2 9 7" xfId="27541" xr:uid="{00000000-0005-0000-0000-0000786B0000}"/>
    <cellStyle name="Normal 2 3 2 9 8" xfId="27542" xr:uid="{00000000-0005-0000-0000-0000796B0000}"/>
    <cellStyle name="Normal 2 3 2 9 9" xfId="27543" xr:uid="{00000000-0005-0000-0000-00007A6B0000}"/>
    <cellStyle name="Normal 2 3 20" xfId="27544" xr:uid="{00000000-0005-0000-0000-00007B6B0000}"/>
    <cellStyle name="Normal 2 3 20 10" xfId="27545" xr:uid="{00000000-0005-0000-0000-00007C6B0000}"/>
    <cellStyle name="Normal 2 3 20 11" xfId="27546" xr:uid="{00000000-0005-0000-0000-00007D6B0000}"/>
    <cellStyle name="Normal 2 3 20 12" xfId="27547" xr:uid="{00000000-0005-0000-0000-00007E6B0000}"/>
    <cellStyle name="Normal 2 3 20 13" xfId="27548" xr:uid="{00000000-0005-0000-0000-00007F6B0000}"/>
    <cellStyle name="Normal 2 3 20 14" xfId="27549" xr:uid="{00000000-0005-0000-0000-0000806B0000}"/>
    <cellStyle name="Normal 2 3 20 2" xfId="27550" xr:uid="{00000000-0005-0000-0000-0000816B0000}"/>
    <cellStyle name="Normal 2 3 20 2 10" xfId="27551" xr:uid="{00000000-0005-0000-0000-0000826B0000}"/>
    <cellStyle name="Normal 2 3 20 2 2" xfId="27552" xr:uid="{00000000-0005-0000-0000-0000836B0000}"/>
    <cellStyle name="Normal 2 3 20 2 3" xfId="27553" xr:uid="{00000000-0005-0000-0000-0000846B0000}"/>
    <cellStyle name="Normal 2 3 20 2 4" xfId="27554" xr:uid="{00000000-0005-0000-0000-0000856B0000}"/>
    <cellStyle name="Normal 2 3 20 2 5" xfId="27555" xr:uid="{00000000-0005-0000-0000-0000866B0000}"/>
    <cellStyle name="Normal 2 3 20 2 6" xfId="27556" xr:uid="{00000000-0005-0000-0000-0000876B0000}"/>
    <cellStyle name="Normal 2 3 20 2 7" xfId="27557" xr:uid="{00000000-0005-0000-0000-0000886B0000}"/>
    <cellStyle name="Normal 2 3 20 2 8" xfId="27558" xr:uid="{00000000-0005-0000-0000-0000896B0000}"/>
    <cellStyle name="Normal 2 3 20 2 9" xfId="27559" xr:uid="{00000000-0005-0000-0000-00008A6B0000}"/>
    <cellStyle name="Normal 2 3 20 3" xfId="27560" xr:uid="{00000000-0005-0000-0000-00008B6B0000}"/>
    <cellStyle name="Normal 2 3 20 3 10" xfId="27561" xr:uid="{00000000-0005-0000-0000-00008C6B0000}"/>
    <cellStyle name="Normal 2 3 20 3 2" xfId="27562" xr:uid="{00000000-0005-0000-0000-00008D6B0000}"/>
    <cellStyle name="Normal 2 3 20 3 3" xfId="27563" xr:uid="{00000000-0005-0000-0000-00008E6B0000}"/>
    <cellStyle name="Normal 2 3 20 3 4" xfId="27564" xr:uid="{00000000-0005-0000-0000-00008F6B0000}"/>
    <cellStyle name="Normal 2 3 20 3 5" xfId="27565" xr:uid="{00000000-0005-0000-0000-0000906B0000}"/>
    <cellStyle name="Normal 2 3 20 3 6" xfId="27566" xr:uid="{00000000-0005-0000-0000-0000916B0000}"/>
    <cellStyle name="Normal 2 3 20 3 7" xfId="27567" xr:uid="{00000000-0005-0000-0000-0000926B0000}"/>
    <cellStyle name="Normal 2 3 20 3 8" xfId="27568" xr:uid="{00000000-0005-0000-0000-0000936B0000}"/>
    <cellStyle name="Normal 2 3 20 3 9" xfId="27569" xr:uid="{00000000-0005-0000-0000-0000946B0000}"/>
    <cellStyle name="Normal 2 3 20 4" xfId="27570" xr:uid="{00000000-0005-0000-0000-0000956B0000}"/>
    <cellStyle name="Normal 2 3 20 4 10" xfId="27571" xr:uid="{00000000-0005-0000-0000-0000966B0000}"/>
    <cellStyle name="Normal 2 3 20 4 2" xfId="27572" xr:uid="{00000000-0005-0000-0000-0000976B0000}"/>
    <cellStyle name="Normal 2 3 20 4 3" xfId="27573" xr:uid="{00000000-0005-0000-0000-0000986B0000}"/>
    <cellStyle name="Normal 2 3 20 4 4" xfId="27574" xr:uid="{00000000-0005-0000-0000-0000996B0000}"/>
    <cellStyle name="Normal 2 3 20 4 5" xfId="27575" xr:uid="{00000000-0005-0000-0000-00009A6B0000}"/>
    <cellStyle name="Normal 2 3 20 4 6" xfId="27576" xr:uid="{00000000-0005-0000-0000-00009B6B0000}"/>
    <cellStyle name="Normal 2 3 20 4 7" xfId="27577" xr:uid="{00000000-0005-0000-0000-00009C6B0000}"/>
    <cellStyle name="Normal 2 3 20 4 8" xfId="27578" xr:uid="{00000000-0005-0000-0000-00009D6B0000}"/>
    <cellStyle name="Normal 2 3 20 4 9" xfId="27579" xr:uid="{00000000-0005-0000-0000-00009E6B0000}"/>
    <cellStyle name="Normal 2 3 20 5" xfId="27580" xr:uid="{00000000-0005-0000-0000-00009F6B0000}"/>
    <cellStyle name="Normal 2 3 20 5 10" xfId="27581" xr:uid="{00000000-0005-0000-0000-0000A06B0000}"/>
    <cellStyle name="Normal 2 3 20 5 2" xfId="27582" xr:uid="{00000000-0005-0000-0000-0000A16B0000}"/>
    <cellStyle name="Normal 2 3 20 5 3" xfId="27583" xr:uid="{00000000-0005-0000-0000-0000A26B0000}"/>
    <cellStyle name="Normal 2 3 20 5 4" xfId="27584" xr:uid="{00000000-0005-0000-0000-0000A36B0000}"/>
    <cellStyle name="Normal 2 3 20 5 5" xfId="27585" xr:uid="{00000000-0005-0000-0000-0000A46B0000}"/>
    <cellStyle name="Normal 2 3 20 5 6" xfId="27586" xr:uid="{00000000-0005-0000-0000-0000A56B0000}"/>
    <cellStyle name="Normal 2 3 20 5 7" xfId="27587" xr:uid="{00000000-0005-0000-0000-0000A66B0000}"/>
    <cellStyle name="Normal 2 3 20 5 8" xfId="27588" xr:uid="{00000000-0005-0000-0000-0000A76B0000}"/>
    <cellStyle name="Normal 2 3 20 5 9" xfId="27589" xr:uid="{00000000-0005-0000-0000-0000A86B0000}"/>
    <cellStyle name="Normal 2 3 20 6" xfId="27590" xr:uid="{00000000-0005-0000-0000-0000A96B0000}"/>
    <cellStyle name="Normal 2 3 20 7" xfId="27591" xr:uid="{00000000-0005-0000-0000-0000AA6B0000}"/>
    <cellStyle name="Normal 2 3 20 8" xfId="27592" xr:uid="{00000000-0005-0000-0000-0000AB6B0000}"/>
    <cellStyle name="Normal 2 3 20 9" xfId="27593" xr:uid="{00000000-0005-0000-0000-0000AC6B0000}"/>
    <cellStyle name="Normal 2 3 21" xfId="27594" xr:uid="{00000000-0005-0000-0000-0000AD6B0000}"/>
    <cellStyle name="Normal 2 3 21 10" xfId="27595" xr:uid="{00000000-0005-0000-0000-0000AE6B0000}"/>
    <cellStyle name="Normal 2 3 21 11" xfId="27596" xr:uid="{00000000-0005-0000-0000-0000AF6B0000}"/>
    <cellStyle name="Normal 2 3 21 12" xfId="27597" xr:uid="{00000000-0005-0000-0000-0000B06B0000}"/>
    <cellStyle name="Normal 2 3 21 13" xfId="27598" xr:uid="{00000000-0005-0000-0000-0000B16B0000}"/>
    <cellStyle name="Normal 2 3 21 14" xfId="27599" xr:uid="{00000000-0005-0000-0000-0000B26B0000}"/>
    <cellStyle name="Normal 2 3 21 2" xfId="27600" xr:uid="{00000000-0005-0000-0000-0000B36B0000}"/>
    <cellStyle name="Normal 2 3 21 2 10" xfId="27601" xr:uid="{00000000-0005-0000-0000-0000B46B0000}"/>
    <cellStyle name="Normal 2 3 21 2 2" xfId="27602" xr:uid="{00000000-0005-0000-0000-0000B56B0000}"/>
    <cellStyle name="Normal 2 3 21 2 3" xfId="27603" xr:uid="{00000000-0005-0000-0000-0000B66B0000}"/>
    <cellStyle name="Normal 2 3 21 2 4" xfId="27604" xr:uid="{00000000-0005-0000-0000-0000B76B0000}"/>
    <cellStyle name="Normal 2 3 21 2 5" xfId="27605" xr:uid="{00000000-0005-0000-0000-0000B86B0000}"/>
    <cellStyle name="Normal 2 3 21 2 6" xfId="27606" xr:uid="{00000000-0005-0000-0000-0000B96B0000}"/>
    <cellStyle name="Normal 2 3 21 2 7" xfId="27607" xr:uid="{00000000-0005-0000-0000-0000BA6B0000}"/>
    <cellStyle name="Normal 2 3 21 2 8" xfId="27608" xr:uid="{00000000-0005-0000-0000-0000BB6B0000}"/>
    <cellStyle name="Normal 2 3 21 2 9" xfId="27609" xr:uid="{00000000-0005-0000-0000-0000BC6B0000}"/>
    <cellStyle name="Normal 2 3 21 3" xfId="27610" xr:uid="{00000000-0005-0000-0000-0000BD6B0000}"/>
    <cellStyle name="Normal 2 3 21 3 10" xfId="27611" xr:uid="{00000000-0005-0000-0000-0000BE6B0000}"/>
    <cellStyle name="Normal 2 3 21 3 2" xfId="27612" xr:uid="{00000000-0005-0000-0000-0000BF6B0000}"/>
    <cellStyle name="Normal 2 3 21 3 3" xfId="27613" xr:uid="{00000000-0005-0000-0000-0000C06B0000}"/>
    <cellStyle name="Normal 2 3 21 3 4" xfId="27614" xr:uid="{00000000-0005-0000-0000-0000C16B0000}"/>
    <cellStyle name="Normal 2 3 21 3 5" xfId="27615" xr:uid="{00000000-0005-0000-0000-0000C26B0000}"/>
    <cellStyle name="Normal 2 3 21 3 6" xfId="27616" xr:uid="{00000000-0005-0000-0000-0000C36B0000}"/>
    <cellStyle name="Normal 2 3 21 3 7" xfId="27617" xr:uid="{00000000-0005-0000-0000-0000C46B0000}"/>
    <cellStyle name="Normal 2 3 21 3 8" xfId="27618" xr:uid="{00000000-0005-0000-0000-0000C56B0000}"/>
    <cellStyle name="Normal 2 3 21 3 9" xfId="27619" xr:uid="{00000000-0005-0000-0000-0000C66B0000}"/>
    <cellStyle name="Normal 2 3 21 4" xfId="27620" xr:uid="{00000000-0005-0000-0000-0000C76B0000}"/>
    <cellStyle name="Normal 2 3 21 4 10" xfId="27621" xr:uid="{00000000-0005-0000-0000-0000C86B0000}"/>
    <cellStyle name="Normal 2 3 21 4 2" xfId="27622" xr:uid="{00000000-0005-0000-0000-0000C96B0000}"/>
    <cellStyle name="Normal 2 3 21 4 3" xfId="27623" xr:uid="{00000000-0005-0000-0000-0000CA6B0000}"/>
    <cellStyle name="Normal 2 3 21 4 4" xfId="27624" xr:uid="{00000000-0005-0000-0000-0000CB6B0000}"/>
    <cellStyle name="Normal 2 3 21 4 5" xfId="27625" xr:uid="{00000000-0005-0000-0000-0000CC6B0000}"/>
    <cellStyle name="Normal 2 3 21 4 6" xfId="27626" xr:uid="{00000000-0005-0000-0000-0000CD6B0000}"/>
    <cellStyle name="Normal 2 3 21 4 7" xfId="27627" xr:uid="{00000000-0005-0000-0000-0000CE6B0000}"/>
    <cellStyle name="Normal 2 3 21 4 8" xfId="27628" xr:uid="{00000000-0005-0000-0000-0000CF6B0000}"/>
    <cellStyle name="Normal 2 3 21 4 9" xfId="27629" xr:uid="{00000000-0005-0000-0000-0000D06B0000}"/>
    <cellStyle name="Normal 2 3 21 5" xfId="27630" xr:uid="{00000000-0005-0000-0000-0000D16B0000}"/>
    <cellStyle name="Normal 2 3 21 5 10" xfId="27631" xr:uid="{00000000-0005-0000-0000-0000D26B0000}"/>
    <cellStyle name="Normal 2 3 21 5 2" xfId="27632" xr:uid="{00000000-0005-0000-0000-0000D36B0000}"/>
    <cellStyle name="Normal 2 3 21 5 3" xfId="27633" xr:uid="{00000000-0005-0000-0000-0000D46B0000}"/>
    <cellStyle name="Normal 2 3 21 5 4" xfId="27634" xr:uid="{00000000-0005-0000-0000-0000D56B0000}"/>
    <cellStyle name="Normal 2 3 21 5 5" xfId="27635" xr:uid="{00000000-0005-0000-0000-0000D66B0000}"/>
    <cellStyle name="Normal 2 3 21 5 6" xfId="27636" xr:uid="{00000000-0005-0000-0000-0000D76B0000}"/>
    <cellStyle name="Normal 2 3 21 5 7" xfId="27637" xr:uid="{00000000-0005-0000-0000-0000D86B0000}"/>
    <cellStyle name="Normal 2 3 21 5 8" xfId="27638" xr:uid="{00000000-0005-0000-0000-0000D96B0000}"/>
    <cellStyle name="Normal 2 3 21 5 9" xfId="27639" xr:uid="{00000000-0005-0000-0000-0000DA6B0000}"/>
    <cellStyle name="Normal 2 3 21 6" xfId="27640" xr:uid="{00000000-0005-0000-0000-0000DB6B0000}"/>
    <cellStyle name="Normal 2 3 21 7" xfId="27641" xr:uid="{00000000-0005-0000-0000-0000DC6B0000}"/>
    <cellStyle name="Normal 2 3 21 8" xfId="27642" xr:uid="{00000000-0005-0000-0000-0000DD6B0000}"/>
    <cellStyle name="Normal 2 3 21 9" xfId="27643" xr:uid="{00000000-0005-0000-0000-0000DE6B0000}"/>
    <cellStyle name="Normal 2 3 22" xfId="27644" xr:uid="{00000000-0005-0000-0000-0000DF6B0000}"/>
    <cellStyle name="Normal 2 3 22 10" xfId="27645" xr:uid="{00000000-0005-0000-0000-0000E06B0000}"/>
    <cellStyle name="Normal 2 3 22 11" xfId="27646" xr:uid="{00000000-0005-0000-0000-0000E16B0000}"/>
    <cellStyle name="Normal 2 3 22 12" xfId="27647" xr:uid="{00000000-0005-0000-0000-0000E26B0000}"/>
    <cellStyle name="Normal 2 3 22 13" xfId="27648" xr:uid="{00000000-0005-0000-0000-0000E36B0000}"/>
    <cellStyle name="Normal 2 3 22 14" xfId="27649" xr:uid="{00000000-0005-0000-0000-0000E46B0000}"/>
    <cellStyle name="Normal 2 3 22 2" xfId="27650" xr:uid="{00000000-0005-0000-0000-0000E56B0000}"/>
    <cellStyle name="Normal 2 3 22 2 10" xfId="27651" xr:uid="{00000000-0005-0000-0000-0000E66B0000}"/>
    <cellStyle name="Normal 2 3 22 2 2" xfId="27652" xr:uid="{00000000-0005-0000-0000-0000E76B0000}"/>
    <cellStyle name="Normal 2 3 22 2 3" xfId="27653" xr:uid="{00000000-0005-0000-0000-0000E86B0000}"/>
    <cellStyle name="Normal 2 3 22 2 4" xfId="27654" xr:uid="{00000000-0005-0000-0000-0000E96B0000}"/>
    <cellStyle name="Normal 2 3 22 2 5" xfId="27655" xr:uid="{00000000-0005-0000-0000-0000EA6B0000}"/>
    <cellStyle name="Normal 2 3 22 2 6" xfId="27656" xr:uid="{00000000-0005-0000-0000-0000EB6B0000}"/>
    <cellStyle name="Normal 2 3 22 2 7" xfId="27657" xr:uid="{00000000-0005-0000-0000-0000EC6B0000}"/>
    <cellStyle name="Normal 2 3 22 2 8" xfId="27658" xr:uid="{00000000-0005-0000-0000-0000ED6B0000}"/>
    <cellStyle name="Normal 2 3 22 2 9" xfId="27659" xr:uid="{00000000-0005-0000-0000-0000EE6B0000}"/>
    <cellStyle name="Normal 2 3 22 3" xfId="27660" xr:uid="{00000000-0005-0000-0000-0000EF6B0000}"/>
    <cellStyle name="Normal 2 3 22 3 10" xfId="27661" xr:uid="{00000000-0005-0000-0000-0000F06B0000}"/>
    <cellStyle name="Normal 2 3 22 3 2" xfId="27662" xr:uid="{00000000-0005-0000-0000-0000F16B0000}"/>
    <cellStyle name="Normal 2 3 22 3 3" xfId="27663" xr:uid="{00000000-0005-0000-0000-0000F26B0000}"/>
    <cellStyle name="Normal 2 3 22 3 4" xfId="27664" xr:uid="{00000000-0005-0000-0000-0000F36B0000}"/>
    <cellStyle name="Normal 2 3 22 3 5" xfId="27665" xr:uid="{00000000-0005-0000-0000-0000F46B0000}"/>
    <cellStyle name="Normal 2 3 22 3 6" xfId="27666" xr:uid="{00000000-0005-0000-0000-0000F56B0000}"/>
    <cellStyle name="Normal 2 3 22 3 7" xfId="27667" xr:uid="{00000000-0005-0000-0000-0000F66B0000}"/>
    <cellStyle name="Normal 2 3 22 3 8" xfId="27668" xr:uid="{00000000-0005-0000-0000-0000F76B0000}"/>
    <cellStyle name="Normal 2 3 22 3 9" xfId="27669" xr:uid="{00000000-0005-0000-0000-0000F86B0000}"/>
    <cellStyle name="Normal 2 3 22 4" xfId="27670" xr:uid="{00000000-0005-0000-0000-0000F96B0000}"/>
    <cellStyle name="Normal 2 3 22 4 10" xfId="27671" xr:uid="{00000000-0005-0000-0000-0000FA6B0000}"/>
    <cellStyle name="Normal 2 3 22 4 2" xfId="27672" xr:uid="{00000000-0005-0000-0000-0000FB6B0000}"/>
    <cellStyle name="Normal 2 3 22 4 3" xfId="27673" xr:uid="{00000000-0005-0000-0000-0000FC6B0000}"/>
    <cellStyle name="Normal 2 3 22 4 4" xfId="27674" xr:uid="{00000000-0005-0000-0000-0000FD6B0000}"/>
    <cellStyle name="Normal 2 3 22 4 5" xfId="27675" xr:uid="{00000000-0005-0000-0000-0000FE6B0000}"/>
    <cellStyle name="Normal 2 3 22 4 6" xfId="27676" xr:uid="{00000000-0005-0000-0000-0000FF6B0000}"/>
    <cellStyle name="Normal 2 3 22 4 7" xfId="27677" xr:uid="{00000000-0005-0000-0000-0000006C0000}"/>
    <cellStyle name="Normal 2 3 22 4 8" xfId="27678" xr:uid="{00000000-0005-0000-0000-0000016C0000}"/>
    <cellStyle name="Normal 2 3 22 4 9" xfId="27679" xr:uid="{00000000-0005-0000-0000-0000026C0000}"/>
    <cellStyle name="Normal 2 3 22 5" xfId="27680" xr:uid="{00000000-0005-0000-0000-0000036C0000}"/>
    <cellStyle name="Normal 2 3 22 5 10" xfId="27681" xr:uid="{00000000-0005-0000-0000-0000046C0000}"/>
    <cellStyle name="Normal 2 3 22 5 2" xfId="27682" xr:uid="{00000000-0005-0000-0000-0000056C0000}"/>
    <cellStyle name="Normal 2 3 22 5 3" xfId="27683" xr:uid="{00000000-0005-0000-0000-0000066C0000}"/>
    <cellStyle name="Normal 2 3 22 5 4" xfId="27684" xr:uid="{00000000-0005-0000-0000-0000076C0000}"/>
    <cellStyle name="Normal 2 3 22 5 5" xfId="27685" xr:uid="{00000000-0005-0000-0000-0000086C0000}"/>
    <cellStyle name="Normal 2 3 22 5 6" xfId="27686" xr:uid="{00000000-0005-0000-0000-0000096C0000}"/>
    <cellStyle name="Normal 2 3 22 5 7" xfId="27687" xr:uid="{00000000-0005-0000-0000-00000A6C0000}"/>
    <cellStyle name="Normal 2 3 22 5 8" xfId="27688" xr:uid="{00000000-0005-0000-0000-00000B6C0000}"/>
    <cellStyle name="Normal 2 3 22 5 9" xfId="27689" xr:uid="{00000000-0005-0000-0000-00000C6C0000}"/>
    <cellStyle name="Normal 2 3 22 6" xfId="27690" xr:uid="{00000000-0005-0000-0000-00000D6C0000}"/>
    <cellStyle name="Normal 2 3 22 7" xfId="27691" xr:uid="{00000000-0005-0000-0000-00000E6C0000}"/>
    <cellStyle name="Normal 2 3 22 8" xfId="27692" xr:uid="{00000000-0005-0000-0000-00000F6C0000}"/>
    <cellStyle name="Normal 2 3 22 9" xfId="27693" xr:uid="{00000000-0005-0000-0000-0000106C0000}"/>
    <cellStyle name="Normal 2 3 23" xfId="27694" xr:uid="{00000000-0005-0000-0000-0000116C0000}"/>
    <cellStyle name="Normal 2 3 23 10" xfId="27695" xr:uid="{00000000-0005-0000-0000-0000126C0000}"/>
    <cellStyle name="Normal 2 3 23 11" xfId="27696" xr:uid="{00000000-0005-0000-0000-0000136C0000}"/>
    <cellStyle name="Normal 2 3 23 12" xfId="27697" xr:uid="{00000000-0005-0000-0000-0000146C0000}"/>
    <cellStyle name="Normal 2 3 23 13" xfId="27698" xr:uid="{00000000-0005-0000-0000-0000156C0000}"/>
    <cellStyle name="Normal 2 3 23 14" xfId="27699" xr:uid="{00000000-0005-0000-0000-0000166C0000}"/>
    <cellStyle name="Normal 2 3 23 2" xfId="27700" xr:uid="{00000000-0005-0000-0000-0000176C0000}"/>
    <cellStyle name="Normal 2 3 23 2 10" xfId="27701" xr:uid="{00000000-0005-0000-0000-0000186C0000}"/>
    <cellStyle name="Normal 2 3 23 2 2" xfId="27702" xr:uid="{00000000-0005-0000-0000-0000196C0000}"/>
    <cellStyle name="Normal 2 3 23 2 3" xfId="27703" xr:uid="{00000000-0005-0000-0000-00001A6C0000}"/>
    <cellStyle name="Normal 2 3 23 2 4" xfId="27704" xr:uid="{00000000-0005-0000-0000-00001B6C0000}"/>
    <cellStyle name="Normal 2 3 23 2 5" xfId="27705" xr:uid="{00000000-0005-0000-0000-00001C6C0000}"/>
    <cellStyle name="Normal 2 3 23 2 6" xfId="27706" xr:uid="{00000000-0005-0000-0000-00001D6C0000}"/>
    <cellStyle name="Normal 2 3 23 2 7" xfId="27707" xr:uid="{00000000-0005-0000-0000-00001E6C0000}"/>
    <cellStyle name="Normal 2 3 23 2 8" xfId="27708" xr:uid="{00000000-0005-0000-0000-00001F6C0000}"/>
    <cellStyle name="Normal 2 3 23 2 9" xfId="27709" xr:uid="{00000000-0005-0000-0000-0000206C0000}"/>
    <cellStyle name="Normal 2 3 23 3" xfId="27710" xr:uid="{00000000-0005-0000-0000-0000216C0000}"/>
    <cellStyle name="Normal 2 3 23 3 10" xfId="27711" xr:uid="{00000000-0005-0000-0000-0000226C0000}"/>
    <cellStyle name="Normal 2 3 23 3 2" xfId="27712" xr:uid="{00000000-0005-0000-0000-0000236C0000}"/>
    <cellStyle name="Normal 2 3 23 3 3" xfId="27713" xr:uid="{00000000-0005-0000-0000-0000246C0000}"/>
    <cellStyle name="Normal 2 3 23 3 4" xfId="27714" xr:uid="{00000000-0005-0000-0000-0000256C0000}"/>
    <cellStyle name="Normal 2 3 23 3 5" xfId="27715" xr:uid="{00000000-0005-0000-0000-0000266C0000}"/>
    <cellStyle name="Normal 2 3 23 3 6" xfId="27716" xr:uid="{00000000-0005-0000-0000-0000276C0000}"/>
    <cellStyle name="Normal 2 3 23 3 7" xfId="27717" xr:uid="{00000000-0005-0000-0000-0000286C0000}"/>
    <cellStyle name="Normal 2 3 23 3 8" xfId="27718" xr:uid="{00000000-0005-0000-0000-0000296C0000}"/>
    <cellStyle name="Normal 2 3 23 3 9" xfId="27719" xr:uid="{00000000-0005-0000-0000-00002A6C0000}"/>
    <cellStyle name="Normal 2 3 23 4" xfId="27720" xr:uid="{00000000-0005-0000-0000-00002B6C0000}"/>
    <cellStyle name="Normal 2 3 23 4 10" xfId="27721" xr:uid="{00000000-0005-0000-0000-00002C6C0000}"/>
    <cellStyle name="Normal 2 3 23 4 2" xfId="27722" xr:uid="{00000000-0005-0000-0000-00002D6C0000}"/>
    <cellStyle name="Normal 2 3 23 4 3" xfId="27723" xr:uid="{00000000-0005-0000-0000-00002E6C0000}"/>
    <cellStyle name="Normal 2 3 23 4 4" xfId="27724" xr:uid="{00000000-0005-0000-0000-00002F6C0000}"/>
    <cellStyle name="Normal 2 3 23 4 5" xfId="27725" xr:uid="{00000000-0005-0000-0000-0000306C0000}"/>
    <cellStyle name="Normal 2 3 23 4 6" xfId="27726" xr:uid="{00000000-0005-0000-0000-0000316C0000}"/>
    <cellStyle name="Normal 2 3 23 4 7" xfId="27727" xr:uid="{00000000-0005-0000-0000-0000326C0000}"/>
    <cellStyle name="Normal 2 3 23 4 8" xfId="27728" xr:uid="{00000000-0005-0000-0000-0000336C0000}"/>
    <cellStyle name="Normal 2 3 23 4 9" xfId="27729" xr:uid="{00000000-0005-0000-0000-0000346C0000}"/>
    <cellStyle name="Normal 2 3 23 5" xfId="27730" xr:uid="{00000000-0005-0000-0000-0000356C0000}"/>
    <cellStyle name="Normal 2 3 23 5 10" xfId="27731" xr:uid="{00000000-0005-0000-0000-0000366C0000}"/>
    <cellStyle name="Normal 2 3 23 5 2" xfId="27732" xr:uid="{00000000-0005-0000-0000-0000376C0000}"/>
    <cellStyle name="Normal 2 3 23 5 3" xfId="27733" xr:uid="{00000000-0005-0000-0000-0000386C0000}"/>
    <cellStyle name="Normal 2 3 23 5 4" xfId="27734" xr:uid="{00000000-0005-0000-0000-0000396C0000}"/>
    <cellStyle name="Normal 2 3 23 5 5" xfId="27735" xr:uid="{00000000-0005-0000-0000-00003A6C0000}"/>
    <cellStyle name="Normal 2 3 23 5 6" xfId="27736" xr:uid="{00000000-0005-0000-0000-00003B6C0000}"/>
    <cellStyle name="Normal 2 3 23 5 7" xfId="27737" xr:uid="{00000000-0005-0000-0000-00003C6C0000}"/>
    <cellStyle name="Normal 2 3 23 5 8" xfId="27738" xr:uid="{00000000-0005-0000-0000-00003D6C0000}"/>
    <cellStyle name="Normal 2 3 23 5 9" xfId="27739" xr:uid="{00000000-0005-0000-0000-00003E6C0000}"/>
    <cellStyle name="Normal 2 3 23 6" xfId="27740" xr:uid="{00000000-0005-0000-0000-00003F6C0000}"/>
    <cellStyle name="Normal 2 3 23 7" xfId="27741" xr:uid="{00000000-0005-0000-0000-0000406C0000}"/>
    <cellStyle name="Normal 2 3 23 8" xfId="27742" xr:uid="{00000000-0005-0000-0000-0000416C0000}"/>
    <cellStyle name="Normal 2 3 23 9" xfId="27743" xr:uid="{00000000-0005-0000-0000-0000426C0000}"/>
    <cellStyle name="Normal 2 3 24" xfId="27744" xr:uid="{00000000-0005-0000-0000-0000436C0000}"/>
    <cellStyle name="Normal 2 3 24 10" xfId="27745" xr:uid="{00000000-0005-0000-0000-0000446C0000}"/>
    <cellStyle name="Normal 2 3 24 11" xfId="27746" xr:uid="{00000000-0005-0000-0000-0000456C0000}"/>
    <cellStyle name="Normal 2 3 24 12" xfId="27747" xr:uid="{00000000-0005-0000-0000-0000466C0000}"/>
    <cellStyle name="Normal 2 3 24 13" xfId="27748" xr:uid="{00000000-0005-0000-0000-0000476C0000}"/>
    <cellStyle name="Normal 2 3 24 14" xfId="27749" xr:uid="{00000000-0005-0000-0000-0000486C0000}"/>
    <cellStyle name="Normal 2 3 24 2" xfId="27750" xr:uid="{00000000-0005-0000-0000-0000496C0000}"/>
    <cellStyle name="Normal 2 3 24 2 10" xfId="27751" xr:uid="{00000000-0005-0000-0000-00004A6C0000}"/>
    <cellStyle name="Normal 2 3 24 2 2" xfId="27752" xr:uid="{00000000-0005-0000-0000-00004B6C0000}"/>
    <cellStyle name="Normal 2 3 24 2 3" xfId="27753" xr:uid="{00000000-0005-0000-0000-00004C6C0000}"/>
    <cellStyle name="Normal 2 3 24 2 4" xfId="27754" xr:uid="{00000000-0005-0000-0000-00004D6C0000}"/>
    <cellStyle name="Normal 2 3 24 2 5" xfId="27755" xr:uid="{00000000-0005-0000-0000-00004E6C0000}"/>
    <cellStyle name="Normal 2 3 24 2 6" xfId="27756" xr:uid="{00000000-0005-0000-0000-00004F6C0000}"/>
    <cellStyle name="Normal 2 3 24 2 7" xfId="27757" xr:uid="{00000000-0005-0000-0000-0000506C0000}"/>
    <cellStyle name="Normal 2 3 24 2 8" xfId="27758" xr:uid="{00000000-0005-0000-0000-0000516C0000}"/>
    <cellStyle name="Normal 2 3 24 2 9" xfId="27759" xr:uid="{00000000-0005-0000-0000-0000526C0000}"/>
    <cellStyle name="Normal 2 3 24 3" xfId="27760" xr:uid="{00000000-0005-0000-0000-0000536C0000}"/>
    <cellStyle name="Normal 2 3 24 3 10" xfId="27761" xr:uid="{00000000-0005-0000-0000-0000546C0000}"/>
    <cellStyle name="Normal 2 3 24 3 2" xfId="27762" xr:uid="{00000000-0005-0000-0000-0000556C0000}"/>
    <cellStyle name="Normal 2 3 24 3 3" xfId="27763" xr:uid="{00000000-0005-0000-0000-0000566C0000}"/>
    <cellStyle name="Normal 2 3 24 3 4" xfId="27764" xr:uid="{00000000-0005-0000-0000-0000576C0000}"/>
    <cellStyle name="Normal 2 3 24 3 5" xfId="27765" xr:uid="{00000000-0005-0000-0000-0000586C0000}"/>
    <cellStyle name="Normal 2 3 24 3 6" xfId="27766" xr:uid="{00000000-0005-0000-0000-0000596C0000}"/>
    <cellStyle name="Normal 2 3 24 3 7" xfId="27767" xr:uid="{00000000-0005-0000-0000-00005A6C0000}"/>
    <cellStyle name="Normal 2 3 24 3 8" xfId="27768" xr:uid="{00000000-0005-0000-0000-00005B6C0000}"/>
    <cellStyle name="Normal 2 3 24 3 9" xfId="27769" xr:uid="{00000000-0005-0000-0000-00005C6C0000}"/>
    <cellStyle name="Normal 2 3 24 4" xfId="27770" xr:uid="{00000000-0005-0000-0000-00005D6C0000}"/>
    <cellStyle name="Normal 2 3 24 4 10" xfId="27771" xr:uid="{00000000-0005-0000-0000-00005E6C0000}"/>
    <cellStyle name="Normal 2 3 24 4 2" xfId="27772" xr:uid="{00000000-0005-0000-0000-00005F6C0000}"/>
    <cellStyle name="Normal 2 3 24 4 3" xfId="27773" xr:uid="{00000000-0005-0000-0000-0000606C0000}"/>
    <cellStyle name="Normal 2 3 24 4 4" xfId="27774" xr:uid="{00000000-0005-0000-0000-0000616C0000}"/>
    <cellStyle name="Normal 2 3 24 4 5" xfId="27775" xr:uid="{00000000-0005-0000-0000-0000626C0000}"/>
    <cellStyle name="Normal 2 3 24 4 6" xfId="27776" xr:uid="{00000000-0005-0000-0000-0000636C0000}"/>
    <cellStyle name="Normal 2 3 24 4 7" xfId="27777" xr:uid="{00000000-0005-0000-0000-0000646C0000}"/>
    <cellStyle name="Normal 2 3 24 4 8" xfId="27778" xr:uid="{00000000-0005-0000-0000-0000656C0000}"/>
    <cellStyle name="Normal 2 3 24 4 9" xfId="27779" xr:uid="{00000000-0005-0000-0000-0000666C0000}"/>
    <cellStyle name="Normal 2 3 24 5" xfId="27780" xr:uid="{00000000-0005-0000-0000-0000676C0000}"/>
    <cellStyle name="Normal 2 3 24 5 10" xfId="27781" xr:uid="{00000000-0005-0000-0000-0000686C0000}"/>
    <cellStyle name="Normal 2 3 24 5 2" xfId="27782" xr:uid="{00000000-0005-0000-0000-0000696C0000}"/>
    <cellStyle name="Normal 2 3 24 5 3" xfId="27783" xr:uid="{00000000-0005-0000-0000-00006A6C0000}"/>
    <cellStyle name="Normal 2 3 24 5 4" xfId="27784" xr:uid="{00000000-0005-0000-0000-00006B6C0000}"/>
    <cellStyle name="Normal 2 3 24 5 5" xfId="27785" xr:uid="{00000000-0005-0000-0000-00006C6C0000}"/>
    <cellStyle name="Normal 2 3 24 5 6" xfId="27786" xr:uid="{00000000-0005-0000-0000-00006D6C0000}"/>
    <cellStyle name="Normal 2 3 24 5 7" xfId="27787" xr:uid="{00000000-0005-0000-0000-00006E6C0000}"/>
    <cellStyle name="Normal 2 3 24 5 8" xfId="27788" xr:uid="{00000000-0005-0000-0000-00006F6C0000}"/>
    <cellStyle name="Normal 2 3 24 5 9" xfId="27789" xr:uid="{00000000-0005-0000-0000-0000706C0000}"/>
    <cellStyle name="Normal 2 3 24 6" xfId="27790" xr:uid="{00000000-0005-0000-0000-0000716C0000}"/>
    <cellStyle name="Normal 2 3 24 7" xfId="27791" xr:uid="{00000000-0005-0000-0000-0000726C0000}"/>
    <cellStyle name="Normal 2 3 24 8" xfId="27792" xr:uid="{00000000-0005-0000-0000-0000736C0000}"/>
    <cellStyle name="Normal 2 3 24 9" xfId="27793" xr:uid="{00000000-0005-0000-0000-0000746C0000}"/>
    <cellStyle name="Normal 2 3 25" xfId="27794" xr:uid="{00000000-0005-0000-0000-0000756C0000}"/>
    <cellStyle name="Normal 2 3 25 10" xfId="27795" xr:uid="{00000000-0005-0000-0000-0000766C0000}"/>
    <cellStyle name="Normal 2 3 25 11" xfId="27796" xr:uid="{00000000-0005-0000-0000-0000776C0000}"/>
    <cellStyle name="Normal 2 3 25 12" xfId="27797" xr:uid="{00000000-0005-0000-0000-0000786C0000}"/>
    <cellStyle name="Normal 2 3 25 13" xfId="27798" xr:uid="{00000000-0005-0000-0000-0000796C0000}"/>
    <cellStyle name="Normal 2 3 25 14" xfId="27799" xr:uid="{00000000-0005-0000-0000-00007A6C0000}"/>
    <cellStyle name="Normal 2 3 25 2" xfId="27800" xr:uid="{00000000-0005-0000-0000-00007B6C0000}"/>
    <cellStyle name="Normal 2 3 25 2 10" xfId="27801" xr:uid="{00000000-0005-0000-0000-00007C6C0000}"/>
    <cellStyle name="Normal 2 3 25 2 2" xfId="27802" xr:uid="{00000000-0005-0000-0000-00007D6C0000}"/>
    <cellStyle name="Normal 2 3 25 2 3" xfId="27803" xr:uid="{00000000-0005-0000-0000-00007E6C0000}"/>
    <cellStyle name="Normal 2 3 25 2 4" xfId="27804" xr:uid="{00000000-0005-0000-0000-00007F6C0000}"/>
    <cellStyle name="Normal 2 3 25 2 5" xfId="27805" xr:uid="{00000000-0005-0000-0000-0000806C0000}"/>
    <cellStyle name="Normal 2 3 25 2 6" xfId="27806" xr:uid="{00000000-0005-0000-0000-0000816C0000}"/>
    <cellStyle name="Normal 2 3 25 2 7" xfId="27807" xr:uid="{00000000-0005-0000-0000-0000826C0000}"/>
    <cellStyle name="Normal 2 3 25 2 8" xfId="27808" xr:uid="{00000000-0005-0000-0000-0000836C0000}"/>
    <cellStyle name="Normal 2 3 25 2 9" xfId="27809" xr:uid="{00000000-0005-0000-0000-0000846C0000}"/>
    <cellStyle name="Normal 2 3 25 3" xfId="27810" xr:uid="{00000000-0005-0000-0000-0000856C0000}"/>
    <cellStyle name="Normal 2 3 25 3 10" xfId="27811" xr:uid="{00000000-0005-0000-0000-0000866C0000}"/>
    <cellStyle name="Normal 2 3 25 3 2" xfId="27812" xr:uid="{00000000-0005-0000-0000-0000876C0000}"/>
    <cellStyle name="Normal 2 3 25 3 3" xfId="27813" xr:uid="{00000000-0005-0000-0000-0000886C0000}"/>
    <cellStyle name="Normal 2 3 25 3 4" xfId="27814" xr:uid="{00000000-0005-0000-0000-0000896C0000}"/>
    <cellStyle name="Normal 2 3 25 3 5" xfId="27815" xr:uid="{00000000-0005-0000-0000-00008A6C0000}"/>
    <cellStyle name="Normal 2 3 25 3 6" xfId="27816" xr:uid="{00000000-0005-0000-0000-00008B6C0000}"/>
    <cellStyle name="Normal 2 3 25 3 7" xfId="27817" xr:uid="{00000000-0005-0000-0000-00008C6C0000}"/>
    <cellStyle name="Normal 2 3 25 3 8" xfId="27818" xr:uid="{00000000-0005-0000-0000-00008D6C0000}"/>
    <cellStyle name="Normal 2 3 25 3 9" xfId="27819" xr:uid="{00000000-0005-0000-0000-00008E6C0000}"/>
    <cellStyle name="Normal 2 3 25 4" xfId="27820" xr:uid="{00000000-0005-0000-0000-00008F6C0000}"/>
    <cellStyle name="Normal 2 3 25 4 10" xfId="27821" xr:uid="{00000000-0005-0000-0000-0000906C0000}"/>
    <cellStyle name="Normal 2 3 25 4 2" xfId="27822" xr:uid="{00000000-0005-0000-0000-0000916C0000}"/>
    <cellStyle name="Normal 2 3 25 4 3" xfId="27823" xr:uid="{00000000-0005-0000-0000-0000926C0000}"/>
    <cellStyle name="Normal 2 3 25 4 4" xfId="27824" xr:uid="{00000000-0005-0000-0000-0000936C0000}"/>
    <cellStyle name="Normal 2 3 25 4 5" xfId="27825" xr:uid="{00000000-0005-0000-0000-0000946C0000}"/>
    <cellStyle name="Normal 2 3 25 4 6" xfId="27826" xr:uid="{00000000-0005-0000-0000-0000956C0000}"/>
    <cellStyle name="Normal 2 3 25 4 7" xfId="27827" xr:uid="{00000000-0005-0000-0000-0000966C0000}"/>
    <cellStyle name="Normal 2 3 25 4 8" xfId="27828" xr:uid="{00000000-0005-0000-0000-0000976C0000}"/>
    <cellStyle name="Normal 2 3 25 4 9" xfId="27829" xr:uid="{00000000-0005-0000-0000-0000986C0000}"/>
    <cellStyle name="Normal 2 3 25 5" xfId="27830" xr:uid="{00000000-0005-0000-0000-0000996C0000}"/>
    <cellStyle name="Normal 2 3 25 5 10" xfId="27831" xr:uid="{00000000-0005-0000-0000-00009A6C0000}"/>
    <cellStyle name="Normal 2 3 25 5 2" xfId="27832" xr:uid="{00000000-0005-0000-0000-00009B6C0000}"/>
    <cellStyle name="Normal 2 3 25 5 3" xfId="27833" xr:uid="{00000000-0005-0000-0000-00009C6C0000}"/>
    <cellStyle name="Normal 2 3 25 5 4" xfId="27834" xr:uid="{00000000-0005-0000-0000-00009D6C0000}"/>
    <cellStyle name="Normal 2 3 25 5 5" xfId="27835" xr:uid="{00000000-0005-0000-0000-00009E6C0000}"/>
    <cellStyle name="Normal 2 3 25 5 6" xfId="27836" xr:uid="{00000000-0005-0000-0000-00009F6C0000}"/>
    <cellStyle name="Normal 2 3 25 5 7" xfId="27837" xr:uid="{00000000-0005-0000-0000-0000A06C0000}"/>
    <cellStyle name="Normal 2 3 25 5 8" xfId="27838" xr:uid="{00000000-0005-0000-0000-0000A16C0000}"/>
    <cellStyle name="Normal 2 3 25 5 9" xfId="27839" xr:uid="{00000000-0005-0000-0000-0000A26C0000}"/>
    <cellStyle name="Normal 2 3 25 6" xfId="27840" xr:uid="{00000000-0005-0000-0000-0000A36C0000}"/>
    <cellStyle name="Normal 2 3 25 7" xfId="27841" xr:uid="{00000000-0005-0000-0000-0000A46C0000}"/>
    <cellStyle name="Normal 2 3 25 8" xfId="27842" xr:uid="{00000000-0005-0000-0000-0000A56C0000}"/>
    <cellStyle name="Normal 2 3 25 9" xfId="27843" xr:uid="{00000000-0005-0000-0000-0000A66C0000}"/>
    <cellStyle name="Normal 2 3 26" xfId="27844" xr:uid="{00000000-0005-0000-0000-0000A76C0000}"/>
    <cellStyle name="Normal 2 3 26 10" xfId="27845" xr:uid="{00000000-0005-0000-0000-0000A86C0000}"/>
    <cellStyle name="Normal 2 3 26 11" xfId="27846" xr:uid="{00000000-0005-0000-0000-0000A96C0000}"/>
    <cellStyle name="Normal 2 3 26 12" xfId="27847" xr:uid="{00000000-0005-0000-0000-0000AA6C0000}"/>
    <cellStyle name="Normal 2 3 26 13" xfId="27848" xr:uid="{00000000-0005-0000-0000-0000AB6C0000}"/>
    <cellStyle name="Normal 2 3 26 14" xfId="27849" xr:uid="{00000000-0005-0000-0000-0000AC6C0000}"/>
    <cellStyle name="Normal 2 3 26 2" xfId="27850" xr:uid="{00000000-0005-0000-0000-0000AD6C0000}"/>
    <cellStyle name="Normal 2 3 26 2 10" xfId="27851" xr:uid="{00000000-0005-0000-0000-0000AE6C0000}"/>
    <cellStyle name="Normal 2 3 26 2 2" xfId="27852" xr:uid="{00000000-0005-0000-0000-0000AF6C0000}"/>
    <cellStyle name="Normal 2 3 26 2 3" xfId="27853" xr:uid="{00000000-0005-0000-0000-0000B06C0000}"/>
    <cellStyle name="Normal 2 3 26 2 4" xfId="27854" xr:uid="{00000000-0005-0000-0000-0000B16C0000}"/>
    <cellStyle name="Normal 2 3 26 2 5" xfId="27855" xr:uid="{00000000-0005-0000-0000-0000B26C0000}"/>
    <cellStyle name="Normal 2 3 26 2 6" xfId="27856" xr:uid="{00000000-0005-0000-0000-0000B36C0000}"/>
    <cellStyle name="Normal 2 3 26 2 7" xfId="27857" xr:uid="{00000000-0005-0000-0000-0000B46C0000}"/>
    <cellStyle name="Normal 2 3 26 2 8" xfId="27858" xr:uid="{00000000-0005-0000-0000-0000B56C0000}"/>
    <cellStyle name="Normal 2 3 26 2 9" xfId="27859" xr:uid="{00000000-0005-0000-0000-0000B66C0000}"/>
    <cellStyle name="Normal 2 3 26 3" xfId="27860" xr:uid="{00000000-0005-0000-0000-0000B76C0000}"/>
    <cellStyle name="Normal 2 3 26 3 10" xfId="27861" xr:uid="{00000000-0005-0000-0000-0000B86C0000}"/>
    <cellStyle name="Normal 2 3 26 3 2" xfId="27862" xr:uid="{00000000-0005-0000-0000-0000B96C0000}"/>
    <cellStyle name="Normal 2 3 26 3 3" xfId="27863" xr:uid="{00000000-0005-0000-0000-0000BA6C0000}"/>
    <cellStyle name="Normal 2 3 26 3 4" xfId="27864" xr:uid="{00000000-0005-0000-0000-0000BB6C0000}"/>
    <cellStyle name="Normal 2 3 26 3 5" xfId="27865" xr:uid="{00000000-0005-0000-0000-0000BC6C0000}"/>
    <cellStyle name="Normal 2 3 26 3 6" xfId="27866" xr:uid="{00000000-0005-0000-0000-0000BD6C0000}"/>
    <cellStyle name="Normal 2 3 26 3 7" xfId="27867" xr:uid="{00000000-0005-0000-0000-0000BE6C0000}"/>
    <cellStyle name="Normal 2 3 26 3 8" xfId="27868" xr:uid="{00000000-0005-0000-0000-0000BF6C0000}"/>
    <cellStyle name="Normal 2 3 26 3 9" xfId="27869" xr:uid="{00000000-0005-0000-0000-0000C06C0000}"/>
    <cellStyle name="Normal 2 3 26 4" xfId="27870" xr:uid="{00000000-0005-0000-0000-0000C16C0000}"/>
    <cellStyle name="Normal 2 3 26 4 10" xfId="27871" xr:uid="{00000000-0005-0000-0000-0000C26C0000}"/>
    <cellStyle name="Normal 2 3 26 4 2" xfId="27872" xr:uid="{00000000-0005-0000-0000-0000C36C0000}"/>
    <cellStyle name="Normal 2 3 26 4 3" xfId="27873" xr:uid="{00000000-0005-0000-0000-0000C46C0000}"/>
    <cellStyle name="Normal 2 3 26 4 4" xfId="27874" xr:uid="{00000000-0005-0000-0000-0000C56C0000}"/>
    <cellStyle name="Normal 2 3 26 4 5" xfId="27875" xr:uid="{00000000-0005-0000-0000-0000C66C0000}"/>
    <cellStyle name="Normal 2 3 26 4 6" xfId="27876" xr:uid="{00000000-0005-0000-0000-0000C76C0000}"/>
    <cellStyle name="Normal 2 3 26 4 7" xfId="27877" xr:uid="{00000000-0005-0000-0000-0000C86C0000}"/>
    <cellStyle name="Normal 2 3 26 4 8" xfId="27878" xr:uid="{00000000-0005-0000-0000-0000C96C0000}"/>
    <cellStyle name="Normal 2 3 26 4 9" xfId="27879" xr:uid="{00000000-0005-0000-0000-0000CA6C0000}"/>
    <cellStyle name="Normal 2 3 26 5" xfId="27880" xr:uid="{00000000-0005-0000-0000-0000CB6C0000}"/>
    <cellStyle name="Normal 2 3 26 5 10" xfId="27881" xr:uid="{00000000-0005-0000-0000-0000CC6C0000}"/>
    <cellStyle name="Normal 2 3 26 5 2" xfId="27882" xr:uid="{00000000-0005-0000-0000-0000CD6C0000}"/>
    <cellStyle name="Normal 2 3 26 5 3" xfId="27883" xr:uid="{00000000-0005-0000-0000-0000CE6C0000}"/>
    <cellStyle name="Normal 2 3 26 5 4" xfId="27884" xr:uid="{00000000-0005-0000-0000-0000CF6C0000}"/>
    <cellStyle name="Normal 2 3 26 5 5" xfId="27885" xr:uid="{00000000-0005-0000-0000-0000D06C0000}"/>
    <cellStyle name="Normal 2 3 26 5 6" xfId="27886" xr:uid="{00000000-0005-0000-0000-0000D16C0000}"/>
    <cellStyle name="Normal 2 3 26 5 7" xfId="27887" xr:uid="{00000000-0005-0000-0000-0000D26C0000}"/>
    <cellStyle name="Normal 2 3 26 5 8" xfId="27888" xr:uid="{00000000-0005-0000-0000-0000D36C0000}"/>
    <cellStyle name="Normal 2 3 26 5 9" xfId="27889" xr:uid="{00000000-0005-0000-0000-0000D46C0000}"/>
    <cellStyle name="Normal 2 3 26 6" xfId="27890" xr:uid="{00000000-0005-0000-0000-0000D56C0000}"/>
    <cellStyle name="Normal 2 3 26 7" xfId="27891" xr:uid="{00000000-0005-0000-0000-0000D66C0000}"/>
    <cellStyle name="Normal 2 3 26 8" xfId="27892" xr:uid="{00000000-0005-0000-0000-0000D76C0000}"/>
    <cellStyle name="Normal 2 3 26 9" xfId="27893" xr:uid="{00000000-0005-0000-0000-0000D86C0000}"/>
    <cellStyle name="Normal 2 3 27" xfId="27894" xr:uid="{00000000-0005-0000-0000-0000D96C0000}"/>
    <cellStyle name="Normal 2 3 27 10" xfId="27895" xr:uid="{00000000-0005-0000-0000-0000DA6C0000}"/>
    <cellStyle name="Normal 2 3 27 11" xfId="27896" xr:uid="{00000000-0005-0000-0000-0000DB6C0000}"/>
    <cellStyle name="Normal 2 3 27 12" xfId="27897" xr:uid="{00000000-0005-0000-0000-0000DC6C0000}"/>
    <cellStyle name="Normal 2 3 27 13" xfId="27898" xr:uid="{00000000-0005-0000-0000-0000DD6C0000}"/>
    <cellStyle name="Normal 2 3 27 14" xfId="27899" xr:uid="{00000000-0005-0000-0000-0000DE6C0000}"/>
    <cellStyle name="Normal 2 3 27 2" xfId="27900" xr:uid="{00000000-0005-0000-0000-0000DF6C0000}"/>
    <cellStyle name="Normal 2 3 27 2 10" xfId="27901" xr:uid="{00000000-0005-0000-0000-0000E06C0000}"/>
    <cellStyle name="Normal 2 3 27 2 2" xfId="27902" xr:uid="{00000000-0005-0000-0000-0000E16C0000}"/>
    <cellStyle name="Normal 2 3 27 2 3" xfId="27903" xr:uid="{00000000-0005-0000-0000-0000E26C0000}"/>
    <cellStyle name="Normal 2 3 27 2 4" xfId="27904" xr:uid="{00000000-0005-0000-0000-0000E36C0000}"/>
    <cellStyle name="Normal 2 3 27 2 5" xfId="27905" xr:uid="{00000000-0005-0000-0000-0000E46C0000}"/>
    <cellStyle name="Normal 2 3 27 2 6" xfId="27906" xr:uid="{00000000-0005-0000-0000-0000E56C0000}"/>
    <cellStyle name="Normal 2 3 27 2 7" xfId="27907" xr:uid="{00000000-0005-0000-0000-0000E66C0000}"/>
    <cellStyle name="Normal 2 3 27 2 8" xfId="27908" xr:uid="{00000000-0005-0000-0000-0000E76C0000}"/>
    <cellStyle name="Normal 2 3 27 2 9" xfId="27909" xr:uid="{00000000-0005-0000-0000-0000E86C0000}"/>
    <cellStyle name="Normal 2 3 27 3" xfId="27910" xr:uid="{00000000-0005-0000-0000-0000E96C0000}"/>
    <cellStyle name="Normal 2 3 27 3 10" xfId="27911" xr:uid="{00000000-0005-0000-0000-0000EA6C0000}"/>
    <cellStyle name="Normal 2 3 27 3 2" xfId="27912" xr:uid="{00000000-0005-0000-0000-0000EB6C0000}"/>
    <cellStyle name="Normal 2 3 27 3 3" xfId="27913" xr:uid="{00000000-0005-0000-0000-0000EC6C0000}"/>
    <cellStyle name="Normal 2 3 27 3 4" xfId="27914" xr:uid="{00000000-0005-0000-0000-0000ED6C0000}"/>
    <cellStyle name="Normal 2 3 27 3 5" xfId="27915" xr:uid="{00000000-0005-0000-0000-0000EE6C0000}"/>
    <cellStyle name="Normal 2 3 27 3 6" xfId="27916" xr:uid="{00000000-0005-0000-0000-0000EF6C0000}"/>
    <cellStyle name="Normal 2 3 27 3 7" xfId="27917" xr:uid="{00000000-0005-0000-0000-0000F06C0000}"/>
    <cellStyle name="Normal 2 3 27 3 8" xfId="27918" xr:uid="{00000000-0005-0000-0000-0000F16C0000}"/>
    <cellStyle name="Normal 2 3 27 3 9" xfId="27919" xr:uid="{00000000-0005-0000-0000-0000F26C0000}"/>
    <cellStyle name="Normal 2 3 27 4" xfId="27920" xr:uid="{00000000-0005-0000-0000-0000F36C0000}"/>
    <cellStyle name="Normal 2 3 27 4 10" xfId="27921" xr:uid="{00000000-0005-0000-0000-0000F46C0000}"/>
    <cellStyle name="Normal 2 3 27 4 2" xfId="27922" xr:uid="{00000000-0005-0000-0000-0000F56C0000}"/>
    <cellStyle name="Normal 2 3 27 4 3" xfId="27923" xr:uid="{00000000-0005-0000-0000-0000F66C0000}"/>
    <cellStyle name="Normal 2 3 27 4 4" xfId="27924" xr:uid="{00000000-0005-0000-0000-0000F76C0000}"/>
    <cellStyle name="Normal 2 3 27 4 5" xfId="27925" xr:uid="{00000000-0005-0000-0000-0000F86C0000}"/>
    <cellStyle name="Normal 2 3 27 4 6" xfId="27926" xr:uid="{00000000-0005-0000-0000-0000F96C0000}"/>
    <cellStyle name="Normal 2 3 27 4 7" xfId="27927" xr:uid="{00000000-0005-0000-0000-0000FA6C0000}"/>
    <cellStyle name="Normal 2 3 27 4 8" xfId="27928" xr:uid="{00000000-0005-0000-0000-0000FB6C0000}"/>
    <cellStyle name="Normal 2 3 27 4 9" xfId="27929" xr:uid="{00000000-0005-0000-0000-0000FC6C0000}"/>
    <cellStyle name="Normal 2 3 27 5" xfId="27930" xr:uid="{00000000-0005-0000-0000-0000FD6C0000}"/>
    <cellStyle name="Normal 2 3 27 5 10" xfId="27931" xr:uid="{00000000-0005-0000-0000-0000FE6C0000}"/>
    <cellStyle name="Normal 2 3 27 5 2" xfId="27932" xr:uid="{00000000-0005-0000-0000-0000FF6C0000}"/>
    <cellStyle name="Normal 2 3 27 5 3" xfId="27933" xr:uid="{00000000-0005-0000-0000-0000006D0000}"/>
    <cellStyle name="Normal 2 3 27 5 4" xfId="27934" xr:uid="{00000000-0005-0000-0000-0000016D0000}"/>
    <cellStyle name="Normal 2 3 27 5 5" xfId="27935" xr:uid="{00000000-0005-0000-0000-0000026D0000}"/>
    <cellStyle name="Normal 2 3 27 5 6" xfId="27936" xr:uid="{00000000-0005-0000-0000-0000036D0000}"/>
    <cellStyle name="Normal 2 3 27 5 7" xfId="27937" xr:uid="{00000000-0005-0000-0000-0000046D0000}"/>
    <cellStyle name="Normal 2 3 27 5 8" xfId="27938" xr:uid="{00000000-0005-0000-0000-0000056D0000}"/>
    <cellStyle name="Normal 2 3 27 5 9" xfId="27939" xr:uid="{00000000-0005-0000-0000-0000066D0000}"/>
    <cellStyle name="Normal 2 3 27 6" xfId="27940" xr:uid="{00000000-0005-0000-0000-0000076D0000}"/>
    <cellStyle name="Normal 2 3 27 7" xfId="27941" xr:uid="{00000000-0005-0000-0000-0000086D0000}"/>
    <cellStyle name="Normal 2 3 27 8" xfId="27942" xr:uid="{00000000-0005-0000-0000-0000096D0000}"/>
    <cellStyle name="Normal 2 3 27 9" xfId="27943" xr:uid="{00000000-0005-0000-0000-00000A6D0000}"/>
    <cellStyle name="Normal 2 3 28" xfId="27944" xr:uid="{00000000-0005-0000-0000-00000B6D0000}"/>
    <cellStyle name="Normal 2 3 28 10" xfId="27945" xr:uid="{00000000-0005-0000-0000-00000C6D0000}"/>
    <cellStyle name="Normal 2 3 28 11" xfId="27946" xr:uid="{00000000-0005-0000-0000-00000D6D0000}"/>
    <cellStyle name="Normal 2 3 28 12" xfId="27947" xr:uid="{00000000-0005-0000-0000-00000E6D0000}"/>
    <cellStyle name="Normal 2 3 28 13" xfId="27948" xr:uid="{00000000-0005-0000-0000-00000F6D0000}"/>
    <cellStyle name="Normal 2 3 28 14" xfId="27949" xr:uid="{00000000-0005-0000-0000-0000106D0000}"/>
    <cellStyle name="Normal 2 3 28 2" xfId="27950" xr:uid="{00000000-0005-0000-0000-0000116D0000}"/>
    <cellStyle name="Normal 2 3 28 2 10" xfId="27951" xr:uid="{00000000-0005-0000-0000-0000126D0000}"/>
    <cellStyle name="Normal 2 3 28 2 2" xfId="27952" xr:uid="{00000000-0005-0000-0000-0000136D0000}"/>
    <cellStyle name="Normal 2 3 28 2 3" xfId="27953" xr:uid="{00000000-0005-0000-0000-0000146D0000}"/>
    <cellStyle name="Normal 2 3 28 2 4" xfId="27954" xr:uid="{00000000-0005-0000-0000-0000156D0000}"/>
    <cellStyle name="Normal 2 3 28 2 5" xfId="27955" xr:uid="{00000000-0005-0000-0000-0000166D0000}"/>
    <cellStyle name="Normal 2 3 28 2 6" xfId="27956" xr:uid="{00000000-0005-0000-0000-0000176D0000}"/>
    <cellStyle name="Normal 2 3 28 2 7" xfId="27957" xr:uid="{00000000-0005-0000-0000-0000186D0000}"/>
    <cellStyle name="Normal 2 3 28 2 8" xfId="27958" xr:uid="{00000000-0005-0000-0000-0000196D0000}"/>
    <cellStyle name="Normal 2 3 28 2 9" xfId="27959" xr:uid="{00000000-0005-0000-0000-00001A6D0000}"/>
    <cellStyle name="Normal 2 3 28 3" xfId="27960" xr:uid="{00000000-0005-0000-0000-00001B6D0000}"/>
    <cellStyle name="Normal 2 3 28 3 10" xfId="27961" xr:uid="{00000000-0005-0000-0000-00001C6D0000}"/>
    <cellStyle name="Normal 2 3 28 3 2" xfId="27962" xr:uid="{00000000-0005-0000-0000-00001D6D0000}"/>
    <cellStyle name="Normal 2 3 28 3 3" xfId="27963" xr:uid="{00000000-0005-0000-0000-00001E6D0000}"/>
    <cellStyle name="Normal 2 3 28 3 4" xfId="27964" xr:uid="{00000000-0005-0000-0000-00001F6D0000}"/>
    <cellStyle name="Normal 2 3 28 3 5" xfId="27965" xr:uid="{00000000-0005-0000-0000-0000206D0000}"/>
    <cellStyle name="Normal 2 3 28 3 6" xfId="27966" xr:uid="{00000000-0005-0000-0000-0000216D0000}"/>
    <cellStyle name="Normal 2 3 28 3 7" xfId="27967" xr:uid="{00000000-0005-0000-0000-0000226D0000}"/>
    <cellStyle name="Normal 2 3 28 3 8" xfId="27968" xr:uid="{00000000-0005-0000-0000-0000236D0000}"/>
    <cellStyle name="Normal 2 3 28 3 9" xfId="27969" xr:uid="{00000000-0005-0000-0000-0000246D0000}"/>
    <cellStyle name="Normal 2 3 28 4" xfId="27970" xr:uid="{00000000-0005-0000-0000-0000256D0000}"/>
    <cellStyle name="Normal 2 3 28 4 10" xfId="27971" xr:uid="{00000000-0005-0000-0000-0000266D0000}"/>
    <cellStyle name="Normal 2 3 28 4 2" xfId="27972" xr:uid="{00000000-0005-0000-0000-0000276D0000}"/>
    <cellStyle name="Normal 2 3 28 4 3" xfId="27973" xr:uid="{00000000-0005-0000-0000-0000286D0000}"/>
    <cellStyle name="Normal 2 3 28 4 4" xfId="27974" xr:uid="{00000000-0005-0000-0000-0000296D0000}"/>
    <cellStyle name="Normal 2 3 28 4 5" xfId="27975" xr:uid="{00000000-0005-0000-0000-00002A6D0000}"/>
    <cellStyle name="Normal 2 3 28 4 6" xfId="27976" xr:uid="{00000000-0005-0000-0000-00002B6D0000}"/>
    <cellStyle name="Normal 2 3 28 4 7" xfId="27977" xr:uid="{00000000-0005-0000-0000-00002C6D0000}"/>
    <cellStyle name="Normal 2 3 28 4 8" xfId="27978" xr:uid="{00000000-0005-0000-0000-00002D6D0000}"/>
    <cellStyle name="Normal 2 3 28 4 9" xfId="27979" xr:uid="{00000000-0005-0000-0000-00002E6D0000}"/>
    <cellStyle name="Normal 2 3 28 5" xfId="27980" xr:uid="{00000000-0005-0000-0000-00002F6D0000}"/>
    <cellStyle name="Normal 2 3 28 5 10" xfId="27981" xr:uid="{00000000-0005-0000-0000-0000306D0000}"/>
    <cellStyle name="Normal 2 3 28 5 2" xfId="27982" xr:uid="{00000000-0005-0000-0000-0000316D0000}"/>
    <cellStyle name="Normal 2 3 28 5 3" xfId="27983" xr:uid="{00000000-0005-0000-0000-0000326D0000}"/>
    <cellStyle name="Normal 2 3 28 5 4" xfId="27984" xr:uid="{00000000-0005-0000-0000-0000336D0000}"/>
    <cellStyle name="Normal 2 3 28 5 5" xfId="27985" xr:uid="{00000000-0005-0000-0000-0000346D0000}"/>
    <cellStyle name="Normal 2 3 28 5 6" xfId="27986" xr:uid="{00000000-0005-0000-0000-0000356D0000}"/>
    <cellStyle name="Normal 2 3 28 5 7" xfId="27987" xr:uid="{00000000-0005-0000-0000-0000366D0000}"/>
    <cellStyle name="Normal 2 3 28 5 8" xfId="27988" xr:uid="{00000000-0005-0000-0000-0000376D0000}"/>
    <cellStyle name="Normal 2 3 28 5 9" xfId="27989" xr:uid="{00000000-0005-0000-0000-0000386D0000}"/>
    <cellStyle name="Normal 2 3 28 6" xfId="27990" xr:uid="{00000000-0005-0000-0000-0000396D0000}"/>
    <cellStyle name="Normal 2 3 28 7" xfId="27991" xr:uid="{00000000-0005-0000-0000-00003A6D0000}"/>
    <cellStyle name="Normal 2 3 28 8" xfId="27992" xr:uid="{00000000-0005-0000-0000-00003B6D0000}"/>
    <cellStyle name="Normal 2 3 28 9" xfId="27993" xr:uid="{00000000-0005-0000-0000-00003C6D0000}"/>
    <cellStyle name="Normal 2 3 29" xfId="27994" xr:uid="{00000000-0005-0000-0000-00003D6D0000}"/>
    <cellStyle name="Normal 2 3 29 10" xfId="27995" xr:uid="{00000000-0005-0000-0000-00003E6D0000}"/>
    <cellStyle name="Normal 2 3 29 11" xfId="27996" xr:uid="{00000000-0005-0000-0000-00003F6D0000}"/>
    <cellStyle name="Normal 2 3 29 12" xfId="27997" xr:uid="{00000000-0005-0000-0000-0000406D0000}"/>
    <cellStyle name="Normal 2 3 29 13" xfId="27998" xr:uid="{00000000-0005-0000-0000-0000416D0000}"/>
    <cellStyle name="Normal 2 3 29 14" xfId="27999" xr:uid="{00000000-0005-0000-0000-0000426D0000}"/>
    <cellStyle name="Normal 2 3 29 2" xfId="28000" xr:uid="{00000000-0005-0000-0000-0000436D0000}"/>
    <cellStyle name="Normal 2 3 29 2 10" xfId="28001" xr:uid="{00000000-0005-0000-0000-0000446D0000}"/>
    <cellStyle name="Normal 2 3 29 2 2" xfId="28002" xr:uid="{00000000-0005-0000-0000-0000456D0000}"/>
    <cellStyle name="Normal 2 3 29 2 3" xfId="28003" xr:uid="{00000000-0005-0000-0000-0000466D0000}"/>
    <cellStyle name="Normal 2 3 29 2 4" xfId="28004" xr:uid="{00000000-0005-0000-0000-0000476D0000}"/>
    <cellStyle name="Normal 2 3 29 2 5" xfId="28005" xr:uid="{00000000-0005-0000-0000-0000486D0000}"/>
    <cellStyle name="Normal 2 3 29 2 6" xfId="28006" xr:uid="{00000000-0005-0000-0000-0000496D0000}"/>
    <cellStyle name="Normal 2 3 29 2 7" xfId="28007" xr:uid="{00000000-0005-0000-0000-00004A6D0000}"/>
    <cellStyle name="Normal 2 3 29 2 8" xfId="28008" xr:uid="{00000000-0005-0000-0000-00004B6D0000}"/>
    <cellStyle name="Normal 2 3 29 2 9" xfId="28009" xr:uid="{00000000-0005-0000-0000-00004C6D0000}"/>
    <cellStyle name="Normal 2 3 29 3" xfId="28010" xr:uid="{00000000-0005-0000-0000-00004D6D0000}"/>
    <cellStyle name="Normal 2 3 29 3 10" xfId="28011" xr:uid="{00000000-0005-0000-0000-00004E6D0000}"/>
    <cellStyle name="Normal 2 3 29 3 2" xfId="28012" xr:uid="{00000000-0005-0000-0000-00004F6D0000}"/>
    <cellStyle name="Normal 2 3 29 3 3" xfId="28013" xr:uid="{00000000-0005-0000-0000-0000506D0000}"/>
    <cellStyle name="Normal 2 3 29 3 4" xfId="28014" xr:uid="{00000000-0005-0000-0000-0000516D0000}"/>
    <cellStyle name="Normal 2 3 29 3 5" xfId="28015" xr:uid="{00000000-0005-0000-0000-0000526D0000}"/>
    <cellStyle name="Normal 2 3 29 3 6" xfId="28016" xr:uid="{00000000-0005-0000-0000-0000536D0000}"/>
    <cellStyle name="Normal 2 3 29 3 7" xfId="28017" xr:uid="{00000000-0005-0000-0000-0000546D0000}"/>
    <cellStyle name="Normal 2 3 29 3 8" xfId="28018" xr:uid="{00000000-0005-0000-0000-0000556D0000}"/>
    <cellStyle name="Normal 2 3 29 3 9" xfId="28019" xr:uid="{00000000-0005-0000-0000-0000566D0000}"/>
    <cellStyle name="Normal 2 3 29 4" xfId="28020" xr:uid="{00000000-0005-0000-0000-0000576D0000}"/>
    <cellStyle name="Normal 2 3 29 4 10" xfId="28021" xr:uid="{00000000-0005-0000-0000-0000586D0000}"/>
    <cellStyle name="Normal 2 3 29 4 2" xfId="28022" xr:uid="{00000000-0005-0000-0000-0000596D0000}"/>
    <cellStyle name="Normal 2 3 29 4 3" xfId="28023" xr:uid="{00000000-0005-0000-0000-00005A6D0000}"/>
    <cellStyle name="Normal 2 3 29 4 4" xfId="28024" xr:uid="{00000000-0005-0000-0000-00005B6D0000}"/>
    <cellStyle name="Normal 2 3 29 4 5" xfId="28025" xr:uid="{00000000-0005-0000-0000-00005C6D0000}"/>
    <cellStyle name="Normal 2 3 29 4 6" xfId="28026" xr:uid="{00000000-0005-0000-0000-00005D6D0000}"/>
    <cellStyle name="Normal 2 3 29 4 7" xfId="28027" xr:uid="{00000000-0005-0000-0000-00005E6D0000}"/>
    <cellStyle name="Normal 2 3 29 4 8" xfId="28028" xr:uid="{00000000-0005-0000-0000-00005F6D0000}"/>
    <cellStyle name="Normal 2 3 29 4 9" xfId="28029" xr:uid="{00000000-0005-0000-0000-0000606D0000}"/>
    <cellStyle name="Normal 2 3 29 5" xfId="28030" xr:uid="{00000000-0005-0000-0000-0000616D0000}"/>
    <cellStyle name="Normal 2 3 29 5 10" xfId="28031" xr:uid="{00000000-0005-0000-0000-0000626D0000}"/>
    <cellStyle name="Normal 2 3 29 5 2" xfId="28032" xr:uid="{00000000-0005-0000-0000-0000636D0000}"/>
    <cellStyle name="Normal 2 3 29 5 3" xfId="28033" xr:uid="{00000000-0005-0000-0000-0000646D0000}"/>
    <cellStyle name="Normal 2 3 29 5 4" xfId="28034" xr:uid="{00000000-0005-0000-0000-0000656D0000}"/>
    <cellStyle name="Normal 2 3 29 5 5" xfId="28035" xr:uid="{00000000-0005-0000-0000-0000666D0000}"/>
    <cellStyle name="Normal 2 3 29 5 6" xfId="28036" xr:uid="{00000000-0005-0000-0000-0000676D0000}"/>
    <cellStyle name="Normal 2 3 29 5 7" xfId="28037" xr:uid="{00000000-0005-0000-0000-0000686D0000}"/>
    <cellStyle name="Normal 2 3 29 5 8" xfId="28038" xr:uid="{00000000-0005-0000-0000-0000696D0000}"/>
    <cellStyle name="Normal 2 3 29 5 9" xfId="28039" xr:uid="{00000000-0005-0000-0000-00006A6D0000}"/>
    <cellStyle name="Normal 2 3 29 6" xfId="28040" xr:uid="{00000000-0005-0000-0000-00006B6D0000}"/>
    <cellStyle name="Normal 2 3 29 7" xfId="28041" xr:uid="{00000000-0005-0000-0000-00006C6D0000}"/>
    <cellStyle name="Normal 2 3 29 8" xfId="28042" xr:uid="{00000000-0005-0000-0000-00006D6D0000}"/>
    <cellStyle name="Normal 2 3 29 9" xfId="28043" xr:uid="{00000000-0005-0000-0000-00006E6D0000}"/>
    <cellStyle name="Normal 2 3 3" xfId="28044" xr:uid="{00000000-0005-0000-0000-00006F6D0000}"/>
    <cellStyle name="Normal 2 3 3 10" xfId="28045" xr:uid="{00000000-0005-0000-0000-0000706D0000}"/>
    <cellStyle name="Normal 2 3 3 11" xfId="28046" xr:uid="{00000000-0005-0000-0000-0000716D0000}"/>
    <cellStyle name="Normal 2 3 3 12" xfId="28047" xr:uid="{00000000-0005-0000-0000-0000726D0000}"/>
    <cellStyle name="Normal 2 3 3 13" xfId="28048" xr:uid="{00000000-0005-0000-0000-0000736D0000}"/>
    <cellStyle name="Normal 2 3 3 14" xfId="28049" xr:uid="{00000000-0005-0000-0000-0000746D0000}"/>
    <cellStyle name="Normal 2 3 3 15" xfId="28050" xr:uid="{00000000-0005-0000-0000-0000756D0000}"/>
    <cellStyle name="Normal 2 3 3 16" xfId="28051" xr:uid="{00000000-0005-0000-0000-0000766D0000}"/>
    <cellStyle name="Normal 2 3 3 2" xfId="28052" xr:uid="{00000000-0005-0000-0000-0000776D0000}"/>
    <cellStyle name="Normal 2 3 3 2 10" xfId="28053" xr:uid="{00000000-0005-0000-0000-0000786D0000}"/>
    <cellStyle name="Normal 2 3 3 2 2" xfId="28054" xr:uid="{00000000-0005-0000-0000-0000796D0000}"/>
    <cellStyle name="Normal 2 3 3 2 3" xfId="28055" xr:uid="{00000000-0005-0000-0000-00007A6D0000}"/>
    <cellStyle name="Normal 2 3 3 2 4" xfId="28056" xr:uid="{00000000-0005-0000-0000-00007B6D0000}"/>
    <cellStyle name="Normal 2 3 3 2 5" xfId="28057" xr:uid="{00000000-0005-0000-0000-00007C6D0000}"/>
    <cellStyle name="Normal 2 3 3 2 6" xfId="28058" xr:uid="{00000000-0005-0000-0000-00007D6D0000}"/>
    <cellStyle name="Normal 2 3 3 2 7" xfId="28059" xr:uid="{00000000-0005-0000-0000-00007E6D0000}"/>
    <cellStyle name="Normal 2 3 3 2 8" xfId="28060" xr:uid="{00000000-0005-0000-0000-00007F6D0000}"/>
    <cellStyle name="Normal 2 3 3 2 9" xfId="28061" xr:uid="{00000000-0005-0000-0000-0000806D0000}"/>
    <cellStyle name="Normal 2 3 3 3" xfId="28062" xr:uid="{00000000-0005-0000-0000-0000816D0000}"/>
    <cellStyle name="Normal 2 3 3 3 10" xfId="28063" xr:uid="{00000000-0005-0000-0000-0000826D0000}"/>
    <cellStyle name="Normal 2 3 3 3 2" xfId="28064" xr:uid="{00000000-0005-0000-0000-0000836D0000}"/>
    <cellStyle name="Normal 2 3 3 3 3" xfId="28065" xr:uid="{00000000-0005-0000-0000-0000846D0000}"/>
    <cellStyle name="Normal 2 3 3 3 4" xfId="28066" xr:uid="{00000000-0005-0000-0000-0000856D0000}"/>
    <cellStyle name="Normal 2 3 3 3 5" xfId="28067" xr:uid="{00000000-0005-0000-0000-0000866D0000}"/>
    <cellStyle name="Normal 2 3 3 3 6" xfId="28068" xr:uid="{00000000-0005-0000-0000-0000876D0000}"/>
    <cellStyle name="Normal 2 3 3 3 7" xfId="28069" xr:uid="{00000000-0005-0000-0000-0000886D0000}"/>
    <cellStyle name="Normal 2 3 3 3 8" xfId="28070" xr:uid="{00000000-0005-0000-0000-0000896D0000}"/>
    <cellStyle name="Normal 2 3 3 3 9" xfId="28071" xr:uid="{00000000-0005-0000-0000-00008A6D0000}"/>
    <cellStyle name="Normal 2 3 3 4" xfId="28072" xr:uid="{00000000-0005-0000-0000-00008B6D0000}"/>
    <cellStyle name="Normal 2 3 3 4 10" xfId="28073" xr:uid="{00000000-0005-0000-0000-00008C6D0000}"/>
    <cellStyle name="Normal 2 3 3 4 2" xfId="28074" xr:uid="{00000000-0005-0000-0000-00008D6D0000}"/>
    <cellStyle name="Normal 2 3 3 4 3" xfId="28075" xr:uid="{00000000-0005-0000-0000-00008E6D0000}"/>
    <cellStyle name="Normal 2 3 3 4 4" xfId="28076" xr:uid="{00000000-0005-0000-0000-00008F6D0000}"/>
    <cellStyle name="Normal 2 3 3 4 5" xfId="28077" xr:uid="{00000000-0005-0000-0000-0000906D0000}"/>
    <cellStyle name="Normal 2 3 3 4 6" xfId="28078" xr:uid="{00000000-0005-0000-0000-0000916D0000}"/>
    <cellStyle name="Normal 2 3 3 4 7" xfId="28079" xr:uid="{00000000-0005-0000-0000-0000926D0000}"/>
    <cellStyle name="Normal 2 3 3 4 8" xfId="28080" xr:uid="{00000000-0005-0000-0000-0000936D0000}"/>
    <cellStyle name="Normal 2 3 3 4 9" xfId="28081" xr:uid="{00000000-0005-0000-0000-0000946D0000}"/>
    <cellStyle name="Normal 2 3 3 5" xfId="28082" xr:uid="{00000000-0005-0000-0000-0000956D0000}"/>
    <cellStyle name="Normal 2 3 3 5 10" xfId="28083" xr:uid="{00000000-0005-0000-0000-0000966D0000}"/>
    <cellStyle name="Normal 2 3 3 5 2" xfId="28084" xr:uid="{00000000-0005-0000-0000-0000976D0000}"/>
    <cellStyle name="Normal 2 3 3 5 3" xfId="28085" xr:uid="{00000000-0005-0000-0000-0000986D0000}"/>
    <cellStyle name="Normal 2 3 3 5 4" xfId="28086" xr:uid="{00000000-0005-0000-0000-0000996D0000}"/>
    <cellStyle name="Normal 2 3 3 5 5" xfId="28087" xr:uid="{00000000-0005-0000-0000-00009A6D0000}"/>
    <cellStyle name="Normal 2 3 3 5 6" xfId="28088" xr:uid="{00000000-0005-0000-0000-00009B6D0000}"/>
    <cellStyle name="Normal 2 3 3 5 7" xfId="28089" xr:uid="{00000000-0005-0000-0000-00009C6D0000}"/>
    <cellStyle name="Normal 2 3 3 5 8" xfId="28090" xr:uid="{00000000-0005-0000-0000-00009D6D0000}"/>
    <cellStyle name="Normal 2 3 3 5 9" xfId="28091" xr:uid="{00000000-0005-0000-0000-00009E6D0000}"/>
    <cellStyle name="Normal 2 3 3 6" xfId="28092" xr:uid="{00000000-0005-0000-0000-00009F6D0000}"/>
    <cellStyle name="Normal 2 3 3 7" xfId="28093" xr:uid="{00000000-0005-0000-0000-0000A06D0000}"/>
    <cellStyle name="Normal 2 3 3 8" xfId="28094" xr:uid="{00000000-0005-0000-0000-0000A16D0000}"/>
    <cellStyle name="Normal 2 3 3 9" xfId="28095" xr:uid="{00000000-0005-0000-0000-0000A26D0000}"/>
    <cellStyle name="Normal 2 3 30" xfId="28096" xr:uid="{00000000-0005-0000-0000-0000A36D0000}"/>
    <cellStyle name="Normal 2 3 30 10" xfId="28097" xr:uid="{00000000-0005-0000-0000-0000A46D0000}"/>
    <cellStyle name="Normal 2 3 30 11" xfId="28098" xr:uid="{00000000-0005-0000-0000-0000A56D0000}"/>
    <cellStyle name="Normal 2 3 30 12" xfId="28099" xr:uid="{00000000-0005-0000-0000-0000A66D0000}"/>
    <cellStyle name="Normal 2 3 30 13" xfId="28100" xr:uid="{00000000-0005-0000-0000-0000A76D0000}"/>
    <cellStyle name="Normal 2 3 30 14" xfId="28101" xr:uid="{00000000-0005-0000-0000-0000A86D0000}"/>
    <cellStyle name="Normal 2 3 30 2" xfId="28102" xr:uid="{00000000-0005-0000-0000-0000A96D0000}"/>
    <cellStyle name="Normal 2 3 30 2 10" xfId="28103" xr:uid="{00000000-0005-0000-0000-0000AA6D0000}"/>
    <cellStyle name="Normal 2 3 30 2 2" xfId="28104" xr:uid="{00000000-0005-0000-0000-0000AB6D0000}"/>
    <cellStyle name="Normal 2 3 30 2 3" xfId="28105" xr:uid="{00000000-0005-0000-0000-0000AC6D0000}"/>
    <cellStyle name="Normal 2 3 30 2 4" xfId="28106" xr:uid="{00000000-0005-0000-0000-0000AD6D0000}"/>
    <cellStyle name="Normal 2 3 30 2 5" xfId="28107" xr:uid="{00000000-0005-0000-0000-0000AE6D0000}"/>
    <cellStyle name="Normal 2 3 30 2 6" xfId="28108" xr:uid="{00000000-0005-0000-0000-0000AF6D0000}"/>
    <cellStyle name="Normal 2 3 30 2 7" xfId="28109" xr:uid="{00000000-0005-0000-0000-0000B06D0000}"/>
    <cellStyle name="Normal 2 3 30 2 8" xfId="28110" xr:uid="{00000000-0005-0000-0000-0000B16D0000}"/>
    <cellStyle name="Normal 2 3 30 2 9" xfId="28111" xr:uid="{00000000-0005-0000-0000-0000B26D0000}"/>
    <cellStyle name="Normal 2 3 30 3" xfId="28112" xr:uid="{00000000-0005-0000-0000-0000B36D0000}"/>
    <cellStyle name="Normal 2 3 30 3 10" xfId="28113" xr:uid="{00000000-0005-0000-0000-0000B46D0000}"/>
    <cellStyle name="Normal 2 3 30 3 2" xfId="28114" xr:uid="{00000000-0005-0000-0000-0000B56D0000}"/>
    <cellStyle name="Normal 2 3 30 3 3" xfId="28115" xr:uid="{00000000-0005-0000-0000-0000B66D0000}"/>
    <cellStyle name="Normal 2 3 30 3 4" xfId="28116" xr:uid="{00000000-0005-0000-0000-0000B76D0000}"/>
    <cellStyle name="Normal 2 3 30 3 5" xfId="28117" xr:uid="{00000000-0005-0000-0000-0000B86D0000}"/>
    <cellStyle name="Normal 2 3 30 3 6" xfId="28118" xr:uid="{00000000-0005-0000-0000-0000B96D0000}"/>
    <cellStyle name="Normal 2 3 30 3 7" xfId="28119" xr:uid="{00000000-0005-0000-0000-0000BA6D0000}"/>
    <cellStyle name="Normal 2 3 30 3 8" xfId="28120" xr:uid="{00000000-0005-0000-0000-0000BB6D0000}"/>
    <cellStyle name="Normal 2 3 30 3 9" xfId="28121" xr:uid="{00000000-0005-0000-0000-0000BC6D0000}"/>
    <cellStyle name="Normal 2 3 30 4" xfId="28122" xr:uid="{00000000-0005-0000-0000-0000BD6D0000}"/>
    <cellStyle name="Normal 2 3 30 4 10" xfId="28123" xr:uid="{00000000-0005-0000-0000-0000BE6D0000}"/>
    <cellStyle name="Normal 2 3 30 4 2" xfId="28124" xr:uid="{00000000-0005-0000-0000-0000BF6D0000}"/>
    <cellStyle name="Normal 2 3 30 4 3" xfId="28125" xr:uid="{00000000-0005-0000-0000-0000C06D0000}"/>
    <cellStyle name="Normal 2 3 30 4 4" xfId="28126" xr:uid="{00000000-0005-0000-0000-0000C16D0000}"/>
    <cellStyle name="Normal 2 3 30 4 5" xfId="28127" xr:uid="{00000000-0005-0000-0000-0000C26D0000}"/>
    <cellStyle name="Normal 2 3 30 4 6" xfId="28128" xr:uid="{00000000-0005-0000-0000-0000C36D0000}"/>
    <cellStyle name="Normal 2 3 30 4 7" xfId="28129" xr:uid="{00000000-0005-0000-0000-0000C46D0000}"/>
    <cellStyle name="Normal 2 3 30 4 8" xfId="28130" xr:uid="{00000000-0005-0000-0000-0000C56D0000}"/>
    <cellStyle name="Normal 2 3 30 4 9" xfId="28131" xr:uid="{00000000-0005-0000-0000-0000C66D0000}"/>
    <cellStyle name="Normal 2 3 30 5" xfId="28132" xr:uid="{00000000-0005-0000-0000-0000C76D0000}"/>
    <cellStyle name="Normal 2 3 30 5 10" xfId="28133" xr:uid="{00000000-0005-0000-0000-0000C86D0000}"/>
    <cellStyle name="Normal 2 3 30 5 2" xfId="28134" xr:uid="{00000000-0005-0000-0000-0000C96D0000}"/>
    <cellStyle name="Normal 2 3 30 5 3" xfId="28135" xr:uid="{00000000-0005-0000-0000-0000CA6D0000}"/>
    <cellStyle name="Normal 2 3 30 5 4" xfId="28136" xr:uid="{00000000-0005-0000-0000-0000CB6D0000}"/>
    <cellStyle name="Normal 2 3 30 5 5" xfId="28137" xr:uid="{00000000-0005-0000-0000-0000CC6D0000}"/>
    <cellStyle name="Normal 2 3 30 5 6" xfId="28138" xr:uid="{00000000-0005-0000-0000-0000CD6D0000}"/>
    <cellStyle name="Normal 2 3 30 5 7" xfId="28139" xr:uid="{00000000-0005-0000-0000-0000CE6D0000}"/>
    <cellStyle name="Normal 2 3 30 5 8" xfId="28140" xr:uid="{00000000-0005-0000-0000-0000CF6D0000}"/>
    <cellStyle name="Normal 2 3 30 5 9" xfId="28141" xr:uid="{00000000-0005-0000-0000-0000D06D0000}"/>
    <cellStyle name="Normal 2 3 30 6" xfId="28142" xr:uid="{00000000-0005-0000-0000-0000D16D0000}"/>
    <cellStyle name="Normal 2 3 30 7" xfId="28143" xr:uid="{00000000-0005-0000-0000-0000D26D0000}"/>
    <cellStyle name="Normal 2 3 30 8" xfId="28144" xr:uid="{00000000-0005-0000-0000-0000D36D0000}"/>
    <cellStyle name="Normal 2 3 30 9" xfId="28145" xr:uid="{00000000-0005-0000-0000-0000D46D0000}"/>
    <cellStyle name="Normal 2 3 31" xfId="28146" xr:uid="{00000000-0005-0000-0000-0000D56D0000}"/>
    <cellStyle name="Normal 2 3 31 10" xfId="28147" xr:uid="{00000000-0005-0000-0000-0000D66D0000}"/>
    <cellStyle name="Normal 2 3 31 11" xfId="28148" xr:uid="{00000000-0005-0000-0000-0000D76D0000}"/>
    <cellStyle name="Normal 2 3 31 12" xfId="28149" xr:uid="{00000000-0005-0000-0000-0000D86D0000}"/>
    <cellStyle name="Normal 2 3 31 13" xfId="28150" xr:uid="{00000000-0005-0000-0000-0000D96D0000}"/>
    <cellStyle name="Normal 2 3 31 14" xfId="28151" xr:uid="{00000000-0005-0000-0000-0000DA6D0000}"/>
    <cellStyle name="Normal 2 3 31 2" xfId="28152" xr:uid="{00000000-0005-0000-0000-0000DB6D0000}"/>
    <cellStyle name="Normal 2 3 31 2 10" xfId="28153" xr:uid="{00000000-0005-0000-0000-0000DC6D0000}"/>
    <cellStyle name="Normal 2 3 31 2 2" xfId="28154" xr:uid="{00000000-0005-0000-0000-0000DD6D0000}"/>
    <cellStyle name="Normal 2 3 31 2 3" xfId="28155" xr:uid="{00000000-0005-0000-0000-0000DE6D0000}"/>
    <cellStyle name="Normal 2 3 31 2 4" xfId="28156" xr:uid="{00000000-0005-0000-0000-0000DF6D0000}"/>
    <cellStyle name="Normal 2 3 31 2 5" xfId="28157" xr:uid="{00000000-0005-0000-0000-0000E06D0000}"/>
    <cellStyle name="Normal 2 3 31 2 6" xfId="28158" xr:uid="{00000000-0005-0000-0000-0000E16D0000}"/>
    <cellStyle name="Normal 2 3 31 2 7" xfId="28159" xr:uid="{00000000-0005-0000-0000-0000E26D0000}"/>
    <cellStyle name="Normal 2 3 31 2 8" xfId="28160" xr:uid="{00000000-0005-0000-0000-0000E36D0000}"/>
    <cellStyle name="Normal 2 3 31 2 9" xfId="28161" xr:uid="{00000000-0005-0000-0000-0000E46D0000}"/>
    <cellStyle name="Normal 2 3 31 3" xfId="28162" xr:uid="{00000000-0005-0000-0000-0000E56D0000}"/>
    <cellStyle name="Normal 2 3 31 3 10" xfId="28163" xr:uid="{00000000-0005-0000-0000-0000E66D0000}"/>
    <cellStyle name="Normal 2 3 31 3 2" xfId="28164" xr:uid="{00000000-0005-0000-0000-0000E76D0000}"/>
    <cellStyle name="Normal 2 3 31 3 3" xfId="28165" xr:uid="{00000000-0005-0000-0000-0000E86D0000}"/>
    <cellStyle name="Normal 2 3 31 3 4" xfId="28166" xr:uid="{00000000-0005-0000-0000-0000E96D0000}"/>
    <cellStyle name="Normal 2 3 31 3 5" xfId="28167" xr:uid="{00000000-0005-0000-0000-0000EA6D0000}"/>
    <cellStyle name="Normal 2 3 31 3 6" xfId="28168" xr:uid="{00000000-0005-0000-0000-0000EB6D0000}"/>
    <cellStyle name="Normal 2 3 31 3 7" xfId="28169" xr:uid="{00000000-0005-0000-0000-0000EC6D0000}"/>
    <cellStyle name="Normal 2 3 31 3 8" xfId="28170" xr:uid="{00000000-0005-0000-0000-0000ED6D0000}"/>
    <cellStyle name="Normal 2 3 31 3 9" xfId="28171" xr:uid="{00000000-0005-0000-0000-0000EE6D0000}"/>
    <cellStyle name="Normal 2 3 31 4" xfId="28172" xr:uid="{00000000-0005-0000-0000-0000EF6D0000}"/>
    <cellStyle name="Normal 2 3 31 4 10" xfId="28173" xr:uid="{00000000-0005-0000-0000-0000F06D0000}"/>
    <cellStyle name="Normal 2 3 31 4 2" xfId="28174" xr:uid="{00000000-0005-0000-0000-0000F16D0000}"/>
    <cellStyle name="Normal 2 3 31 4 3" xfId="28175" xr:uid="{00000000-0005-0000-0000-0000F26D0000}"/>
    <cellStyle name="Normal 2 3 31 4 4" xfId="28176" xr:uid="{00000000-0005-0000-0000-0000F36D0000}"/>
    <cellStyle name="Normal 2 3 31 4 5" xfId="28177" xr:uid="{00000000-0005-0000-0000-0000F46D0000}"/>
    <cellStyle name="Normal 2 3 31 4 6" xfId="28178" xr:uid="{00000000-0005-0000-0000-0000F56D0000}"/>
    <cellStyle name="Normal 2 3 31 4 7" xfId="28179" xr:uid="{00000000-0005-0000-0000-0000F66D0000}"/>
    <cellStyle name="Normal 2 3 31 4 8" xfId="28180" xr:uid="{00000000-0005-0000-0000-0000F76D0000}"/>
    <cellStyle name="Normal 2 3 31 4 9" xfId="28181" xr:uid="{00000000-0005-0000-0000-0000F86D0000}"/>
    <cellStyle name="Normal 2 3 31 5" xfId="28182" xr:uid="{00000000-0005-0000-0000-0000F96D0000}"/>
    <cellStyle name="Normal 2 3 31 5 10" xfId="28183" xr:uid="{00000000-0005-0000-0000-0000FA6D0000}"/>
    <cellStyle name="Normal 2 3 31 5 2" xfId="28184" xr:uid="{00000000-0005-0000-0000-0000FB6D0000}"/>
    <cellStyle name="Normal 2 3 31 5 3" xfId="28185" xr:uid="{00000000-0005-0000-0000-0000FC6D0000}"/>
    <cellStyle name="Normal 2 3 31 5 4" xfId="28186" xr:uid="{00000000-0005-0000-0000-0000FD6D0000}"/>
    <cellStyle name="Normal 2 3 31 5 5" xfId="28187" xr:uid="{00000000-0005-0000-0000-0000FE6D0000}"/>
    <cellStyle name="Normal 2 3 31 5 6" xfId="28188" xr:uid="{00000000-0005-0000-0000-0000FF6D0000}"/>
    <cellStyle name="Normal 2 3 31 5 7" xfId="28189" xr:uid="{00000000-0005-0000-0000-0000006E0000}"/>
    <cellStyle name="Normal 2 3 31 5 8" xfId="28190" xr:uid="{00000000-0005-0000-0000-0000016E0000}"/>
    <cellStyle name="Normal 2 3 31 5 9" xfId="28191" xr:uid="{00000000-0005-0000-0000-0000026E0000}"/>
    <cellStyle name="Normal 2 3 31 6" xfId="28192" xr:uid="{00000000-0005-0000-0000-0000036E0000}"/>
    <cellStyle name="Normal 2 3 31 7" xfId="28193" xr:uid="{00000000-0005-0000-0000-0000046E0000}"/>
    <cellStyle name="Normal 2 3 31 8" xfId="28194" xr:uid="{00000000-0005-0000-0000-0000056E0000}"/>
    <cellStyle name="Normal 2 3 31 9" xfId="28195" xr:uid="{00000000-0005-0000-0000-0000066E0000}"/>
    <cellStyle name="Normal 2 3 32" xfId="28196" xr:uid="{00000000-0005-0000-0000-0000076E0000}"/>
    <cellStyle name="Normal 2 3 32 10" xfId="28197" xr:uid="{00000000-0005-0000-0000-0000086E0000}"/>
    <cellStyle name="Normal 2 3 32 11" xfId="28198" xr:uid="{00000000-0005-0000-0000-0000096E0000}"/>
    <cellStyle name="Normal 2 3 32 12" xfId="28199" xr:uid="{00000000-0005-0000-0000-00000A6E0000}"/>
    <cellStyle name="Normal 2 3 32 13" xfId="28200" xr:uid="{00000000-0005-0000-0000-00000B6E0000}"/>
    <cellStyle name="Normal 2 3 32 14" xfId="28201" xr:uid="{00000000-0005-0000-0000-00000C6E0000}"/>
    <cellStyle name="Normal 2 3 32 2" xfId="28202" xr:uid="{00000000-0005-0000-0000-00000D6E0000}"/>
    <cellStyle name="Normal 2 3 32 2 10" xfId="28203" xr:uid="{00000000-0005-0000-0000-00000E6E0000}"/>
    <cellStyle name="Normal 2 3 32 2 2" xfId="28204" xr:uid="{00000000-0005-0000-0000-00000F6E0000}"/>
    <cellStyle name="Normal 2 3 32 2 3" xfId="28205" xr:uid="{00000000-0005-0000-0000-0000106E0000}"/>
    <cellStyle name="Normal 2 3 32 2 4" xfId="28206" xr:uid="{00000000-0005-0000-0000-0000116E0000}"/>
    <cellStyle name="Normal 2 3 32 2 5" xfId="28207" xr:uid="{00000000-0005-0000-0000-0000126E0000}"/>
    <cellStyle name="Normal 2 3 32 2 6" xfId="28208" xr:uid="{00000000-0005-0000-0000-0000136E0000}"/>
    <cellStyle name="Normal 2 3 32 2 7" xfId="28209" xr:uid="{00000000-0005-0000-0000-0000146E0000}"/>
    <cellStyle name="Normal 2 3 32 2 8" xfId="28210" xr:uid="{00000000-0005-0000-0000-0000156E0000}"/>
    <cellStyle name="Normal 2 3 32 2 9" xfId="28211" xr:uid="{00000000-0005-0000-0000-0000166E0000}"/>
    <cellStyle name="Normal 2 3 32 3" xfId="28212" xr:uid="{00000000-0005-0000-0000-0000176E0000}"/>
    <cellStyle name="Normal 2 3 32 3 10" xfId="28213" xr:uid="{00000000-0005-0000-0000-0000186E0000}"/>
    <cellStyle name="Normal 2 3 32 3 2" xfId="28214" xr:uid="{00000000-0005-0000-0000-0000196E0000}"/>
    <cellStyle name="Normal 2 3 32 3 3" xfId="28215" xr:uid="{00000000-0005-0000-0000-00001A6E0000}"/>
    <cellStyle name="Normal 2 3 32 3 4" xfId="28216" xr:uid="{00000000-0005-0000-0000-00001B6E0000}"/>
    <cellStyle name="Normal 2 3 32 3 5" xfId="28217" xr:uid="{00000000-0005-0000-0000-00001C6E0000}"/>
    <cellStyle name="Normal 2 3 32 3 6" xfId="28218" xr:uid="{00000000-0005-0000-0000-00001D6E0000}"/>
    <cellStyle name="Normal 2 3 32 3 7" xfId="28219" xr:uid="{00000000-0005-0000-0000-00001E6E0000}"/>
    <cellStyle name="Normal 2 3 32 3 8" xfId="28220" xr:uid="{00000000-0005-0000-0000-00001F6E0000}"/>
    <cellStyle name="Normal 2 3 32 3 9" xfId="28221" xr:uid="{00000000-0005-0000-0000-0000206E0000}"/>
    <cellStyle name="Normal 2 3 32 4" xfId="28222" xr:uid="{00000000-0005-0000-0000-0000216E0000}"/>
    <cellStyle name="Normal 2 3 32 4 10" xfId="28223" xr:uid="{00000000-0005-0000-0000-0000226E0000}"/>
    <cellStyle name="Normal 2 3 32 4 2" xfId="28224" xr:uid="{00000000-0005-0000-0000-0000236E0000}"/>
    <cellStyle name="Normal 2 3 32 4 3" xfId="28225" xr:uid="{00000000-0005-0000-0000-0000246E0000}"/>
    <cellStyle name="Normal 2 3 32 4 4" xfId="28226" xr:uid="{00000000-0005-0000-0000-0000256E0000}"/>
    <cellStyle name="Normal 2 3 32 4 5" xfId="28227" xr:uid="{00000000-0005-0000-0000-0000266E0000}"/>
    <cellStyle name="Normal 2 3 32 4 6" xfId="28228" xr:uid="{00000000-0005-0000-0000-0000276E0000}"/>
    <cellStyle name="Normal 2 3 32 4 7" xfId="28229" xr:uid="{00000000-0005-0000-0000-0000286E0000}"/>
    <cellStyle name="Normal 2 3 32 4 8" xfId="28230" xr:uid="{00000000-0005-0000-0000-0000296E0000}"/>
    <cellStyle name="Normal 2 3 32 4 9" xfId="28231" xr:uid="{00000000-0005-0000-0000-00002A6E0000}"/>
    <cellStyle name="Normal 2 3 32 5" xfId="28232" xr:uid="{00000000-0005-0000-0000-00002B6E0000}"/>
    <cellStyle name="Normal 2 3 32 5 10" xfId="28233" xr:uid="{00000000-0005-0000-0000-00002C6E0000}"/>
    <cellStyle name="Normal 2 3 32 5 2" xfId="28234" xr:uid="{00000000-0005-0000-0000-00002D6E0000}"/>
    <cellStyle name="Normal 2 3 32 5 3" xfId="28235" xr:uid="{00000000-0005-0000-0000-00002E6E0000}"/>
    <cellStyle name="Normal 2 3 32 5 4" xfId="28236" xr:uid="{00000000-0005-0000-0000-00002F6E0000}"/>
    <cellStyle name="Normal 2 3 32 5 5" xfId="28237" xr:uid="{00000000-0005-0000-0000-0000306E0000}"/>
    <cellStyle name="Normal 2 3 32 5 6" xfId="28238" xr:uid="{00000000-0005-0000-0000-0000316E0000}"/>
    <cellStyle name="Normal 2 3 32 5 7" xfId="28239" xr:uid="{00000000-0005-0000-0000-0000326E0000}"/>
    <cellStyle name="Normal 2 3 32 5 8" xfId="28240" xr:uid="{00000000-0005-0000-0000-0000336E0000}"/>
    <cellStyle name="Normal 2 3 32 5 9" xfId="28241" xr:uid="{00000000-0005-0000-0000-0000346E0000}"/>
    <cellStyle name="Normal 2 3 32 6" xfId="28242" xr:uid="{00000000-0005-0000-0000-0000356E0000}"/>
    <cellStyle name="Normal 2 3 32 7" xfId="28243" xr:uid="{00000000-0005-0000-0000-0000366E0000}"/>
    <cellStyle name="Normal 2 3 32 8" xfId="28244" xr:uid="{00000000-0005-0000-0000-0000376E0000}"/>
    <cellStyle name="Normal 2 3 32 9" xfId="28245" xr:uid="{00000000-0005-0000-0000-0000386E0000}"/>
    <cellStyle name="Normal 2 3 33" xfId="28246" xr:uid="{00000000-0005-0000-0000-0000396E0000}"/>
    <cellStyle name="Normal 2 3 33 10" xfId="28247" xr:uid="{00000000-0005-0000-0000-00003A6E0000}"/>
    <cellStyle name="Normal 2 3 33 11" xfId="28248" xr:uid="{00000000-0005-0000-0000-00003B6E0000}"/>
    <cellStyle name="Normal 2 3 33 12" xfId="28249" xr:uid="{00000000-0005-0000-0000-00003C6E0000}"/>
    <cellStyle name="Normal 2 3 33 13" xfId="28250" xr:uid="{00000000-0005-0000-0000-00003D6E0000}"/>
    <cellStyle name="Normal 2 3 33 14" xfId="28251" xr:uid="{00000000-0005-0000-0000-00003E6E0000}"/>
    <cellStyle name="Normal 2 3 33 2" xfId="28252" xr:uid="{00000000-0005-0000-0000-00003F6E0000}"/>
    <cellStyle name="Normal 2 3 33 2 10" xfId="28253" xr:uid="{00000000-0005-0000-0000-0000406E0000}"/>
    <cellStyle name="Normal 2 3 33 2 2" xfId="28254" xr:uid="{00000000-0005-0000-0000-0000416E0000}"/>
    <cellStyle name="Normal 2 3 33 2 3" xfId="28255" xr:uid="{00000000-0005-0000-0000-0000426E0000}"/>
    <cellStyle name="Normal 2 3 33 2 4" xfId="28256" xr:uid="{00000000-0005-0000-0000-0000436E0000}"/>
    <cellStyle name="Normal 2 3 33 2 5" xfId="28257" xr:uid="{00000000-0005-0000-0000-0000446E0000}"/>
    <cellStyle name="Normal 2 3 33 2 6" xfId="28258" xr:uid="{00000000-0005-0000-0000-0000456E0000}"/>
    <cellStyle name="Normal 2 3 33 2 7" xfId="28259" xr:uid="{00000000-0005-0000-0000-0000466E0000}"/>
    <cellStyle name="Normal 2 3 33 2 8" xfId="28260" xr:uid="{00000000-0005-0000-0000-0000476E0000}"/>
    <cellStyle name="Normal 2 3 33 2 9" xfId="28261" xr:uid="{00000000-0005-0000-0000-0000486E0000}"/>
    <cellStyle name="Normal 2 3 33 3" xfId="28262" xr:uid="{00000000-0005-0000-0000-0000496E0000}"/>
    <cellStyle name="Normal 2 3 33 3 10" xfId="28263" xr:uid="{00000000-0005-0000-0000-00004A6E0000}"/>
    <cellStyle name="Normal 2 3 33 3 2" xfId="28264" xr:uid="{00000000-0005-0000-0000-00004B6E0000}"/>
    <cellStyle name="Normal 2 3 33 3 3" xfId="28265" xr:uid="{00000000-0005-0000-0000-00004C6E0000}"/>
    <cellStyle name="Normal 2 3 33 3 4" xfId="28266" xr:uid="{00000000-0005-0000-0000-00004D6E0000}"/>
    <cellStyle name="Normal 2 3 33 3 5" xfId="28267" xr:uid="{00000000-0005-0000-0000-00004E6E0000}"/>
    <cellStyle name="Normal 2 3 33 3 6" xfId="28268" xr:uid="{00000000-0005-0000-0000-00004F6E0000}"/>
    <cellStyle name="Normal 2 3 33 3 7" xfId="28269" xr:uid="{00000000-0005-0000-0000-0000506E0000}"/>
    <cellStyle name="Normal 2 3 33 3 8" xfId="28270" xr:uid="{00000000-0005-0000-0000-0000516E0000}"/>
    <cellStyle name="Normal 2 3 33 3 9" xfId="28271" xr:uid="{00000000-0005-0000-0000-0000526E0000}"/>
    <cellStyle name="Normal 2 3 33 4" xfId="28272" xr:uid="{00000000-0005-0000-0000-0000536E0000}"/>
    <cellStyle name="Normal 2 3 33 4 10" xfId="28273" xr:uid="{00000000-0005-0000-0000-0000546E0000}"/>
    <cellStyle name="Normal 2 3 33 4 2" xfId="28274" xr:uid="{00000000-0005-0000-0000-0000556E0000}"/>
    <cellStyle name="Normal 2 3 33 4 3" xfId="28275" xr:uid="{00000000-0005-0000-0000-0000566E0000}"/>
    <cellStyle name="Normal 2 3 33 4 4" xfId="28276" xr:uid="{00000000-0005-0000-0000-0000576E0000}"/>
    <cellStyle name="Normal 2 3 33 4 5" xfId="28277" xr:uid="{00000000-0005-0000-0000-0000586E0000}"/>
    <cellStyle name="Normal 2 3 33 4 6" xfId="28278" xr:uid="{00000000-0005-0000-0000-0000596E0000}"/>
    <cellStyle name="Normal 2 3 33 4 7" xfId="28279" xr:uid="{00000000-0005-0000-0000-00005A6E0000}"/>
    <cellStyle name="Normal 2 3 33 4 8" xfId="28280" xr:uid="{00000000-0005-0000-0000-00005B6E0000}"/>
    <cellStyle name="Normal 2 3 33 4 9" xfId="28281" xr:uid="{00000000-0005-0000-0000-00005C6E0000}"/>
    <cellStyle name="Normal 2 3 33 5" xfId="28282" xr:uid="{00000000-0005-0000-0000-00005D6E0000}"/>
    <cellStyle name="Normal 2 3 33 5 10" xfId="28283" xr:uid="{00000000-0005-0000-0000-00005E6E0000}"/>
    <cellStyle name="Normal 2 3 33 5 2" xfId="28284" xr:uid="{00000000-0005-0000-0000-00005F6E0000}"/>
    <cellStyle name="Normal 2 3 33 5 3" xfId="28285" xr:uid="{00000000-0005-0000-0000-0000606E0000}"/>
    <cellStyle name="Normal 2 3 33 5 4" xfId="28286" xr:uid="{00000000-0005-0000-0000-0000616E0000}"/>
    <cellStyle name="Normal 2 3 33 5 5" xfId="28287" xr:uid="{00000000-0005-0000-0000-0000626E0000}"/>
    <cellStyle name="Normal 2 3 33 5 6" xfId="28288" xr:uid="{00000000-0005-0000-0000-0000636E0000}"/>
    <cellStyle name="Normal 2 3 33 5 7" xfId="28289" xr:uid="{00000000-0005-0000-0000-0000646E0000}"/>
    <cellStyle name="Normal 2 3 33 5 8" xfId="28290" xr:uid="{00000000-0005-0000-0000-0000656E0000}"/>
    <cellStyle name="Normal 2 3 33 5 9" xfId="28291" xr:uid="{00000000-0005-0000-0000-0000666E0000}"/>
    <cellStyle name="Normal 2 3 33 6" xfId="28292" xr:uid="{00000000-0005-0000-0000-0000676E0000}"/>
    <cellStyle name="Normal 2 3 33 7" xfId="28293" xr:uid="{00000000-0005-0000-0000-0000686E0000}"/>
    <cellStyle name="Normal 2 3 33 8" xfId="28294" xr:uid="{00000000-0005-0000-0000-0000696E0000}"/>
    <cellStyle name="Normal 2 3 33 9" xfId="28295" xr:uid="{00000000-0005-0000-0000-00006A6E0000}"/>
    <cellStyle name="Normal 2 3 34" xfId="28296" xr:uid="{00000000-0005-0000-0000-00006B6E0000}"/>
    <cellStyle name="Normal 2 3 34 10" xfId="28297" xr:uid="{00000000-0005-0000-0000-00006C6E0000}"/>
    <cellStyle name="Normal 2 3 34 11" xfId="28298" xr:uid="{00000000-0005-0000-0000-00006D6E0000}"/>
    <cellStyle name="Normal 2 3 34 12" xfId="28299" xr:uid="{00000000-0005-0000-0000-00006E6E0000}"/>
    <cellStyle name="Normal 2 3 34 13" xfId="28300" xr:uid="{00000000-0005-0000-0000-00006F6E0000}"/>
    <cellStyle name="Normal 2 3 34 14" xfId="28301" xr:uid="{00000000-0005-0000-0000-0000706E0000}"/>
    <cellStyle name="Normal 2 3 34 2" xfId="28302" xr:uid="{00000000-0005-0000-0000-0000716E0000}"/>
    <cellStyle name="Normal 2 3 34 2 10" xfId="28303" xr:uid="{00000000-0005-0000-0000-0000726E0000}"/>
    <cellStyle name="Normal 2 3 34 2 2" xfId="28304" xr:uid="{00000000-0005-0000-0000-0000736E0000}"/>
    <cellStyle name="Normal 2 3 34 2 3" xfId="28305" xr:uid="{00000000-0005-0000-0000-0000746E0000}"/>
    <cellStyle name="Normal 2 3 34 2 4" xfId="28306" xr:uid="{00000000-0005-0000-0000-0000756E0000}"/>
    <cellStyle name="Normal 2 3 34 2 5" xfId="28307" xr:uid="{00000000-0005-0000-0000-0000766E0000}"/>
    <cellStyle name="Normal 2 3 34 2 6" xfId="28308" xr:uid="{00000000-0005-0000-0000-0000776E0000}"/>
    <cellStyle name="Normal 2 3 34 2 7" xfId="28309" xr:uid="{00000000-0005-0000-0000-0000786E0000}"/>
    <cellStyle name="Normal 2 3 34 2 8" xfId="28310" xr:uid="{00000000-0005-0000-0000-0000796E0000}"/>
    <cellStyle name="Normal 2 3 34 2 9" xfId="28311" xr:uid="{00000000-0005-0000-0000-00007A6E0000}"/>
    <cellStyle name="Normal 2 3 34 3" xfId="28312" xr:uid="{00000000-0005-0000-0000-00007B6E0000}"/>
    <cellStyle name="Normal 2 3 34 3 10" xfId="28313" xr:uid="{00000000-0005-0000-0000-00007C6E0000}"/>
    <cellStyle name="Normal 2 3 34 3 2" xfId="28314" xr:uid="{00000000-0005-0000-0000-00007D6E0000}"/>
    <cellStyle name="Normal 2 3 34 3 3" xfId="28315" xr:uid="{00000000-0005-0000-0000-00007E6E0000}"/>
    <cellStyle name="Normal 2 3 34 3 4" xfId="28316" xr:uid="{00000000-0005-0000-0000-00007F6E0000}"/>
    <cellStyle name="Normal 2 3 34 3 5" xfId="28317" xr:uid="{00000000-0005-0000-0000-0000806E0000}"/>
    <cellStyle name="Normal 2 3 34 3 6" xfId="28318" xr:uid="{00000000-0005-0000-0000-0000816E0000}"/>
    <cellStyle name="Normal 2 3 34 3 7" xfId="28319" xr:uid="{00000000-0005-0000-0000-0000826E0000}"/>
    <cellStyle name="Normal 2 3 34 3 8" xfId="28320" xr:uid="{00000000-0005-0000-0000-0000836E0000}"/>
    <cellStyle name="Normal 2 3 34 3 9" xfId="28321" xr:uid="{00000000-0005-0000-0000-0000846E0000}"/>
    <cellStyle name="Normal 2 3 34 4" xfId="28322" xr:uid="{00000000-0005-0000-0000-0000856E0000}"/>
    <cellStyle name="Normal 2 3 34 4 10" xfId="28323" xr:uid="{00000000-0005-0000-0000-0000866E0000}"/>
    <cellStyle name="Normal 2 3 34 4 2" xfId="28324" xr:uid="{00000000-0005-0000-0000-0000876E0000}"/>
    <cellStyle name="Normal 2 3 34 4 3" xfId="28325" xr:uid="{00000000-0005-0000-0000-0000886E0000}"/>
    <cellStyle name="Normal 2 3 34 4 4" xfId="28326" xr:uid="{00000000-0005-0000-0000-0000896E0000}"/>
    <cellStyle name="Normal 2 3 34 4 5" xfId="28327" xr:uid="{00000000-0005-0000-0000-00008A6E0000}"/>
    <cellStyle name="Normal 2 3 34 4 6" xfId="28328" xr:uid="{00000000-0005-0000-0000-00008B6E0000}"/>
    <cellStyle name="Normal 2 3 34 4 7" xfId="28329" xr:uid="{00000000-0005-0000-0000-00008C6E0000}"/>
    <cellStyle name="Normal 2 3 34 4 8" xfId="28330" xr:uid="{00000000-0005-0000-0000-00008D6E0000}"/>
    <cellStyle name="Normal 2 3 34 4 9" xfId="28331" xr:uid="{00000000-0005-0000-0000-00008E6E0000}"/>
    <cellStyle name="Normal 2 3 34 5" xfId="28332" xr:uid="{00000000-0005-0000-0000-00008F6E0000}"/>
    <cellStyle name="Normal 2 3 34 5 10" xfId="28333" xr:uid="{00000000-0005-0000-0000-0000906E0000}"/>
    <cellStyle name="Normal 2 3 34 5 2" xfId="28334" xr:uid="{00000000-0005-0000-0000-0000916E0000}"/>
    <cellStyle name="Normal 2 3 34 5 3" xfId="28335" xr:uid="{00000000-0005-0000-0000-0000926E0000}"/>
    <cellStyle name="Normal 2 3 34 5 4" xfId="28336" xr:uid="{00000000-0005-0000-0000-0000936E0000}"/>
    <cellStyle name="Normal 2 3 34 5 5" xfId="28337" xr:uid="{00000000-0005-0000-0000-0000946E0000}"/>
    <cellStyle name="Normal 2 3 34 5 6" xfId="28338" xr:uid="{00000000-0005-0000-0000-0000956E0000}"/>
    <cellStyle name="Normal 2 3 34 5 7" xfId="28339" xr:uid="{00000000-0005-0000-0000-0000966E0000}"/>
    <cellStyle name="Normal 2 3 34 5 8" xfId="28340" xr:uid="{00000000-0005-0000-0000-0000976E0000}"/>
    <cellStyle name="Normal 2 3 34 5 9" xfId="28341" xr:uid="{00000000-0005-0000-0000-0000986E0000}"/>
    <cellStyle name="Normal 2 3 34 6" xfId="28342" xr:uid="{00000000-0005-0000-0000-0000996E0000}"/>
    <cellStyle name="Normal 2 3 34 7" xfId="28343" xr:uid="{00000000-0005-0000-0000-00009A6E0000}"/>
    <cellStyle name="Normal 2 3 34 8" xfId="28344" xr:uid="{00000000-0005-0000-0000-00009B6E0000}"/>
    <cellStyle name="Normal 2 3 34 9" xfId="28345" xr:uid="{00000000-0005-0000-0000-00009C6E0000}"/>
    <cellStyle name="Normal 2 3 35" xfId="28346" xr:uid="{00000000-0005-0000-0000-00009D6E0000}"/>
    <cellStyle name="Normal 2 3 35 10" xfId="28347" xr:uid="{00000000-0005-0000-0000-00009E6E0000}"/>
    <cellStyle name="Normal 2 3 35 2" xfId="28348" xr:uid="{00000000-0005-0000-0000-00009F6E0000}"/>
    <cellStyle name="Normal 2 3 35 3" xfId="28349" xr:uid="{00000000-0005-0000-0000-0000A06E0000}"/>
    <cellStyle name="Normal 2 3 35 4" xfId="28350" xr:uid="{00000000-0005-0000-0000-0000A16E0000}"/>
    <cellStyle name="Normal 2 3 35 5" xfId="28351" xr:uid="{00000000-0005-0000-0000-0000A26E0000}"/>
    <cellStyle name="Normal 2 3 35 6" xfId="28352" xr:uid="{00000000-0005-0000-0000-0000A36E0000}"/>
    <cellStyle name="Normal 2 3 35 7" xfId="28353" xr:uid="{00000000-0005-0000-0000-0000A46E0000}"/>
    <cellStyle name="Normal 2 3 35 8" xfId="28354" xr:uid="{00000000-0005-0000-0000-0000A56E0000}"/>
    <cellStyle name="Normal 2 3 35 9" xfId="28355" xr:uid="{00000000-0005-0000-0000-0000A66E0000}"/>
    <cellStyle name="Normal 2 3 36" xfId="28356" xr:uid="{00000000-0005-0000-0000-0000A76E0000}"/>
    <cellStyle name="Normal 2 3 36 10" xfId="28357" xr:uid="{00000000-0005-0000-0000-0000A86E0000}"/>
    <cellStyle name="Normal 2 3 36 2" xfId="28358" xr:uid="{00000000-0005-0000-0000-0000A96E0000}"/>
    <cellStyle name="Normal 2 3 36 3" xfId="28359" xr:uid="{00000000-0005-0000-0000-0000AA6E0000}"/>
    <cellStyle name="Normal 2 3 36 4" xfId="28360" xr:uid="{00000000-0005-0000-0000-0000AB6E0000}"/>
    <cellStyle name="Normal 2 3 36 5" xfId="28361" xr:uid="{00000000-0005-0000-0000-0000AC6E0000}"/>
    <cellStyle name="Normal 2 3 36 6" xfId="28362" xr:uid="{00000000-0005-0000-0000-0000AD6E0000}"/>
    <cellStyle name="Normal 2 3 36 7" xfId="28363" xr:uid="{00000000-0005-0000-0000-0000AE6E0000}"/>
    <cellStyle name="Normal 2 3 36 8" xfId="28364" xr:uid="{00000000-0005-0000-0000-0000AF6E0000}"/>
    <cellStyle name="Normal 2 3 36 9" xfId="28365" xr:uid="{00000000-0005-0000-0000-0000B06E0000}"/>
    <cellStyle name="Normal 2 3 37" xfId="28366" xr:uid="{00000000-0005-0000-0000-0000B16E0000}"/>
    <cellStyle name="Normal 2 3 37 10" xfId="28367" xr:uid="{00000000-0005-0000-0000-0000B26E0000}"/>
    <cellStyle name="Normal 2 3 37 2" xfId="28368" xr:uid="{00000000-0005-0000-0000-0000B36E0000}"/>
    <cellStyle name="Normal 2 3 37 3" xfId="28369" xr:uid="{00000000-0005-0000-0000-0000B46E0000}"/>
    <cellStyle name="Normal 2 3 37 4" xfId="28370" xr:uid="{00000000-0005-0000-0000-0000B56E0000}"/>
    <cellStyle name="Normal 2 3 37 5" xfId="28371" xr:uid="{00000000-0005-0000-0000-0000B66E0000}"/>
    <cellStyle name="Normal 2 3 37 6" xfId="28372" xr:uid="{00000000-0005-0000-0000-0000B76E0000}"/>
    <cellStyle name="Normal 2 3 37 7" xfId="28373" xr:uid="{00000000-0005-0000-0000-0000B86E0000}"/>
    <cellStyle name="Normal 2 3 37 8" xfId="28374" xr:uid="{00000000-0005-0000-0000-0000B96E0000}"/>
    <cellStyle name="Normal 2 3 37 9" xfId="28375" xr:uid="{00000000-0005-0000-0000-0000BA6E0000}"/>
    <cellStyle name="Normal 2 3 38" xfId="28376" xr:uid="{00000000-0005-0000-0000-0000BB6E0000}"/>
    <cellStyle name="Normal 2 3 38 10" xfId="28377" xr:uid="{00000000-0005-0000-0000-0000BC6E0000}"/>
    <cellStyle name="Normal 2 3 38 2" xfId="28378" xr:uid="{00000000-0005-0000-0000-0000BD6E0000}"/>
    <cellStyle name="Normal 2 3 38 3" xfId="28379" xr:uid="{00000000-0005-0000-0000-0000BE6E0000}"/>
    <cellStyle name="Normal 2 3 38 4" xfId="28380" xr:uid="{00000000-0005-0000-0000-0000BF6E0000}"/>
    <cellStyle name="Normal 2 3 38 5" xfId="28381" xr:uid="{00000000-0005-0000-0000-0000C06E0000}"/>
    <cellStyle name="Normal 2 3 38 6" xfId="28382" xr:uid="{00000000-0005-0000-0000-0000C16E0000}"/>
    <cellStyle name="Normal 2 3 38 7" xfId="28383" xr:uid="{00000000-0005-0000-0000-0000C26E0000}"/>
    <cellStyle name="Normal 2 3 38 8" xfId="28384" xr:uid="{00000000-0005-0000-0000-0000C36E0000}"/>
    <cellStyle name="Normal 2 3 38 9" xfId="28385" xr:uid="{00000000-0005-0000-0000-0000C46E0000}"/>
    <cellStyle name="Normal 2 3 39" xfId="28386" xr:uid="{00000000-0005-0000-0000-0000C56E0000}"/>
    <cellStyle name="Normal 2 3 4" xfId="28387" xr:uid="{00000000-0005-0000-0000-0000C66E0000}"/>
    <cellStyle name="Normal 2 3 4 10" xfId="28388" xr:uid="{00000000-0005-0000-0000-0000C76E0000}"/>
    <cellStyle name="Normal 2 3 4 11" xfId="28389" xr:uid="{00000000-0005-0000-0000-0000C86E0000}"/>
    <cellStyle name="Normal 2 3 4 12" xfId="28390" xr:uid="{00000000-0005-0000-0000-0000C96E0000}"/>
    <cellStyle name="Normal 2 3 4 13" xfId="28391" xr:uid="{00000000-0005-0000-0000-0000CA6E0000}"/>
    <cellStyle name="Normal 2 3 4 14" xfId="28392" xr:uid="{00000000-0005-0000-0000-0000CB6E0000}"/>
    <cellStyle name="Normal 2 3 4 15" xfId="28393" xr:uid="{00000000-0005-0000-0000-0000CC6E0000}"/>
    <cellStyle name="Normal 2 3 4 16" xfId="28394" xr:uid="{00000000-0005-0000-0000-0000CD6E0000}"/>
    <cellStyle name="Normal 2 3 4 2" xfId="28395" xr:uid="{00000000-0005-0000-0000-0000CE6E0000}"/>
    <cellStyle name="Normal 2 3 4 2 10" xfId="28396" xr:uid="{00000000-0005-0000-0000-0000CF6E0000}"/>
    <cellStyle name="Normal 2 3 4 2 2" xfId="28397" xr:uid="{00000000-0005-0000-0000-0000D06E0000}"/>
    <cellStyle name="Normal 2 3 4 2 3" xfId="28398" xr:uid="{00000000-0005-0000-0000-0000D16E0000}"/>
    <cellStyle name="Normal 2 3 4 2 4" xfId="28399" xr:uid="{00000000-0005-0000-0000-0000D26E0000}"/>
    <cellStyle name="Normal 2 3 4 2 5" xfId="28400" xr:uid="{00000000-0005-0000-0000-0000D36E0000}"/>
    <cellStyle name="Normal 2 3 4 2 6" xfId="28401" xr:uid="{00000000-0005-0000-0000-0000D46E0000}"/>
    <cellStyle name="Normal 2 3 4 2 7" xfId="28402" xr:uid="{00000000-0005-0000-0000-0000D56E0000}"/>
    <cellStyle name="Normal 2 3 4 2 8" xfId="28403" xr:uid="{00000000-0005-0000-0000-0000D66E0000}"/>
    <cellStyle name="Normal 2 3 4 2 9" xfId="28404" xr:uid="{00000000-0005-0000-0000-0000D76E0000}"/>
    <cellStyle name="Normal 2 3 4 3" xfId="28405" xr:uid="{00000000-0005-0000-0000-0000D86E0000}"/>
    <cellStyle name="Normal 2 3 4 3 10" xfId="28406" xr:uid="{00000000-0005-0000-0000-0000D96E0000}"/>
    <cellStyle name="Normal 2 3 4 3 2" xfId="28407" xr:uid="{00000000-0005-0000-0000-0000DA6E0000}"/>
    <cellStyle name="Normal 2 3 4 3 3" xfId="28408" xr:uid="{00000000-0005-0000-0000-0000DB6E0000}"/>
    <cellStyle name="Normal 2 3 4 3 4" xfId="28409" xr:uid="{00000000-0005-0000-0000-0000DC6E0000}"/>
    <cellStyle name="Normal 2 3 4 3 5" xfId="28410" xr:uid="{00000000-0005-0000-0000-0000DD6E0000}"/>
    <cellStyle name="Normal 2 3 4 3 6" xfId="28411" xr:uid="{00000000-0005-0000-0000-0000DE6E0000}"/>
    <cellStyle name="Normal 2 3 4 3 7" xfId="28412" xr:uid="{00000000-0005-0000-0000-0000DF6E0000}"/>
    <cellStyle name="Normal 2 3 4 3 8" xfId="28413" xr:uid="{00000000-0005-0000-0000-0000E06E0000}"/>
    <cellStyle name="Normal 2 3 4 3 9" xfId="28414" xr:uid="{00000000-0005-0000-0000-0000E16E0000}"/>
    <cellStyle name="Normal 2 3 4 4" xfId="28415" xr:uid="{00000000-0005-0000-0000-0000E26E0000}"/>
    <cellStyle name="Normal 2 3 4 4 10" xfId="28416" xr:uid="{00000000-0005-0000-0000-0000E36E0000}"/>
    <cellStyle name="Normal 2 3 4 4 2" xfId="28417" xr:uid="{00000000-0005-0000-0000-0000E46E0000}"/>
    <cellStyle name="Normal 2 3 4 4 3" xfId="28418" xr:uid="{00000000-0005-0000-0000-0000E56E0000}"/>
    <cellStyle name="Normal 2 3 4 4 4" xfId="28419" xr:uid="{00000000-0005-0000-0000-0000E66E0000}"/>
    <cellStyle name="Normal 2 3 4 4 5" xfId="28420" xr:uid="{00000000-0005-0000-0000-0000E76E0000}"/>
    <cellStyle name="Normal 2 3 4 4 6" xfId="28421" xr:uid="{00000000-0005-0000-0000-0000E86E0000}"/>
    <cellStyle name="Normal 2 3 4 4 7" xfId="28422" xr:uid="{00000000-0005-0000-0000-0000E96E0000}"/>
    <cellStyle name="Normal 2 3 4 4 8" xfId="28423" xr:uid="{00000000-0005-0000-0000-0000EA6E0000}"/>
    <cellStyle name="Normal 2 3 4 4 9" xfId="28424" xr:uid="{00000000-0005-0000-0000-0000EB6E0000}"/>
    <cellStyle name="Normal 2 3 4 5" xfId="28425" xr:uid="{00000000-0005-0000-0000-0000EC6E0000}"/>
    <cellStyle name="Normal 2 3 4 5 10" xfId="28426" xr:uid="{00000000-0005-0000-0000-0000ED6E0000}"/>
    <cellStyle name="Normal 2 3 4 5 2" xfId="28427" xr:uid="{00000000-0005-0000-0000-0000EE6E0000}"/>
    <cellStyle name="Normal 2 3 4 5 3" xfId="28428" xr:uid="{00000000-0005-0000-0000-0000EF6E0000}"/>
    <cellStyle name="Normal 2 3 4 5 4" xfId="28429" xr:uid="{00000000-0005-0000-0000-0000F06E0000}"/>
    <cellStyle name="Normal 2 3 4 5 5" xfId="28430" xr:uid="{00000000-0005-0000-0000-0000F16E0000}"/>
    <cellStyle name="Normal 2 3 4 5 6" xfId="28431" xr:uid="{00000000-0005-0000-0000-0000F26E0000}"/>
    <cellStyle name="Normal 2 3 4 5 7" xfId="28432" xr:uid="{00000000-0005-0000-0000-0000F36E0000}"/>
    <cellStyle name="Normal 2 3 4 5 8" xfId="28433" xr:uid="{00000000-0005-0000-0000-0000F46E0000}"/>
    <cellStyle name="Normal 2 3 4 5 9" xfId="28434" xr:uid="{00000000-0005-0000-0000-0000F56E0000}"/>
    <cellStyle name="Normal 2 3 4 6" xfId="28435" xr:uid="{00000000-0005-0000-0000-0000F66E0000}"/>
    <cellStyle name="Normal 2 3 4 7" xfId="28436" xr:uid="{00000000-0005-0000-0000-0000F76E0000}"/>
    <cellStyle name="Normal 2 3 4 8" xfId="28437" xr:uid="{00000000-0005-0000-0000-0000F86E0000}"/>
    <cellStyle name="Normal 2 3 4 9" xfId="28438" xr:uid="{00000000-0005-0000-0000-0000F96E0000}"/>
    <cellStyle name="Normal 2 3 40" xfId="28439" xr:uid="{00000000-0005-0000-0000-0000FA6E0000}"/>
    <cellStyle name="Normal 2 3 41" xfId="28440" xr:uid="{00000000-0005-0000-0000-0000FB6E0000}"/>
    <cellStyle name="Normal 2 3 42" xfId="28441" xr:uid="{00000000-0005-0000-0000-0000FC6E0000}"/>
    <cellStyle name="Normal 2 3 43" xfId="28442" xr:uid="{00000000-0005-0000-0000-0000FD6E0000}"/>
    <cellStyle name="Normal 2 3 44" xfId="28443" xr:uid="{00000000-0005-0000-0000-0000FE6E0000}"/>
    <cellStyle name="Normal 2 3 45" xfId="28444" xr:uid="{00000000-0005-0000-0000-0000FF6E0000}"/>
    <cellStyle name="Normal 2 3 46" xfId="28445" xr:uid="{00000000-0005-0000-0000-0000006F0000}"/>
    <cellStyle name="Normal 2 3 47" xfId="28446" xr:uid="{00000000-0005-0000-0000-0000016F0000}"/>
    <cellStyle name="Normal 2 3 48" xfId="28447" xr:uid="{00000000-0005-0000-0000-0000026F0000}"/>
    <cellStyle name="Normal 2 3 49" xfId="28448" xr:uid="{00000000-0005-0000-0000-0000036F0000}"/>
    <cellStyle name="Normal 2 3 5" xfId="28449" xr:uid="{00000000-0005-0000-0000-0000046F0000}"/>
    <cellStyle name="Normal 2 3 5 10" xfId="28450" xr:uid="{00000000-0005-0000-0000-0000056F0000}"/>
    <cellStyle name="Normal 2 3 5 11" xfId="28451" xr:uid="{00000000-0005-0000-0000-0000066F0000}"/>
    <cellStyle name="Normal 2 3 5 12" xfId="28452" xr:uid="{00000000-0005-0000-0000-0000076F0000}"/>
    <cellStyle name="Normal 2 3 5 13" xfId="28453" xr:uid="{00000000-0005-0000-0000-0000086F0000}"/>
    <cellStyle name="Normal 2 3 5 14" xfId="28454" xr:uid="{00000000-0005-0000-0000-0000096F0000}"/>
    <cellStyle name="Normal 2 3 5 15" xfId="28455" xr:uid="{00000000-0005-0000-0000-00000A6F0000}"/>
    <cellStyle name="Normal 2 3 5 16" xfId="28456" xr:uid="{00000000-0005-0000-0000-00000B6F0000}"/>
    <cellStyle name="Normal 2 3 5 2" xfId="28457" xr:uid="{00000000-0005-0000-0000-00000C6F0000}"/>
    <cellStyle name="Normal 2 3 5 2 10" xfId="28458" xr:uid="{00000000-0005-0000-0000-00000D6F0000}"/>
    <cellStyle name="Normal 2 3 5 2 11" xfId="28459" xr:uid="{00000000-0005-0000-0000-00000E6F0000}"/>
    <cellStyle name="Normal 2 3 5 2 12" xfId="28460" xr:uid="{00000000-0005-0000-0000-00000F6F0000}"/>
    <cellStyle name="Normal 2 3 5 2 2" xfId="28461" xr:uid="{00000000-0005-0000-0000-0000106F0000}"/>
    <cellStyle name="Normal 2 3 5 2 3" xfId="28462" xr:uid="{00000000-0005-0000-0000-0000116F0000}"/>
    <cellStyle name="Normal 2 3 5 2 4" xfId="28463" xr:uid="{00000000-0005-0000-0000-0000126F0000}"/>
    <cellStyle name="Normal 2 3 5 2 5" xfId="28464" xr:uid="{00000000-0005-0000-0000-0000136F0000}"/>
    <cellStyle name="Normal 2 3 5 2 6" xfId="28465" xr:uid="{00000000-0005-0000-0000-0000146F0000}"/>
    <cellStyle name="Normal 2 3 5 2 7" xfId="28466" xr:uid="{00000000-0005-0000-0000-0000156F0000}"/>
    <cellStyle name="Normal 2 3 5 2 8" xfId="28467" xr:uid="{00000000-0005-0000-0000-0000166F0000}"/>
    <cellStyle name="Normal 2 3 5 2 9" xfId="28468" xr:uid="{00000000-0005-0000-0000-0000176F0000}"/>
    <cellStyle name="Normal 2 3 5 3" xfId="28469" xr:uid="{00000000-0005-0000-0000-0000186F0000}"/>
    <cellStyle name="Normal 2 3 5 3 10" xfId="28470" xr:uid="{00000000-0005-0000-0000-0000196F0000}"/>
    <cellStyle name="Normal 2 3 5 3 2" xfId="28471" xr:uid="{00000000-0005-0000-0000-00001A6F0000}"/>
    <cellStyle name="Normal 2 3 5 3 3" xfId="28472" xr:uid="{00000000-0005-0000-0000-00001B6F0000}"/>
    <cellStyle name="Normal 2 3 5 3 4" xfId="28473" xr:uid="{00000000-0005-0000-0000-00001C6F0000}"/>
    <cellStyle name="Normal 2 3 5 3 5" xfId="28474" xr:uid="{00000000-0005-0000-0000-00001D6F0000}"/>
    <cellStyle name="Normal 2 3 5 3 6" xfId="28475" xr:uid="{00000000-0005-0000-0000-00001E6F0000}"/>
    <cellStyle name="Normal 2 3 5 3 7" xfId="28476" xr:uid="{00000000-0005-0000-0000-00001F6F0000}"/>
    <cellStyle name="Normal 2 3 5 3 8" xfId="28477" xr:uid="{00000000-0005-0000-0000-0000206F0000}"/>
    <cellStyle name="Normal 2 3 5 3 9" xfId="28478" xr:uid="{00000000-0005-0000-0000-0000216F0000}"/>
    <cellStyle name="Normal 2 3 5 4" xfId="28479" xr:uid="{00000000-0005-0000-0000-0000226F0000}"/>
    <cellStyle name="Normal 2 3 5 4 10" xfId="28480" xr:uid="{00000000-0005-0000-0000-0000236F0000}"/>
    <cellStyle name="Normal 2 3 5 4 2" xfId="28481" xr:uid="{00000000-0005-0000-0000-0000246F0000}"/>
    <cellStyle name="Normal 2 3 5 4 3" xfId="28482" xr:uid="{00000000-0005-0000-0000-0000256F0000}"/>
    <cellStyle name="Normal 2 3 5 4 4" xfId="28483" xr:uid="{00000000-0005-0000-0000-0000266F0000}"/>
    <cellStyle name="Normal 2 3 5 4 5" xfId="28484" xr:uid="{00000000-0005-0000-0000-0000276F0000}"/>
    <cellStyle name="Normal 2 3 5 4 6" xfId="28485" xr:uid="{00000000-0005-0000-0000-0000286F0000}"/>
    <cellStyle name="Normal 2 3 5 4 7" xfId="28486" xr:uid="{00000000-0005-0000-0000-0000296F0000}"/>
    <cellStyle name="Normal 2 3 5 4 8" xfId="28487" xr:uid="{00000000-0005-0000-0000-00002A6F0000}"/>
    <cellStyle name="Normal 2 3 5 4 9" xfId="28488" xr:uid="{00000000-0005-0000-0000-00002B6F0000}"/>
    <cellStyle name="Normal 2 3 5 5" xfId="28489" xr:uid="{00000000-0005-0000-0000-00002C6F0000}"/>
    <cellStyle name="Normal 2 3 5 5 10" xfId="28490" xr:uid="{00000000-0005-0000-0000-00002D6F0000}"/>
    <cellStyle name="Normal 2 3 5 5 2" xfId="28491" xr:uid="{00000000-0005-0000-0000-00002E6F0000}"/>
    <cellStyle name="Normal 2 3 5 5 3" xfId="28492" xr:uid="{00000000-0005-0000-0000-00002F6F0000}"/>
    <cellStyle name="Normal 2 3 5 5 4" xfId="28493" xr:uid="{00000000-0005-0000-0000-0000306F0000}"/>
    <cellStyle name="Normal 2 3 5 5 5" xfId="28494" xr:uid="{00000000-0005-0000-0000-0000316F0000}"/>
    <cellStyle name="Normal 2 3 5 5 6" xfId="28495" xr:uid="{00000000-0005-0000-0000-0000326F0000}"/>
    <cellStyle name="Normal 2 3 5 5 7" xfId="28496" xr:uid="{00000000-0005-0000-0000-0000336F0000}"/>
    <cellStyle name="Normal 2 3 5 5 8" xfId="28497" xr:uid="{00000000-0005-0000-0000-0000346F0000}"/>
    <cellStyle name="Normal 2 3 5 5 9" xfId="28498" xr:uid="{00000000-0005-0000-0000-0000356F0000}"/>
    <cellStyle name="Normal 2 3 5 6" xfId="28499" xr:uid="{00000000-0005-0000-0000-0000366F0000}"/>
    <cellStyle name="Normal 2 3 5 7" xfId="28500" xr:uid="{00000000-0005-0000-0000-0000376F0000}"/>
    <cellStyle name="Normal 2 3 5 8" xfId="28501" xr:uid="{00000000-0005-0000-0000-0000386F0000}"/>
    <cellStyle name="Normal 2 3 5 9" xfId="28502" xr:uid="{00000000-0005-0000-0000-0000396F0000}"/>
    <cellStyle name="Normal 2 3 50" xfId="25385" xr:uid="{00000000-0005-0000-0000-00003A6F0000}"/>
    <cellStyle name="Normal 2 3 6" xfId="28503" xr:uid="{00000000-0005-0000-0000-00003B6F0000}"/>
    <cellStyle name="Normal 2 3 6 10" xfId="28504" xr:uid="{00000000-0005-0000-0000-00003C6F0000}"/>
    <cellStyle name="Normal 2 3 6 11" xfId="28505" xr:uid="{00000000-0005-0000-0000-00003D6F0000}"/>
    <cellStyle name="Normal 2 3 6 12" xfId="28506" xr:uid="{00000000-0005-0000-0000-00003E6F0000}"/>
    <cellStyle name="Normal 2 3 6 13" xfId="28507" xr:uid="{00000000-0005-0000-0000-00003F6F0000}"/>
    <cellStyle name="Normal 2 3 6 14" xfId="28508" xr:uid="{00000000-0005-0000-0000-0000406F0000}"/>
    <cellStyle name="Normal 2 3 6 2" xfId="28509" xr:uid="{00000000-0005-0000-0000-0000416F0000}"/>
    <cellStyle name="Normal 2 3 6 2 10" xfId="28510" xr:uid="{00000000-0005-0000-0000-0000426F0000}"/>
    <cellStyle name="Normal 2 3 6 2 2" xfId="28511" xr:uid="{00000000-0005-0000-0000-0000436F0000}"/>
    <cellStyle name="Normal 2 3 6 2 3" xfId="28512" xr:uid="{00000000-0005-0000-0000-0000446F0000}"/>
    <cellStyle name="Normal 2 3 6 2 4" xfId="28513" xr:uid="{00000000-0005-0000-0000-0000456F0000}"/>
    <cellStyle name="Normal 2 3 6 2 5" xfId="28514" xr:uid="{00000000-0005-0000-0000-0000466F0000}"/>
    <cellStyle name="Normal 2 3 6 2 6" xfId="28515" xr:uid="{00000000-0005-0000-0000-0000476F0000}"/>
    <cellStyle name="Normal 2 3 6 2 7" xfId="28516" xr:uid="{00000000-0005-0000-0000-0000486F0000}"/>
    <cellStyle name="Normal 2 3 6 2 8" xfId="28517" xr:uid="{00000000-0005-0000-0000-0000496F0000}"/>
    <cellStyle name="Normal 2 3 6 2 9" xfId="28518" xr:uid="{00000000-0005-0000-0000-00004A6F0000}"/>
    <cellStyle name="Normal 2 3 6 3" xfId="28519" xr:uid="{00000000-0005-0000-0000-00004B6F0000}"/>
    <cellStyle name="Normal 2 3 6 3 10" xfId="28520" xr:uid="{00000000-0005-0000-0000-00004C6F0000}"/>
    <cellStyle name="Normal 2 3 6 3 2" xfId="28521" xr:uid="{00000000-0005-0000-0000-00004D6F0000}"/>
    <cellStyle name="Normal 2 3 6 3 3" xfId="28522" xr:uid="{00000000-0005-0000-0000-00004E6F0000}"/>
    <cellStyle name="Normal 2 3 6 3 4" xfId="28523" xr:uid="{00000000-0005-0000-0000-00004F6F0000}"/>
    <cellStyle name="Normal 2 3 6 3 5" xfId="28524" xr:uid="{00000000-0005-0000-0000-0000506F0000}"/>
    <cellStyle name="Normal 2 3 6 3 6" xfId="28525" xr:uid="{00000000-0005-0000-0000-0000516F0000}"/>
    <cellStyle name="Normal 2 3 6 3 7" xfId="28526" xr:uid="{00000000-0005-0000-0000-0000526F0000}"/>
    <cellStyle name="Normal 2 3 6 3 8" xfId="28527" xr:uid="{00000000-0005-0000-0000-0000536F0000}"/>
    <cellStyle name="Normal 2 3 6 3 9" xfId="28528" xr:uid="{00000000-0005-0000-0000-0000546F0000}"/>
    <cellStyle name="Normal 2 3 6 4" xfId="28529" xr:uid="{00000000-0005-0000-0000-0000556F0000}"/>
    <cellStyle name="Normal 2 3 6 4 10" xfId="28530" xr:uid="{00000000-0005-0000-0000-0000566F0000}"/>
    <cellStyle name="Normal 2 3 6 4 2" xfId="28531" xr:uid="{00000000-0005-0000-0000-0000576F0000}"/>
    <cellStyle name="Normal 2 3 6 4 3" xfId="28532" xr:uid="{00000000-0005-0000-0000-0000586F0000}"/>
    <cellStyle name="Normal 2 3 6 4 4" xfId="28533" xr:uid="{00000000-0005-0000-0000-0000596F0000}"/>
    <cellStyle name="Normal 2 3 6 4 5" xfId="28534" xr:uid="{00000000-0005-0000-0000-00005A6F0000}"/>
    <cellStyle name="Normal 2 3 6 4 6" xfId="28535" xr:uid="{00000000-0005-0000-0000-00005B6F0000}"/>
    <cellStyle name="Normal 2 3 6 4 7" xfId="28536" xr:uid="{00000000-0005-0000-0000-00005C6F0000}"/>
    <cellStyle name="Normal 2 3 6 4 8" xfId="28537" xr:uid="{00000000-0005-0000-0000-00005D6F0000}"/>
    <cellStyle name="Normal 2 3 6 4 9" xfId="28538" xr:uid="{00000000-0005-0000-0000-00005E6F0000}"/>
    <cellStyle name="Normal 2 3 6 5" xfId="28539" xr:uid="{00000000-0005-0000-0000-00005F6F0000}"/>
    <cellStyle name="Normal 2 3 6 5 10" xfId="28540" xr:uid="{00000000-0005-0000-0000-0000606F0000}"/>
    <cellStyle name="Normal 2 3 6 5 2" xfId="28541" xr:uid="{00000000-0005-0000-0000-0000616F0000}"/>
    <cellStyle name="Normal 2 3 6 5 3" xfId="28542" xr:uid="{00000000-0005-0000-0000-0000626F0000}"/>
    <cellStyle name="Normal 2 3 6 5 4" xfId="28543" xr:uid="{00000000-0005-0000-0000-0000636F0000}"/>
    <cellStyle name="Normal 2 3 6 5 5" xfId="28544" xr:uid="{00000000-0005-0000-0000-0000646F0000}"/>
    <cellStyle name="Normal 2 3 6 5 6" xfId="28545" xr:uid="{00000000-0005-0000-0000-0000656F0000}"/>
    <cellStyle name="Normal 2 3 6 5 7" xfId="28546" xr:uid="{00000000-0005-0000-0000-0000666F0000}"/>
    <cellStyle name="Normal 2 3 6 5 8" xfId="28547" xr:uid="{00000000-0005-0000-0000-0000676F0000}"/>
    <cellStyle name="Normal 2 3 6 5 9" xfId="28548" xr:uid="{00000000-0005-0000-0000-0000686F0000}"/>
    <cellStyle name="Normal 2 3 6 6" xfId="28549" xr:uid="{00000000-0005-0000-0000-0000696F0000}"/>
    <cellStyle name="Normal 2 3 6 7" xfId="28550" xr:uid="{00000000-0005-0000-0000-00006A6F0000}"/>
    <cellStyle name="Normal 2 3 6 8" xfId="28551" xr:uid="{00000000-0005-0000-0000-00006B6F0000}"/>
    <cellStyle name="Normal 2 3 6 9" xfId="28552" xr:uid="{00000000-0005-0000-0000-00006C6F0000}"/>
    <cellStyle name="Normal 2 3 7" xfId="28553" xr:uid="{00000000-0005-0000-0000-00006D6F0000}"/>
    <cellStyle name="Normal 2 3 7 10" xfId="28554" xr:uid="{00000000-0005-0000-0000-00006E6F0000}"/>
    <cellStyle name="Normal 2 3 7 11" xfId="28555" xr:uid="{00000000-0005-0000-0000-00006F6F0000}"/>
    <cellStyle name="Normal 2 3 7 12" xfId="28556" xr:uid="{00000000-0005-0000-0000-0000706F0000}"/>
    <cellStyle name="Normal 2 3 7 13" xfId="28557" xr:uid="{00000000-0005-0000-0000-0000716F0000}"/>
    <cellStyle name="Normal 2 3 7 14" xfId="28558" xr:uid="{00000000-0005-0000-0000-0000726F0000}"/>
    <cellStyle name="Normal 2 3 7 2" xfId="28559" xr:uid="{00000000-0005-0000-0000-0000736F0000}"/>
    <cellStyle name="Normal 2 3 7 2 10" xfId="28560" xr:uid="{00000000-0005-0000-0000-0000746F0000}"/>
    <cellStyle name="Normal 2 3 7 2 2" xfId="28561" xr:uid="{00000000-0005-0000-0000-0000756F0000}"/>
    <cellStyle name="Normal 2 3 7 2 3" xfId="28562" xr:uid="{00000000-0005-0000-0000-0000766F0000}"/>
    <cellStyle name="Normal 2 3 7 2 4" xfId="28563" xr:uid="{00000000-0005-0000-0000-0000776F0000}"/>
    <cellStyle name="Normal 2 3 7 2 5" xfId="28564" xr:uid="{00000000-0005-0000-0000-0000786F0000}"/>
    <cellStyle name="Normal 2 3 7 2 6" xfId="28565" xr:uid="{00000000-0005-0000-0000-0000796F0000}"/>
    <cellStyle name="Normal 2 3 7 2 7" xfId="28566" xr:uid="{00000000-0005-0000-0000-00007A6F0000}"/>
    <cellStyle name="Normal 2 3 7 2 8" xfId="28567" xr:uid="{00000000-0005-0000-0000-00007B6F0000}"/>
    <cellStyle name="Normal 2 3 7 2 9" xfId="28568" xr:uid="{00000000-0005-0000-0000-00007C6F0000}"/>
    <cellStyle name="Normal 2 3 7 3" xfId="28569" xr:uid="{00000000-0005-0000-0000-00007D6F0000}"/>
    <cellStyle name="Normal 2 3 7 3 10" xfId="28570" xr:uid="{00000000-0005-0000-0000-00007E6F0000}"/>
    <cellStyle name="Normal 2 3 7 3 2" xfId="28571" xr:uid="{00000000-0005-0000-0000-00007F6F0000}"/>
    <cellStyle name="Normal 2 3 7 3 3" xfId="28572" xr:uid="{00000000-0005-0000-0000-0000806F0000}"/>
    <cellStyle name="Normal 2 3 7 3 4" xfId="28573" xr:uid="{00000000-0005-0000-0000-0000816F0000}"/>
    <cellStyle name="Normal 2 3 7 3 5" xfId="28574" xr:uid="{00000000-0005-0000-0000-0000826F0000}"/>
    <cellStyle name="Normal 2 3 7 3 6" xfId="28575" xr:uid="{00000000-0005-0000-0000-0000836F0000}"/>
    <cellStyle name="Normal 2 3 7 3 7" xfId="28576" xr:uid="{00000000-0005-0000-0000-0000846F0000}"/>
    <cellStyle name="Normal 2 3 7 3 8" xfId="28577" xr:uid="{00000000-0005-0000-0000-0000856F0000}"/>
    <cellStyle name="Normal 2 3 7 3 9" xfId="28578" xr:uid="{00000000-0005-0000-0000-0000866F0000}"/>
    <cellStyle name="Normal 2 3 7 4" xfId="28579" xr:uid="{00000000-0005-0000-0000-0000876F0000}"/>
    <cellStyle name="Normal 2 3 7 4 10" xfId="28580" xr:uid="{00000000-0005-0000-0000-0000886F0000}"/>
    <cellStyle name="Normal 2 3 7 4 2" xfId="28581" xr:uid="{00000000-0005-0000-0000-0000896F0000}"/>
    <cellStyle name="Normal 2 3 7 4 3" xfId="28582" xr:uid="{00000000-0005-0000-0000-00008A6F0000}"/>
    <cellStyle name="Normal 2 3 7 4 4" xfId="28583" xr:uid="{00000000-0005-0000-0000-00008B6F0000}"/>
    <cellStyle name="Normal 2 3 7 4 5" xfId="28584" xr:uid="{00000000-0005-0000-0000-00008C6F0000}"/>
    <cellStyle name="Normal 2 3 7 4 6" xfId="28585" xr:uid="{00000000-0005-0000-0000-00008D6F0000}"/>
    <cellStyle name="Normal 2 3 7 4 7" xfId="28586" xr:uid="{00000000-0005-0000-0000-00008E6F0000}"/>
    <cellStyle name="Normal 2 3 7 4 8" xfId="28587" xr:uid="{00000000-0005-0000-0000-00008F6F0000}"/>
    <cellStyle name="Normal 2 3 7 4 9" xfId="28588" xr:uid="{00000000-0005-0000-0000-0000906F0000}"/>
    <cellStyle name="Normal 2 3 7 5" xfId="28589" xr:uid="{00000000-0005-0000-0000-0000916F0000}"/>
    <cellStyle name="Normal 2 3 7 5 10" xfId="28590" xr:uid="{00000000-0005-0000-0000-0000926F0000}"/>
    <cellStyle name="Normal 2 3 7 5 2" xfId="28591" xr:uid="{00000000-0005-0000-0000-0000936F0000}"/>
    <cellStyle name="Normal 2 3 7 5 3" xfId="28592" xr:uid="{00000000-0005-0000-0000-0000946F0000}"/>
    <cellStyle name="Normal 2 3 7 5 4" xfId="28593" xr:uid="{00000000-0005-0000-0000-0000956F0000}"/>
    <cellStyle name="Normal 2 3 7 5 5" xfId="28594" xr:uid="{00000000-0005-0000-0000-0000966F0000}"/>
    <cellStyle name="Normal 2 3 7 5 6" xfId="28595" xr:uid="{00000000-0005-0000-0000-0000976F0000}"/>
    <cellStyle name="Normal 2 3 7 5 7" xfId="28596" xr:uid="{00000000-0005-0000-0000-0000986F0000}"/>
    <cellStyle name="Normal 2 3 7 5 8" xfId="28597" xr:uid="{00000000-0005-0000-0000-0000996F0000}"/>
    <cellStyle name="Normal 2 3 7 5 9" xfId="28598" xr:uid="{00000000-0005-0000-0000-00009A6F0000}"/>
    <cellStyle name="Normal 2 3 7 6" xfId="28599" xr:uid="{00000000-0005-0000-0000-00009B6F0000}"/>
    <cellStyle name="Normal 2 3 7 7" xfId="28600" xr:uid="{00000000-0005-0000-0000-00009C6F0000}"/>
    <cellStyle name="Normal 2 3 7 8" xfId="28601" xr:uid="{00000000-0005-0000-0000-00009D6F0000}"/>
    <cellStyle name="Normal 2 3 7 9" xfId="28602" xr:uid="{00000000-0005-0000-0000-00009E6F0000}"/>
    <cellStyle name="Normal 2 3 8" xfId="28603" xr:uid="{00000000-0005-0000-0000-00009F6F0000}"/>
    <cellStyle name="Normal 2 3 8 10" xfId="28604" xr:uid="{00000000-0005-0000-0000-0000A06F0000}"/>
    <cellStyle name="Normal 2 3 8 11" xfId="28605" xr:uid="{00000000-0005-0000-0000-0000A16F0000}"/>
    <cellStyle name="Normal 2 3 8 12" xfId="28606" xr:uid="{00000000-0005-0000-0000-0000A26F0000}"/>
    <cellStyle name="Normal 2 3 8 13" xfId="28607" xr:uid="{00000000-0005-0000-0000-0000A36F0000}"/>
    <cellStyle name="Normal 2 3 8 14" xfId="28608" xr:uid="{00000000-0005-0000-0000-0000A46F0000}"/>
    <cellStyle name="Normal 2 3 8 2" xfId="28609" xr:uid="{00000000-0005-0000-0000-0000A56F0000}"/>
    <cellStyle name="Normal 2 3 8 2 10" xfId="28610" xr:uid="{00000000-0005-0000-0000-0000A66F0000}"/>
    <cellStyle name="Normal 2 3 8 2 2" xfId="28611" xr:uid="{00000000-0005-0000-0000-0000A76F0000}"/>
    <cellStyle name="Normal 2 3 8 2 3" xfId="28612" xr:uid="{00000000-0005-0000-0000-0000A86F0000}"/>
    <cellStyle name="Normal 2 3 8 2 4" xfId="28613" xr:uid="{00000000-0005-0000-0000-0000A96F0000}"/>
    <cellStyle name="Normal 2 3 8 2 5" xfId="28614" xr:uid="{00000000-0005-0000-0000-0000AA6F0000}"/>
    <cellStyle name="Normal 2 3 8 2 6" xfId="28615" xr:uid="{00000000-0005-0000-0000-0000AB6F0000}"/>
    <cellStyle name="Normal 2 3 8 2 7" xfId="28616" xr:uid="{00000000-0005-0000-0000-0000AC6F0000}"/>
    <cellStyle name="Normal 2 3 8 2 8" xfId="28617" xr:uid="{00000000-0005-0000-0000-0000AD6F0000}"/>
    <cellStyle name="Normal 2 3 8 2 9" xfId="28618" xr:uid="{00000000-0005-0000-0000-0000AE6F0000}"/>
    <cellStyle name="Normal 2 3 8 3" xfId="28619" xr:uid="{00000000-0005-0000-0000-0000AF6F0000}"/>
    <cellStyle name="Normal 2 3 8 3 10" xfId="28620" xr:uid="{00000000-0005-0000-0000-0000B06F0000}"/>
    <cellStyle name="Normal 2 3 8 3 2" xfId="28621" xr:uid="{00000000-0005-0000-0000-0000B16F0000}"/>
    <cellStyle name="Normal 2 3 8 3 3" xfId="28622" xr:uid="{00000000-0005-0000-0000-0000B26F0000}"/>
    <cellStyle name="Normal 2 3 8 3 4" xfId="28623" xr:uid="{00000000-0005-0000-0000-0000B36F0000}"/>
    <cellStyle name="Normal 2 3 8 3 5" xfId="28624" xr:uid="{00000000-0005-0000-0000-0000B46F0000}"/>
    <cellStyle name="Normal 2 3 8 3 6" xfId="28625" xr:uid="{00000000-0005-0000-0000-0000B56F0000}"/>
    <cellStyle name="Normal 2 3 8 3 7" xfId="28626" xr:uid="{00000000-0005-0000-0000-0000B66F0000}"/>
    <cellStyle name="Normal 2 3 8 3 8" xfId="28627" xr:uid="{00000000-0005-0000-0000-0000B76F0000}"/>
    <cellStyle name="Normal 2 3 8 3 9" xfId="28628" xr:uid="{00000000-0005-0000-0000-0000B86F0000}"/>
    <cellStyle name="Normal 2 3 8 4" xfId="28629" xr:uid="{00000000-0005-0000-0000-0000B96F0000}"/>
    <cellStyle name="Normal 2 3 8 4 10" xfId="28630" xr:uid="{00000000-0005-0000-0000-0000BA6F0000}"/>
    <cellStyle name="Normal 2 3 8 4 2" xfId="28631" xr:uid="{00000000-0005-0000-0000-0000BB6F0000}"/>
    <cellStyle name="Normal 2 3 8 4 3" xfId="28632" xr:uid="{00000000-0005-0000-0000-0000BC6F0000}"/>
    <cellStyle name="Normal 2 3 8 4 4" xfId="28633" xr:uid="{00000000-0005-0000-0000-0000BD6F0000}"/>
    <cellStyle name="Normal 2 3 8 4 5" xfId="28634" xr:uid="{00000000-0005-0000-0000-0000BE6F0000}"/>
    <cellStyle name="Normal 2 3 8 4 6" xfId="28635" xr:uid="{00000000-0005-0000-0000-0000BF6F0000}"/>
    <cellStyle name="Normal 2 3 8 4 7" xfId="28636" xr:uid="{00000000-0005-0000-0000-0000C06F0000}"/>
    <cellStyle name="Normal 2 3 8 4 8" xfId="28637" xr:uid="{00000000-0005-0000-0000-0000C16F0000}"/>
    <cellStyle name="Normal 2 3 8 4 9" xfId="28638" xr:uid="{00000000-0005-0000-0000-0000C26F0000}"/>
    <cellStyle name="Normal 2 3 8 5" xfId="28639" xr:uid="{00000000-0005-0000-0000-0000C36F0000}"/>
    <cellStyle name="Normal 2 3 8 5 10" xfId="28640" xr:uid="{00000000-0005-0000-0000-0000C46F0000}"/>
    <cellStyle name="Normal 2 3 8 5 2" xfId="28641" xr:uid="{00000000-0005-0000-0000-0000C56F0000}"/>
    <cellStyle name="Normal 2 3 8 5 3" xfId="28642" xr:uid="{00000000-0005-0000-0000-0000C66F0000}"/>
    <cellStyle name="Normal 2 3 8 5 4" xfId="28643" xr:uid="{00000000-0005-0000-0000-0000C76F0000}"/>
    <cellStyle name="Normal 2 3 8 5 5" xfId="28644" xr:uid="{00000000-0005-0000-0000-0000C86F0000}"/>
    <cellStyle name="Normal 2 3 8 5 6" xfId="28645" xr:uid="{00000000-0005-0000-0000-0000C96F0000}"/>
    <cellStyle name="Normal 2 3 8 5 7" xfId="28646" xr:uid="{00000000-0005-0000-0000-0000CA6F0000}"/>
    <cellStyle name="Normal 2 3 8 5 8" xfId="28647" xr:uid="{00000000-0005-0000-0000-0000CB6F0000}"/>
    <cellStyle name="Normal 2 3 8 5 9" xfId="28648" xr:uid="{00000000-0005-0000-0000-0000CC6F0000}"/>
    <cellStyle name="Normal 2 3 8 6" xfId="28649" xr:uid="{00000000-0005-0000-0000-0000CD6F0000}"/>
    <cellStyle name="Normal 2 3 8 7" xfId="28650" xr:uid="{00000000-0005-0000-0000-0000CE6F0000}"/>
    <cellStyle name="Normal 2 3 8 8" xfId="28651" xr:uid="{00000000-0005-0000-0000-0000CF6F0000}"/>
    <cellStyle name="Normal 2 3 8 9" xfId="28652" xr:uid="{00000000-0005-0000-0000-0000D06F0000}"/>
    <cellStyle name="Normal 2 3 9" xfId="28653" xr:uid="{00000000-0005-0000-0000-0000D16F0000}"/>
    <cellStyle name="Normal 2 3 9 10" xfId="28654" xr:uid="{00000000-0005-0000-0000-0000D26F0000}"/>
    <cellStyle name="Normal 2 3 9 11" xfId="28655" xr:uid="{00000000-0005-0000-0000-0000D36F0000}"/>
    <cellStyle name="Normal 2 3 9 12" xfId="28656" xr:uid="{00000000-0005-0000-0000-0000D46F0000}"/>
    <cellStyle name="Normal 2 3 9 13" xfId="28657" xr:uid="{00000000-0005-0000-0000-0000D56F0000}"/>
    <cellStyle name="Normal 2 3 9 14" xfId="28658" xr:uid="{00000000-0005-0000-0000-0000D66F0000}"/>
    <cellStyle name="Normal 2 3 9 2" xfId="28659" xr:uid="{00000000-0005-0000-0000-0000D76F0000}"/>
    <cellStyle name="Normal 2 3 9 2 10" xfId="28660" xr:uid="{00000000-0005-0000-0000-0000D86F0000}"/>
    <cellStyle name="Normal 2 3 9 2 2" xfId="28661" xr:uid="{00000000-0005-0000-0000-0000D96F0000}"/>
    <cellStyle name="Normal 2 3 9 2 3" xfId="28662" xr:uid="{00000000-0005-0000-0000-0000DA6F0000}"/>
    <cellStyle name="Normal 2 3 9 2 4" xfId="28663" xr:uid="{00000000-0005-0000-0000-0000DB6F0000}"/>
    <cellStyle name="Normal 2 3 9 2 5" xfId="28664" xr:uid="{00000000-0005-0000-0000-0000DC6F0000}"/>
    <cellStyle name="Normal 2 3 9 2 6" xfId="28665" xr:uid="{00000000-0005-0000-0000-0000DD6F0000}"/>
    <cellStyle name="Normal 2 3 9 2 7" xfId="28666" xr:uid="{00000000-0005-0000-0000-0000DE6F0000}"/>
    <cellStyle name="Normal 2 3 9 2 8" xfId="28667" xr:uid="{00000000-0005-0000-0000-0000DF6F0000}"/>
    <cellStyle name="Normal 2 3 9 2 9" xfId="28668" xr:uid="{00000000-0005-0000-0000-0000E06F0000}"/>
    <cellStyle name="Normal 2 3 9 3" xfId="28669" xr:uid="{00000000-0005-0000-0000-0000E16F0000}"/>
    <cellStyle name="Normal 2 3 9 3 10" xfId="28670" xr:uid="{00000000-0005-0000-0000-0000E26F0000}"/>
    <cellStyle name="Normal 2 3 9 3 2" xfId="28671" xr:uid="{00000000-0005-0000-0000-0000E36F0000}"/>
    <cellStyle name="Normal 2 3 9 3 3" xfId="28672" xr:uid="{00000000-0005-0000-0000-0000E46F0000}"/>
    <cellStyle name="Normal 2 3 9 3 4" xfId="28673" xr:uid="{00000000-0005-0000-0000-0000E56F0000}"/>
    <cellStyle name="Normal 2 3 9 3 5" xfId="28674" xr:uid="{00000000-0005-0000-0000-0000E66F0000}"/>
    <cellStyle name="Normal 2 3 9 3 6" xfId="28675" xr:uid="{00000000-0005-0000-0000-0000E76F0000}"/>
    <cellStyle name="Normal 2 3 9 3 7" xfId="28676" xr:uid="{00000000-0005-0000-0000-0000E86F0000}"/>
    <cellStyle name="Normal 2 3 9 3 8" xfId="28677" xr:uid="{00000000-0005-0000-0000-0000E96F0000}"/>
    <cellStyle name="Normal 2 3 9 3 9" xfId="28678" xr:uid="{00000000-0005-0000-0000-0000EA6F0000}"/>
    <cellStyle name="Normal 2 3 9 4" xfId="28679" xr:uid="{00000000-0005-0000-0000-0000EB6F0000}"/>
    <cellStyle name="Normal 2 3 9 4 10" xfId="28680" xr:uid="{00000000-0005-0000-0000-0000EC6F0000}"/>
    <cellStyle name="Normal 2 3 9 4 2" xfId="28681" xr:uid="{00000000-0005-0000-0000-0000ED6F0000}"/>
    <cellStyle name="Normal 2 3 9 4 3" xfId="28682" xr:uid="{00000000-0005-0000-0000-0000EE6F0000}"/>
    <cellStyle name="Normal 2 3 9 4 4" xfId="28683" xr:uid="{00000000-0005-0000-0000-0000EF6F0000}"/>
    <cellStyle name="Normal 2 3 9 4 5" xfId="28684" xr:uid="{00000000-0005-0000-0000-0000F06F0000}"/>
    <cellStyle name="Normal 2 3 9 4 6" xfId="28685" xr:uid="{00000000-0005-0000-0000-0000F16F0000}"/>
    <cellStyle name="Normal 2 3 9 4 7" xfId="28686" xr:uid="{00000000-0005-0000-0000-0000F26F0000}"/>
    <cellStyle name="Normal 2 3 9 4 8" xfId="28687" xr:uid="{00000000-0005-0000-0000-0000F36F0000}"/>
    <cellStyle name="Normal 2 3 9 4 9" xfId="28688" xr:uid="{00000000-0005-0000-0000-0000F46F0000}"/>
    <cellStyle name="Normal 2 3 9 5" xfId="28689" xr:uid="{00000000-0005-0000-0000-0000F56F0000}"/>
    <cellStyle name="Normal 2 3 9 5 10" xfId="28690" xr:uid="{00000000-0005-0000-0000-0000F66F0000}"/>
    <cellStyle name="Normal 2 3 9 5 2" xfId="28691" xr:uid="{00000000-0005-0000-0000-0000F76F0000}"/>
    <cellStyle name="Normal 2 3 9 5 3" xfId="28692" xr:uid="{00000000-0005-0000-0000-0000F86F0000}"/>
    <cellStyle name="Normal 2 3 9 5 4" xfId="28693" xr:uid="{00000000-0005-0000-0000-0000F96F0000}"/>
    <cellStyle name="Normal 2 3 9 5 5" xfId="28694" xr:uid="{00000000-0005-0000-0000-0000FA6F0000}"/>
    <cellStyle name="Normal 2 3 9 5 6" xfId="28695" xr:uid="{00000000-0005-0000-0000-0000FB6F0000}"/>
    <cellStyle name="Normal 2 3 9 5 7" xfId="28696" xr:uid="{00000000-0005-0000-0000-0000FC6F0000}"/>
    <cellStyle name="Normal 2 3 9 5 8" xfId="28697" xr:uid="{00000000-0005-0000-0000-0000FD6F0000}"/>
    <cellStyle name="Normal 2 3 9 5 9" xfId="28698" xr:uid="{00000000-0005-0000-0000-0000FE6F0000}"/>
    <cellStyle name="Normal 2 3 9 6" xfId="28699" xr:uid="{00000000-0005-0000-0000-0000FF6F0000}"/>
    <cellStyle name="Normal 2 3 9 7" xfId="28700" xr:uid="{00000000-0005-0000-0000-000000700000}"/>
    <cellStyle name="Normal 2 3 9 8" xfId="28701" xr:uid="{00000000-0005-0000-0000-000001700000}"/>
    <cellStyle name="Normal 2 3 9 9" xfId="28702" xr:uid="{00000000-0005-0000-0000-000002700000}"/>
    <cellStyle name="Normal 2 30" xfId="28703" xr:uid="{00000000-0005-0000-0000-000003700000}"/>
    <cellStyle name="Normal 2 30 2" xfId="28704" xr:uid="{00000000-0005-0000-0000-000004700000}"/>
    <cellStyle name="Normal 2 30 3" xfId="28705" xr:uid="{00000000-0005-0000-0000-000005700000}"/>
    <cellStyle name="Normal 2 31" xfId="28706" xr:uid="{00000000-0005-0000-0000-000006700000}"/>
    <cellStyle name="Normal 2 31 2" xfId="28707" xr:uid="{00000000-0005-0000-0000-000007700000}"/>
    <cellStyle name="Normal 2 31 2 2" xfId="28708" xr:uid="{00000000-0005-0000-0000-000008700000}"/>
    <cellStyle name="Normal 2 31 3" xfId="28709" xr:uid="{00000000-0005-0000-0000-000009700000}"/>
    <cellStyle name="Normal 2 32" xfId="28710" xr:uid="{00000000-0005-0000-0000-00000A700000}"/>
    <cellStyle name="Normal 2 32 2" xfId="28711" xr:uid="{00000000-0005-0000-0000-00000B700000}"/>
    <cellStyle name="Normal 2 32 2 2" xfId="28712" xr:uid="{00000000-0005-0000-0000-00000C700000}"/>
    <cellStyle name="Normal 2 32 3" xfId="28713" xr:uid="{00000000-0005-0000-0000-00000D700000}"/>
    <cellStyle name="Normal 2 33" xfId="28714" xr:uid="{00000000-0005-0000-0000-00000E700000}"/>
    <cellStyle name="Normal 2 33 2" xfId="28715" xr:uid="{00000000-0005-0000-0000-00000F700000}"/>
    <cellStyle name="Normal 2 33 2 2" xfId="28716" xr:uid="{00000000-0005-0000-0000-000010700000}"/>
    <cellStyle name="Normal 2 33 2 2 2" xfId="28717" xr:uid="{00000000-0005-0000-0000-000011700000}"/>
    <cellStyle name="Normal 2 33 2 2 2 2" xfId="28718" xr:uid="{00000000-0005-0000-0000-000012700000}"/>
    <cellStyle name="Normal 2 33 2 3" xfId="28719" xr:uid="{00000000-0005-0000-0000-000013700000}"/>
    <cellStyle name="Normal 2 33 2 4" xfId="28720" xr:uid="{00000000-0005-0000-0000-000014700000}"/>
    <cellStyle name="Normal 2 33 3" xfId="28721" xr:uid="{00000000-0005-0000-0000-000015700000}"/>
    <cellStyle name="Normal 2 33 3 2" xfId="28722" xr:uid="{00000000-0005-0000-0000-000016700000}"/>
    <cellStyle name="Normal 2 33 3 3" xfId="28723" xr:uid="{00000000-0005-0000-0000-000017700000}"/>
    <cellStyle name="Normal 2 33 4" xfId="28724" xr:uid="{00000000-0005-0000-0000-000018700000}"/>
    <cellStyle name="Normal 2 34" xfId="28725" xr:uid="{00000000-0005-0000-0000-000019700000}"/>
    <cellStyle name="Normal 2 34 2" xfId="28726" xr:uid="{00000000-0005-0000-0000-00001A700000}"/>
    <cellStyle name="Normal 2 34 2 2" xfId="28727" xr:uid="{00000000-0005-0000-0000-00001B700000}"/>
    <cellStyle name="Normal 2 34 3" xfId="28728" xr:uid="{00000000-0005-0000-0000-00001C700000}"/>
    <cellStyle name="Normal 2 35" xfId="28729" xr:uid="{00000000-0005-0000-0000-00001D700000}"/>
    <cellStyle name="Normal 2 35 2" xfId="28730" xr:uid="{00000000-0005-0000-0000-00001E700000}"/>
    <cellStyle name="Normal 2 35 2 2" xfId="28731" xr:uid="{00000000-0005-0000-0000-00001F700000}"/>
    <cellStyle name="Normal 2 35 3" xfId="28732" xr:uid="{00000000-0005-0000-0000-000020700000}"/>
    <cellStyle name="Normal 2 36" xfId="28733" xr:uid="{00000000-0005-0000-0000-000021700000}"/>
    <cellStyle name="Normal 2 36 2" xfId="28734" xr:uid="{00000000-0005-0000-0000-000022700000}"/>
    <cellStyle name="Normal 2 36 2 2" xfId="28735" xr:uid="{00000000-0005-0000-0000-000023700000}"/>
    <cellStyle name="Normal 2 36 3" xfId="28736" xr:uid="{00000000-0005-0000-0000-000024700000}"/>
    <cellStyle name="Normal 2 37" xfId="28737" xr:uid="{00000000-0005-0000-0000-000025700000}"/>
    <cellStyle name="Normal 2 37 2" xfId="28738" xr:uid="{00000000-0005-0000-0000-000026700000}"/>
    <cellStyle name="Normal 2 37 3" xfId="28739" xr:uid="{00000000-0005-0000-0000-000027700000}"/>
    <cellStyle name="Normal 2 38" xfId="28740" xr:uid="{00000000-0005-0000-0000-000028700000}"/>
    <cellStyle name="Normal 2 38 2" xfId="28741" xr:uid="{00000000-0005-0000-0000-000029700000}"/>
    <cellStyle name="Normal 2 38 3" xfId="28742" xr:uid="{00000000-0005-0000-0000-00002A700000}"/>
    <cellStyle name="Normal 2 39" xfId="28743" xr:uid="{00000000-0005-0000-0000-00002B700000}"/>
    <cellStyle name="Normal 2 39 2" xfId="28744" xr:uid="{00000000-0005-0000-0000-00002C700000}"/>
    <cellStyle name="Normal 2 39 3" xfId="28745" xr:uid="{00000000-0005-0000-0000-00002D700000}"/>
    <cellStyle name="Normal 2 4" xfId="12" xr:uid="{00000000-0005-0000-0000-00002E700000}"/>
    <cellStyle name="Normal 2 4 10" xfId="28746" xr:uid="{00000000-0005-0000-0000-00002F700000}"/>
    <cellStyle name="Normal 2 4 11" xfId="28747" xr:uid="{00000000-0005-0000-0000-000030700000}"/>
    <cellStyle name="Normal 2 4 12" xfId="28748" xr:uid="{00000000-0005-0000-0000-000031700000}"/>
    <cellStyle name="Normal 2 4 13" xfId="28749" xr:uid="{00000000-0005-0000-0000-000032700000}"/>
    <cellStyle name="Normal 2 4 14" xfId="28750" xr:uid="{00000000-0005-0000-0000-000033700000}"/>
    <cellStyle name="Normal 2 4 15" xfId="28751" xr:uid="{00000000-0005-0000-0000-000034700000}"/>
    <cellStyle name="Normal 2 4 16" xfId="28752" xr:uid="{00000000-0005-0000-0000-000035700000}"/>
    <cellStyle name="Normal 2 4 17" xfId="28753" xr:uid="{00000000-0005-0000-0000-000036700000}"/>
    <cellStyle name="Normal 2 4 18" xfId="28754" xr:uid="{00000000-0005-0000-0000-000037700000}"/>
    <cellStyle name="Normal 2 4 19" xfId="28755" xr:uid="{00000000-0005-0000-0000-000038700000}"/>
    <cellStyle name="Normal 2 4 2" xfId="57" xr:uid="{00000000-0005-0000-0000-000039700000}"/>
    <cellStyle name="Normal 2 4 2 10" xfId="28757" xr:uid="{00000000-0005-0000-0000-00003A700000}"/>
    <cellStyle name="Normal 2 4 2 11" xfId="28758" xr:uid="{00000000-0005-0000-0000-00003B700000}"/>
    <cellStyle name="Normal 2 4 2 12" xfId="28759" xr:uid="{00000000-0005-0000-0000-00003C700000}"/>
    <cellStyle name="Normal 2 4 2 13" xfId="28760" xr:uid="{00000000-0005-0000-0000-00003D700000}"/>
    <cellStyle name="Normal 2 4 2 14" xfId="28761" xr:uid="{00000000-0005-0000-0000-00003E700000}"/>
    <cellStyle name="Normal 2 4 2 15" xfId="28762" xr:uid="{00000000-0005-0000-0000-00003F700000}"/>
    <cellStyle name="Normal 2 4 2 16" xfId="28763" xr:uid="{00000000-0005-0000-0000-000040700000}"/>
    <cellStyle name="Normal 2 4 2 17" xfId="28764" xr:uid="{00000000-0005-0000-0000-000041700000}"/>
    <cellStyle name="Normal 2 4 2 18" xfId="28765" xr:uid="{00000000-0005-0000-0000-000042700000}"/>
    <cellStyle name="Normal 2 4 2 18 2" xfId="28766" xr:uid="{00000000-0005-0000-0000-000043700000}"/>
    <cellStyle name="Normal 2 4 2 18 2 2" xfId="28767" xr:uid="{00000000-0005-0000-0000-000044700000}"/>
    <cellStyle name="Normal 2 4 2 18 2 2 2" xfId="28768" xr:uid="{00000000-0005-0000-0000-000045700000}"/>
    <cellStyle name="Normal 2 4 2 18 2 2 2 2" xfId="28769" xr:uid="{00000000-0005-0000-0000-000046700000}"/>
    <cellStyle name="Normal 2 4 2 18 2 3" xfId="28770" xr:uid="{00000000-0005-0000-0000-000047700000}"/>
    <cellStyle name="Normal 2 4 2 18 3" xfId="28771" xr:uid="{00000000-0005-0000-0000-000048700000}"/>
    <cellStyle name="Normal 2 4 2 18 3 2" xfId="28772" xr:uid="{00000000-0005-0000-0000-000049700000}"/>
    <cellStyle name="Normal 2 4 2 19" xfId="28773" xr:uid="{00000000-0005-0000-0000-00004A700000}"/>
    <cellStyle name="Normal 2 4 2 2" xfId="28774" xr:uid="{00000000-0005-0000-0000-00004B700000}"/>
    <cellStyle name="Normal 2 4 2 2 2" xfId="28775" xr:uid="{00000000-0005-0000-0000-00004C700000}"/>
    <cellStyle name="Normal 2 4 2 20" xfId="28776" xr:uid="{00000000-0005-0000-0000-00004D700000}"/>
    <cellStyle name="Normal 2 4 2 21" xfId="28756" xr:uid="{00000000-0005-0000-0000-00004E700000}"/>
    <cellStyle name="Normal 2 4 2 3" xfId="28777" xr:uid="{00000000-0005-0000-0000-00004F700000}"/>
    <cellStyle name="Normal 2 4 2 4" xfId="28778" xr:uid="{00000000-0005-0000-0000-000050700000}"/>
    <cellStyle name="Normal 2 4 2 5" xfId="28779" xr:uid="{00000000-0005-0000-0000-000051700000}"/>
    <cellStyle name="Normal 2 4 2 6" xfId="28780" xr:uid="{00000000-0005-0000-0000-000052700000}"/>
    <cellStyle name="Normal 2 4 2 7" xfId="28781" xr:uid="{00000000-0005-0000-0000-000053700000}"/>
    <cellStyle name="Normal 2 4 2 8" xfId="28782" xr:uid="{00000000-0005-0000-0000-000054700000}"/>
    <cellStyle name="Normal 2 4 2 9" xfId="28783" xr:uid="{00000000-0005-0000-0000-000055700000}"/>
    <cellStyle name="Normal 2 4 3" xfId="28784" xr:uid="{00000000-0005-0000-0000-000056700000}"/>
    <cellStyle name="Normal 2 4 3 2" xfId="28785" xr:uid="{00000000-0005-0000-0000-000057700000}"/>
    <cellStyle name="Normal 2 4 3 3" xfId="28786" xr:uid="{00000000-0005-0000-0000-000058700000}"/>
    <cellStyle name="Normal 2 4 4" xfId="28787" xr:uid="{00000000-0005-0000-0000-000059700000}"/>
    <cellStyle name="Normal 2 4 4 2" xfId="28788" xr:uid="{00000000-0005-0000-0000-00005A700000}"/>
    <cellStyle name="Normal 2 4 4 3" xfId="28789" xr:uid="{00000000-0005-0000-0000-00005B700000}"/>
    <cellStyle name="Normal 2 4 5" xfId="28790" xr:uid="{00000000-0005-0000-0000-00005C700000}"/>
    <cellStyle name="Normal 2 4 5 2" xfId="28791" xr:uid="{00000000-0005-0000-0000-00005D700000}"/>
    <cellStyle name="Normal 2 4 6" xfId="28792" xr:uid="{00000000-0005-0000-0000-00005E700000}"/>
    <cellStyle name="Normal 2 4 6 2" xfId="28793" xr:uid="{00000000-0005-0000-0000-00005F700000}"/>
    <cellStyle name="Normal 2 4 7" xfId="28794" xr:uid="{00000000-0005-0000-0000-000060700000}"/>
    <cellStyle name="Normal 2 4 8" xfId="28795" xr:uid="{00000000-0005-0000-0000-000061700000}"/>
    <cellStyle name="Normal 2 4 9" xfId="28796" xr:uid="{00000000-0005-0000-0000-000062700000}"/>
    <cellStyle name="Normal 2 40" xfId="28797" xr:uid="{00000000-0005-0000-0000-000063700000}"/>
    <cellStyle name="Normal 2 40 2" xfId="28798" xr:uid="{00000000-0005-0000-0000-000064700000}"/>
    <cellStyle name="Normal 2 40 3" xfId="28799" xr:uid="{00000000-0005-0000-0000-000065700000}"/>
    <cellStyle name="Normal 2 41" xfId="21" xr:uid="{00000000-0005-0000-0000-000066700000}"/>
    <cellStyle name="Normal 2 41 2" xfId="28800" xr:uid="{00000000-0005-0000-0000-000067700000}"/>
    <cellStyle name="Normal 2 41 2 2" xfId="28801" xr:uid="{00000000-0005-0000-0000-000068700000}"/>
    <cellStyle name="Normal 2 41 3" xfId="28802" xr:uid="{00000000-0005-0000-0000-000069700000}"/>
    <cellStyle name="Normal 2 41 4" xfId="28803" xr:uid="{00000000-0005-0000-0000-00006A700000}"/>
    <cellStyle name="Normal 2 41 5" xfId="28804" xr:uid="{00000000-0005-0000-0000-00006B700000}"/>
    <cellStyle name="Normal 2 41 6" xfId="28805" xr:uid="{00000000-0005-0000-0000-00006C700000}"/>
    <cellStyle name="Normal 2 41 7" xfId="28806" xr:uid="{00000000-0005-0000-0000-00006D700000}"/>
    <cellStyle name="Normal 2 41 8" xfId="28807" xr:uid="{00000000-0005-0000-0000-00006E700000}"/>
    <cellStyle name="Normal 2 41 8 2" xfId="28808" xr:uid="{00000000-0005-0000-0000-00006F700000}"/>
    <cellStyle name="Normal 2 41 9" xfId="28809" xr:uid="{00000000-0005-0000-0000-000070700000}"/>
    <cellStyle name="Normal 2 42" xfId="28810" xr:uid="{00000000-0005-0000-0000-000071700000}"/>
    <cellStyle name="Normal 2 42 2" xfId="28811" xr:uid="{00000000-0005-0000-0000-000072700000}"/>
    <cellStyle name="Normal 2 42 3" xfId="28812" xr:uid="{00000000-0005-0000-0000-000073700000}"/>
    <cellStyle name="Normal 2 42 4" xfId="28813" xr:uid="{00000000-0005-0000-0000-000074700000}"/>
    <cellStyle name="Normal 2 42 5" xfId="28814" xr:uid="{00000000-0005-0000-0000-000075700000}"/>
    <cellStyle name="Normal 2 42 6" xfId="28815" xr:uid="{00000000-0005-0000-0000-000076700000}"/>
    <cellStyle name="Normal 2 42 7" xfId="28816" xr:uid="{00000000-0005-0000-0000-000077700000}"/>
    <cellStyle name="Normal 2 42 8" xfId="28817" xr:uid="{00000000-0005-0000-0000-000078700000}"/>
    <cellStyle name="Normal 2 43" xfId="28818" xr:uid="{00000000-0005-0000-0000-000079700000}"/>
    <cellStyle name="Normal 2 43 2" xfId="28819" xr:uid="{00000000-0005-0000-0000-00007A700000}"/>
    <cellStyle name="Normal 2 43 3" xfId="28820" xr:uid="{00000000-0005-0000-0000-00007B700000}"/>
    <cellStyle name="Normal 2 44" xfId="28821" xr:uid="{00000000-0005-0000-0000-00007C700000}"/>
    <cellStyle name="Normal 2 44 2" xfId="28822" xr:uid="{00000000-0005-0000-0000-00007D700000}"/>
    <cellStyle name="Normal 2 44 3" xfId="28823" xr:uid="{00000000-0005-0000-0000-00007E700000}"/>
    <cellStyle name="Normal 2 45" xfId="28824" xr:uid="{00000000-0005-0000-0000-00007F700000}"/>
    <cellStyle name="Normal 2 45 2" xfId="28825" xr:uid="{00000000-0005-0000-0000-000080700000}"/>
    <cellStyle name="Normal 2 45 3" xfId="28826" xr:uid="{00000000-0005-0000-0000-000081700000}"/>
    <cellStyle name="Normal 2 46" xfId="28827" xr:uid="{00000000-0005-0000-0000-000082700000}"/>
    <cellStyle name="Normal 2 46 2" xfId="28828" xr:uid="{00000000-0005-0000-0000-000083700000}"/>
    <cellStyle name="Normal 2 46 3" xfId="28829" xr:uid="{00000000-0005-0000-0000-000084700000}"/>
    <cellStyle name="Normal 2 47" xfId="28830" xr:uid="{00000000-0005-0000-0000-000085700000}"/>
    <cellStyle name="Normal 2 47 2" xfId="28831" xr:uid="{00000000-0005-0000-0000-000086700000}"/>
    <cellStyle name="Normal 2 47 3" xfId="28832" xr:uid="{00000000-0005-0000-0000-000087700000}"/>
    <cellStyle name="Normal 2 48" xfId="28833" xr:uid="{00000000-0005-0000-0000-000088700000}"/>
    <cellStyle name="Normal 2 48 2" xfId="28834" xr:uid="{00000000-0005-0000-0000-000089700000}"/>
    <cellStyle name="Normal 2 48 3" xfId="28835" xr:uid="{00000000-0005-0000-0000-00008A700000}"/>
    <cellStyle name="Normal 2 49" xfId="28836" xr:uid="{00000000-0005-0000-0000-00008B700000}"/>
    <cellStyle name="Normal 2 49 2" xfId="28837" xr:uid="{00000000-0005-0000-0000-00008C700000}"/>
    <cellStyle name="Normal 2 49 3" xfId="28838" xr:uid="{00000000-0005-0000-0000-00008D700000}"/>
    <cellStyle name="Normal 2 5" xfId="34" xr:uid="{00000000-0005-0000-0000-00008E700000}"/>
    <cellStyle name="Normal 2 5 10" xfId="28840" xr:uid="{00000000-0005-0000-0000-00008F700000}"/>
    <cellStyle name="Normal 2 5 11" xfId="28841" xr:uid="{00000000-0005-0000-0000-000090700000}"/>
    <cellStyle name="Normal 2 5 12" xfId="28842" xr:uid="{00000000-0005-0000-0000-000091700000}"/>
    <cellStyle name="Normal 2 5 13" xfId="28843" xr:uid="{00000000-0005-0000-0000-000092700000}"/>
    <cellStyle name="Normal 2 5 14" xfId="28844" xr:uid="{00000000-0005-0000-0000-000093700000}"/>
    <cellStyle name="Normal 2 5 15" xfId="28845" xr:uid="{00000000-0005-0000-0000-000094700000}"/>
    <cellStyle name="Normal 2 5 16" xfId="28846" xr:uid="{00000000-0005-0000-0000-000095700000}"/>
    <cellStyle name="Normal 2 5 17" xfId="28847" xr:uid="{00000000-0005-0000-0000-000096700000}"/>
    <cellStyle name="Normal 2 5 18" xfId="28848" xr:uid="{00000000-0005-0000-0000-000097700000}"/>
    <cellStyle name="Normal 2 5 19" xfId="28849" xr:uid="{00000000-0005-0000-0000-000098700000}"/>
    <cellStyle name="Normal 2 5 2" xfId="28850" xr:uid="{00000000-0005-0000-0000-000099700000}"/>
    <cellStyle name="Normal 2 5 2 10" xfId="28851" xr:uid="{00000000-0005-0000-0000-00009A700000}"/>
    <cellStyle name="Normal 2 5 2 11" xfId="28852" xr:uid="{00000000-0005-0000-0000-00009B700000}"/>
    <cellStyle name="Normal 2 5 2 12" xfId="28853" xr:uid="{00000000-0005-0000-0000-00009C700000}"/>
    <cellStyle name="Normal 2 5 2 13" xfId="28854" xr:uid="{00000000-0005-0000-0000-00009D700000}"/>
    <cellStyle name="Normal 2 5 2 14" xfId="28855" xr:uid="{00000000-0005-0000-0000-00009E700000}"/>
    <cellStyle name="Normal 2 5 2 15" xfId="28856" xr:uid="{00000000-0005-0000-0000-00009F700000}"/>
    <cellStyle name="Normal 2 5 2 16" xfId="28857" xr:uid="{00000000-0005-0000-0000-0000A0700000}"/>
    <cellStyle name="Normal 2 5 2 17" xfId="28858" xr:uid="{00000000-0005-0000-0000-0000A1700000}"/>
    <cellStyle name="Normal 2 5 2 18" xfId="28859" xr:uid="{00000000-0005-0000-0000-0000A2700000}"/>
    <cellStyle name="Normal 2 5 2 19" xfId="28860" xr:uid="{00000000-0005-0000-0000-0000A3700000}"/>
    <cellStyle name="Normal 2 5 2 2" xfId="28861" xr:uid="{00000000-0005-0000-0000-0000A4700000}"/>
    <cellStyle name="Normal 2 5 2 2 10" xfId="28862" xr:uid="{00000000-0005-0000-0000-0000A5700000}"/>
    <cellStyle name="Normal 2 5 2 2 11" xfId="28863" xr:uid="{00000000-0005-0000-0000-0000A6700000}"/>
    <cellStyle name="Normal 2 5 2 2 12" xfId="28864" xr:uid="{00000000-0005-0000-0000-0000A7700000}"/>
    <cellStyle name="Normal 2 5 2 2 13" xfId="28865" xr:uid="{00000000-0005-0000-0000-0000A8700000}"/>
    <cellStyle name="Normal 2 5 2 2 14" xfId="28866" xr:uid="{00000000-0005-0000-0000-0000A9700000}"/>
    <cellStyle name="Normal 2 5 2 2 15" xfId="28867" xr:uid="{00000000-0005-0000-0000-0000AA700000}"/>
    <cellStyle name="Normal 2 5 2 2 16" xfId="28868" xr:uid="{00000000-0005-0000-0000-0000AB700000}"/>
    <cellStyle name="Normal 2 5 2 2 17" xfId="28869" xr:uid="{00000000-0005-0000-0000-0000AC700000}"/>
    <cellStyle name="Normal 2 5 2 2 18" xfId="28870" xr:uid="{00000000-0005-0000-0000-0000AD700000}"/>
    <cellStyle name="Normal 2 5 2 2 19" xfId="28871" xr:uid="{00000000-0005-0000-0000-0000AE700000}"/>
    <cellStyle name="Normal 2 5 2 2 2" xfId="28872" xr:uid="{00000000-0005-0000-0000-0000AF700000}"/>
    <cellStyle name="Normal 2 5 2 2 20" xfId="28873" xr:uid="{00000000-0005-0000-0000-0000B0700000}"/>
    <cellStyle name="Normal 2 5 2 2 3" xfId="28874" xr:uid="{00000000-0005-0000-0000-0000B1700000}"/>
    <cellStyle name="Normal 2 5 2 2 4" xfId="28875" xr:uid="{00000000-0005-0000-0000-0000B2700000}"/>
    <cellStyle name="Normal 2 5 2 2 5" xfId="28876" xr:uid="{00000000-0005-0000-0000-0000B3700000}"/>
    <cellStyle name="Normal 2 5 2 2 6" xfId="28877" xr:uid="{00000000-0005-0000-0000-0000B4700000}"/>
    <cellStyle name="Normal 2 5 2 2 7" xfId="28878" xr:uid="{00000000-0005-0000-0000-0000B5700000}"/>
    <cellStyle name="Normal 2 5 2 2 8" xfId="28879" xr:uid="{00000000-0005-0000-0000-0000B6700000}"/>
    <cellStyle name="Normal 2 5 2 2 9" xfId="28880" xr:uid="{00000000-0005-0000-0000-0000B7700000}"/>
    <cellStyle name="Normal 2 5 2 20" xfId="28881" xr:uid="{00000000-0005-0000-0000-0000B8700000}"/>
    <cellStyle name="Normal 2 5 2 21" xfId="28882" xr:uid="{00000000-0005-0000-0000-0000B9700000}"/>
    <cellStyle name="Normal 2 5 2 22" xfId="28883" xr:uid="{00000000-0005-0000-0000-0000BA700000}"/>
    <cellStyle name="Normal 2 5 2 23" xfId="28884" xr:uid="{00000000-0005-0000-0000-0000BB700000}"/>
    <cellStyle name="Normal 2 5 2 3" xfId="28885" xr:uid="{00000000-0005-0000-0000-0000BC700000}"/>
    <cellStyle name="Normal 2 5 2 4" xfId="28886" xr:uid="{00000000-0005-0000-0000-0000BD700000}"/>
    <cellStyle name="Normal 2 5 2 5" xfId="28887" xr:uid="{00000000-0005-0000-0000-0000BE700000}"/>
    <cellStyle name="Normal 2 5 2 6" xfId="28888" xr:uid="{00000000-0005-0000-0000-0000BF700000}"/>
    <cellStyle name="Normal 2 5 2 7" xfId="28889" xr:uid="{00000000-0005-0000-0000-0000C0700000}"/>
    <cellStyle name="Normal 2 5 2 8" xfId="28890" xr:uid="{00000000-0005-0000-0000-0000C1700000}"/>
    <cellStyle name="Normal 2 5 2 9" xfId="28891" xr:uid="{00000000-0005-0000-0000-0000C2700000}"/>
    <cellStyle name="Normal 2 5 20" xfId="28892" xr:uid="{00000000-0005-0000-0000-0000C3700000}"/>
    <cellStyle name="Normal 2 5 21" xfId="28893" xr:uid="{00000000-0005-0000-0000-0000C4700000}"/>
    <cellStyle name="Normal 2 5 22" xfId="28894" xr:uid="{00000000-0005-0000-0000-0000C5700000}"/>
    <cellStyle name="Normal 2 5 23" xfId="28895" xr:uid="{00000000-0005-0000-0000-0000C6700000}"/>
    <cellStyle name="Normal 2 5 24" xfId="28896" xr:uid="{00000000-0005-0000-0000-0000C7700000}"/>
    <cellStyle name="Normal 2 5 25" xfId="28897" xr:uid="{00000000-0005-0000-0000-0000C8700000}"/>
    <cellStyle name="Normal 2 5 26" xfId="28898" xr:uid="{00000000-0005-0000-0000-0000C9700000}"/>
    <cellStyle name="Normal 2 5 27" xfId="28899" xr:uid="{00000000-0005-0000-0000-0000CA700000}"/>
    <cellStyle name="Normal 2 5 28" xfId="28900" xr:uid="{00000000-0005-0000-0000-0000CB700000}"/>
    <cellStyle name="Normal 2 5 29" xfId="28901" xr:uid="{00000000-0005-0000-0000-0000CC700000}"/>
    <cellStyle name="Normal 2 5 3" xfId="28902" xr:uid="{00000000-0005-0000-0000-0000CD700000}"/>
    <cellStyle name="Normal 2 5 3 2" xfId="28903" xr:uid="{00000000-0005-0000-0000-0000CE700000}"/>
    <cellStyle name="Normal 2 5 3 3" xfId="28904" xr:uid="{00000000-0005-0000-0000-0000CF700000}"/>
    <cellStyle name="Normal 2 5 3 4" xfId="28905" xr:uid="{00000000-0005-0000-0000-0000D0700000}"/>
    <cellStyle name="Normal 2 5 30" xfId="28906" xr:uid="{00000000-0005-0000-0000-0000D1700000}"/>
    <cellStyle name="Normal 2 5 31" xfId="28907" xr:uid="{00000000-0005-0000-0000-0000D2700000}"/>
    <cellStyle name="Normal 2 5 32" xfId="28908" xr:uid="{00000000-0005-0000-0000-0000D3700000}"/>
    <cellStyle name="Normal 2 5 33" xfId="28909" xr:uid="{00000000-0005-0000-0000-0000D4700000}"/>
    <cellStyle name="Normal 2 5 34" xfId="28910" xr:uid="{00000000-0005-0000-0000-0000D5700000}"/>
    <cellStyle name="Normal 2 5 35" xfId="28911" xr:uid="{00000000-0005-0000-0000-0000D6700000}"/>
    <cellStyle name="Normal 2 5 36" xfId="28839" xr:uid="{00000000-0005-0000-0000-0000D7700000}"/>
    <cellStyle name="Normal 2 5 4" xfId="28912" xr:uid="{00000000-0005-0000-0000-0000D8700000}"/>
    <cellStyle name="Normal 2 5 4 2" xfId="28913" xr:uid="{00000000-0005-0000-0000-0000D9700000}"/>
    <cellStyle name="Normal 2 5 5" xfId="28914" xr:uid="{00000000-0005-0000-0000-0000DA700000}"/>
    <cellStyle name="Normal 2 5 5 2" xfId="28915" xr:uid="{00000000-0005-0000-0000-0000DB700000}"/>
    <cellStyle name="Normal 2 5 6" xfId="28916" xr:uid="{00000000-0005-0000-0000-0000DC700000}"/>
    <cellStyle name="Normal 2 5 6 2" xfId="28917" xr:uid="{00000000-0005-0000-0000-0000DD700000}"/>
    <cellStyle name="Normal 2 5 7" xfId="28918" xr:uid="{00000000-0005-0000-0000-0000DE700000}"/>
    <cellStyle name="Normal 2 5 7 2" xfId="28919" xr:uid="{00000000-0005-0000-0000-0000DF700000}"/>
    <cellStyle name="Normal 2 5 8" xfId="28920" xr:uid="{00000000-0005-0000-0000-0000E0700000}"/>
    <cellStyle name="Normal 2 5 9" xfId="28921" xr:uid="{00000000-0005-0000-0000-0000E1700000}"/>
    <cellStyle name="Normal 2 50" xfId="28922" xr:uid="{00000000-0005-0000-0000-0000E2700000}"/>
    <cellStyle name="Normal 2 50 2" xfId="28923" xr:uid="{00000000-0005-0000-0000-0000E3700000}"/>
    <cellStyle name="Normal 2 50 3" xfId="28924" xr:uid="{00000000-0005-0000-0000-0000E4700000}"/>
    <cellStyle name="Normal 2 51" xfId="28925" xr:uid="{00000000-0005-0000-0000-0000E5700000}"/>
    <cellStyle name="Normal 2 51 2" xfId="28926" xr:uid="{00000000-0005-0000-0000-0000E6700000}"/>
    <cellStyle name="Normal 2 51 3" xfId="28927" xr:uid="{00000000-0005-0000-0000-0000E7700000}"/>
    <cellStyle name="Normal 2 51 4" xfId="28928" xr:uid="{00000000-0005-0000-0000-0000E8700000}"/>
    <cellStyle name="Normal 2 51 5" xfId="28929" xr:uid="{00000000-0005-0000-0000-0000E9700000}"/>
    <cellStyle name="Normal 2 52" xfId="28930" xr:uid="{00000000-0005-0000-0000-0000EA700000}"/>
    <cellStyle name="Normal 2 52 2" xfId="28931" xr:uid="{00000000-0005-0000-0000-0000EB700000}"/>
    <cellStyle name="Normal 2 52 3" xfId="28932" xr:uid="{00000000-0005-0000-0000-0000EC700000}"/>
    <cellStyle name="Normal 2 52 4" xfId="28933" xr:uid="{00000000-0005-0000-0000-0000ED700000}"/>
    <cellStyle name="Normal 2 52 5" xfId="28934" xr:uid="{00000000-0005-0000-0000-0000EE700000}"/>
    <cellStyle name="Normal 2 53" xfId="28935" xr:uid="{00000000-0005-0000-0000-0000EF700000}"/>
    <cellStyle name="Normal 2 53 2" xfId="28936" xr:uid="{00000000-0005-0000-0000-0000F0700000}"/>
    <cellStyle name="Normal 2 53 3" xfId="28937" xr:uid="{00000000-0005-0000-0000-0000F1700000}"/>
    <cellStyle name="Normal 2 53 4" xfId="28938" xr:uid="{00000000-0005-0000-0000-0000F2700000}"/>
    <cellStyle name="Normal 2 53 5" xfId="28939" xr:uid="{00000000-0005-0000-0000-0000F3700000}"/>
    <cellStyle name="Normal 2 54" xfId="28940" xr:uid="{00000000-0005-0000-0000-0000F4700000}"/>
    <cellStyle name="Normal 2 54 2" xfId="28941" xr:uid="{00000000-0005-0000-0000-0000F5700000}"/>
    <cellStyle name="Normal 2 54 3" xfId="28942" xr:uid="{00000000-0005-0000-0000-0000F6700000}"/>
    <cellStyle name="Normal 2 54 4" xfId="28943" xr:uid="{00000000-0005-0000-0000-0000F7700000}"/>
    <cellStyle name="Normal 2 54 5" xfId="28944" xr:uid="{00000000-0005-0000-0000-0000F8700000}"/>
    <cellStyle name="Normal 2 55" xfId="28945" xr:uid="{00000000-0005-0000-0000-0000F9700000}"/>
    <cellStyle name="Normal 2 55 2" xfId="28946" xr:uid="{00000000-0005-0000-0000-0000FA700000}"/>
    <cellStyle name="Normal 2 55 3" xfId="28947" xr:uid="{00000000-0005-0000-0000-0000FB700000}"/>
    <cellStyle name="Normal 2 55 4" xfId="28948" xr:uid="{00000000-0005-0000-0000-0000FC700000}"/>
    <cellStyle name="Normal 2 55 5" xfId="28949" xr:uid="{00000000-0005-0000-0000-0000FD700000}"/>
    <cellStyle name="Normal 2 56" xfId="28950" xr:uid="{00000000-0005-0000-0000-0000FE700000}"/>
    <cellStyle name="Normal 2 56 2" xfId="28951" xr:uid="{00000000-0005-0000-0000-0000FF700000}"/>
    <cellStyle name="Normal 2 56 3" xfId="28952" xr:uid="{00000000-0005-0000-0000-000000710000}"/>
    <cellStyle name="Normal 2 56 4" xfId="28953" xr:uid="{00000000-0005-0000-0000-000001710000}"/>
    <cellStyle name="Normal 2 56 5" xfId="28954" xr:uid="{00000000-0005-0000-0000-000002710000}"/>
    <cellStyle name="Normal 2 57" xfId="28955" xr:uid="{00000000-0005-0000-0000-000003710000}"/>
    <cellStyle name="Normal 2 57 2" xfId="28956" xr:uid="{00000000-0005-0000-0000-000004710000}"/>
    <cellStyle name="Normal 2 57 3" xfId="28957" xr:uid="{00000000-0005-0000-0000-000005710000}"/>
    <cellStyle name="Normal 2 57 4" xfId="28958" xr:uid="{00000000-0005-0000-0000-000006710000}"/>
    <cellStyle name="Normal 2 57 5" xfId="28959" xr:uid="{00000000-0005-0000-0000-000007710000}"/>
    <cellStyle name="Normal 2 58" xfId="28960" xr:uid="{00000000-0005-0000-0000-000008710000}"/>
    <cellStyle name="Normal 2 58 2" xfId="28961" xr:uid="{00000000-0005-0000-0000-000009710000}"/>
    <cellStyle name="Normal 2 58 3" xfId="28962" xr:uid="{00000000-0005-0000-0000-00000A710000}"/>
    <cellStyle name="Normal 2 58 4" xfId="28963" xr:uid="{00000000-0005-0000-0000-00000B710000}"/>
    <cellStyle name="Normal 2 58 5" xfId="28964" xr:uid="{00000000-0005-0000-0000-00000C710000}"/>
    <cellStyle name="Normal 2 59" xfId="28965" xr:uid="{00000000-0005-0000-0000-00000D710000}"/>
    <cellStyle name="Normal 2 59 2" xfId="28966" xr:uid="{00000000-0005-0000-0000-00000E710000}"/>
    <cellStyle name="Normal 2 59 3" xfId="28967" xr:uid="{00000000-0005-0000-0000-00000F710000}"/>
    <cellStyle name="Normal 2 59 4" xfId="28968" xr:uid="{00000000-0005-0000-0000-000010710000}"/>
    <cellStyle name="Normal 2 59 5" xfId="28969" xr:uid="{00000000-0005-0000-0000-000011710000}"/>
    <cellStyle name="Normal 2 6" xfId="28970" xr:uid="{00000000-0005-0000-0000-000012710000}"/>
    <cellStyle name="Normal 2 6 10" xfId="28971" xr:uid="{00000000-0005-0000-0000-000013710000}"/>
    <cellStyle name="Normal 2 6 11" xfId="28972" xr:uid="{00000000-0005-0000-0000-000014710000}"/>
    <cellStyle name="Normal 2 6 12" xfId="28973" xr:uid="{00000000-0005-0000-0000-000015710000}"/>
    <cellStyle name="Normal 2 6 13" xfId="28974" xr:uid="{00000000-0005-0000-0000-000016710000}"/>
    <cellStyle name="Normal 2 6 14" xfId="28975" xr:uid="{00000000-0005-0000-0000-000017710000}"/>
    <cellStyle name="Normal 2 6 15" xfId="28976" xr:uid="{00000000-0005-0000-0000-000018710000}"/>
    <cellStyle name="Normal 2 6 16" xfId="28977" xr:uid="{00000000-0005-0000-0000-000019710000}"/>
    <cellStyle name="Normal 2 6 17" xfId="28978" xr:uid="{00000000-0005-0000-0000-00001A710000}"/>
    <cellStyle name="Normal 2 6 18" xfId="28979" xr:uid="{00000000-0005-0000-0000-00001B710000}"/>
    <cellStyle name="Normal 2 6 19" xfId="28980" xr:uid="{00000000-0005-0000-0000-00001C710000}"/>
    <cellStyle name="Normal 2 6 2" xfId="28981" xr:uid="{00000000-0005-0000-0000-00001D710000}"/>
    <cellStyle name="Normal 2 6 2 10" xfId="28982" xr:uid="{00000000-0005-0000-0000-00001E710000}"/>
    <cellStyle name="Normal 2 6 2 11" xfId="28983" xr:uid="{00000000-0005-0000-0000-00001F710000}"/>
    <cellStyle name="Normal 2 6 2 12" xfId="28984" xr:uid="{00000000-0005-0000-0000-000020710000}"/>
    <cellStyle name="Normal 2 6 2 13" xfId="28985" xr:uid="{00000000-0005-0000-0000-000021710000}"/>
    <cellStyle name="Normal 2 6 2 14" xfId="28986" xr:uid="{00000000-0005-0000-0000-000022710000}"/>
    <cellStyle name="Normal 2 6 2 15" xfId="28987" xr:uid="{00000000-0005-0000-0000-000023710000}"/>
    <cellStyle name="Normal 2 6 2 16" xfId="28988" xr:uid="{00000000-0005-0000-0000-000024710000}"/>
    <cellStyle name="Normal 2 6 2 17" xfId="28989" xr:uid="{00000000-0005-0000-0000-000025710000}"/>
    <cellStyle name="Normal 2 6 2 18" xfId="28990" xr:uid="{00000000-0005-0000-0000-000026710000}"/>
    <cellStyle name="Normal 2 6 2 19" xfId="28991" xr:uid="{00000000-0005-0000-0000-000027710000}"/>
    <cellStyle name="Normal 2 6 2 2" xfId="28992" xr:uid="{00000000-0005-0000-0000-000028710000}"/>
    <cellStyle name="Normal 2 6 2 20" xfId="28993" xr:uid="{00000000-0005-0000-0000-000029710000}"/>
    <cellStyle name="Normal 2 6 2 21" xfId="28994" xr:uid="{00000000-0005-0000-0000-00002A710000}"/>
    <cellStyle name="Normal 2 6 2 3" xfId="28995" xr:uid="{00000000-0005-0000-0000-00002B710000}"/>
    <cellStyle name="Normal 2 6 2 4" xfId="28996" xr:uid="{00000000-0005-0000-0000-00002C710000}"/>
    <cellStyle name="Normal 2 6 2 5" xfId="28997" xr:uid="{00000000-0005-0000-0000-00002D710000}"/>
    <cellStyle name="Normal 2 6 2 6" xfId="28998" xr:uid="{00000000-0005-0000-0000-00002E710000}"/>
    <cellStyle name="Normal 2 6 2 7" xfId="28999" xr:uid="{00000000-0005-0000-0000-00002F710000}"/>
    <cellStyle name="Normal 2 6 2 8" xfId="29000" xr:uid="{00000000-0005-0000-0000-000030710000}"/>
    <cellStyle name="Normal 2 6 2 9" xfId="29001" xr:uid="{00000000-0005-0000-0000-000031710000}"/>
    <cellStyle name="Normal 2 6 20" xfId="29002" xr:uid="{00000000-0005-0000-0000-000032710000}"/>
    <cellStyle name="Normal 2 6 21" xfId="29003" xr:uid="{00000000-0005-0000-0000-000033710000}"/>
    <cellStyle name="Normal 2 6 22" xfId="29004" xr:uid="{00000000-0005-0000-0000-000034710000}"/>
    <cellStyle name="Normal 2 6 3" xfId="29005" xr:uid="{00000000-0005-0000-0000-000035710000}"/>
    <cellStyle name="Normal 2 6 4" xfId="29006" xr:uid="{00000000-0005-0000-0000-000036710000}"/>
    <cellStyle name="Normal 2 6 5" xfId="29007" xr:uid="{00000000-0005-0000-0000-000037710000}"/>
    <cellStyle name="Normal 2 6 6" xfId="29008" xr:uid="{00000000-0005-0000-0000-000038710000}"/>
    <cellStyle name="Normal 2 6 7" xfId="29009" xr:uid="{00000000-0005-0000-0000-000039710000}"/>
    <cellStyle name="Normal 2 6 8" xfId="29010" xr:uid="{00000000-0005-0000-0000-00003A710000}"/>
    <cellStyle name="Normal 2 6 9" xfId="29011" xr:uid="{00000000-0005-0000-0000-00003B710000}"/>
    <cellStyle name="Normal 2 60" xfId="29012" xr:uid="{00000000-0005-0000-0000-00003C710000}"/>
    <cellStyle name="Normal 2 60 2" xfId="29013" xr:uid="{00000000-0005-0000-0000-00003D710000}"/>
    <cellStyle name="Normal 2 60 3" xfId="29014" xr:uid="{00000000-0005-0000-0000-00003E710000}"/>
    <cellStyle name="Normal 2 61" xfId="29015" xr:uid="{00000000-0005-0000-0000-00003F710000}"/>
    <cellStyle name="Normal 2 61 2" xfId="29016" xr:uid="{00000000-0005-0000-0000-000040710000}"/>
    <cellStyle name="Normal 2 61 3" xfId="29017" xr:uid="{00000000-0005-0000-0000-000041710000}"/>
    <cellStyle name="Normal 2 62" xfId="29018" xr:uid="{00000000-0005-0000-0000-000042710000}"/>
    <cellStyle name="Normal 2 62 2" xfId="29019" xr:uid="{00000000-0005-0000-0000-000043710000}"/>
    <cellStyle name="Normal 2 62 3" xfId="29020" xr:uid="{00000000-0005-0000-0000-000044710000}"/>
    <cellStyle name="Normal 2 63" xfId="29021" xr:uid="{00000000-0005-0000-0000-000045710000}"/>
    <cellStyle name="Normal 2 63 2" xfId="29022" xr:uid="{00000000-0005-0000-0000-000046710000}"/>
    <cellStyle name="Normal 2 63 3" xfId="29023" xr:uid="{00000000-0005-0000-0000-000047710000}"/>
    <cellStyle name="Normal 2 64" xfId="29024" xr:uid="{00000000-0005-0000-0000-000048710000}"/>
    <cellStyle name="Normal 2 64 2" xfId="29025" xr:uid="{00000000-0005-0000-0000-000049710000}"/>
    <cellStyle name="Normal 2 64 3" xfId="29026" xr:uid="{00000000-0005-0000-0000-00004A710000}"/>
    <cellStyle name="Normal 2 65" xfId="29027" xr:uid="{00000000-0005-0000-0000-00004B710000}"/>
    <cellStyle name="Normal 2 65 2" xfId="29028" xr:uid="{00000000-0005-0000-0000-00004C710000}"/>
    <cellStyle name="Normal 2 65 3" xfId="29029" xr:uid="{00000000-0005-0000-0000-00004D710000}"/>
    <cellStyle name="Normal 2 66" xfId="29030" xr:uid="{00000000-0005-0000-0000-00004E710000}"/>
    <cellStyle name="Normal 2 66 2" xfId="29031" xr:uid="{00000000-0005-0000-0000-00004F710000}"/>
    <cellStyle name="Normal 2 66 3" xfId="29032" xr:uid="{00000000-0005-0000-0000-000050710000}"/>
    <cellStyle name="Normal 2 67" xfId="29033" xr:uid="{00000000-0005-0000-0000-000051710000}"/>
    <cellStyle name="Normal 2 67 2" xfId="29034" xr:uid="{00000000-0005-0000-0000-000052710000}"/>
    <cellStyle name="Normal 2 67 3" xfId="29035" xr:uid="{00000000-0005-0000-0000-000053710000}"/>
    <cellStyle name="Normal 2 68" xfId="29036" xr:uid="{00000000-0005-0000-0000-000054710000}"/>
    <cellStyle name="Normal 2 68 2" xfId="29037" xr:uid="{00000000-0005-0000-0000-000055710000}"/>
    <cellStyle name="Normal 2 68 3" xfId="29038" xr:uid="{00000000-0005-0000-0000-000056710000}"/>
    <cellStyle name="Normal 2 69" xfId="29039" xr:uid="{00000000-0005-0000-0000-000057710000}"/>
    <cellStyle name="Normal 2 69 2" xfId="29040" xr:uid="{00000000-0005-0000-0000-000058710000}"/>
    <cellStyle name="Normal 2 69 3" xfId="29041" xr:uid="{00000000-0005-0000-0000-000059710000}"/>
    <cellStyle name="Normal 2 7" xfId="29042" xr:uid="{00000000-0005-0000-0000-00005A710000}"/>
    <cellStyle name="Normal 2 7 2" xfId="29043" xr:uid="{00000000-0005-0000-0000-00005B710000}"/>
    <cellStyle name="Normal 2 7 3" xfId="29044" xr:uid="{00000000-0005-0000-0000-00005C710000}"/>
    <cellStyle name="Normal 2 70" xfId="29045" xr:uid="{00000000-0005-0000-0000-00005D710000}"/>
    <cellStyle name="Normal 2 70 2" xfId="29046" xr:uid="{00000000-0005-0000-0000-00005E710000}"/>
    <cellStyle name="Normal 2 70 3" xfId="29047" xr:uid="{00000000-0005-0000-0000-00005F710000}"/>
    <cellStyle name="Normal 2 71" xfId="29048" xr:uid="{00000000-0005-0000-0000-000060710000}"/>
    <cellStyle name="Normal 2 71 2" xfId="29049" xr:uid="{00000000-0005-0000-0000-000061710000}"/>
    <cellStyle name="Normal 2 71 3" xfId="29050" xr:uid="{00000000-0005-0000-0000-000062710000}"/>
    <cellStyle name="Normal 2 72" xfId="29051" xr:uid="{00000000-0005-0000-0000-000063710000}"/>
    <cellStyle name="Normal 2 72 2" xfId="29052" xr:uid="{00000000-0005-0000-0000-000064710000}"/>
    <cellStyle name="Normal 2 72 3" xfId="29053" xr:uid="{00000000-0005-0000-0000-000065710000}"/>
    <cellStyle name="Normal 2 73" xfId="29054" xr:uid="{00000000-0005-0000-0000-000066710000}"/>
    <cellStyle name="Normal 2 73 2" xfId="29055" xr:uid="{00000000-0005-0000-0000-000067710000}"/>
    <cellStyle name="Normal 2 73 3" xfId="29056" xr:uid="{00000000-0005-0000-0000-000068710000}"/>
    <cellStyle name="Normal 2 74" xfId="29057" xr:uid="{00000000-0005-0000-0000-000069710000}"/>
    <cellStyle name="Normal 2 74 2" xfId="29058" xr:uid="{00000000-0005-0000-0000-00006A710000}"/>
    <cellStyle name="Normal 2 74 3" xfId="29059" xr:uid="{00000000-0005-0000-0000-00006B710000}"/>
    <cellStyle name="Normal 2 75" xfId="29060" xr:uid="{00000000-0005-0000-0000-00006C710000}"/>
    <cellStyle name="Normal 2 76" xfId="29061" xr:uid="{00000000-0005-0000-0000-00006D710000}"/>
    <cellStyle name="Normal 2 77" xfId="29062" xr:uid="{00000000-0005-0000-0000-00006E710000}"/>
    <cellStyle name="Normal 2 78" xfId="29063" xr:uid="{00000000-0005-0000-0000-00006F710000}"/>
    <cellStyle name="Normal 2 79" xfId="29064" xr:uid="{00000000-0005-0000-0000-000070710000}"/>
    <cellStyle name="Normal 2 8" xfId="29065" xr:uid="{00000000-0005-0000-0000-000071710000}"/>
    <cellStyle name="Normal 2 8 2" xfId="29066" xr:uid="{00000000-0005-0000-0000-000072710000}"/>
    <cellStyle name="Normal 2 8 3" xfId="29067" xr:uid="{00000000-0005-0000-0000-000073710000}"/>
    <cellStyle name="Normal 2 80" xfId="29068" xr:uid="{00000000-0005-0000-0000-000074710000}"/>
    <cellStyle name="Normal 2 81" xfId="29069" xr:uid="{00000000-0005-0000-0000-000075710000}"/>
    <cellStyle name="Normal 2 82" xfId="29070" xr:uid="{00000000-0005-0000-0000-000076710000}"/>
    <cellStyle name="Normal 2 82 2" xfId="29071" xr:uid="{00000000-0005-0000-0000-000077710000}"/>
    <cellStyle name="Normal 2 82 2 2" xfId="29072" xr:uid="{00000000-0005-0000-0000-000078710000}"/>
    <cellStyle name="Normal 2 82 2 3" xfId="29073" xr:uid="{00000000-0005-0000-0000-000079710000}"/>
    <cellStyle name="Normal 2 82 3" xfId="29074" xr:uid="{00000000-0005-0000-0000-00007A710000}"/>
    <cellStyle name="Normal 2 82 4" xfId="29075" xr:uid="{00000000-0005-0000-0000-00007B710000}"/>
    <cellStyle name="Normal 2 83" xfId="29076" xr:uid="{00000000-0005-0000-0000-00007C710000}"/>
    <cellStyle name="Normal 2 83 2" xfId="29077" xr:uid="{00000000-0005-0000-0000-00007D710000}"/>
    <cellStyle name="Normal 2 84" xfId="29078" xr:uid="{00000000-0005-0000-0000-00007E710000}"/>
    <cellStyle name="Normal 2 84 2" xfId="29079" xr:uid="{00000000-0005-0000-0000-00007F710000}"/>
    <cellStyle name="Normal 2 85" xfId="29080" xr:uid="{00000000-0005-0000-0000-000080710000}"/>
    <cellStyle name="Normal 2 85 2" xfId="29081" xr:uid="{00000000-0005-0000-0000-000081710000}"/>
    <cellStyle name="Normal 2 85 2 2" xfId="29082" xr:uid="{00000000-0005-0000-0000-000082710000}"/>
    <cellStyle name="Normal 2 85 3" xfId="29083" xr:uid="{00000000-0005-0000-0000-000083710000}"/>
    <cellStyle name="Normal 2 85 4" xfId="29084" xr:uid="{00000000-0005-0000-0000-000084710000}"/>
    <cellStyle name="Normal 2 85 5" xfId="29085" xr:uid="{00000000-0005-0000-0000-000085710000}"/>
    <cellStyle name="Normal 2 86" xfId="29086" xr:uid="{00000000-0005-0000-0000-000086710000}"/>
    <cellStyle name="Normal 2 86 2" xfId="29087" xr:uid="{00000000-0005-0000-0000-000087710000}"/>
    <cellStyle name="Normal 2 86 2 2" xfId="29088" xr:uid="{00000000-0005-0000-0000-000088710000}"/>
    <cellStyle name="Normal 2 86 3" xfId="29089" xr:uid="{00000000-0005-0000-0000-000089710000}"/>
    <cellStyle name="Normal 2 87" xfId="29090" xr:uid="{00000000-0005-0000-0000-00008A710000}"/>
    <cellStyle name="Normal 2 87 2" xfId="29091" xr:uid="{00000000-0005-0000-0000-00008B710000}"/>
    <cellStyle name="Normal 2 87 3" xfId="29092" xr:uid="{00000000-0005-0000-0000-00008C710000}"/>
    <cellStyle name="Normal 2 87 4" xfId="29093" xr:uid="{00000000-0005-0000-0000-00008D710000}"/>
    <cellStyle name="Normal 2 87 5" xfId="29094" xr:uid="{00000000-0005-0000-0000-00008E710000}"/>
    <cellStyle name="Normal 2 88" xfId="29095" xr:uid="{00000000-0005-0000-0000-00008F710000}"/>
    <cellStyle name="Normal 2 88 2" xfId="29096" xr:uid="{00000000-0005-0000-0000-000090710000}"/>
    <cellStyle name="Normal 2 88 3" xfId="29097" xr:uid="{00000000-0005-0000-0000-000091710000}"/>
    <cellStyle name="Normal 2 88 4" xfId="29098" xr:uid="{00000000-0005-0000-0000-000092710000}"/>
    <cellStyle name="Normal 2 88 5" xfId="29099" xr:uid="{00000000-0005-0000-0000-000093710000}"/>
    <cellStyle name="Normal 2 89" xfId="29100" xr:uid="{00000000-0005-0000-0000-000094710000}"/>
    <cellStyle name="Normal 2 89 2" xfId="29101" xr:uid="{00000000-0005-0000-0000-000095710000}"/>
    <cellStyle name="Normal 2 9" xfId="29102" xr:uid="{00000000-0005-0000-0000-000096710000}"/>
    <cellStyle name="Normal 2 9 2" xfId="29103" xr:uid="{00000000-0005-0000-0000-000097710000}"/>
    <cellStyle name="Normal 2 9 3" xfId="29104" xr:uid="{00000000-0005-0000-0000-000098710000}"/>
    <cellStyle name="Normal 2 9 4" xfId="29105" xr:uid="{00000000-0005-0000-0000-000099710000}"/>
    <cellStyle name="Normal 2 9 5" xfId="29106" xr:uid="{00000000-0005-0000-0000-00009A710000}"/>
    <cellStyle name="Normal 2 9_Enlaces" xfId="29107" xr:uid="{00000000-0005-0000-0000-00009B710000}"/>
    <cellStyle name="Normal 2 90" xfId="29108" xr:uid="{00000000-0005-0000-0000-00009C710000}"/>
    <cellStyle name="Normal 2 90 2" xfId="29109" xr:uid="{00000000-0005-0000-0000-00009D710000}"/>
    <cellStyle name="Normal 2 91" xfId="29110" xr:uid="{00000000-0005-0000-0000-00009E710000}"/>
    <cellStyle name="Normal 2 91 2" xfId="29111" xr:uid="{00000000-0005-0000-0000-00009F710000}"/>
    <cellStyle name="Normal 2 92" xfId="29112" xr:uid="{00000000-0005-0000-0000-0000A0710000}"/>
    <cellStyle name="Normal 2 92 2" xfId="29113" xr:uid="{00000000-0005-0000-0000-0000A1710000}"/>
    <cellStyle name="Normal 2 93" xfId="29114" xr:uid="{00000000-0005-0000-0000-0000A2710000}"/>
    <cellStyle name="Normal 2 93 2" xfId="29115" xr:uid="{00000000-0005-0000-0000-0000A3710000}"/>
    <cellStyle name="Normal 2 94" xfId="29116" xr:uid="{00000000-0005-0000-0000-0000A4710000}"/>
    <cellStyle name="Normal 2 94 2" xfId="29117" xr:uid="{00000000-0005-0000-0000-0000A5710000}"/>
    <cellStyle name="Normal 2 95" xfId="29118" xr:uid="{00000000-0005-0000-0000-0000A6710000}"/>
    <cellStyle name="Normal 2 95 2" xfId="29119" xr:uid="{00000000-0005-0000-0000-0000A7710000}"/>
    <cellStyle name="Normal 2 96" xfId="29120" xr:uid="{00000000-0005-0000-0000-0000A8710000}"/>
    <cellStyle name="Normal 2 96 2" xfId="29121" xr:uid="{00000000-0005-0000-0000-0000A9710000}"/>
    <cellStyle name="Normal 2 97" xfId="29122" xr:uid="{00000000-0005-0000-0000-0000AA710000}"/>
    <cellStyle name="Normal 2 97 2" xfId="29123" xr:uid="{00000000-0005-0000-0000-0000AB710000}"/>
    <cellStyle name="Normal 2 98" xfId="29124" xr:uid="{00000000-0005-0000-0000-0000AC710000}"/>
    <cellStyle name="Normal 2 98 2" xfId="29125" xr:uid="{00000000-0005-0000-0000-0000AD710000}"/>
    <cellStyle name="Normal 2 99" xfId="29126" xr:uid="{00000000-0005-0000-0000-0000AE710000}"/>
    <cellStyle name="Normal 2 99 2" xfId="29127" xr:uid="{00000000-0005-0000-0000-0000AF710000}"/>
    <cellStyle name="Normal 20" xfId="29128" xr:uid="{00000000-0005-0000-0000-0000B0710000}"/>
    <cellStyle name="Normal 20 10" xfId="29129" xr:uid="{00000000-0005-0000-0000-0000B1710000}"/>
    <cellStyle name="Normal 20 11" xfId="29130" xr:uid="{00000000-0005-0000-0000-0000B2710000}"/>
    <cellStyle name="Normal 20 12" xfId="29131" xr:uid="{00000000-0005-0000-0000-0000B3710000}"/>
    <cellStyle name="Normal 20 13" xfId="29132" xr:uid="{00000000-0005-0000-0000-0000B4710000}"/>
    <cellStyle name="Normal 20 14" xfId="29133" xr:uid="{00000000-0005-0000-0000-0000B5710000}"/>
    <cellStyle name="Normal 20 15" xfId="29134" xr:uid="{00000000-0005-0000-0000-0000B6710000}"/>
    <cellStyle name="Normal 20 16" xfId="29135" xr:uid="{00000000-0005-0000-0000-0000B7710000}"/>
    <cellStyle name="Normal 20 17" xfId="29136" xr:uid="{00000000-0005-0000-0000-0000B8710000}"/>
    <cellStyle name="Normal 20 18" xfId="29137" xr:uid="{00000000-0005-0000-0000-0000B9710000}"/>
    <cellStyle name="Normal 20 19" xfId="29138" xr:uid="{00000000-0005-0000-0000-0000BA710000}"/>
    <cellStyle name="Normal 20 2" xfId="29139" xr:uid="{00000000-0005-0000-0000-0000BB710000}"/>
    <cellStyle name="Normal 20 2 2" xfId="29140" xr:uid="{00000000-0005-0000-0000-0000BC710000}"/>
    <cellStyle name="Normal 20 2 3" xfId="29141" xr:uid="{00000000-0005-0000-0000-0000BD710000}"/>
    <cellStyle name="Normal 20 2 4" xfId="29142" xr:uid="{00000000-0005-0000-0000-0000BE710000}"/>
    <cellStyle name="Normal 20 20" xfId="29143" xr:uid="{00000000-0005-0000-0000-0000BF710000}"/>
    <cellStyle name="Normal 20 21" xfId="29144" xr:uid="{00000000-0005-0000-0000-0000C0710000}"/>
    <cellStyle name="Normal 20 22" xfId="29145" xr:uid="{00000000-0005-0000-0000-0000C1710000}"/>
    <cellStyle name="Normal 20 23" xfId="29146" xr:uid="{00000000-0005-0000-0000-0000C2710000}"/>
    <cellStyle name="Normal 20 24" xfId="29147" xr:uid="{00000000-0005-0000-0000-0000C3710000}"/>
    <cellStyle name="Normal 20 25" xfId="29148" xr:uid="{00000000-0005-0000-0000-0000C4710000}"/>
    <cellStyle name="Normal 20 26" xfId="29149" xr:uid="{00000000-0005-0000-0000-0000C5710000}"/>
    <cellStyle name="Normal 20 3" xfId="29150" xr:uid="{00000000-0005-0000-0000-0000C6710000}"/>
    <cellStyle name="Normal 20 4" xfId="29151" xr:uid="{00000000-0005-0000-0000-0000C7710000}"/>
    <cellStyle name="Normal 20 5" xfId="29152" xr:uid="{00000000-0005-0000-0000-0000C8710000}"/>
    <cellStyle name="Normal 20 6" xfId="29153" xr:uid="{00000000-0005-0000-0000-0000C9710000}"/>
    <cellStyle name="Normal 20 7" xfId="29154" xr:uid="{00000000-0005-0000-0000-0000CA710000}"/>
    <cellStyle name="Normal 20 8" xfId="29155" xr:uid="{00000000-0005-0000-0000-0000CB710000}"/>
    <cellStyle name="Normal 20 9" xfId="29156" xr:uid="{00000000-0005-0000-0000-0000CC710000}"/>
    <cellStyle name="Normal 200" xfId="39232" xr:uid="{729482A8-8A0D-4C11-ADEE-7C73C9A18343}"/>
    <cellStyle name="Normal 201" xfId="39233" xr:uid="{F8558074-3957-4AFB-8F85-594567BB7AB4}"/>
    <cellStyle name="Normal 202" xfId="39234" xr:uid="{5F031282-A862-4D59-9C19-2123204028B4}"/>
    <cellStyle name="Normal 203" xfId="39235" xr:uid="{09065D28-D92D-4FA4-B02A-4A775C534BAF}"/>
    <cellStyle name="Normal 204" xfId="39236" xr:uid="{FFBD703D-743B-4D92-BBC7-53C0A30C6BD3}"/>
    <cellStyle name="Normal 205" xfId="39237" xr:uid="{02859D48-7BE5-4402-95B0-41B784FB339E}"/>
    <cellStyle name="Normal 206" xfId="39238" xr:uid="{022E3371-EB70-42D5-96CD-4F09470ADC31}"/>
    <cellStyle name="Normal 207" xfId="39239" xr:uid="{13FD3F7C-9BCE-4A59-BFE8-C0458E3CA35D}"/>
    <cellStyle name="Normal 208" xfId="39240" xr:uid="{4AC006FA-3372-46B4-BAA0-20CF2994CC71}"/>
    <cellStyle name="Normal 209" xfId="39241" xr:uid="{58B46305-5AF7-447D-A42D-7401AB2AF45E}"/>
    <cellStyle name="Normal 21" xfId="29157" xr:uid="{00000000-0005-0000-0000-0000CD710000}"/>
    <cellStyle name="Normal 21 10" xfId="29158" xr:uid="{00000000-0005-0000-0000-0000CE710000}"/>
    <cellStyle name="Normal 21 11" xfId="29159" xr:uid="{00000000-0005-0000-0000-0000CF710000}"/>
    <cellStyle name="Normal 21 12" xfId="29160" xr:uid="{00000000-0005-0000-0000-0000D0710000}"/>
    <cellStyle name="Normal 21 13" xfId="29161" xr:uid="{00000000-0005-0000-0000-0000D1710000}"/>
    <cellStyle name="Normal 21 14" xfId="29162" xr:uid="{00000000-0005-0000-0000-0000D2710000}"/>
    <cellStyle name="Normal 21 15" xfId="29163" xr:uid="{00000000-0005-0000-0000-0000D3710000}"/>
    <cellStyle name="Normal 21 16" xfId="29164" xr:uid="{00000000-0005-0000-0000-0000D4710000}"/>
    <cellStyle name="Normal 21 17" xfId="29165" xr:uid="{00000000-0005-0000-0000-0000D5710000}"/>
    <cellStyle name="Normal 21 18" xfId="29166" xr:uid="{00000000-0005-0000-0000-0000D6710000}"/>
    <cellStyle name="Normal 21 19" xfId="29167" xr:uid="{00000000-0005-0000-0000-0000D7710000}"/>
    <cellStyle name="Normal 21 2" xfId="29168" xr:uid="{00000000-0005-0000-0000-0000D8710000}"/>
    <cellStyle name="Normal 21 2 2" xfId="29169" xr:uid="{00000000-0005-0000-0000-0000D9710000}"/>
    <cellStyle name="Normal 21 2 3" xfId="29170" xr:uid="{00000000-0005-0000-0000-0000DA710000}"/>
    <cellStyle name="Normal 21 20" xfId="29171" xr:uid="{00000000-0005-0000-0000-0000DB710000}"/>
    <cellStyle name="Normal 21 21" xfId="29172" xr:uid="{00000000-0005-0000-0000-0000DC710000}"/>
    <cellStyle name="Normal 21 22" xfId="29173" xr:uid="{00000000-0005-0000-0000-0000DD710000}"/>
    <cellStyle name="Normal 21 23" xfId="29174" xr:uid="{00000000-0005-0000-0000-0000DE710000}"/>
    <cellStyle name="Normal 21 24" xfId="29175" xr:uid="{00000000-0005-0000-0000-0000DF710000}"/>
    <cellStyle name="Normal 21 25" xfId="29176" xr:uid="{00000000-0005-0000-0000-0000E0710000}"/>
    <cellStyle name="Normal 21 26" xfId="29177" xr:uid="{00000000-0005-0000-0000-0000E1710000}"/>
    <cellStyle name="Normal 21 3" xfId="29178" xr:uid="{00000000-0005-0000-0000-0000E2710000}"/>
    <cellStyle name="Normal 21 3 2" xfId="29179" xr:uid="{00000000-0005-0000-0000-0000E3710000}"/>
    <cellStyle name="Normal 21 3 3" xfId="29180" xr:uid="{00000000-0005-0000-0000-0000E4710000}"/>
    <cellStyle name="Normal 21 4" xfId="29181" xr:uid="{00000000-0005-0000-0000-0000E5710000}"/>
    <cellStyle name="Normal 21 5" xfId="29182" xr:uid="{00000000-0005-0000-0000-0000E6710000}"/>
    <cellStyle name="Normal 21 6" xfId="29183" xr:uid="{00000000-0005-0000-0000-0000E7710000}"/>
    <cellStyle name="Normal 21 7" xfId="29184" xr:uid="{00000000-0005-0000-0000-0000E8710000}"/>
    <cellStyle name="Normal 21 8" xfId="29185" xr:uid="{00000000-0005-0000-0000-0000E9710000}"/>
    <cellStyle name="Normal 21 9" xfId="29186" xr:uid="{00000000-0005-0000-0000-0000EA710000}"/>
    <cellStyle name="Normal 210" xfId="39242" xr:uid="{CC02FBAF-68F5-4BA0-854B-392EBE7F8C59}"/>
    <cellStyle name="Normal 211" xfId="39243" xr:uid="{A80269C7-B7E0-4999-9A6F-55934096208B}"/>
    <cellStyle name="Normal 212" xfId="39244" xr:uid="{DF49ED4F-A569-42CC-88B1-60DF3ADAB028}"/>
    <cellStyle name="Normal 213" xfId="39245" xr:uid="{C3E274A0-6D3C-40BF-B5EC-31226CEBF058}"/>
    <cellStyle name="Normal 214" xfId="39246" xr:uid="{B039948A-C1AF-45C5-AEF3-D9C5718DE4E8}"/>
    <cellStyle name="Normal 22" xfId="29187" xr:uid="{00000000-0005-0000-0000-0000EB710000}"/>
    <cellStyle name="Normal 22 10" xfId="29188" xr:uid="{00000000-0005-0000-0000-0000EC710000}"/>
    <cellStyle name="Normal 22 11" xfId="29189" xr:uid="{00000000-0005-0000-0000-0000ED710000}"/>
    <cellStyle name="Normal 22 12" xfId="29190" xr:uid="{00000000-0005-0000-0000-0000EE710000}"/>
    <cellStyle name="Normal 22 13" xfId="29191" xr:uid="{00000000-0005-0000-0000-0000EF710000}"/>
    <cellStyle name="Normal 22 14" xfId="29192" xr:uid="{00000000-0005-0000-0000-0000F0710000}"/>
    <cellStyle name="Normal 22 15" xfId="29193" xr:uid="{00000000-0005-0000-0000-0000F1710000}"/>
    <cellStyle name="Normal 22 16" xfId="29194" xr:uid="{00000000-0005-0000-0000-0000F2710000}"/>
    <cellStyle name="Normal 22 17" xfId="29195" xr:uid="{00000000-0005-0000-0000-0000F3710000}"/>
    <cellStyle name="Normal 22 18" xfId="29196" xr:uid="{00000000-0005-0000-0000-0000F4710000}"/>
    <cellStyle name="Normal 22 19" xfId="29197" xr:uid="{00000000-0005-0000-0000-0000F5710000}"/>
    <cellStyle name="Normal 22 2" xfId="29198" xr:uid="{00000000-0005-0000-0000-0000F6710000}"/>
    <cellStyle name="Normal 22 2 2" xfId="29199" xr:uid="{00000000-0005-0000-0000-0000F7710000}"/>
    <cellStyle name="Normal 22 2 3" xfId="29200" xr:uid="{00000000-0005-0000-0000-0000F8710000}"/>
    <cellStyle name="Normal 22 20" xfId="29201" xr:uid="{00000000-0005-0000-0000-0000F9710000}"/>
    <cellStyle name="Normal 22 21" xfId="29202" xr:uid="{00000000-0005-0000-0000-0000FA710000}"/>
    <cellStyle name="Normal 22 22" xfId="29203" xr:uid="{00000000-0005-0000-0000-0000FB710000}"/>
    <cellStyle name="Normal 22 23" xfId="29204" xr:uid="{00000000-0005-0000-0000-0000FC710000}"/>
    <cellStyle name="Normal 22 24" xfId="29205" xr:uid="{00000000-0005-0000-0000-0000FD710000}"/>
    <cellStyle name="Normal 22 25" xfId="29206" xr:uid="{00000000-0005-0000-0000-0000FE710000}"/>
    <cellStyle name="Normal 22 26" xfId="29207" xr:uid="{00000000-0005-0000-0000-0000FF710000}"/>
    <cellStyle name="Normal 22 3" xfId="29208" xr:uid="{00000000-0005-0000-0000-000000720000}"/>
    <cellStyle name="Normal 22 3 2" xfId="29209" xr:uid="{00000000-0005-0000-0000-000001720000}"/>
    <cellStyle name="Normal 22 3 3" xfId="29210" xr:uid="{00000000-0005-0000-0000-000002720000}"/>
    <cellStyle name="Normal 22 3 4" xfId="29211" xr:uid="{00000000-0005-0000-0000-000003720000}"/>
    <cellStyle name="Normal 22 3 5" xfId="29212" xr:uid="{00000000-0005-0000-0000-000004720000}"/>
    <cellStyle name="Normal 22 4" xfId="29213" xr:uid="{00000000-0005-0000-0000-000005720000}"/>
    <cellStyle name="Normal 22 5" xfId="29214" xr:uid="{00000000-0005-0000-0000-000006720000}"/>
    <cellStyle name="Normal 22 6" xfId="29215" xr:uid="{00000000-0005-0000-0000-000007720000}"/>
    <cellStyle name="Normal 22 7" xfId="29216" xr:uid="{00000000-0005-0000-0000-000008720000}"/>
    <cellStyle name="Normal 22 8" xfId="29217" xr:uid="{00000000-0005-0000-0000-000009720000}"/>
    <cellStyle name="Normal 22 9" xfId="29218" xr:uid="{00000000-0005-0000-0000-00000A720000}"/>
    <cellStyle name="Normal 23" xfId="29219" xr:uid="{00000000-0005-0000-0000-00000B720000}"/>
    <cellStyle name="Normal 23 10" xfId="29220" xr:uid="{00000000-0005-0000-0000-00000C720000}"/>
    <cellStyle name="Normal 23 11" xfId="29221" xr:uid="{00000000-0005-0000-0000-00000D720000}"/>
    <cellStyle name="Normal 23 12" xfId="29222" xr:uid="{00000000-0005-0000-0000-00000E720000}"/>
    <cellStyle name="Normal 23 13" xfId="29223" xr:uid="{00000000-0005-0000-0000-00000F720000}"/>
    <cellStyle name="Normal 23 14" xfId="29224" xr:uid="{00000000-0005-0000-0000-000010720000}"/>
    <cellStyle name="Normal 23 15" xfId="29225" xr:uid="{00000000-0005-0000-0000-000011720000}"/>
    <cellStyle name="Normal 23 16" xfId="29226" xr:uid="{00000000-0005-0000-0000-000012720000}"/>
    <cellStyle name="Normal 23 17" xfId="29227" xr:uid="{00000000-0005-0000-0000-000013720000}"/>
    <cellStyle name="Normal 23 18" xfId="29228" xr:uid="{00000000-0005-0000-0000-000014720000}"/>
    <cellStyle name="Normal 23 19" xfId="29229" xr:uid="{00000000-0005-0000-0000-000015720000}"/>
    <cellStyle name="Normal 23 2" xfId="29230" xr:uid="{00000000-0005-0000-0000-000016720000}"/>
    <cellStyle name="Normal 23 2 2" xfId="29231" xr:uid="{00000000-0005-0000-0000-000017720000}"/>
    <cellStyle name="Normal 23 2 3" xfId="29232" xr:uid="{00000000-0005-0000-0000-000018720000}"/>
    <cellStyle name="Normal 23 20" xfId="29233" xr:uid="{00000000-0005-0000-0000-000019720000}"/>
    <cellStyle name="Normal 23 21" xfId="29234" xr:uid="{00000000-0005-0000-0000-00001A720000}"/>
    <cellStyle name="Normal 23 22" xfId="29235" xr:uid="{00000000-0005-0000-0000-00001B720000}"/>
    <cellStyle name="Normal 23 23" xfId="29236" xr:uid="{00000000-0005-0000-0000-00001C720000}"/>
    <cellStyle name="Normal 23 24" xfId="29237" xr:uid="{00000000-0005-0000-0000-00001D720000}"/>
    <cellStyle name="Normal 23 25" xfId="29238" xr:uid="{00000000-0005-0000-0000-00001E720000}"/>
    <cellStyle name="Normal 23 26" xfId="29239" xr:uid="{00000000-0005-0000-0000-00001F720000}"/>
    <cellStyle name="Normal 23 3" xfId="29240" xr:uid="{00000000-0005-0000-0000-000020720000}"/>
    <cellStyle name="Normal 23 3 2" xfId="29241" xr:uid="{00000000-0005-0000-0000-000021720000}"/>
    <cellStyle name="Normal 23 3 3" xfId="29242" xr:uid="{00000000-0005-0000-0000-000022720000}"/>
    <cellStyle name="Normal 23 3 4" xfId="29243" xr:uid="{00000000-0005-0000-0000-000023720000}"/>
    <cellStyle name="Normal 23 3 5" xfId="29244" xr:uid="{00000000-0005-0000-0000-000024720000}"/>
    <cellStyle name="Normal 23 4" xfId="29245" xr:uid="{00000000-0005-0000-0000-000025720000}"/>
    <cellStyle name="Normal 23 5" xfId="29246" xr:uid="{00000000-0005-0000-0000-000026720000}"/>
    <cellStyle name="Normal 23 6" xfId="29247" xr:uid="{00000000-0005-0000-0000-000027720000}"/>
    <cellStyle name="Normal 23 7" xfId="29248" xr:uid="{00000000-0005-0000-0000-000028720000}"/>
    <cellStyle name="Normal 23 8" xfId="29249" xr:uid="{00000000-0005-0000-0000-000029720000}"/>
    <cellStyle name="Normal 23 9" xfId="29250" xr:uid="{00000000-0005-0000-0000-00002A720000}"/>
    <cellStyle name="Normal 24" xfId="29251" xr:uid="{00000000-0005-0000-0000-00002B720000}"/>
    <cellStyle name="Normal 24 10" xfId="29252" xr:uid="{00000000-0005-0000-0000-00002C720000}"/>
    <cellStyle name="Normal 24 11" xfId="29253" xr:uid="{00000000-0005-0000-0000-00002D720000}"/>
    <cellStyle name="Normal 24 12" xfId="29254" xr:uid="{00000000-0005-0000-0000-00002E720000}"/>
    <cellStyle name="Normal 24 13" xfId="29255" xr:uid="{00000000-0005-0000-0000-00002F720000}"/>
    <cellStyle name="Normal 24 14" xfId="29256" xr:uid="{00000000-0005-0000-0000-000030720000}"/>
    <cellStyle name="Normal 24 15" xfId="29257" xr:uid="{00000000-0005-0000-0000-000031720000}"/>
    <cellStyle name="Normal 24 16" xfId="29258" xr:uid="{00000000-0005-0000-0000-000032720000}"/>
    <cellStyle name="Normal 24 17" xfId="29259" xr:uid="{00000000-0005-0000-0000-000033720000}"/>
    <cellStyle name="Normal 24 18" xfId="29260" xr:uid="{00000000-0005-0000-0000-000034720000}"/>
    <cellStyle name="Normal 24 19" xfId="29261" xr:uid="{00000000-0005-0000-0000-000035720000}"/>
    <cellStyle name="Normal 24 2" xfId="29262" xr:uid="{00000000-0005-0000-0000-000036720000}"/>
    <cellStyle name="Normal 24 20" xfId="29263" xr:uid="{00000000-0005-0000-0000-000037720000}"/>
    <cellStyle name="Normal 24 21" xfId="29264" xr:uid="{00000000-0005-0000-0000-000038720000}"/>
    <cellStyle name="Normal 24 22" xfId="29265" xr:uid="{00000000-0005-0000-0000-000039720000}"/>
    <cellStyle name="Normal 24 23" xfId="29266" xr:uid="{00000000-0005-0000-0000-00003A720000}"/>
    <cellStyle name="Normal 24 24" xfId="29267" xr:uid="{00000000-0005-0000-0000-00003B720000}"/>
    <cellStyle name="Normal 24 25" xfId="29268" xr:uid="{00000000-0005-0000-0000-00003C720000}"/>
    <cellStyle name="Normal 24 26" xfId="29269" xr:uid="{00000000-0005-0000-0000-00003D720000}"/>
    <cellStyle name="Normal 24 27" xfId="29270" xr:uid="{00000000-0005-0000-0000-00003E720000}"/>
    <cellStyle name="Normal 24 3" xfId="29271" xr:uid="{00000000-0005-0000-0000-00003F720000}"/>
    <cellStyle name="Normal 24 4" xfId="29272" xr:uid="{00000000-0005-0000-0000-000040720000}"/>
    <cellStyle name="Normal 24 5" xfId="29273" xr:uid="{00000000-0005-0000-0000-000041720000}"/>
    <cellStyle name="Normal 24 6" xfId="29274" xr:uid="{00000000-0005-0000-0000-000042720000}"/>
    <cellStyle name="Normal 24 7" xfId="29275" xr:uid="{00000000-0005-0000-0000-000043720000}"/>
    <cellStyle name="Normal 24 8" xfId="29276" xr:uid="{00000000-0005-0000-0000-000044720000}"/>
    <cellStyle name="Normal 24 9" xfId="29277" xr:uid="{00000000-0005-0000-0000-000045720000}"/>
    <cellStyle name="Normal 25" xfId="29278" xr:uid="{00000000-0005-0000-0000-000046720000}"/>
    <cellStyle name="Normal 25 10" xfId="29279" xr:uid="{00000000-0005-0000-0000-000047720000}"/>
    <cellStyle name="Normal 25 11" xfId="29280" xr:uid="{00000000-0005-0000-0000-000048720000}"/>
    <cellStyle name="Normal 25 12" xfId="29281" xr:uid="{00000000-0005-0000-0000-000049720000}"/>
    <cellStyle name="Normal 25 13" xfId="29282" xr:uid="{00000000-0005-0000-0000-00004A720000}"/>
    <cellStyle name="Normal 25 14" xfId="29283" xr:uid="{00000000-0005-0000-0000-00004B720000}"/>
    <cellStyle name="Normal 25 15" xfId="29284" xr:uid="{00000000-0005-0000-0000-00004C720000}"/>
    <cellStyle name="Normal 25 16" xfId="29285" xr:uid="{00000000-0005-0000-0000-00004D720000}"/>
    <cellStyle name="Normal 25 17" xfId="29286" xr:uid="{00000000-0005-0000-0000-00004E720000}"/>
    <cellStyle name="Normal 25 18" xfId="29287" xr:uid="{00000000-0005-0000-0000-00004F720000}"/>
    <cellStyle name="Normal 25 19" xfId="29288" xr:uid="{00000000-0005-0000-0000-000050720000}"/>
    <cellStyle name="Normal 25 2" xfId="29289" xr:uid="{00000000-0005-0000-0000-000051720000}"/>
    <cellStyle name="Normal 25 20" xfId="29290" xr:uid="{00000000-0005-0000-0000-000052720000}"/>
    <cellStyle name="Normal 25 21" xfId="29291" xr:uid="{00000000-0005-0000-0000-000053720000}"/>
    <cellStyle name="Normal 25 22" xfId="29292" xr:uid="{00000000-0005-0000-0000-000054720000}"/>
    <cellStyle name="Normal 25 23" xfId="29293" xr:uid="{00000000-0005-0000-0000-000055720000}"/>
    <cellStyle name="Normal 25 24" xfId="29294" xr:uid="{00000000-0005-0000-0000-000056720000}"/>
    <cellStyle name="Normal 25 25" xfId="29295" xr:uid="{00000000-0005-0000-0000-000057720000}"/>
    <cellStyle name="Normal 25 3" xfId="29296" xr:uid="{00000000-0005-0000-0000-000058720000}"/>
    <cellStyle name="Normal 25 4" xfId="29297" xr:uid="{00000000-0005-0000-0000-000059720000}"/>
    <cellStyle name="Normal 25 5" xfId="29298" xr:uid="{00000000-0005-0000-0000-00005A720000}"/>
    <cellStyle name="Normal 25 6" xfId="29299" xr:uid="{00000000-0005-0000-0000-00005B720000}"/>
    <cellStyle name="Normal 25 7" xfId="29300" xr:uid="{00000000-0005-0000-0000-00005C720000}"/>
    <cellStyle name="Normal 25 8" xfId="29301" xr:uid="{00000000-0005-0000-0000-00005D720000}"/>
    <cellStyle name="Normal 25 9" xfId="29302" xr:uid="{00000000-0005-0000-0000-00005E720000}"/>
    <cellStyle name="Normal 26" xfId="29303" xr:uid="{00000000-0005-0000-0000-00005F720000}"/>
    <cellStyle name="Normal 26 10" xfId="29304" xr:uid="{00000000-0005-0000-0000-000060720000}"/>
    <cellStyle name="Normal 26 11" xfId="29305" xr:uid="{00000000-0005-0000-0000-000061720000}"/>
    <cellStyle name="Normal 26 12" xfId="29306" xr:uid="{00000000-0005-0000-0000-000062720000}"/>
    <cellStyle name="Normal 26 13" xfId="29307" xr:uid="{00000000-0005-0000-0000-000063720000}"/>
    <cellStyle name="Normal 26 14" xfId="29308" xr:uid="{00000000-0005-0000-0000-000064720000}"/>
    <cellStyle name="Normal 26 15" xfId="29309" xr:uid="{00000000-0005-0000-0000-000065720000}"/>
    <cellStyle name="Normal 26 16" xfId="29310" xr:uid="{00000000-0005-0000-0000-000066720000}"/>
    <cellStyle name="Normal 26 17" xfId="29311" xr:uid="{00000000-0005-0000-0000-000067720000}"/>
    <cellStyle name="Normal 26 18" xfId="29312" xr:uid="{00000000-0005-0000-0000-000068720000}"/>
    <cellStyle name="Normal 26 19" xfId="29313" xr:uid="{00000000-0005-0000-0000-000069720000}"/>
    <cellStyle name="Normal 26 2" xfId="29314" xr:uid="{00000000-0005-0000-0000-00006A720000}"/>
    <cellStyle name="Normal 26 20" xfId="29315" xr:uid="{00000000-0005-0000-0000-00006B720000}"/>
    <cellStyle name="Normal 26 21" xfId="29316" xr:uid="{00000000-0005-0000-0000-00006C720000}"/>
    <cellStyle name="Normal 26 22" xfId="29317" xr:uid="{00000000-0005-0000-0000-00006D720000}"/>
    <cellStyle name="Normal 26 23" xfId="29318" xr:uid="{00000000-0005-0000-0000-00006E720000}"/>
    <cellStyle name="Normal 26 24" xfId="29319" xr:uid="{00000000-0005-0000-0000-00006F720000}"/>
    <cellStyle name="Normal 26 25" xfId="29320" xr:uid="{00000000-0005-0000-0000-000070720000}"/>
    <cellStyle name="Normal 26 3" xfId="29321" xr:uid="{00000000-0005-0000-0000-000071720000}"/>
    <cellStyle name="Normal 26 4" xfId="29322" xr:uid="{00000000-0005-0000-0000-000072720000}"/>
    <cellStyle name="Normal 26 5" xfId="29323" xr:uid="{00000000-0005-0000-0000-000073720000}"/>
    <cellStyle name="Normal 26 6" xfId="29324" xr:uid="{00000000-0005-0000-0000-000074720000}"/>
    <cellStyle name="Normal 26 7" xfId="29325" xr:uid="{00000000-0005-0000-0000-000075720000}"/>
    <cellStyle name="Normal 26 8" xfId="29326" xr:uid="{00000000-0005-0000-0000-000076720000}"/>
    <cellStyle name="Normal 26 9" xfId="29327" xr:uid="{00000000-0005-0000-0000-000077720000}"/>
    <cellStyle name="Normal 27" xfId="29328" xr:uid="{00000000-0005-0000-0000-000078720000}"/>
    <cellStyle name="Normal 27 2" xfId="29329" xr:uid="{00000000-0005-0000-0000-000079720000}"/>
    <cellStyle name="Normal 28" xfId="29330" xr:uid="{00000000-0005-0000-0000-00007A720000}"/>
    <cellStyle name="Normal 28 10" xfId="29331" xr:uid="{00000000-0005-0000-0000-00007B720000}"/>
    <cellStyle name="Normal 28 11" xfId="29332" xr:uid="{00000000-0005-0000-0000-00007C720000}"/>
    <cellStyle name="Normal 28 12" xfId="29333" xr:uid="{00000000-0005-0000-0000-00007D720000}"/>
    <cellStyle name="Normal 28 13" xfId="29334" xr:uid="{00000000-0005-0000-0000-00007E720000}"/>
    <cellStyle name="Normal 28 14" xfId="29335" xr:uid="{00000000-0005-0000-0000-00007F720000}"/>
    <cellStyle name="Normal 28 15" xfId="29336" xr:uid="{00000000-0005-0000-0000-000080720000}"/>
    <cellStyle name="Normal 28 16" xfId="29337" xr:uid="{00000000-0005-0000-0000-000081720000}"/>
    <cellStyle name="Normal 28 17" xfId="29338" xr:uid="{00000000-0005-0000-0000-000082720000}"/>
    <cellStyle name="Normal 28 18" xfId="29339" xr:uid="{00000000-0005-0000-0000-000083720000}"/>
    <cellStyle name="Normal 28 19" xfId="29340" xr:uid="{00000000-0005-0000-0000-000084720000}"/>
    <cellStyle name="Normal 28 2" xfId="29341" xr:uid="{00000000-0005-0000-0000-000085720000}"/>
    <cellStyle name="Normal 28 2 2" xfId="29342" xr:uid="{00000000-0005-0000-0000-000086720000}"/>
    <cellStyle name="Normal 28 2 3" xfId="29343" xr:uid="{00000000-0005-0000-0000-000087720000}"/>
    <cellStyle name="Normal 28 20" xfId="29344" xr:uid="{00000000-0005-0000-0000-000088720000}"/>
    <cellStyle name="Normal 28 21" xfId="29345" xr:uid="{00000000-0005-0000-0000-000089720000}"/>
    <cellStyle name="Normal 28 22" xfId="29346" xr:uid="{00000000-0005-0000-0000-00008A720000}"/>
    <cellStyle name="Normal 28 23" xfId="29347" xr:uid="{00000000-0005-0000-0000-00008B720000}"/>
    <cellStyle name="Normal 28 24" xfId="29348" xr:uid="{00000000-0005-0000-0000-00008C720000}"/>
    <cellStyle name="Normal 28 25" xfId="29349" xr:uid="{00000000-0005-0000-0000-00008D720000}"/>
    <cellStyle name="Normal 28 26" xfId="29350" xr:uid="{00000000-0005-0000-0000-00008E720000}"/>
    <cellStyle name="Normal 28 3" xfId="29351" xr:uid="{00000000-0005-0000-0000-00008F720000}"/>
    <cellStyle name="Normal 28 3 2" xfId="29352" xr:uid="{00000000-0005-0000-0000-000090720000}"/>
    <cellStyle name="Normal 28 3 3" xfId="29353" xr:uid="{00000000-0005-0000-0000-000091720000}"/>
    <cellStyle name="Normal 28 4" xfId="29354" xr:uid="{00000000-0005-0000-0000-000092720000}"/>
    <cellStyle name="Normal 28 5" xfId="29355" xr:uid="{00000000-0005-0000-0000-000093720000}"/>
    <cellStyle name="Normal 28 6" xfId="29356" xr:uid="{00000000-0005-0000-0000-000094720000}"/>
    <cellStyle name="Normal 28 7" xfId="29357" xr:uid="{00000000-0005-0000-0000-000095720000}"/>
    <cellStyle name="Normal 28 8" xfId="29358" xr:uid="{00000000-0005-0000-0000-000096720000}"/>
    <cellStyle name="Normal 28 9" xfId="29359" xr:uid="{00000000-0005-0000-0000-000097720000}"/>
    <cellStyle name="Normal 29" xfId="29360" xr:uid="{00000000-0005-0000-0000-000098720000}"/>
    <cellStyle name="Normal 29 10" xfId="29361" xr:uid="{00000000-0005-0000-0000-000099720000}"/>
    <cellStyle name="Normal 29 11" xfId="29362" xr:uid="{00000000-0005-0000-0000-00009A720000}"/>
    <cellStyle name="Normal 29 12" xfId="29363" xr:uid="{00000000-0005-0000-0000-00009B720000}"/>
    <cellStyle name="Normal 29 13" xfId="29364" xr:uid="{00000000-0005-0000-0000-00009C720000}"/>
    <cellStyle name="Normal 29 14" xfId="29365" xr:uid="{00000000-0005-0000-0000-00009D720000}"/>
    <cellStyle name="Normal 29 15" xfId="29366" xr:uid="{00000000-0005-0000-0000-00009E720000}"/>
    <cellStyle name="Normal 29 16" xfId="29367" xr:uid="{00000000-0005-0000-0000-00009F720000}"/>
    <cellStyle name="Normal 29 17" xfId="29368" xr:uid="{00000000-0005-0000-0000-0000A0720000}"/>
    <cellStyle name="Normal 29 18" xfId="29369" xr:uid="{00000000-0005-0000-0000-0000A1720000}"/>
    <cellStyle name="Normal 29 19" xfId="29370" xr:uid="{00000000-0005-0000-0000-0000A2720000}"/>
    <cellStyle name="Normal 29 2" xfId="29371" xr:uid="{00000000-0005-0000-0000-0000A3720000}"/>
    <cellStyle name="Normal 29 2 2" xfId="29372" xr:uid="{00000000-0005-0000-0000-0000A4720000}"/>
    <cellStyle name="Normal 29 2 3" xfId="29373" xr:uid="{00000000-0005-0000-0000-0000A5720000}"/>
    <cellStyle name="Normal 29 20" xfId="29374" xr:uid="{00000000-0005-0000-0000-0000A6720000}"/>
    <cellStyle name="Normal 29 21" xfId="29375" xr:uid="{00000000-0005-0000-0000-0000A7720000}"/>
    <cellStyle name="Normal 29 22" xfId="29376" xr:uid="{00000000-0005-0000-0000-0000A8720000}"/>
    <cellStyle name="Normal 29 23" xfId="29377" xr:uid="{00000000-0005-0000-0000-0000A9720000}"/>
    <cellStyle name="Normal 29 24" xfId="29378" xr:uid="{00000000-0005-0000-0000-0000AA720000}"/>
    <cellStyle name="Normal 29 25" xfId="29379" xr:uid="{00000000-0005-0000-0000-0000AB720000}"/>
    <cellStyle name="Normal 29 26" xfId="29380" xr:uid="{00000000-0005-0000-0000-0000AC720000}"/>
    <cellStyle name="Normal 29 3" xfId="29381" xr:uid="{00000000-0005-0000-0000-0000AD720000}"/>
    <cellStyle name="Normal 29 3 2" xfId="29382" xr:uid="{00000000-0005-0000-0000-0000AE720000}"/>
    <cellStyle name="Normal 29 3 3" xfId="29383" xr:uid="{00000000-0005-0000-0000-0000AF720000}"/>
    <cellStyle name="Normal 29 4" xfId="29384" xr:uid="{00000000-0005-0000-0000-0000B0720000}"/>
    <cellStyle name="Normal 29 5" xfId="29385" xr:uid="{00000000-0005-0000-0000-0000B1720000}"/>
    <cellStyle name="Normal 29 6" xfId="29386" xr:uid="{00000000-0005-0000-0000-0000B2720000}"/>
    <cellStyle name="Normal 29 7" xfId="29387" xr:uid="{00000000-0005-0000-0000-0000B3720000}"/>
    <cellStyle name="Normal 29 8" xfId="29388" xr:uid="{00000000-0005-0000-0000-0000B4720000}"/>
    <cellStyle name="Normal 29 9" xfId="29389" xr:uid="{00000000-0005-0000-0000-0000B5720000}"/>
    <cellStyle name="Normal 3" xfId="13" xr:uid="{00000000-0005-0000-0000-0000B6720000}"/>
    <cellStyle name="Normal 3 10" xfId="29391" xr:uid="{00000000-0005-0000-0000-0000B7720000}"/>
    <cellStyle name="Normal 3 10 2" xfId="29392" xr:uid="{00000000-0005-0000-0000-0000B8720000}"/>
    <cellStyle name="Normal 3 10 3" xfId="29393" xr:uid="{00000000-0005-0000-0000-0000B9720000}"/>
    <cellStyle name="Normal 3 10 4" xfId="29394" xr:uid="{00000000-0005-0000-0000-0000BA720000}"/>
    <cellStyle name="Normal 3 10 5" xfId="29395" xr:uid="{00000000-0005-0000-0000-0000BB720000}"/>
    <cellStyle name="Normal 3 10 6" xfId="29396" xr:uid="{00000000-0005-0000-0000-0000BC720000}"/>
    <cellStyle name="Normal 3 10_Enlaces" xfId="29397" xr:uid="{00000000-0005-0000-0000-0000BD720000}"/>
    <cellStyle name="Normal 3 100" xfId="29398" xr:uid="{00000000-0005-0000-0000-0000BE720000}"/>
    <cellStyle name="Normal 3 100 2" xfId="29399" xr:uid="{00000000-0005-0000-0000-0000BF720000}"/>
    <cellStyle name="Normal 3 100 3" xfId="29400" xr:uid="{00000000-0005-0000-0000-0000C0720000}"/>
    <cellStyle name="Normal 3 101" xfId="29401" xr:uid="{00000000-0005-0000-0000-0000C1720000}"/>
    <cellStyle name="Normal 3 101 2" xfId="29402" xr:uid="{00000000-0005-0000-0000-0000C2720000}"/>
    <cellStyle name="Normal 3 101 3" xfId="29403" xr:uid="{00000000-0005-0000-0000-0000C3720000}"/>
    <cellStyle name="Normal 3 102" xfId="29404" xr:uid="{00000000-0005-0000-0000-0000C4720000}"/>
    <cellStyle name="Normal 3 102 2" xfId="29405" xr:uid="{00000000-0005-0000-0000-0000C5720000}"/>
    <cellStyle name="Normal 3 102 3" xfId="29406" xr:uid="{00000000-0005-0000-0000-0000C6720000}"/>
    <cellStyle name="Normal 3 103" xfId="29407" xr:uid="{00000000-0005-0000-0000-0000C7720000}"/>
    <cellStyle name="Normal 3 103 2" xfId="29408" xr:uid="{00000000-0005-0000-0000-0000C8720000}"/>
    <cellStyle name="Normal 3 103 3" xfId="29409" xr:uid="{00000000-0005-0000-0000-0000C9720000}"/>
    <cellStyle name="Normal 3 104" xfId="29410" xr:uid="{00000000-0005-0000-0000-0000CA720000}"/>
    <cellStyle name="Normal 3 104 2" xfId="29411" xr:uid="{00000000-0005-0000-0000-0000CB720000}"/>
    <cellStyle name="Normal 3 104 3" xfId="29412" xr:uid="{00000000-0005-0000-0000-0000CC720000}"/>
    <cellStyle name="Normal 3 105" xfId="29413" xr:uid="{00000000-0005-0000-0000-0000CD720000}"/>
    <cellStyle name="Normal 3 105 2" xfId="29414" xr:uid="{00000000-0005-0000-0000-0000CE720000}"/>
    <cellStyle name="Normal 3 105 3" xfId="29415" xr:uid="{00000000-0005-0000-0000-0000CF720000}"/>
    <cellStyle name="Normal 3 106" xfId="29416" xr:uid="{00000000-0005-0000-0000-0000D0720000}"/>
    <cellStyle name="Normal 3 106 2" xfId="29417" xr:uid="{00000000-0005-0000-0000-0000D1720000}"/>
    <cellStyle name="Normal 3 106 3" xfId="29418" xr:uid="{00000000-0005-0000-0000-0000D2720000}"/>
    <cellStyle name="Normal 3 107" xfId="29419" xr:uid="{00000000-0005-0000-0000-0000D3720000}"/>
    <cellStyle name="Normal 3 107 2" xfId="29420" xr:uid="{00000000-0005-0000-0000-0000D4720000}"/>
    <cellStyle name="Normal 3 107 3" xfId="29421" xr:uid="{00000000-0005-0000-0000-0000D5720000}"/>
    <cellStyle name="Normal 3 108" xfId="29422" xr:uid="{00000000-0005-0000-0000-0000D6720000}"/>
    <cellStyle name="Normal 3 108 2" xfId="29423" xr:uid="{00000000-0005-0000-0000-0000D7720000}"/>
    <cellStyle name="Normal 3 108 3" xfId="29424" xr:uid="{00000000-0005-0000-0000-0000D8720000}"/>
    <cellStyle name="Normal 3 109" xfId="29425" xr:uid="{00000000-0005-0000-0000-0000D9720000}"/>
    <cellStyle name="Normal 3 109 2" xfId="29426" xr:uid="{00000000-0005-0000-0000-0000DA720000}"/>
    <cellStyle name="Normal 3 109 3" xfId="29427" xr:uid="{00000000-0005-0000-0000-0000DB720000}"/>
    <cellStyle name="Normal 3 11" xfId="29428" xr:uid="{00000000-0005-0000-0000-0000DC720000}"/>
    <cellStyle name="Normal 3 11 2" xfId="29429" xr:uid="{00000000-0005-0000-0000-0000DD720000}"/>
    <cellStyle name="Normal 3 11 3" xfId="29430" xr:uid="{00000000-0005-0000-0000-0000DE720000}"/>
    <cellStyle name="Normal 3 11 4" xfId="29431" xr:uid="{00000000-0005-0000-0000-0000DF720000}"/>
    <cellStyle name="Normal 3 11_Enlaces" xfId="29432" xr:uid="{00000000-0005-0000-0000-0000E0720000}"/>
    <cellStyle name="Normal 3 110" xfId="29433" xr:uid="{00000000-0005-0000-0000-0000E1720000}"/>
    <cellStyle name="Normal 3 110 2" xfId="29434" xr:uid="{00000000-0005-0000-0000-0000E2720000}"/>
    <cellStyle name="Normal 3 110 3" xfId="29435" xr:uid="{00000000-0005-0000-0000-0000E3720000}"/>
    <cellStyle name="Normal 3 111" xfId="29436" xr:uid="{00000000-0005-0000-0000-0000E4720000}"/>
    <cellStyle name="Normal 3 111 2" xfId="29437" xr:uid="{00000000-0005-0000-0000-0000E5720000}"/>
    <cellStyle name="Normal 3 111 3" xfId="29438" xr:uid="{00000000-0005-0000-0000-0000E6720000}"/>
    <cellStyle name="Normal 3 112" xfId="29439" xr:uid="{00000000-0005-0000-0000-0000E7720000}"/>
    <cellStyle name="Normal 3 112 2" xfId="29440" xr:uid="{00000000-0005-0000-0000-0000E8720000}"/>
    <cellStyle name="Normal 3 112 3" xfId="29441" xr:uid="{00000000-0005-0000-0000-0000E9720000}"/>
    <cellStyle name="Normal 3 113" xfId="29442" xr:uid="{00000000-0005-0000-0000-0000EA720000}"/>
    <cellStyle name="Normal 3 113 2" xfId="29443" xr:uid="{00000000-0005-0000-0000-0000EB720000}"/>
    <cellStyle name="Normal 3 113 3" xfId="29444" xr:uid="{00000000-0005-0000-0000-0000EC720000}"/>
    <cellStyle name="Normal 3 114" xfId="29445" xr:uid="{00000000-0005-0000-0000-0000ED720000}"/>
    <cellStyle name="Normal 3 114 2" xfId="29446" xr:uid="{00000000-0005-0000-0000-0000EE720000}"/>
    <cellStyle name="Normal 3 114 3" xfId="29447" xr:uid="{00000000-0005-0000-0000-0000EF720000}"/>
    <cellStyle name="Normal 3 115" xfId="29448" xr:uid="{00000000-0005-0000-0000-0000F0720000}"/>
    <cellStyle name="Normal 3 115 2" xfId="29449" xr:uid="{00000000-0005-0000-0000-0000F1720000}"/>
    <cellStyle name="Normal 3 115 3" xfId="29450" xr:uid="{00000000-0005-0000-0000-0000F2720000}"/>
    <cellStyle name="Normal 3 116" xfId="29451" xr:uid="{00000000-0005-0000-0000-0000F3720000}"/>
    <cellStyle name="Normal 3 116 2" xfId="29452" xr:uid="{00000000-0005-0000-0000-0000F4720000}"/>
    <cellStyle name="Normal 3 116 3" xfId="29453" xr:uid="{00000000-0005-0000-0000-0000F5720000}"/>
    <cellStyle name="Normal 3 117" xfId="29454" xr:uid="{00000000-0005-0000-0000-0000F6720000}"/>
    <cellStyle name="Normal 3 117 2" xfId="29455" xr:uid="{00000000-0005-0000-0000-0000F7720000}"/>
    <cellStyle name="Normal 3 117 3" xfId="29456" xr:uid="{00000000-0005-0000-0000-0000F8720000}"/>
    <cellStyle name="Normal 3 118" xfId="29457" xr:uid="{00000000-0005-0000-0000-0000F9720000}"/>
    <cellStyle name="Normal 3 118 2" xfId="29458" xr:uid="{00000000-0005-0000-0000-0000FA720000}"/>
    <cellStyle name="Normal 3 118 3" xfId="29459" xr:uid="{00000000-0005-0000-0000-0000FB720000}"/>
    <cellStyle name="Normal 3 119" xfId="29460" xr:uid="{00000000-0005-0000-0000-0000FC720000}"/>
    <cellStyle name="Normal 3 119 2" xfId="29461" xr:uid="{00000000-0005-0000-0000-0000FD720000}"/>
    <cellStyle name="Normal 3 119 3" xfId="29462" xr:uid="{00000000-0005-0000-0000-0000FE720000}"/>
    <cellStyle name="Normal 3 12" xfId="29463" xr:uid="{00000000-0005-0000-0000-0000FF720000}"/>
    <cellStyle name="Normal 3 12 2" xfId="29464" xr:uid="{00000000-0005-0000-0000-000000730000}"/>
    <cellStyle name="Normal 3 12 3" xfId="29465" xr:uid="{00000000-0005-0000-0000-000001730000}"/>
    <cellStyle name="Normal 3 12_Enlaces" xfId="29466" xr:uid="{00000000-0005-0000-0000-000002730000}"/>
    <cellStyle name="Normal 3 120" xfId="29467" xr:uid="{00000000-0005-0000-0000-000003730000}"/>
    <cellStyle name="Normal 3 120 2" xfId="29468" xr:uid="{00000000-0005-0000-0000-000004730000}"/>
    <cellStyle name="Normal 3 120 3" xfId="29469" xr:uid="{00000000-0005-0000-0000-000005730000}"/>
    <cellStyle name="Normal 3 121" xfId="29470" xr:uid="{00000000-0005-0000-0000-000006730000}"/>
    <cellStyle name="Normal 3 121 2" xfId="29471" xr:uid="{00000000-0005-0000-0000-000007730000}"/>
    <cellStyle name="Normal 3 121 3" xfId="29472" xr:uid="{00000000-0005-0000-0000-000008730000}"/>
    <cellStyle name="Normal 3 122" xfId="29473" xr:uid="{00000000-0005-0000-0000-000009730000}"/>
    <cellStyle name="Normal 3 122 2" xfId="29474" xr:uid="{00000000-0005-0000-0000-00000A730000}"/>
    <cellStyle name="Normal 3 122 3" xfId="29475" xr:uid="{00000000-0005-0000-0000-00000B730000}"/>
    <cellStyle name="Normal 3 123" xfId="29476" xr:uid="{00000000-0005-0000-0000-00000C730000}"/>
    <cellStyle name="Normal 3 123 2" xfId="29477" xr:uid="{00000000-0005-0000-0000-00000D730000}"/>
    <cellStyle name="Normal 3 123 3" xfId="29478" xr:uid="{00000000-0005-0000-0000-00000E730000}"/>
    <cellStyle name="Normal 3 124" xfId="29479" xr:uid="{00000000-0005-0000-0000-00000F730000}"/>
    <cellStyle name="Normal 3 125" xfId="29480" xr:uid="{00000000-0005-0000-0000-000010730000}"/>
    <cellStyle name="Normal 3 126" xfId="29481" xr:uid="{00000000-0005-0000-0000-000011730000}"/>
    <cellStyle name="Normal 3 127" xfId="29482" xr:uid="{00000000-0005-0000-0000-000012730000}"/>
    <cellStyle name="Normal 3 128" xfId="29483" xr:uid="{00000000-0005-0000-0000-000013730000}"/>
    <cellStyle name="Normal 3 129" xfId="29484" xr:uid="{00000000-0005-0000-0000-000014730000}"/>
    <cellStyle name="Normal 3 13" xfId="29485" xr:uid="{00000000-0005-0000-0000-000015730000}"/>
    <cellStyle name="Normal 3 13 2" xfId="29486" xr:uid="{00000000-0005-0000-0000-000016730000}"/>
    <cellStyle name="Normal 3 13 3" xfId="29487" xr:uid="{00000000-0005-0000-0000-000017730000}"/>
    <cellStyle name="Normal 3 13_Enlaces" xfId="29488" xr:uid="{00000000-0005-0000-0000-000018730000}"/>
    <cellStyle name="Normal 3 130" xfId="29489" xr:uid="{00000000-0005-0000-0000-000019730000}"/>
    <cellStyle name="Normal 3 131" xfId="29490" xr:uid="{00000000-0005-0000-0000-00001A730000}"/>
    <cellStyle name="Normal 3 131 2" xfId="29491" xr:uid="{00000000-0005-0000-0000-00001B730000}"/>
    <cellStyle name="Normal 3 132" xfId="29492" xr:uid="{00000000-0005-0000-0000-00001C730000}"/>
    <cellStyle name="Normal 3 132 2" xfId="29493" xr:uid="{00000000-0005-0000-0000-00001D730000}"/>
    <cellStyle name="Normal 3 133" xfId="29494" xr:uid="{00000000-0005-0000-0000-00001E730000}"/>
    <cellStyle name="Normal 3 133 2" xfId="29495" xr:uid="{00000000-0005-0000-0000-00001F730000}"/>
    <cellStyle name="Normal 3 134" xfId="29496" xr:uid="{00000000-0005-0000-0000-000020730000}"/>
    <cellStyle name="Normal 3 134 2" xfId="29497" xr:uid="{00000000-0005-0000-0000-000021730000}"/>
    <cellStyle name="Normal 3 135" xfId="29498" xr:uid="{00000000-0005-0000-0000-000022730000}"/>
    <cellStyle name="Normal 3 135 2" xfId="29499" xr:uid="{00000000-0005-0000-0000-000023730000}"/>
    <cellStyle name="Normal 3 136" xfId="29500" xr:uid="{00000000-0005-0000-0000-000024730000}"/>
    <cellStyle name="Normal 3 136 2" xfId="29501" xr:uid="{00000000-0005-0000-0000-000025730000}"/>
    <cellStyle name="Normal 3 137" xfId="29502" xr:uid="{00000000-0005-0000-0000-000026730000}"/>
    <cellStyle name="Normal 3 137 2" xfId="29503" xr:uid="{00000000-0005-0000-0000-000027730000}"/>
    <cellStyle name="Normal 3 138" xfId="29504" xr:uid="{00000000-0005-0000-0000-000028730000}"/>
    <cellStyle name="Normal 3 138 2" xfId="29505" xr:uid="{00000000-0005-0000-0000-000029730000}"/>
    <cellStyle name="Normal 3 139" xfId="29506" xr:uid="{00000000-0005-0000-0000-00002A730000}"/>
    <cellStyle name="Normal 3 139 2" xfId="29507" xr:uid="{00000000-0005-0000-0000-00002B730000}"/>
    <cellStyle name="Normal 3 14" xfId="29508" xr:uid="{00000000-0005-0000-0000-00002C730000}"/>
    <cellStyle name="Normal 3 14 2" xfId="29509" xr:uid="{00000000-0005-0000-0000-00002D730000}"/>
    <cellStyle name="Normal 3 14 3" xfId="29510" xr:uid="{00000000-0005-0000-0000-00002E730000}"/>
    <cellStyle name="Normal 3 14_Enlaces" xfId="29511" xr:uid="{00000000-0005-0000-0000-00002F730000}"/>
    <cellStyle name="Normal 3 140" xfId="29512" xr:uid="{00000000-0005-0000-0000-000030730000}"/>
    <cellStyle name="Normal 3 140 2" xfId="29513" xr:uid="{00000000-0005-0000-0000-000031730000}"/>
    <cellStyle name="Normal 3 141" xfId="29514" xr:uid="{00000000-0005-0000-0000-000032730000}"/>
    <cellStyle name="Normal 3 141 2" xfId="29515" xr:uid="{00000000-0005-0000-0000-000033730000}"/>
    <cellStyle name="Normal 3 142" xfId="29516" xr:uid="{00000000-0005-0000-0000-000034730000}"/>
    <cellStyle name="Normal 3 143" xfId="29517" xr:uid="{00000000-0005-0000-0000-000035730000}"/>
    <cellStyle name="Normal 3 143 2" xfId="29518" xr:uid="{00000000-0005-0000-0000-000036730000}"/>
    <cellStyle name="Normal 3 144" xfId="29519" xr:uid="{00000000-0005-0000-0000-000037730000}"/>
    <cellStyle name="Normal 3 145" xfId="29520" xr:uid="{00000000-0005-0000-0000-000038730000}"/>
    <cellStyle name="Normal 3 146" xfId="29390" xr:uid="{00000000-0005-0000-0000-000039730000}"/>
    <cellStyle name="Normal 3 15" xfId="29521" xr:uid="{00000000-0005-0000-0000-00003A730000}"/>
    <cellStyle name="Normal 3 15 2" xfId="29522" xr:uid="{00000000-0005-0000-0000-00003B730000}"/>
    <cellStyle name="Normal 3 15 3" xfId="29523" xr:uid="{00000000-0005-0000-0000-00003C730000}"/>
    <cellStyle name="Normal 3 15_Enlaces" xfId="29524" xr:uid="{00000000-0005-0000-0000-00003D730000}"/>
    <cellStyle name="Normal 3 16" xfId="29525" xr:uid="{00000000-0005-0000-0000-00003E730000}"/>
    <cellStyle name="Normal 3 16 2" xfId="29526" xr:uid="{00000000-0005-0000-0000-00003F730000}"/>
    <cellStyle name="Normal 3 16 3" xfId="29527" xr:uid="{00000000-0005-0000-0000-000040730000}"/>
    <cellStyle name="Normal 3 16_Enlaces" xfId="29528" xr:uid="{00000000-0005-0000-0000-000041730000}"/>
    <cellStyle name="Normal 3 17" xfId="29529" xr:uid="{00000000-0005-0000-0000-000042730000}"/>
    <cellStyle name="Normal 3 17 2" xfId="29530" xr:uid="{00000000-0005-0000-0000-000043730000}"/>
    <cellStyle name="Normal 3 17 3" xfId="29531" xr:uid="{00000000-0005-0000-0000-000044730000}"/>
    <cellStyle name="Normal 3 17_Enlaces" xfId="29532" xr:uid="{00000000-0005-0000-0000-000045730000}"/>
    <cellStyle name="Normal 3 18" xfId="29533" xr:uid="{00000000-0005-0000-0000-000046730000}"/>
    <cellStyle name="Normal 3 18 2" xfId="29534" xr:uid="{00000000-0005-0000-0000-000047730000}"/>
    <cellStyle name="Normal 3 18 3" xfId="29535" xr:uid="{00000000-0005-0000-0000-000048730000}"/>
    <cellStyle name="Normal 3 18_Enlaces" xfId="29536" xr:uid="{00000000-0005-0000-0000-000049730000}"/>
    <cellStyle name="Normal 3 19" xfId="29537" xr:uid="{00000000-0005-0000-0000-00004A730000}"/>
    <cellStyle name="Normal 3 19 2" xfId="29538" xr:uid="{00000000-0005-0000-0000-00004B730000}"/>
    <cellStyle name="Normal 3 19 3" xfId="29539" xr:uid="{00000000-0005-0000-0000-00004C730000}"/>
    <cellStyle name="Normal 3 19_Enlaces" xfId="29540" xr:uid="{00000000-0005-0000-0000-00004D730000}"/>
    <cellStyle name="Normal 3 2" xfId="58" xr:uid="{00000000-0005-0000-0000-00004E730000}"/>
    <cellStyle name="Normal 3 2 10" xfId="29542" xr:uid="{00000000-0005-0000-0000-00004F730000}"/>
    <cellStyle name="Normal 3 2 10 2" xfId="29543" xr:uid="{00000000-0005-0000-0000-000050730000}"/>
    <cellStyle name="Normal 3 2 10 3" xfId="29544" xr:uid="{00000000-0005-0000-0000-000051730000}"/>
    <cellStyle name="Normal 3 2 11" xfId="29545" xr:uid="{00000000-0005-0000-0000-000052730000}"/>
    <cellStyle name="Normal 3 2 11 2" xfId="29546" xr:uid="{00000000-0005-0000-0000-000053730000}"/>
    <cellStyle name="Normal 3 2 12" xfId="29547" xr:uid="{00000000-0005-0000-0000-000054730000}"/>
    <cellStyle name="Normal 3 2 12 2" xfId="29548" xr:uid="{00000000-0005-0000-0000-000055730000}"/>
    <cellStyle name="Normal 3 2 13" xfId="29549" xr:uid="{00000000-0005-0000-0000-000056730000}"/>
    <cellStyle name="Normal 3 2 13 2" xfId="29550" xr:uid="{00000000-0005-0000-0000-000057730000}"/>
    <cellStyle name="Normal 3 2 14" xfId="29551" xr:uid="{00000000-0005-0000-0000-000058730000}"/>
    <cellStyle name="Normal 3 2 14 2" xfId="29552" xr:uid="{00000000-0005-0000-0000-000059730000}"/>
    <cellStyle name="Normal 3 2 15" xfId="29553" xr:uid="{00000000-0005-0000-0000-00005A730000}"/>
    <cellStyle name="Normal 3 2 15 2" xfId="29554" xr:uid="{00000000-0005-0000-0000-00005B730000}"/>
    <cellStyle name="Normal 3 2 16" xfId="29555" xr:uid="{00000000-0005-0000-0000-00005C730000}"/>
    <cellStyle name="Normal 3 2 16 2" xfId="29556" xr:uid="{00000000-0005-0000-0000-00005D730000}"/>
    <cellStyle name="Normal 3 2 17" xfId="29557" xr:uid="{00000000-0005-0000-0000-00005E730000}"/>
    <cellStyle name="Normal 3 2 17 2" xfId="29558" xr:uid="{00000000-0005-0000-0000-00005F730000}"/>
    <cellStyle name="Normal 3 2 18" xfId="29559" xr:uid="{00000000-0005-0000-0000-000060730000}"/>
    <cellStyle name="Normal 3 2 18 2" xfId="29560" xr:uid="{00000000-0005-0000-0000-000061730000}"/>
    <cellStyle name="Normal 3 2 19" xfId="29561" xr:uid="{00000000-0005-0000-0000-000062730000}"/>
    <cellStyle name="Normal 3 2 19 2" xfId="29562" xr:uid="{00000000-0005-0000-0000-000063730000}"/>
    <cellStyle name="Normal 3 2 2" xfId="29563" xr:uid="{00000000-0005-0000-0000-000064730000}"/>
    <cellStyle name="Normal 3 2 2 2" xfId="29564" xr:uid="{00000000-0005-0000-0000-000065730000}"/>
    <cellStyle name="Normal 3 2 2 2 2" xfId="29565" xr:uid="{00000000-0005-0000-0000-000066730000}"/>
    <cellStyle name="Normal 3 2 20" xfId="29566" xr:uid="{00000000-0005-0000-0000-000067730000}"/>
    <cellStyle name="Normal 3 2 20 2" xfId="29567" xr:uid="{00000000-0005-0000-0000-000068730000}"/>
    <cellStyle name="Normal 3 2 21" xfId="29568" xr:uid="{00000000-0005-0000-0000-000069730000}"/>
    <cellStyle name="Normal 3 2 21 2" xfId="29569" xr:uid="{00000000-0005-0000-0000-00006A730000}"/>
    <cellStyle name="Normal 3 2 22" xfId="29570" xr:uid="{00000000-0005-0000-0000-00006B730000}"/>
    <cellStyle name="Normal 3 2 22 2" xfId="29571" xr:uid="{00000000-0005-0000-0000-00006C730000}"/>
    <cellStyle name="Normal 3 2 23" xfId="29572" xr:uid="{00000000-0005-0000-0000-00006D730000}"/>
    <cellStyle name="Normal 3 2 23 2" xfId="29573" xr:uid="{00000000-0005-0000-0000-00006E730000}"/>
    <cellStyle name="Normal 3 2 24" xfId="29574" xr:uid="{00000000-0005-0000-0000-00006F730000}"/>
    <cellStyle name="Normal 3 2 24 2" xfId="29575" xr:uid="{00000000-0005-0000-0000-000070730000}"/>
    <cellStyle name="Normal 3 2 25" xfId="29576" xr:uid="{00000000-0005-0000-0000-000071730000}"/>
    <cellStyle name="Normal 3 2 25 2" xfId="29577" xr:uid="{00000000-0005-0000-0000-000072730000}"/>
    <cellStyle name="Normal 3 2 26" xfId="29578" xr:uid="{00000000-0005-0000-0000-000073730000}"/>
    <cellStyle name="Normal 3 2 27" xfId="29579" xr:uid="{00000000-0005-0000-0000-000074730000}"/>
    <cellStyle name="Normal 3 2 28" xfId="29580" xr:uid="{00000000-0005-0000-0000-000075730000}"/>
    <cellStyle name="Normal 3 2 29" xfId="29581" xr:uid="{00000000-0005-0000-0000-000076730000}"/>
    <cellStyle name="Normal 3 2 3" xfId="29582" xr:uid="{00000000-0005-0000-0000-000077730000}"/>
    <cellStyle name="Normal 3 2 3 2" xfId="29583" xr:uid="{00000000-0005-0000-0000-000078730000}"/>
    <cellStyle name="Normal 3 2 3 3" xfId="29584" xr:uid="{00000000-0005-0000-0000-000079730000}"/>
    <cellStyle name="Normal 3 2 30" xfId="29585" xr:uid="{00000000-0005-0000-0000-00007A730000}"/>
    <cellStyle name="Normal 3 2 31" xfId="29586" xr:uid="{00000000-0005-0000-0000-00007B730000}"/>
    <cellStyle name="Normal 3 2 32" xfId="29587" xr:uid="{00000000-0005-0000-0000-00007C730000}"/>
    <cellStyle name="Normal 3 2 33" xfId="29588" xr:uid="{00000000-0005-0000-0000-00007D730000}"/>
    <cellStyle name="Normal 3 2 34" xfId="29589" xr:uid="{00000000-0005-0000-0000-00007E730000}"/>
    <cellStyle name="Normal 3 2 35" xfId="29590" xr:uid="{00000000-0005-0000-0000-00007F730000}"/>
    <cellStyle name="Normal 3 2 36" xfId="29591" xr:uid="{00000000-0005-0000-0000-000080730000}"/>
    <cellStyle name="Normal 3 2 37" xfId="29592" xr:uid="{00000000-0005-0000-0000-000081730000}"/>
    <cellStyle name="Normal 3 2 38" xfId="29593" xr:uid="{00000000-0005-0000-0000-000082730000}"/>
    <cellStyle name="Normal 3 2 39" xfId="29594" xr:uid="{00000000-0005-0000-0000-000083730000}"/>
    <cellStyle name="Normal 3 2 4" xfId="29595" xr:uid="{00000000-0005-0000-0000-000084730000}"/>
    <cellStyle name="Normal 3 2 4 2" xfId="29596" xr:uid="{00000000-0005-0000-0000-000085730000}"/>
    <cellStyle name="Normal 3 2 4 3" xfId="29597" xr:uid="{00000000-0005-0000-0000-000086730000}"/>
    <cellStyle name="Normal 3 2 40" xfId="29598" xr:uid="{00000000-0005-0000-0000-000087730000}"/>
    <cellStyle name="Normal 3 2 41" xfId="29599" xr:uid="{00000000-0005-0000-0000-000088730000}"/>
    <cellStyle name="Normal 3 2 42" xfId="29600" xr:uid="{00000000-0005-0000-0000-000089730000}"/>
    <cellStyle name="Normal 3 2 43" xfId="29601" xr:uid="{00000000-0005-0000-0000-00008A730000}"/>
    <cellStyle name="Normal 3 2 44" xfId="29602" xr:uid="{00000000-0005-0000-0000-00008B730000}"/>
    <cellStyle name="Normal 3 2 45" xfId="29603" xr:uid="{00000000-0005-0000-0000-00008C730000}"/>
    <cellStyle name="Normal 3 2 46" xfId="29604" xr:uid="{00000000-0005-0000-0000-00008D730000}"/>
    <cellStyle name="Normal 3 2 47" xfId="29605" xr:uid="{00000000-0005-0000-0000-00008E730000}"/>
    <cellStyle name="Normal 3 2 48" xfId="29606" xr:uid="{00000000-0005-0000-0000-00008F730000}"/>
    <cellStyle name="Normal 3 2 49" xfId="29607" xr:uid="{00000000-0005-0000-0000-000090730000}"/>
    <cellStyle name="Normal 3 2 5" xfId="29608" xr:uid="{00000000-0005-0000-0000-000091730000}"/>
    <cellStyle name="Normal 3 2 5 2" xfId="29609" xr:uid="{00000000-0005-0000-0000-000092730000}"/>
    <cellStyle name="Normal 3 2 5 3" xfId="29610" xr:uid="{00000000-0005-0000-0000-000093730000}"/>
    <cellStyle name="Normal 3 2 50" xfId="29611" xr:uid="{00000000-0005-0000-0000-000094730000}"/>
    <cellStyle name="Normal 3 2 51" xfId="29612" xr:uid="{00000000-0005-0000-0000-000095730000}"/>
    <cellStyle name="Normal 3 2 52" xfId="29613" xr:uid="{00000000-0005-0000-0000-000096730000}"/>
    <cellStyle name="Normal 3 2 53" xfId="29614" xr:uid="{00000000-0005-0000-0000-000097730000}"/>
    <cellStyle name="Normal 3 2 54" xfId="29615" xr:uid="{00000000-0005-0000-0000-000098730000}"/>
    <cellStyle name="Normal 3 2 55" xfId="29616" xr:uid="{00000000-0005-0000-0000-000099730000}"/>
    <cellStyle name="Normal 3 2 56" xfId="29617" xr:uid="{00000000-0005-0000-0000-00009A730000}"/>
    <cellStyle name="Normal 3 2 57" xfId="29618" xr:uid="{00000000-0005-0000-0000-00009B730000}"/>
    <cellStyle name="Normal 3 2 58" xfId="29619" xr:uid="{00000000-0005-0000-0000-00009C730000}"/>
    <cellStyle name="Normal 3 2 59" xfId="29620" xr:uid="{00000000-0005-0000-0000-00009D730000}"/>
    <cellStyle name="Normal 3 2 6" xfId="29621" xr:uid="{00000000-0005-0000-0000-00009E730000}"/>
    <cellStyle name="Normal 3 2 6 2" xfId="29622" xr:uid="{00000000-0005-0000-0000-00009F730000}"/>
    <cellStyle name="Normal 3 2 6 3" xfId="29623" xr:uid="{00000000-0005-0000-0000-0000A0730000}"/>
    <cellStyle name="Normal 3 2 60" xfId="29624" xr:uid="{00000000-0005-0000-0000-0000A1730000}"/>
    <cellStyle name="Normal 3 2 61" xfId="29625" xr:uid="{00000000-0005-0000-0000-0000A2730000}"/>
    <cellStyle name="Normal 3 2 62" xfId="29626" xr:uid="{00000000-0005-0000-0000-0000A3730000}"/>
    <cellStyle name="Normal 3 2 63" xfId="29627" xr:uid="{00000000-0005-0000-0000-0000A4730000}"/>
    <cellStyle name="Normal 3 2 64" xfId="29628" xr:uid="{00000000-0005-0000-0000-0000A5730000}"/>
    <cellStyle name="Normal 3 2 65" xfId="29629" xr:uid="{00000000-0005-0000-0000-0000A6730000}"/>
    <cellStyle name="Normal 3 2 66" xfId="29630" xr:uid="{00000000-0005-0000-0000-0000A7730000}"/>
    <cellStyle name="Normal 3 2 67" xfId="29631" xr:uid="{00000000-0005-0000-0000-0000A8730000}"/>
    <cellStyle name="Normal 3 2 68" xfId="29632" xr:uid="{00000000-0005-0000-0000-0000A9730000}"/>
    <cellStyle name="Normal 3 2 69" xfId="29633" xr:uid="{00000000-0005-0000-0000-0000AA730000}"/>
    <cellStyle name="Normal 3 2 7" xfId="29634" xr:uid="{00000000-0005-0000-0000-0000AB730000}"/>
    <cellStyle name="Normal 3 2 7 2" xfId="29635" xr:uid="{00000000-0005-0000-0000-0000AC730000}"/>
    <cellStyle name="Normal 3 2 7 3" xfId="29636" xr:uid="{00000000-0005-0000-0000-0000AD730000}"/>
    <cellStyle name="Normal 3 2 70" xfId="29637" xr:uid="{00000000-0005-0000-0000-0000AE730000}"/>
    <cellStyle name="Normal 3 2 71" xfId="29638" xr:uid="{00000000-0005-0000-0000-0000AF730000}"/>
    <cellStyle name="Normal 3 2 72" xfId="29639" xr:uid="{00000000-0005-0000-0000-0000B0730000}"/>
    <cellStyle name="Normal 3 2 73" xfId="29640" xr:uid="{00000000-0005-0000-0000-0000B1730000}"/>
    <cellStyle name="Normal 3 2 74" xfId="29641" xr:uid="{00000000-0005-0000-0000-0000B2730000}"/>
    <cellStyle name="Normal 3 2 75" xfId="29642" xr:uid="{00000000-0005-0000-0000-0000B3730000}"/>
    <cellStyle name="Normal 3 2 76" xfId="29643" xr:uid="{00000000-0005-0000-0000-0000B4730000}"/>
    <cellStyle name="Normal 3 2 77" xfId="29644" xr:uid="{00000000-0005-0000-0000-0000B5730000}"/>
    <cellStyle name="Normal 3 2 78" xfId="29645" xr:uid="{00000000-0005-0000-0000-0000B6730000}"/>
    <cellStyle name="Normal 3 2 79" xfId="29646" xr:uid="{00000000-0005-0000-0000-0000B7730000}"/>
    <cellStyle name="Normal 3 2 8" xfId="29647" xr:uid="{00000000-0005-0000-0000-0000B8730000}"/>
    <cellStyle name="Normal 3 2 8 2" xfId="29648" xr:uid="{00000000-0005-0000-0000-0000B9730000}"/>
    <cellStyle name="Normal 3 2 8 3" xfId="29649" xr:uid="{00000000-0005-0000-0000-0000BA730000}"/>
    <cellStyle name="Normal 3 2 80" xfId="29650" xr:uid="{00000000-0005-0000-0000-0000BB730000}"/>
    <cellStyle name="Normal 3 2 81" xfId="29651" xr:uid="{00000000-0005-0000-0000-0000BC730000}"/>
    <cellStyle name="Normal 3 2 82" xfId="29652" xr:uid="{00000000-0005-0000-0000-0000BD730000}"/>
    <cellStyle name="Normal 3 2 83" xfId="29653" xr:uid="{00000000-0005-0000-0000-0000BE730000}"/>
    <cellStyle name="Normal 3 2 84" xfId="29654" xr:uid="{00000000-0005-0000-0000-0000BF730000}"/>
    <cellStyle name="Normal 3 2 85" xfId="29655" xr:uid="{00000000-0005-0000-0000-0000C0730000}"/>
    <cellStyle name="Normal 3 2 86" xfId="29656" xr:uid="{00000000-0005-0000-0000-0000C1730000}"/>
    <cellStyle name="Normal 3 2 87" xfId="29657" xr:uid="{00000000-0005-0000-0000-0000C2730000}"/>
    <cellStyle name="Normal 3 2 88" xfId="29658" xr:uid="{00000000-0005-0000-0000-0000C3730000}"/>
    <cellStyle name="Normal 3 2 89" xfId="29659" xr:uid="{00000000-0005-0000-0000-0000C4730000}"/>
    <cellStyle name="Normal 3 2 9" xfId="29660" xr:uid="{00000000-0005-0000-0000-0000C5730000}"/>
    <cellStyle name="Normal 3 2 9 2" xfId="29661" xr:uid="{00000000-0005-0000-0000-0000C6730000}"/>
    <cellStyle name="Normal 3 2 9 3" xfId="29662" xr:uid="{00000000-0005-0000-0000-0000C7730000}"/>
    <cellStyle name="Normal 3 2 90" xfId="29663" xr:uid="{00000000-0005-0000-0000-0000C8730000}"/>
    <cellStyle name="Normal 3 2 91" xfId="29664" xr:uid="{00000000-0005-0000-0000-0000C9730000}"/>
    <cellStyle name="Normal 3 2 92" xfId="29665" xr:uid="{00000000-0005-0000-0000-0000CA730000}"/>
    <cellStyle name="Normal 3 2 93" xfId="29666" xr:uid="{00000000-0005-0000-0000-0000CB730000}"/>
    <cellStyle name="Normal 3 2 94" xfId="29667" xr:uid="{00000000-0005-0000-0000-0000CC730000}"/>
    <cellStyle name="Normal 3 2 95" xfId="29541" xr:uid="{00000000-0005-0000-0000-0000CD730000}"/>
    <cellStyle name="Normal 3 2_Xa Parametrización de Usuarios" xfId="29668" xr:uid="{00000000-0005-0000-0000-0000CE730000}"/>
    <cellStyle name="Normal 3 20" xfId="29669" xr:uid="{00000000-0005-0000-0000-0000CF730000}"/>
    <cellStyle name="Normal 3 20 2" xfId="29670" xr:uid="{00000000-0005-0000-0000-0000D0730000}"/>
    <cellStyle name="Normal 3 20 3" xfId="29671" xr:uid="{00000000-0005-0000-0000-0000D1730000}"/>
    <cellStyle name="Normal 3 20_Enlaces" xfId="29672" xr:uid="{00000000-0005-0000-0000-0000D2730000}"/>
    <cellStyle name="Normal 3 21" xfId="29673" xr:uid="{00000000-0005-0000-0000-0000D3730000}"/>
    <cellStyle name="Normal 3 21 2" xfId="29674" xr:uid="{00000000-0005-0000-0000-0000D4730000}"/>
    <cellStyle name="Normal 3 21_Enlaces" xfId="29675" xr:uid="{00000000-0005-0000-0000-0000D5730000}"/>
    <cellStyle name="Normal 3 22" xfId="29676" xr:uid="{00000000-0005-0000-0000-0000D6730000}"/>
    <cellStyle name="Normal 3 22 2" xfId="29677" xr:uid="{00000000-0005-0000-0000-0000D7730000}"/>
    <cellStyle name="Normal 3 22_Enlaces" xfId="29678" xr:uid="{00000000-0005-0000-0000-0000D8730000}"/>
    <cellStyle name="Normal 3 23" xfId="29679" xr:uid="{00000000-0005-0000-0000-0000D9730000}"/>
    <cellStyle name="Normal 3 23 2" xfId="29680" xr:uid="{00000000-0005-0000-0000-0000DA730000}"/>
    <cellStyle name="Normal 3 23_Enlaces" xfId="29681" xr:uid="{00000000-0005-0000-0000-0000DB730000}"/>
    <cellStyle name="Normal 3 24" xfId="29682" xr:uid="{00000000-0005-0000-0000-0000DC730000}"/>
    <cellStyle name="Normal 3 24 2" xfId="29683" xr:uid="{00000000-0005-0000-0000-0000DD730000}"/>
    <cellStyle name="Normal 3 24_Enlaces" xfId="29684" xr:uid="{00000000-0005-0000-0000-0000DE730000}"/>
    <cellStyle name="Normal 3 25" xfId="29685" xr:uid="{00000000-0005-0000-0000-0000DF730000}"/>
    <cellStyle name="Normal 3 25 2" xfId="29686" xr:uid="{00000000-0005-0000-0000-0000E0730000}"/>
    <cellStyle name="Normal 3 25_Enlaces" xfId="29687" xr:uid="{00000000-0005-0000-0000-0000E1730000}"/>
    <cellStyle name="Normal 3 26" xfId="29688" xr:uid="{00000000-0005-0000-0000-0000E2730000}"/>
    <cellStyle name="Normal 3 26 2" xfId="29689" xr:uid="{00000000-0005-0000-0000-0000E3730000}"/>
    <cellStyle name="Normal 3 26_Enlaces" xfId="29690" xr:uid="{00000000-0005-0000-0000-0000E4730000}"/>
    <cellStyle name="Normal 3 27" xfId="29691" xr:uid="{00000000-0005-0000-0000-0000E5730000}"/>
    <cellStyle name="Normal 3 27 2" xfId="29692" xr:uid="{00000000-0005-0000-0000-0000E6730000}"/>
    <cellStyle name="Normal 3 27_Enlaces" xfId="29693" xr:uid="{00000000-0005-0000-0000-0000E7730000}"/>
    <cellStyle name="Normal 3 28" xfId="29694" xr:uid="{00000000-0005-0000-0000-0000E8730000}"/>
    <cellStyle name="Normal 3 29" xfId="29695" xr:uid="{00000000-0005-0000-0000-0000E9730000}"/>
    <cellStyle name="Normal 3 3" xfId="59" xr:uid="{00000000-0005-0000-0000-0000EA730000}"/>
    <cellStyle name="Normal 3 3 10" xfId="29697" xr:uid="{00000000-0005-0000-0000-0000EB730000}"/>
    <cellStyle name="Normal 3 3 11" xfId="29698" xr:uid="{00000000-0005-0000-0000-0000EC730000}"/>
    <cellStyle name="Normal 3 3 12" xfId="29699" xr:uid="{00000000-0005-0000-0000-0000ED730000}"/>
    <cellStyle name="Normal 3 3 13" xfId="29700" xr:uid="{00000000-0005-0000-0000-0000EE730000}"/>
    <cellStyle name="Normal 3 3 14" xfId="29701" xr:uid="{00000000-0005-0000-0000-0000EF730000}"/>
    <cellStyle name="Normal 3 3 15" xfId="29702" xr:uid="{00000000-0005-0000-0000-0000F0730000}"/>
    <cellStyle name="Normal 3 3 16" xfId="29703" xr:uid="{00000000-0005-0000-0000-0000F1730000}"/>
    <cellStyle name="Normal 3 3 17" xfId="29704" xr:uid="{00000000-0005-0000-0000-0000F2730000}"/>
    <cellStyle name="Normal 3 3 18" xfId="29705" xr:uid="{00000000-0005-0000-0000-0000F3730000}"/>
    <cellStyle name="Normal 3 3 19" xfId="29706" xr:uid="{00000000-0005-0000-0000-0000F4730000}"/>
    <cellStyle name="Normal 3 3 2" xfId="29707" xr:uid="{00000000-0005-0000-0000-0000F5730000}"/>
    <cellStyle name="Normal 3 3 2 2" xfId="29708" xr:uid="{00000000-0005-0000-0000-0000F6730000}"/>
    <cellStyle name="Normal 3 3 2 3" xfId="29709" xr:uid="{00000000-0005-0000-0000-0000F7730000}"/>
    <cellStyle name="Normal 3 3 20" xfId="29710" xr:uid="{00000000-0005-0000-0000-0000F8730000}"/>
    <cellStyle name="Normal 3 3 21" xfId="29711" xr:uid="{00000000-0005-0000-0000-0000F9730000}"/>
    <cellStyle name="Normal 3 3 22" xfId="29712" xr:uid="{00000000-0005-0000-0000-0000FA730000}"/>
    <cellStyle name="Normal 3 3 23" xfId="29713" xr:uid="{00000000-0005-0000-0000-0000FB730000}"/>
    <cellStyle name="Normal 3 3 24" xfId="29714" xr:uid="{00000000-0005-0000-0000-0000FC730000}"/>
    <cellStyle name="Normal 3 3 25" xfId="29715" xr:uid="{00000000-0005-0000-0000-0000FD730000}"/>
    <cellStyle name="Normal 3 3 26" xfId="29716" xr:uid="{00000000-0005-0000-0000-0000FE730000}"/>
    <cellStyle name="Normal 3 3 27" xfId="29717" xr:uid="{00000000-0005-0000-0000-0000FF730000}"/>
    <cellStyle name="Normal 3 3 28" xfId="29718" xr:uid="{00000000-0005-0000-0000-000000740000}"/>
    <cellStyle name="Normal 3 3 29" xfId="29719" xr:uid="{00000000-0005-0000-0000-000001740000}"/>
    <cellStyle name="Normal 3 3 3" xfId="29720" xr:uid="{00000000-0005-0000-0000-000002740000}"/>
    <cellStyle name="Normal 3 3 30" xfId="29721" xr:uid="{00000000-0005-0000-0000-000003740000}"/>
    <cellStyle name="Normal 3 3 31" xfId="29696" xr:uid="{00000000-0005-0000-0000-000004740000}"/>
    <cellStyle name="Normal 3 3 4" xfId="29722" xr:uid="{00000000-0005-0000-0000-000005740000}"/>
    <cellStyle name="Normal 3 3 5" xfId="29723" xr:uid="{00000000-0005-0000-0000-000006740000}"/>
    <cellStyle name="Normal 3 3 6" xfId="29724" xr:uid="{00000000-0005-0000-0000-000007740000}"/>
    <cellStyle name="Normal 3 3 7" xfId="29725" xr:uid="{00000000-0005-0000-0000-000008740000}"/>
    <cellStyle name="Normal 3 3 8" xfId="29726" xr:uid="{00000000-0005-0000-0000-000009740000}"/>
    <cellStyle name="Normal 3 3 9" xfId="29727" xr:uid="{00000000-0005-0000-0000-00000A740000}"/>
    <cellStyle name="Normal 3 3_Enlaces" xfId="29728" xr:uid="{00000000-0005-0000-0000-00000B740000}"/>
    <cellStyle name="Normal 3 30" xfId="29729" xr:uid="{00000000-0005-0000-0000-00000C740000}"/>
    <cellStyle name="Normal 3 31" xfId="29730" xr:uid="{00000000-0005-0000-0000-00000D740000}"/>
    <cellStyle name="Normal 3 32" xfId="29731" xr:uid="{00000000-0005-0000-0000-00000E740000}"/>
    <cellStyle name="Normal 3 33" xfId="29732" xr:uid="{00000000-0005-0000-0000-00000F740000}"/>
    <cellStyle name="Normal 3 34" xfId="29733" xr:uid="{00000000-0005-0000-0000-000010740000}"/>
    <cellStyle name="Normal 3 35" xfId="29734" xr:uid="{00000000-0005-0000-0000-000011740000}"/>
    <cellStyle name="Normal 3 36" xfId="29735" xr:uid="{00000000-0005-0000-0000-000012740000}"/>
    <cellStyle name="Normal 3 37" xfId="29736" xr:uid="{00000000-0005-0000-0000-000013740000}"/>
    <cellStyle name="Normal 3 38" xfId="29737" xr:uid="{00000000-0005-0000-0000-000014740000}"/>
    <cellStyle name="Normal 3 39" xfId="29738" xr:uid="{00000000-0005-0000-0000-000015740000}"/>
    <cellStyle name="Normal 3 4" xfId="40" xr:uid="{00000000-0005-0000-0000-000016740000}"/>
    <cellStyle name="Normal 3 4 10" xfId="29740" xr:uid="{00000000-0005-0000-0000-000017740000}"/>
    <cellStyle name="Normal 3 4 11" xfId="29741" xr:uid="{00000000-0005-0000-0000-000018740000}"/>
    <cellStyle name="Normal 3 4 12" xfId="29742" xr:uid="{00000000-0005-0000-0000-000019740000}"/>
    <cellStyle name="Normal 3 4 13" xfId="29743" xr:uid="{00000000-0005-0000-0000-00001A740000}"/>
    <cellStyle name="Normal 3 4 14" xfId="29744" xr:uid="{00000000-0005-0000-0000-00001B740000}"/>
    <cellStyle name="Normal 3 4 15" xfId="29745" xr:uid="{00000000-0005-0000-0000-00001C740000}"/>
    <cellStyle name="Normal 3 4 16" xfId="29746" xr:uid="{00000000-0005-0000-0000-00001D740000}"/>
    <cellStyle name="Normal 3 4 17" xfId="29747" xr:uid="{00000000-0005-0000-0000-00001E740000}"/>
    <cellStyle name="Normal 3 4 18" xfId="29748" xr:uid="{00000000-0005-0000-0000-00001F740000}"/>
    <cellStyle name="Normal 3 4 19" xfId="29749" xr:uid="{00000000-0005-0000-0000-000020740000}"/>
    <cellStyle name="Normal 3 4 2" xfId="29750" xr:uid="{00000000-0005-0000-0000-000021740000}"/>
    <cellStyle name="Normal 3 4 2 2" xfId="29751" xr:uid="{00000000-0005-0000-0000-000022740000}"/>
    <cellStyle name="Normal 3 4 20" xfId="29752" xr:uid="{00000000-0005-0000-0000-000023740000}"/>
    <cellStyle name="Normal 3 4 21" xfId="29753" xr:uid="{00000000-0005-0000-0000-000024740000}"/>
    <cellStyle name="Normal 3 4 22" xfId="29754" xr:uid="{00000000-0005-0000-0000-000025740000}"/>
    <cellStyle name="Normal 3 4 23" xfId="29755" xr:uid="{00000000-0005-0000-0000-000026740000}"/>
    <cellStyle name="Normal 3 4 24" xfId="29756" xr:uid="{00000000-0005-0000-0000-000027740000}"/>
    <cellStyle name="Normal 3 4 24 2" xfId="29757" xr:uid="{00000000-0005-0000-0000-000028740000}"/>
    <cellStyle name="Normal 3 4 25" xfId="29739" xr:uid="{00000000-0005-0000-0000-000029740000}"/>
    <cellStyle name="Normal 3 4 3" xfId="29758" xr:uid="{00000000-0005-0000-0000-00002A740000}"/>
    <cellStyle name="Normal 3 4 4" xfId="29759" xr:uid="{00000000-0005-0000-0000-00002B740000}"/>
    <cellStyle name="Normal 3 4 5" xfId="29760" xr:uid="{00000000-0005-0000-0000-00002C740000}"/>
    <cellStyle name="Normal 3 4 6" xfId="29761" xr:uid="{00000000-0005-0000-0000-00002D740000}"/>
    <cellStyle name="Normal 3 4 7" xfId="29762" xr:uid="{00000000-0005-0000-0000-00002E740000}"/>
    <cellStyle name="Normal 3 4 8" xfId="29763" xr:uid="{00000000-0005-0000-0000-00002F740000}"/>
    <cellStyle name="Normal 3 4 9" xfId="29764" xr:uid="{00000000-0005-0000-0000-000030740000}"/>
    <cellStyle name="Normal 3 4_Enlaces" xfId="29765" xr:uid="{00000000-0005-0000-0000-000031740000}"/>
    <cellStyle name="Normal 3 40" xfId="29766" xr:uid="{00000000-0005-0000-0000-000032740000}"/>
    <cellStyle name="Normal 3 41" xfId="29767" xr:uid="{00000000-0005-0000-0000-000033740000}"/>
    <cellStyle name="Normal 3 42" xfId="29768" xr:uid="{00000000-0005-0000-0000-000034740000}"/>
    <cellStyle name="Normal 3 43" xfId="29769" xr:uid="{00000000-0005-0000-0000-000035740000}"/>
    <cellStyle name="Normal 3 44" xfId="29770" xr:uid="{00000000-0005-0000-0000-000036740000}"/>
    <cellStyle name="Normal 3 45" xfId="29771" xr:uid="{00000000-0005-0000-0000-000037740000}"/>
    <cellStyle name="Normal 3 46" xfId="29772" xr:uid="{00000000-0005-0000-0000-000038740000}"/>
    <cellStyle name="Normal 3 47" xfId="29773" xr:uid="{00000000-0005-0000-0000-000039740000}"/>
    <cellStyle name="Normal 3 48" xfId="29774" xr:uid="{00000000-0005-0000-0000-00003A740000}"/>
    <cellStyle name="Normal 3 49" xfId="29775" xr:uid="{00000000-0005-0000-0000-00003B740000}"/>
    <cellStyle name="Normal 3 5" xfId="29776" xr:uid="{00000000-0005-0000-0000-00003C740000}"/>
    <cellStyle name="Normal 3 5 2" xfId="29777" xr:uid="{00000000-0005-0000-0000-00003D740000}"/>
    <cellStyle name="Normal 3 5 3" xfId="29778" xr:uid="{00000000-0005-0000-0000-00003E740000}"/>
    <cellStyle name="Normal 3 5 4" xfId="29779" xr:uid="{00000000-0005-0000-0000-00003F740000}"/>
    <cellStyle name="Normal 3 5_Enlaces" xfId="29780" xr:uid="{00000000-0005-0000-0000-000040740000}"/>
    <cellStyle name="Normal 3 50" xfId="29781" xr:uid="{00000000-0005-0000-0000-000041740000}"/>
    <cellStyle name="Normal 3 51" xfId="29782" xr:uid="{00000000-0005-0000-0000-000042740000}"/>
    <cellStyle name="Normal 3 52" xfId="29783" xr:uid="{00000000-0005-0000-0000-000043740000}"/>
    <cellStyle name="Normal 3 53" xfId="29784" xr:uid="{00000000-0005-0000-0000-000044740000}"/>
    <cellStyle name="Normal 3 54" xfId="29785" xr:uid="{00000000-0005-0000-0000-000045740000}"/>
    <cellStyle name="Normal 3 55" xfId="29786" xr:uid="{00000000-0005-0000-0000-000046740000}"/>
    <cellStyle name="Normal 3 56" xfId="29787" xr:uid="{00000000-0005-0000-0000-000047740000}"/>
    <cellStyle name="Normal 3 57" xfId="29788" xr:uid="{00000000-0005-0000-0000-000048740000}"/>
    <cellStyle name="Normal 3 58" xfId="29789" xr:uid="{00000000-0005-0000-0000-000049740000}"/>
    <cellStyle name="Normal 3 59" xfId="29790" xr:uid="{00000000-0005-0000-0000-00004A740000}"/>
    <cellStyle name="Normal 3 6" xfId="29791" xr:uid="{00000000-0005-0000-0000-00004B740000}"/>
    <cellStyle name="Normal 3 6 2" xfId="29792" xr:uid="{00000000-0005-0000-0000-00004C740000}"/>
    <cellStyle name="Normal 3 6 3" xfId="29793" xr:uid="{00000000-0005-0000-0000-00004D740000}"/>
    <cellStyle name="Normal 3 6 4" xfId="29794" xr:uid="{00000000-0005-0000-0000-00004E740000}"/>
    <cellStyle name="Normal 3 6_Enlaces" xfId="29795" xr:uid="{00000000-0005-0000-0000-00004F740000}"/>
    <cellStyle name="Normal 3 60" xfId="29796" xr:uid="{00000000-0005-0000-0000-000050740000}"/>
    <cellStyle name="Normal 3 61" xfId="29797" xr:uid="{00000000-0005-0000-0000-000051740000}"/>
    <cellStyle name="Normal 3 62" xfId="29798" xr:uid="{00000000-0005-0000-0000-000052740000}"/>
    <cellStyle name="Normal 3 63" xfId="29799" xr:uid="{00000000-0005-0000-0000-000053740000}"/>
    <cellStyle name="Normal 3 64" xfId="29800" xr:uid="{00000000-0005-0000-0000-000054740000}"/>
    <cellStyle name="Normal 3 65" xfId="29801" xr:uid="{00000000-0005-0000-0000-000055740000}"/>
    <cellStyle name="Normal 3 66" xfId="29802" xr:uid="{00000000-0005-0000-0000-000056740000}"/>
    <cellStyle name="Normal 3 67" xfId="29803" xr:uid="{00000000-0005-0000-0000-000057740000}"/>
    <cellStyle name="Normal 3 68" xfId="29804" xr:uid="{00000000-0005-0000-0000-000058740000}"/>
    <cellStyle name="Normal 3 69" xfId="29805" xr:uid="{00000000-0005-0000-0000-000059740000}"/>
    <cellStyle name="Normal 3 7" xfId="29806" xr:uid="{00000000-0005-0000-0000-00005A740000}"/>
    <cellStyle name="Normal 3 7 2" xfId="29807" xr:uid="{00000000-0005-0000-0000-00005B740000}"/>
    <cellStyle name="Normal 3 7 3" xfId="29808" xr:uid="{00000000-0005-0000-0000-00005C740000}"/>
    <cellStyle name="Normal 3 7 4" xfId="29809" xr:uid="{00000000-0005-0000-0000-00005D740000}"/>
    <cellStyle name="Normal 3 7_Enlaces" xfId="29810" xr:uid="{00000000-0005-0000-0000-00005E740000}"/>
    <cellStyle name="Normal 3 70" xfId="29811" xr:uid="{00000000-0005-0000-0000-00005F740000}"/>
    <cellStyle name="Normal 3 71" xfId="29812" xr:uid="{00000000-0005-0000-0000-000060740000}"/>
    <cellStyle name="Normal 3 72" xfId="29813" xr:uid="{00000000-0005-0000-0000-000061740000}"/>
    <cellStyle name="Normal 3 73" xfId="29814" xr:uid="{00000000-0005-0000-0000-000062740000}"/>
    <cellStyle name="Normal 3 74" xfId="29815" xr:uid="{00000000-0005-0000-0000-000063740000}"/>
    <cellStyle name="Normal 3 75" xfId="29816" xr:uid="{00000000-0005-0000-0000-000064740000}"/>
    <cellStyle name="Normal 3 76" xfId="29817" xr:uid="{00000000-0005-0000-0000-000065740000}"/>
    <cellStyle name="Normal 3 77" xfId="29818" xr:uid="{00000000-0005-0000-0000-000066740000}"/>
    <cellStyle name="Normal 3 78" xfId="29819" xr:uid="{00000000-0005-0000-0000-000067740000}"/>
    <cellStyle name="Normal 3 79" xfId="29820" xr:uid="{00000000-0005-0000-0000-000068740000}"/>
    <cellStyle name="Normal 3 8" xfId="29821" xr:uid="{00000000-0005-0000-0000-000069740000}"/>
    <cellStyle name="Normal 3 8 2" xfId="29822" xr:uid="{00000000-0005-0000-0000-00006A740000}"/>
    <cellStyle name="Normal 3 8 3" xfId="29823" xr:uid="{00000000-0005-0000-0000-00006B740000}"/>
    <cellStyle name="Normal 3 8 4" xfId="29824" xr:uid="{00000000-0005-0000-0000-00006C740000}"/>
    <cellStyle name="Normal 3 8_Enlaces" xfId="29825" xr:uid="{00000000-0005-0000-0000-00006D740000}"/>
    <cellStyle name="Normal 3 80" xfId="29826" xr:uid="{00000000-0005-0000-0000-00006E740000}"/>
    <cellStyle name="Normal 3 81" xfId="29827" xr:uid="{00000000-0005-0000-0000-00006F740000}"/>
    <cellStyle name="Normal 3 82" xfId="29828" xr:uid="{00000000-0005-0000-0000-000070740000}"/>
    <cellStyle name="Normal 3 83" xfId="29829" xr:uid="{00000000-0005-0000-0000-000071740000}"/>
    <cellStyle name="Normal 3 84" xfId="29830" xr:uid="{00000000-0005-0000-0000-000072740000}"/>
    <cellStyle name="Normal 3 85" xfId="29831" xr:uid="{00000000-0005-0000-0000-000073740000}"/>
    <cellStyle name="Normal 3 86" xfId="29832" xr:uid="{00000000-0005-0000-0000-000074740000}"/>
    <cellStyle name="Normal 3 87" xfId="29833" xr:uid="{00000000-0005-0000-0000-000075740000}"/>
    <cellStyle name="Normal 3 88" xfId="29834" xr:uid="{00000000-0005-0000-0000-000076740000}"/>
    <cellStyle name="Normal 3 89" xfId="29835" xr:uid="{00000000-0005-0000-0000-000077740000}"/>
    <cellStyle name="Normal 3 9" xfId="29836" xr:uid="{00000000-0005-0000-0000-000078740000}"/>
    <cellStyle name="Normal 3 9 2" xfId="29837" xr:uid="{00000000-0005-0000-0000-000079740000}"/>
    <cellStyle name="Normal 3 9 3" xfId="29838" xr:uid="{00000000-0005-0000-0000-00007A740000}"/>
    <cellStyle name="Normal 3 9 4" xfId="29839" xr:uid="{00000000-0005-0000-0000-00007B740000}"/>
    <cellStyle name="Normal 3 9_Enlaces" xfId="29840" xr:uid="{00000000-0005-0000-0000-00007C740000}"/>
    <cellStyle name="Normal 3 90" xfId="29841" xr:uid="{00000000-0005-0000-0000-00007D740000}"/>
    <cellStyle name="Normal 3 91" xfId="29842" xr:uid="{00000000-0005-0000-0000-00007E740000}"/>
    <cellStyle name="Normal 3 92" xfId="29843" xr:uid="{00000000-0005-0000-0000-00007F740000}"/>
    <cellStyle name="Normal 3 93" xfId="29844" xr:uid="{00000000-0005-0000-0000-000080740000}"/>
    <cellStyle name="Normal 3 94" xfId="29845" xr:uid="{00000000-0005-0000-0000-000081740000}"/>
    <cellStyle name="Normal 3 95" xfId="29846" xr:uid="{00000000-0005-0000-0000-000082740000}"/>
    <cellStyle name="Normal 3 96" xfId="29847" xr:uid="{00000000-0005-0000-0000-000083740000}"/>
    <cellStyle name="Normal 3 97" xfId="29848" xr:uid="{00000000-0005-0000-0000-000084740000}"/>
    <cellStyle name="Normal 3 98" xfId="29849" xr:uid="{00000000-0005-0000-0000-000085740000}"/>
    <cellStyle name="Normal 3 98 2" xfId="29850" xr:uid="{00000000-0005-0000-0000-000086740000}"/>
    <cellStyle name="Normal 3 98 3" xfId="29851" xr:uid="{00000000-0005-0000-0000-000087740000}"/>
    <cellStyle name="Normal 3 98 4" xfId="29852" xr:uid="{00000000-0005-0000-0000-000088740000}"/>
    <cellStyle name="Normal 3 98 5" xfId="29853" xr:uid="{00000000-0005-0000-0000-000089740000}"/>
    <cellStyle name="Normal 3 98 6" xfId="29854" xr:uid="{00000000-0005-0000-0000-00008A740000}"/>
    <cellStyle name="Normal 3 99" xfId="29855" xr:uid="{00000000-0005-0000-0000-00008B740000}"/>
    <cellStyle name="Normal 3 99 2" xfId="29856" xr:uid="{00000000-0005-0000-0000-00008C740000}"/>
    <cellStyle name="Normal 3 99 3" xfId="29857" xr:uid="{00000000-0005-0000-0000-00008D740000}"/>
    <cellStyle name="Normal 3 99 4" xfId="29858" xr:uid="{00000000-0005-0000-0000-00008E740000}"/>
    <cellStyle name="Normal 3 99 5" xfId="29859" xr:uid="{00000000-0005-0000-0000-00008F740000}"/>
    <cellStyle name="Normal 3 99 6" xfId="29860" xr:uid="{00000000-0005-0000-0000-000090740000}"/>
    <cellStyle name="Normal 3_Enlaces" xfId="29861" xr:uid="{00000000-0005-0000-0000-000091740000}"/>
    <cellStyle name="Normal 30" xfId="29862" xr:uid="{00000000-0005-0000-0000-000092740000}"/>
    <cellStyle name="Normal 30 10" xfId="29863" xr:uid="{00000000-0005-0000-0000-000093740000}"/>
    <cellStyle name="Normal 30 11" xfId="29864" xr:uid="{00000000-0005-0000-0000-000094740000}"/>
    <cellStyle name="Normal 30 12" xfId="29865" xr:uid="{00000000-0005-0000-0000-000095740000}"/>
    <cellStyle name="Normal 30 13" xfId="29866" xr:uid="{00000000-0005-0000-0000-000096740000}"/>
    <cellStyle name="Normal 30 14" xfId="29867" xr:uid="{00000000-0005-0000-0000-000097740000}"/>
    <cellStyle name="Normal 30 15" xfId="29868" xr:uid="{00000000-0005-0000-0000-000098740000}"/>
    <cellStyle name="Normal 30 16" xfId="29869" xr:uid="{00000000-0005-0000-0000-000099740000}"/>
    <cellStyle name="Normal 30 17" xfId="29870" xr:uid="{00000000-0005-0000-0000-00009A740000}"/>
    <cellStyle name="Normal 30 18" xfId="29871" xr:uid="{00000000-0005-0000-0000-00009B740000}"/>
    <cellStyle name="Normal 30 19" xfId="29872" xr:uid="{00000000-0005-0000-0000-00009C740000}"/>
    <cellStyle name="Normal 30 2" xfId="29873" xr:uid="{00000000-0005-0000-0000-00009D740000}"/>
    <cellStyle name="Normal 30 2 2" xfId="29874" xr:uid="{00000000-0005-0000-0000-00009E740000}"/>
    <cellStyle name="Normal 30 2 3" xfId="29875" xr:uid="{00000000-0005-0000-0000-00009F740000}"/>
    <cellStyle name="Normal 30 20" xfId="29876" xr:uid="{00000000-0005-0000-0000-0000A0740000}"/>
    <cellStyle name="Normal 30 21" xfId="29877" xr:uid="{00000000-0005-0000-0000-0000A1740000}"/>
    <cellStyle name="Normal 30 22" xfId="29878" xr:uid="{00000000-0005-0000-0000-0000A2740000}"/>
    <cellStyle name="Normal 30 23" xfId="29879" xr:uid="{00000000-0005-0000-0000-0000A3740000}"/>
    <cellStyle name="Normal 30 24" xfId="29880" xr:uid="{00000000-0005-0000-0000-0000A4740000}"/>
    <cellStyle name="Normal 30 25" xfId="29881" xr:uid="{00000000-0005-0000-0000-0000A5740000}"/>
    <cellStyle name="Normal 30 26" xfId="29882" xr:uid="{00000000-0005-0000-0000-0000A6740000}"/>
    <cellStyle name="Normal 30 3" xfId="29883" xr:uid="{00000000-0005-0000-0000-0000A7740000}"/>
    <cellStyle name="Normal 30 3 2" xfId="29884" xr:uid="{00000000-0005-0000-0000-0000A8740000}"/>
    <cellStyle name="Normal 30 3 3" xfId="29885" xr:uid="{00000000-0005-0000-0000-0000A9740000}"/>
    <cellStyle name="Normal 30 3 4" xfId="29886" xr:uid="{00000000-0005-0000-0000-0000AA740000}"/>
    <cellStyle name="Normal 30 3 5" xfId="29887" xr:uid="{00000000-0005-0000-0000-0000AB740000}"/>
    <cellStyle name="Normal 30 4" xfId="29888" xr:uid="{00000000-0005-0000-0000-0000AC740000}"/>
    <cellStyle name="Normal 30 5" xfId="29889" xr:uid="{00000000-0005-0000-0000-0000AD740000}"/>
    <cellStyle name="Normal 30 6" xfId="29890" xr:uid="{00000000-0005-0000-0000-0000AE740000}"/>
    <cellStyle name="Normal 30 7" xfId="29891" xr:uid="{00000000-0005-0000-0000-0000AF740000}"/>
    <cellStyle name="Normal 30 8" xfId="29892" xr:uid="{00000000-0005-0000-0000-0000B0740000}"/>
    <cellStyle name="Normal 30 9" xfId="29893" xr:uid="{00000000-0005-0000-0000-0000B1740000}"/>
    <cellStyle name="Normal 31" xfId="29894" xr:uid="{00000000-0005-0000-0000-0000B2740000}"/>
    <cellStyle name="Normal 31 10" xfId="29895" xr:uid="{00000000-0005-0000-0000-0000B3740000}"/>
    <cellStyle name="Normal 31 11" xfId="29896" xr:uid="{00000000-0005-0000-0000-0000B4740000}"/>
    <cellStyle name="Normal 31 12" xfId="29897" xr:uid="{00000000-0005-0000-0000-0000B5740000}"/>
    <cellStyle name="Normal 31 13" xfId="29898" xr:uid="{00000000-0005-0000-0000-0000B6740000}"/>
    <cellStyle name="Normal 31 14" xfId="29899" xr:uid="{00000000-0005-0000-0000-0000B7740000}"/>
    <cellStyle name="Normal 31 15" xfId="29900" xr:uid="{00000000-0005-0000-0000-0000B8740000}"/>
    <cellStyle name="Normal 31 16" xfId="29901" xr:uid="{00000000-0005-0000-0000-0000B9740000}"/>
    <cellStyle name="Normal 31 17" xfId="29902" xr:uid="{00000000-0005-0000-0000-0000BA740000}"/>
    <cellStyle name="Normal 31 18" xfId="29903" xr:uid="{00000000-0005-0000-0000-0000BB740000}"/>
    <cellStyle name="Normal 31 19" xfId="29904" xr:uid="{00000000-0005-0000-0000-0000BC740000}"/>
    <cellStyle name="Normal 31 2" xfId="29905" xr:uid="{00000000-0005-0000-0000-0000BD740000}"/>
    <cellStyle name="Normal 31 2 2" xfId="29906" xr:uid="{00000000-0005-0000-0000-0000BE740000}"/>
    <cellStyle name="Normal 31 2 3" xfId="29907" xr:uid="{00000000-0005-0000-0000-0000BF740000}"/>
    <cellStyle name="Normal 31 20" xfId="29908" xr:uid="{00000000-0005-0000-0000-0000C0740000}"/>
    <cellStyle name="Normal 31 21" xfId="29909" xr:uid="{00000000-0005-0000-0000-0000C1740000}"/>
    <cellStyle name="Normal 31 22" xfId="29910" xr:uid="{00000000-0005-0000-0000-0000C2740000}"/>
    <cellStyle name="Normal 31 23" xfId="29911" xr:uid="{00000000-0005-0000-0000-0000C3740000}"/>
    <cellStyle name="Normal 31 24" xfId="29912" xr:uid="{00000000-0005-0000-0000-0000C4740000}"/>
    <cellStyle name="Normal 31 25" xfId="29913" xr:uid="{00000000-0005-0000-0000-0000C5740000}"/>
    <cellStyle name="Normal 31 26" xfId="29914" xr:uid="{00000000-0005-0000-0000-0000C6740000}"/>
    <cellStyle name="Normal 31 3" xfId="29915" xr:uid="{00000000-0005-0000-0000-0000C7740000}"/>
    <cellStyle name="Normal 31 3 2" xfId="29916" xr:uid="{00000000-0005-0000-0000-0000C8740000}"/>
    <cellStyle name="Normal 31 3 3" xfId="29917" xr:uid="{00000000-0005-0000-0000-0000C9740000}"/>
    <cellStyle name="Normal 31 4" xfId="29918" xr:uid="{00000000-0005-0000-0000-0000CA740000}"/>
    <cellStyle name="Normal 31 5" xfId="29919" xr:uid="{00000000-0005-0000-0000-0000CB740000}"/>
    <cellStyle name="Normal 31 6" xfId="29920" xr:uid="{00000000-0005-0000-0000-0000CC740000}"/>
    <cellStyle name="Normal 31 7" xfId="29921" xr:uid="{00000000-0005-0000-0000-0000CD740000}"/>
    <cellStyle name="Normal 31 8" xfId="29922" xr:uid="{00000000-0005-0000-0000-0000CE740000}"/>
    <cellStyle name="Normal 31 9" xfId="29923" xr:uid="{00000000-0005-0000-0000-0000CF740000}"/>
    <cellStyle name="Normal 32" xfId="29924" xr:uid="{00000000-0005-0000-0000-0000D0740000}"/>
    <cellStyle name="Normal 32 2" xfId="29925" xr:uid="{00000000-0005-0000-0000-0000D1740000}"/>
    <cellStyle name="Normal 32 3" xfId="29926" xr:uid="{00000000-0005-0000-0000-0000D2740000}"/>
    <cellStyle name="Normal 32 4" xfId="29927" xr:uid="{00000000-0005-0000-0000-0000D3740000}"/>
    <cellStyle name="Normal 32 5" xfId="29928" xr:uid="{00000000-0005-0000-0000-0000D4740000}"/>
    <cellStyle name="Normal 33" xfId="29929" xr:uid="{00000000-0005-0000-0000-0000D5740000}"/>
    <cellStyle name="Normal 33 2" xfId="29930" xr:uid="{00000000-0005-0000-0000-0000D6740000}"/>
    <cellStyle name="Normal 33 3" xfId="29931" xr:uid="{00000000-0005-0000-0000-0000D7740000}"/>
    <cellStyle name="Normal 33 4" xfId="29932" xr:uid="{00000000-0005-0000-0000-0000D8740000}"/>
    <cellStyle name="Normal 33 5" xfId="29933" xr:uid="{00000000-0005-0000-0000-0000D9740000}"/>
    <cellStyle name="Normal 34" xfId="29934" xr:uid="{00000000-0005-0000-0000-0000DA740000}"/>
    <cellStyle name="Normal 34 10" xfId="29935" xr:uid="{00000000-0005-0000-0000-0000DB740000}"/>
    <cellStyle name="Normal 34 11" xfId="29936" xr:uid="{00000000-0005-0000-0000-0000DC740000}"/>
    <cellStyle name="Normal 34 12" xfId="29937" xr:uid="{00000000-0005-0000-0000-0000DD740000}"/>
    <cellStyle name="Normal 34 13" xfId="29938" xr:uid="{00000000-0005-0000-0000-0000DE740000}"/>
    <cellStyle name="Normal 34 14" xfId="29939" xr:uid="{00000000-0005-0000-0000-0000DF740000}"/>
    <cellStyle name="Normal 34 15" xfId="29940" xr:uid="{00000000-0005-0000-0000-0000E0740000}"/>
    <cellStyle name="Normal 34 16" xfId="29941" xr:uid="{00000000-0005-0000-0000-0000E1740000}"/>
    <cellStyle name="Normal 34 17" xfId="29942" xr:uid="{00000000-0005-0000-0000-0000E2740000}"/>
    <cellStyle name="Normal 34 18" xfId="29943" xr:uid="{00000000-0005-0000-0000-0000E3740000}"/>
    <cellStyle name="Normal 34 19" xfId="29944" xr:uid="{00000000-0005-0000-0000-0000E4740000}"/>
    <cellStyle name="Normal 34 2" xfId="29945" xr:uid="{00000000-0005-0000-0000-0000E5740000}"/>
    <cellStyle name="Normal 34 2 2" xfId="29946" xr:uid="{00000000-0005-0000-0000-0000E6740000}"/>
    <cellStyle name="Normal 34 2 3" xfId="29947" xr:uid="{00000000-0005-0000-0000-0000E7740000}"/>
    <cellStyle name="Normal 34 20" xfId="29948" xr:uid="{00000000-0005-0000-0000-0000E8740000}"/>
    <cellStyle name="Normal 34 21" xfId="29949" xr:uid="{00000000-0005-0000-0000-0000E9740000}"/>
    <cellStyle name="Normal 34 22" xfId="29950" xr:uid="{00000000-0005-0000-0000-0000EA740000}"/>
    <cellStyle name="Normal 34 23" xfId="29951" xr:uid="{00000000-0005-0000-0000-0000EB740000}"/>
    <cellStyle name="Normal 34 24" xfId="29952" xr:uid="{00000000-0005-0000-0000-0000EC740000}"/>
    <cellStyle name="Normal 34 25" xfId="29953" xr:uid="{00000000-0005-0000-0000-0000ED740000}"/>
    <cellStyle name="Normal 34 26" xfId="29954" xr:uid="{00000000-0005-0000-0000-0000EE740000}"/>
    <cellStyle name="Normal 34 3" xfId="29955" xr:uid="{00000000-0005-0000-0000-0000EF740000}"/>
    <cellStyle name="Normal 34 3 2" xfId="29956" xr:uid="{00000000-0005-0000-0000-0000F0740000}"/>
    <cellStyle name="Normal 34 3 3" xfId="29957" xr:uid="{00000000-0005-0000-0000-0000F1740000}"/>
    <cellStyle name="Normal 34 3 4" xfId="29958" xr:uid="{00000000-0005-0000-0000-0000F2740000}"/>
    <cellStyle name="Normal 34 3 5" xfId="29959" xr:uid="{00000000-0005-0000-0000-0000F3740000}"/>
    <cellStyle name="Normal 34 4" xfId="29960" xr:uid="{00000000-0005-0000-0000-0000F4740000}"/>
    <cellStyle name="Normal 34 5" xfId="29961" xr:uid="{00000000-0005-0000-0000-0000F5740000}"/>
    <cellStyle name="Normal 34 6" xfId="29962" xr:uid="{00000000-0005-0000-0000-0000F6740000}"/>
    <cellStyle name="Normal 34 7" xfId="29963" xr:uid="{00000000-0005-0000-0000-0000F7740000}"/>
    <cellStyle name="Normal 34 8" xfId="29964" xr:uid="{00000000-0005-0000-0000-0000F8740000}"/>
    <cellStyle name="Normal 34 9" xfId="29965" xr:uid="{00000000-0005-0000-0000-0000F9740000}"/>
    <cellStyle name="Normal 35" xfId="29966" xr:uid="{00000000-0005-0000-0000-0000FA740000}"/>
    <cellStyle name="Normal 35 10" xfId="29967" xr:uid="{00000000-0005-0000-0000-0000FB740000}"/>
    <cellStyle name="Normal 35 11" xfId="29968" xr:uid="{00000000-0005-0000-0000-0000FC740000}"/>
    <cellStyle name="Normal 35 12" xfId="29969" xr:uid="{00000000-0005-0000-0000-0000FD740000}"/>
    <cellStyle name="Normal 35 13" xfId="29970" xr:uid="{00000000-0005-0000-0000-0000FE740000}"/>
    <cellStyle name="Normal 35 14" xfId="29971" xr:uid="{00000000-0005-0000-0000-0000FF740000}"/>
    <cellStyle name="Normal 35 15" xfId="29972" xr:uid="{00000000-0005-0000-0000-000000750000}"/>
    <cellStyle name="Normal 35 16" xfId="29973" xr:uid="{00000000-0005-0000-0000-000001750000}"/>
    <cellStyle name="Normal 35 17" xfId="29974" xr:uid="{00000000-0005-0000-0000-000002750000}"/>
    <cellStyle name="Normal 35 18" xfId="29975" xr:uid="{00000000-0005-0000-0000-000003750000}"/>
    <cellStyle name="Normal 35 19" xfId="29976" xr:uid="{00000000-0005-0000-0000-000004750000}"/>
    <cellStyle name="Normal 35 2" xfId="29977" xr:uid="{00000000-0005-0000-0000-000005750000}"/>
    <cellStyle name="Normal 35 2 2" xfId="29978" xr:uid="{00000000-0005-0000-0000-000006750000}"/>
    <cellStyle name="Normal 35 2 3" xfId="29979" xr:uid="{00000000-0005-0000-0000-000007750000}"/>
    <cellStyle name="Normal 35 20" xfId="29980" xr:uid="{00000000-0005-0000-0000-000008750000}"/>
    <cellStyle name="Normal 35 21" xfId="29981" xr:uid="{00000000-0005-0000-0000-000009750000}"/>
    <cellStyle name="Normal 35 22" xfId="29982" xr:uid="{00000000-0005-0000-0000-00000A750000}"/>
    <cellStyle name="Normal 35 23" xfId="29983" xr:uid="{00000000-0005-0000-0000-00000B750000}"/>
    <cellStyle name="Normal 35 24" xfId="29984" xr:uid="{00000000-0005-0000-0000-00000C750000}"/>
    <cellStyle name="Normal 35 25" xfId="29985" xr:uid="{00000000-0005-0000-0000-00000D750000}"/>
    <cellStyle name="Normal 35 3" xfId="29986" xr:uid="{00000000-0005-0000-0000-00000E750000}"/>
    <cellStyle name="Normal 35 3 2" xfId="29987" xr:uid="{00000000-0005-0000-0000-00000F750000}"/>
    <cellStyle name="Normal 35 3 3" xfId="29988" xr:uid="{00000000-0005-0000-0000-000010750000}"/>
    <cellStyle name="Normal 35 3 4" xfId="29989" xr:uid="{00000000-0005-0000-0000-000011750000}"/>
    <cellStyle name="Normal 35 3 5" xfId="29990" xr:uid="{00000000-0005-0000-0000-000012750000}"/>
    <cellStyle name="Normal 35 4" xfId="29991" xr:uid="{00000000-0005-0000-0000-000013750000}"/>
    <cellStyle name="Normal 35 5" xfId="29992" xr:uid="{00000000-0005-0000-0000-000014750000}"/>
    <cellStyle name="Normal 35 6" xfId="29993" xr:uid="{00000000-0005-0000-0000-000015750000}"/>
    <cellStyle name="Normal 35 7" xfId="29994" xr:uid="{00000000-0005-0000-0000-000016750000}"/>
    <cellStyle name="Normal 35 8" xfId="29995" xr:uid="{00000000-0005-0000-0000-000017750000}"/>
    <cellStyle name="Normal 35 9" xfId="29996" xr:uid="{00000000-0005-0000-0000-000018750000}"/>
    <cellStyle name="Normal 36" xfId="29997" xr:uid="{00000000-0005-0000-0000-000019750000}"/>
    <cellStyle name="Normal 36 2" xfId="29998" xr:uid="{00000000-0005-0000-0000-00001A750000}"/>
    <cellStyle name="Normal 36 3" xfId="29999" xr:uid="{00000000-0005-0000-0000-00001B750000}"/>
    <cellStyle name="Normal 36 4" xfId="30000" xr:uid="{00000000-0005-0000-0000-00001C750000}"/>
    <cellStyle name="Normal 37" xfId="30001" xr:uid="{00000000-0005-0000-0000-00001D750000}"/>
    <cellStyle name="Normal 37 10" xfId="30002" xr:uid="{00000000-0005-0000-0000-00001E750000}"/>
    <cellStyle name="Normal 37 11" xfId="30003" xr:uid="{00000000-0005-0000-0000-00001F750000}"/>
    <cellStyle name="Normal 37 12" xfId="30004" xr:uid="{00000000-0005-0000-0000-000020750000}"/>
    <cellStyle name="Normal 37 13" xfId="30005" xr:uid="{00000000-0005-0000-0000-000021750000}"/>
    <cellStyle name="Normal 37 14" xfId="30006" xr:uid="{00000000-0005-0000-0000-000022750000}"/>
    <cellStyle name="Normal 37 15" xfId="30007" xr:uid="{00000000-0005-0000-0000-000023750000}"/>
    <cellStyle name="Normal 37 16" xfId="30008" xr:uid="{00000000-0005-0000-0000-000024750000}"/>
    <cellStyle name="Normal 37 17" xfId="30009" xr:uid="{00000000-0005-0000-0000-000025750000}"/>
    <cellStyle name="Normal 37 18" xfId="30010" xr:uid="{00000000-0005-0000-0000-000026750000}"/>
    <cellStyle name="Normal 37 19" xfId="30011" xr:uid="{00000000-0005-0000-0000-000027750000}"/>
    <cellStyle name="Normal 37 2" xfId="30012" xr:uid="{00000000-0005-0000-0000-000028750000}"/>
    <cellStyle name="Normal 37 2 2" xfId="30013" xr:uid="{00000000-0005-0000-0000-000029750000}"/>
    <cellStyle name="Normal 37 20" xfId="30014" xr:uid="{00000000-0005-0000-0000-00002A750000}"/>
    <cellStyle name="Normal 37 21" xfId="30015" xr:uid="{00000000-0005-0000-0000-00002B750000}"/>
    <cellStyle name="Normal 37 22" xfId="30016" xr:uid="{00000000-0005-0000-0000-00002C750000}"/>
    <cellStyle name="Normal 37 23" xfId="30017" xr:uid="{00000000-0005-0000-0000-00002D750000}"/>
    <cellStyle name="Normal 37 24" xfId="30018" xr:uid="{00000000-0005-0000-0000-00002E750000}"/>
    <cellStyle name="Normal 37 25" xfId="30019" xr:uid="{00000000-0005-0000-0000-00002F750000}"/>
    <cellStyle name="Normal 37 26" xfId="30020" xr:uid="{00000000-0005-0000-0000-000030750000}"/>
    <cellStyle name="Normal 37 3" xfId="30021" xr:uid="{00000000-0005-0000-0000-000031750000}"/>
    <cellStyle name="Normal 37 3 2" xfId="30022" xr:uid="{00000000-0005-0000-0000-000032750000}"/>
    <cellStyle name="Normal 37 4" xfId="30023" xr:uid="{00000000-0005-0000-0000-000033750000}"/>
    <cellStyle name="Normal 37 4 2" xfId="30024" xr:uid="{00000000-0005-0000-0000-000034750000}"/>
    <cellStyle name="Normal 37 5" xfId="30025" xr:uid="{00000000-0005-0000-0000-000035750000}"/>
    <cellStyle name="Normal 37 5 2" xfId="30026" xr:uid="{00000000-0005-0000-0000-000036750000}"/>
    <cellStyle name="Normal 37 6" xfId="30027" xr:uid="{00000000-0005-0000-0000-000037750000}"/>
    <cellStyle name="Normal 37 7" xfId="30028" xr:uid="{00000000-0005-0000-0000-000038750000}"/>
    <cellStyle name="Normal 37 8" xfId="30029" xr:uid="{00000000-0005-0000-0000-000039750000}"/>
    <cellStyle name="Normal 37 9" xfId="30030" xr:uid="{00000000-0005-0000-0000-00003A750000}"/>
    <cellStyle name="Normal 38" xfId="30031" xr:uid="{00000000-0005-0000-0000-00003B750000}"/>
    <cellStyle name="Normal 38 10" xfId="30032" xr:uid="{00000000-0005-0000-0000-00003C750000}"/>
    <cellStyle name="Normal 38 11" xfId="30033" xr:uid="{00000000-0005-0000-0000-00003D750000}"/>
    <cellStyle name="Normal 38 12" xfId="30034" xr:uid="{00000000-0005-0000-0000-00003E750000}"/>
    <cellStyle name="Normal 38 13" xfId="30035" xr:uid="{00000000-0005-0000-0000-00003F750000}"/>
    <cellStyle name="Normal 38 14" xfId="30036" xr:uid="{00000000-0005-0000-0000-000040750000}"/>
    <cellStyle name="Normal 38 15" xfId="30037" xr:uid="{00000000-0005-0000-0000-000041750000}"/>
    <cellStyle name="Normal 38 16" xfId="30038" xr:uid="{00000000-0005-0000-0000-000042750000}"/>
    <cellStyle name="Normal 38 17" xfId="30039" xr:uid="{00000000-0005-0000-0000-000043750000}"/>
    <cellStyle name="Normal 38 18" xfId="30040" xr:uid="{00000000-0005-0000-0000-000044750000}"/>
    <cellStyle name="Normal 38 19" xfId="30041" xr:uid="{00000000-0005-0000-0000-000045750000}"/>
    <cellStyle name="Normal 38 2" xfId="30042" xr:uid="{00000000-0005-0000-0000-000046750000}"/>
    <cellStyle name="Normal 38 2 2" xfId="30043" xr:uid="{00000000-0005-0000-0000-000047750000}"/>
    <cellStyle name="Normal 38 20" xfId="30044" xr:uid="{00000000-0005-0000-0000-000048750000}"/>
    <cellStyle name="Normal 38 21" xfId="30045" xr:uid="{00000000-0005-0000-0000-000049750000}"/>
    <cellStyle name="Normal 38 22" xfId="30046" xr:uid="{00000000-0005-0000-0000-00004A750000}"/>
    <cellStyle name="Normal 38 23" xfId="30047" xr:uid="{00000000-0005-0000-0000-00004B750000}"/>
    <cellStyle name="Normal 38 24" xfId="30048" xr:uid="{00000000-0005-0000-0000-00004C750000}"/>
    <cellStyle name="Normal 38 25" xfId="30049" xr:uid="{00000000-0005-0000-0000-00004D750000}"/>
    <cellStyle name="Normal 38 26" xfId="30050" xr:uid="{00000000-0005-0000-0000-00004E750000}"/>
    <cellStyle name="Normal 38 3" xfId="30051" xr:uid="{00000000-0005-0000-0000-00004F750000}"/>
    <cellStyle name="Normal 38 3 2" xfId="30052" xr:uid="{00000000-0005-0000-0000-000050750000}"/>
    <cellStyle name="Normal 38 4" xfId="30053" xr:uid="{00000000-0005-0000-0000-000051750000}"/>
    <cellStyle name="Normal 38 4 2" xfId="30054" xr:uid="{00000000-0005-0000-0000-000052750000}"/>
    <cellStyle name="Normal 38 5" xfId="30055" xr:uid="{00000000-0005-0000-0000-000053750000}"/>
    <cellStyle name="Normal 38 5 2" xfId="30056" xr:uid="{00000000-0005-0000-0000-000054750000}"/>
    <cellStyle name="Normal 38 6" xfId="30057" xr:uid="{00000000-0005-0000-0000-000055750000}"/>
    <cellStyle name="Normal 38 7" xfId="30058" xr:uid="{00000000-0005-0000-0000-000056750000}"/>
    <cellStyle name="Normal 38 8" xfId="30059" xr:uid="{00000000-0005-0000-0000-000057750000}"/>
    <cellStyle name="Normal 38 9" xfId="30060" xr:uid="{00000000-0005-0000-0000-000058750000}"/>
    <cellStyle name="Normal 39" xfId="30061" xr:uid="{00000000-0005-0000-0000-000059750000}"/>
    <cellStyle name="Normal 39 10" xfId="30062" xr:uid="{00000000-0005-0000-0000-00005A750000}"/>
    <cellStyle name="Normal 39 11" xfId="30063" xr:uid="{00000000-0005-0000-0000-00005B750000}"/>
    <cellStyle name="Normal 39 12" xfId="30064" xr:uid="{00000000-0005-0000-0000-00005C750000}"/>
    <cellStyle name="Normal 39 13" xfId="30065" xr:uid="{00000000-0005-0000-0000-00005D750000}"/>
    <cellStyle name="Normal 39 14" xfId="30066" xr:uid="{00000000-0005-0000-0000-00005E750000}"/>
    <cellStyle name="Normal 39 15" xfId="30067" xr:uid="{00000000-0005-0000-0000-00005F750000}"/>
    <cellStyle name="Normal 39 16" xfId="30068" xr:uid="{00000000-0005-0000-0000-000060750000}"/>
    <cellStyle name="Normal 39 17" xfId="30069" xr:uid="{00000000-0005-0000-0000-000061750000}"/>
    <cellStyle name="Normal 39 18" xfId="30070" xr:uid="{00000000-0005-0000-0000-000062750000}"/>
    <cellStyle name="Normal 39 19" xfId="30071" xr:uid="{00000000-0005-0000-0000-000063750000}"/>
    <cellStyle name="Normal 39 2" xfId="30072" xr:uid="{00000000-0005-0000-0000-000064750000}"/>
    <cellStyle name="Normal 39 2 2" xfId="30073" xr:uid="{00000000-0005-0000-0000-000065750000}"/>
    <cellStyle name="Normal 39 20" xfId="30074" xr:uid="{00000000-0005-0000-0000-000066750000}"/>
    <cellStyle name="Normal 39 21" xfId="30075" xr:uid="{00000000-0005-0000-0000-000067750000}"/>
    <cellStyle name="Normal 39 22" xfId="30076" xr:uid="{00000000-0005-0000-0000-000068750000}"/>
    <cellStyle name="Normal 39 23" xfId="30077" xr:uid="{00000000-0005-0000-0000-000069750000}"/>
    <cellStyle name="Normal 39 24" xfId="30078" xr:uid="{00000000-0005-0000-0000-00006A750000}"/>
    <cellStyle name="Normal 39 25" xfId="30079" xr:uid="{00000000-0005-0000-0000-00006B750000}"/>
    <cellStyle name="Normal 39 26" xfId="30080" xr:uid="{00000000-0005-0000-0000-00006C750000}"/>
    <cellStyle name="Normal 39 3" xfId="30081" xr:uid="{00000000-0005-0000-0000-00006D750000}"/>
    <cellStyle name="Normal 39 3 2" xfId="30082" xr:uid="{00000000-0005-0000-0000-00006E750000}"/>
    <cellStyle name="Normal 39 4" xfId="30083" xr:uid="{00000000-0005-0000-0000-00006F750000}"/>
    <cellStyle name="Normal 39 4 2" xfId="30084" xr:uid="{00000000-0005-0000-0000-000070750000}"/>
    <cellStyle name="Normal 39 5" xfId="30085" xr:uid="{00000000-0005-0000-0000-000071750000}"/>
    <cellStyle name="Normal 39 5 2" xfId="30086" xr:uid="{00000000-0005-0000-0000-000072750000}"/>
    <cellStyle name="Normal 39 6" xfId="30087" xr:uid="{00000000-0005-0000-0000-000073750000}"/>
    <cellStyle name="Normal 39 7" xfId="30088" xr:uid="{00000000-0005-0000-0000-000074750000}"/>
    <cellStyle name="Normal 39 8" xfId="30089" xr:uid="{00000000-0005-0000-0000-000075750000}"/>
    <cellStyle name="Normal 39 9" xfId="30090" xr:uid="{00000000-0005-0000-0000-000076750000}"/>
    <cellStyle name="Normal 4" xfId="16" xr:uid="{00000000-0005-0000-0000-000077750000}"/>
    <cellStyle name="Normal 4 10" xfId="30092" xr:uid="{00000000-0005-0000-0000-000078750000}"/>
    <cellStyle name="Normal 4 10 2" xfId="30093" xr:uid="{00000000-0005-0000-0000-000079750000}"/>
    <cellStyle name="Normal 4 10 3" xfId="30094" xr:uid="{00000000-0005-0000-0000-00007A750000}"/>
    <cellStyle name="Normal 4 10 4" xfId="30095" xr:uid="{00000000-0005-0000-0000-00007B750000}"/>
    <cellStyle name="Normal 4 10 5" xfId="30096" xr:uid="{00000000-0005-0000-0000-00007C750000}"/>
    <cellStyle name="Normal 4 10_Enlaces" xfId="30097" xr:uid="{00000000-0005-0000-0000-00007D750000}"/>
    <cellStyle name="Normal 4 100" xfId="30098" xr:uid="{00000000-0005-0000-0000-00007E750000}"/>
    <cellStyle name="Normal 4 100 2" xfId="30099" xr:uid="{00000000-0005-0000-0000-00007F750000}"/>
    <cellStyle name="Normal 4 100 3" xfId="30100" xr:uid="{00000000-0005-0000-0000-000080750000}"/>
    <cellStyle name="Normal 4 101" xfId="30101" xr:uid="{00000000-0005-0000-0000-000081750000}"/>
    <cellStyle name="Normal 4 101 2" xfId="30102" xr:uid="{00000000-0005-0000-0000-000082750000}"/>
    <cellStyle name="Normal 4 101 3" xfId="30103" xr:uid="{00000000-0005-0000-0000-000083750000}"/>
    <cellStyle name="Normal 4 102" xfId="30104" xr:uid="{00000000-0005-0000-0000-000084750000}"/>
    <cellStyle name="Normal 4 102 2" xfId="30105" xr:uid="{00000000-0005-0000-0000-000085750000}"/>
    <cellStyle name="Normal 4 102 3" xfId="30106" xr:uid="{00000000-0005-0000-0000-000086750000}"/>
    <cellStyle name="Normal 4 103" xfId="30107" xr:uid="{00000000-0005-0000-0000-000087750000}"/>
    <cellStyle name="Normal 4 103 2" xfId="30108" xr:uid="{00000000-0005-0000-0000-000088750000}"/>
    <cellStyle name="Normal 4 103 3" xfId="30109" xr:uid="{00000000-0005-0000-0000-000089750000}"/>
    <cellStyle name="Normal 4 104" xfId="30110" xr:uid="{00000000-0005-0000-0000-00008A750000}"/>
    <cellStyle name="Normal 4 104 2" xfId="30111" xr:uid="{00000000-0005-0000-0000-00008B750000}"/>
    <cellStyle name="Normal 4 104 3" xfId="30112" xr:uid="{00000000-0005-0000-0000-00008C750000}"/>
    <cellStyle name="Normal 4 105" xfId="30113" xr:uid="{00000000-0005-0000-0000-00008D750000}"/>
    <cellStyle name="Normal 4 105 2" xfId="30114" xr:uid="{00000000-0005-0000-0000-00008E750000}"/>
    <cellStyle name="Normal 4 105 3" xfId="30115" xr:uid="{00000000-0005-0000-0000-00008F750000}"/>
    <cellStyle name="Normal 4 106" xfId="30116" xr:uid="{00000000-0005-0000-0000-000090750000}"/>
    <cellStyle name="Normal 4 106 2" xfId="30117" xr:uid="{00000000-0005-0000-0000-000091750000}"/>
    <cellStyle name="Normal 4 106 3" xfId="30118" xr:uid="{00000000-0005-0000-0000-000092750000}"/>
    <cellStyle name="Normal 4 107" xfId="30119" xr:uid="{00000000-0005-0000-0000-000093750000}"/>
    <cellStyle name="Normal 4 107 2" xfId="30120" xr:uid="{00000000-0005-0000-0000-000094750000}"/>
    <cellStyle name="Normal 4 107 3" xfId="30121" xr:uid="{00000000-0005-0000-0000-000095750000}"/>
    <cellStyle name="Normal 4 108" xfId="30122" xr:uid="{00000000-0005-0000-0000-000096750000}"/>
    <cellStyle name="Normal 4 108 2" xfId="30123" xr:uid="{00000000-0005-0000-0000-000097750000}"/>
    <cellStyle name="Normal 4 108 3" xfId="30124" xr:uid="{00000000-0005-0000-0000-000098750000}"/>
    <cellStyle name="Normal 4 109" xfId="30125" xr:uid="{00000000-0005-0000-0000-000099750000}"/>
    <cellStyle name="Normal 4 109 2" xfId="30126" xr:uid="{00000000-0005-0000-0000-00009A750000}"/>
    <cellStyle name="Normal 4 109 3" xfId="30127" xr:uid="{00000000-0005-0000-0000-00009B750000}"/>
    <cellStyle name="Normal 4 11" xfId="30128" xr:uid="{00000000-0005-0000-0000-00009C750000}"/>
    <cellStyle name="Normal 4 11 2" xfId="30129" xr:uid="{00000000-0005-0000-0000-00009D750000}"/>
    <cellStyle name="Normal 4 11 3" xfId="30130" xr:uid="{00000000-0005-0000-0000-00009E750000}"/>
    <cellStyle name="Normal 4 11 4" xfId="30131" xr:uid="{00000000-0005-0000-0000-00009F750000}"/>
    <cellStyle name="Normal 4 11 5" xfId="30132" xr:uid="{00000000-0005-0000-0000-0000A0750000}"/>
    <cellStyle name="Normal 4 11_Enlaces" xfId="30133" xr:uid="{00000000-0005-0000-0000-0000A1750000}"/>
    <cellStyle name="Normal 4 110" xfId="30134" xr:uid="{00000000-0005-0000-0000-0000A2750000}"/>
    <cellStyle name="Normal 4 110 2" xfId="30135" xr:uid="{00000000-0005-0000-0000-0000A3750000}"/>
    <cellStyle name="Normal 4 110 3" xfId="30136" xr:uid="{00000000-0005-0000-0000-0000A4750000}"/>
    <cellStyle name="Normal 4 111" xfId="30137" xr:uid="{00000000-0005-0000-0000-0000A5750000}"/>
    <cellStyle name="Normal 4 111 2" xfId="30138" xr:uid="{00000000-0005-0000-0000-0000A6750000}"/>
    <cellStyle name="Normal 4 111 3" xfId="30139" xr:uid="{00000000-0005-0000-0000-0000A7750000}"/>
    <cellStyle name="Normal 4 112" xfId="30140" xr:uid="{00000000-0005-0000-0000-0000A8750000}"/>
    <cellStyle name="Normal 4 112 2" xfId="30141" xr:uid="{00000000-0005-0000-0000-0000A9750000}"/>
    <cellStyle name="Normal 4 112 3" xfId="30142" xr:uid="{00000000-0005-0000-0000-0000AA750000}"/>
    <cellStyle name="Normal 4 113" xfId="30143" xr:uid="{00000000-0005-0000-0000-0000AB750000}"/>
    <cellStyle name="Normal 4 113 2" xfId="30144" xr:uid="{00000000-0005-0000-0000-0000AC750000}"/>
    <cellStyle name="Normal 4 113 3" xfId="30145" xr:uid="{00000000-0005-0000-0000-0000AD750000}"/>
    <cellStyle name="Normal 4 114" xfId="30146" xr:uid="{00000000-0005-0000-0000-0000AE750000}"/>
    <cellStyle name="Normal 4 114 2" xfId="30147" xr:uid="{00000000-0005-0000-0000-0000AF750000}"/>
    <cellStyle name="Normal 4 114 3" xfId="30148" xr:uid="{00000000-0005-0000-0000-0000B0750000}"/>
    <cellStyle name="Normal 4 115" xfId="30149" xr:uid="{00000000-0005-0000-0000-0000B1750000}"/>
    <cellStyle name="Normal 4 115 2" xfId="30150" xr:uid="{00000000-0005-0000-0000-0000B2750000}"/>
    <cellStyle name="Normal 4 115 3" xfId="30151" xr:uid="{00000000-0005-0000-0000-0000B3750000}"/>
    <cellStyle name="Normal 4 116" xfId="30152" xr:uid="{00000000-0005-0000-0000-0000B4750000}"/>
    <cellStyle name="Normal 4 116 2" xfId="30153" xr:uid="{00000000-0005-0000-0000-0000B5750000}"/>
    <cellStyle name="Normal 4 116 3" xfId="30154" xr:uid="{00000000-0005-0000-0000-0000B6750000}"/>
    <cellStyle name="Normal 4 117" xfId="30155" xr:uid="{00000000-0005-0000-0000-0000B7750000}"/>
    <cellStyle name="Normal 4 117 2" xfId="30156" xr:uid="{00000000-0005-0000-0000-0000B8750000}"/>
    <cellStyle name="Normal 4 117 3" xfId="30157" xr:uid="{00000000-0005-0000-0000-0000B9750000}"/>
    <cellStyle name="Normal 4 118" xfId="30158" xr:uid="{00000000-0005-0000-0000-0000BA750000}"/>
    <cellStyle name="Normal 4 118 2" xfId="30159" xr:uid="{00000000-0005-0000-0000-0000BB750000}"/>
    <cellStyle name="Normal 4 118 3" xfId="30160" xr:uid="{00000000-0005-0000-0000-0000BC750000}"/>
    <cellStyle name="Normal 4 119" xfId="30161" xr:uid="{00000000-0005-0000-0000-0000BD750000}"/>
    <cellStyle name="Normal 4 119 2" xfId="30162" xr:uid="{00000000-0005-0000-0000-0000BE750000}"/>
    <cellStyle name="Normal 4 119 3" xfId="30163" xr:uid="{00000000-0005-0000-0000-0000BF750000}"/>
    <cellStyle name="Normal 4 12" xfId="30164" xr:uid="{00000000-0005-0000-0000-0000C0750000}"/>
    <cellStyle name="Normal 4 12 2" xfId="30165" xr:uid="{00000000-0005-0000-0000-0000C1750000}"/>
    <cellStyle name="Normal 4 12 3" xfId="30166" xr:uid="{00000000-0005-0000-0000-0000C2750000}"/>
    <cellStyle name="Normal 4 12 4" xfId="30167" xr:uid="{00000000-0005-0000-0000-0000C3750000}"/>
    <cellStyle name="Normal 4 12 5" xfId="30168" xr:uid="{00000000-0005-0000-0000-0000C4750000}"/>
    <cellStyle name="Normal 4 12_Enlaces" xfId="30169" xr:uid="{00000000-0005-0000-0000-0000C5750000}"/>
    <cellStyle name="Normal 4 120" xfId="30170" xr:uid="{00000000-0005-0000-0000-0000C6750000}"/>
    <cellStyle name="Normal 4 120 2" xfId="30171" xr:uid="{00000000-0005-0000-0000-0000C7750000}"/>
    <cellStyle name="Normal 4 120 3" xfId="30172" xr:uid="{00000000-0005-0000-0000-0000C8750000}"/>
    <cellStyle name="Normal 4 121" xfId="30173" xr:uid="{00000000-0005-0000-0000-0000C9750000}"/>
    <cellStyle name="Normal 4 121 2" xfId="30174" xr:uid="{00000000-0005-0000-0000-0000CA750000}"/>
    <cellStyle name="Normal 4 121 3" xfId="30175" xr:uid="{00000000-0005-0000-0000-0000CB750000}"/>
    <cellStyle name="Normal 4 122" xfId="30176" xr:uid="{00000000-0005-0000-0000-0000CC750000}"/>
    <cellStyle name="Normal 4 122 2" xfId="30177" xr:uid="{00000000-0005-0000-0000-0000CD750000}"/>
    <cellStyle name="Normal 4 122 3" xfId="30178" xr:uid="{00000000-0005-0000-0000-0000CE750000}"/>
    <cellStyle name="Normal 4 123" xfId="30179" xr:uid="{00000000-0005-0000-0000-0000CF750000}"/>
    <cellStyle name="Normal 4 123 2" xfId="30180" xr:uid="{00000000-0005-0000-0000-0000D0750000}"/>
    <cellStyle name="Normal 4 123 3" xfId="30181" xr:uid="{00000000-0005-0000-0000-0000D1750000}"/>
    <cellStyle name="Normal 4 124" xfId="30182" xr:uid="{00000000-0005-0000-0000-0000D2750000}"/>
    <cellStyle name="Normal 4 125" xfId="30183" xr:uid="{00000000-0005-0000-0000-0000D3750000}"/>
    <cellStyle name="Normal 4 126" xfId="30184" xr:uid="{00000000-0005-0000-0000-0000D4750000}"/>
    <cellStyle name="Normal 4 127" xfId="30185" xr:uid="{00000000-0005-0000-0000-0000D5750000}"/>
    <cellStyle name="Normal 4 128" xfId="30186" xr:uid="{00000000-0005-0000-0000-0000D6750000}"/>
    <cellStyle name="Normal 4 129" xfId="30187" xr:uid="{00000000-0005-0000-0000-0000D7750000}"/>
    <cellStyle name="Normal 4 13" xfId="30188" xr:uid="{00000000-0005-0000-0000-0000D8750000}"/>
    <cellStyle name="Normal 4 13 2" xfId="30189" xr:uid="{00000000-0005-0000-0000-0000D9750000}"/>
    <cellStyle name="Normal 4 13 3" xfId="30190" xr:uid="{00000000-0005-0000-0000-0000DA750000}"/>
    <cellStyle name="Normal 4 13 4" xfId="30191" xr:uid="{00000000-0005-0000-0000-0000DB750000}"/>
    <cellStyle name="Normal 4 13 5" xfId="30192" xr:uid="{00000000-0005-0000-0000-0000DC750000}"/>
    <cellStyle name="Normal 4 13_Enlaces" xfId="30193" xr:uid="{00000000-0005-0000-0000-0000DD750000}"/>
    <cellStyle name="Normal 4 130" xfId="30194" xr:uid="{00000000-0005-0000-0000-0000DE750000}"/>
    <cellStyle name="Normal 4 131" xfId="30195" xr:uid="{00000000-0005-0000-0000-0000DF750000}"/>
    <cellStyle name="Normal 4 131 2" xfId="30196" xr:uid="{00000000-0005-0000-0000-0000E0750000}"/>
    <cellStyle name="Normal 4 132" xfId="30197" xr:uid="{00000000-0005-0000-0000-0000E1750000}"/>
    <cellStyle name="Normal 4 132 2" xfId="30198" xr:uid="{00000000-0005-0000-0000-0000E2750000}"/>
    <cellStyle name="Normal 4 133" xfId="30199" xr:uid="{00000000-0005-0000-0000-0000E3750000}"/>
    <cellStyle name="Normal 4 133 2" xfId="30200" xr:uid="{00000000-0005-0000-0000-0000E4750000}"/>
    <cellStyle name="Normal 4 134" xfId="30201" xr:uid="{00000000-0005-0000-0000-0000E5750000}"/>
    <cellStyle name="Normal 4 134 2" xfId="30202" xr:uid="{00000000-0005-0000-0000-0000E6750000}"/>
    <cellStyle name="Normal 4 135" xfId="30203" xr:uid="{00000000-0005-0000-0000-0000E7750000}"/>
    <cellStyle name="Normal 4 135 2" xfId="30204" xr:uid="{00000000-0005-0000-0000-0000E8750000}"/>
    <cellStyle name="Normal 4 136" xfId="30205" xr:uid="{00000000-0005-0000-0000-0000E9750000}"/>
    <cellStyle name="Normal 4 136 2" xfId="30206" xr:uid="{00000000-0005-0000-0000-0000EA750000}"/>
    <cellStyle name="Normal 4 137" xfId="30207" xr:uid="{00000000-0005-0000-0000-0000EB750000}"/>
    <cellStyle name="Normal 4 137 2" xfId="30208" xr:uid="{00000000-0005-0000-0000-0000EC750000}"/>
    <cellStyle name="Normal 4 138" xfId="30209" xr:uid="{00000000-0005-0000-0000-0000ED750000}"/>
    <cellStyle name="Normal 4 138 2" xfId="30210" xr:uid="{00000000-0005-0000-0000-0000EE750000}"/>
    <cellStyle name="Normal 4 139" xfId="30211" xr:uid="{00000000-0005-0000-0000-0000EF750000}"/>
    <cellStyle name="Normal 4 139 2" xfId="30212" xr:uid="{00000000-0005-0000-0000-0000F0750000}"/>
    <cellStyle name="Normal 4 14" xfId="30213" xr:uid="{00000000-0005-0000-0000-0000F1750000}"/>
    <cellStyle name="Normal 4 14 2" xfId="30214" xr:uid="{00000000-0005-0000-0000-0000F2750000}"/>
    <cellStyle name="Normal 4 14 3" xfId="30215" xr:uid="{00000000-0005-0000-0000-0000F3750000}"/>
    <cellStyle name="Normal 4 14 4" xfId="30216" xr:uid="{00000000-0005-0000-0000-0000F4750000}"/>
    <cellStyle name="Normal 4 14 5" xfId="30217" xr:uid="{00000000-0005-0000-0000-0000F5750000}"/>
    <cellStyle name="Normal 4 14_Enlaces" xfId="30218" xr:uid="{00000000-0005-0000-0000-0000F6750000}"/>
    <cellStyle name="Normal 4 140" xfId="30219" xr:uid="{00000000-0005-0000-0000-0000F7750000}"/>
    <cellStyle name="Normal 4 140 2" xfId="30220" xr:uid="{00000000-0005-0000-0000-0000F8750000}"/>
    <cellStyle name="Normal 4 141" xfId="30221" xr:uid="{00000000-0005-0000-0000-0000F9750000}"/>
    <cellStyle name="Normal 4 141 2" xfId="30222" xr:uid="{00000000-0005-0000-0000-0000FA750000}"/>
    <cellStyle name="Normal 4 142" xfId="30223" xr:uid="{00000000-0005-0000-0000-0000FB750000}"/>
    <cellStyle name="Normal 4 142 2" xfId="30224" xr:uid="{00000000-0005-0000-0000-0000FC750000}"/>
    <cellStyle name="Normal 4 143" xfId="30225" xr:uid="{00000000-0005-0000-0000-0000FD750000}"/>
    <cellStyle name="Normal 4 143 2" xfId="30226" xr:uid="{00000000-0005-0000-0000-0000FE750000}"/>
    <cellStyle name="Normal 4 144" xfId="30227" xr:uid="{00000000-0005-0000-0000-0000FF750000}"/>
    <cellStyle name="Normal 4 144 2" xfId="30228" xr:uid="{00000000-0005-0000-0000-000000760000}"/>
    <cellStyle name="Normal 4 145" xfId="30229" xr:uid="{00000000-0005-0000-0000-000001760000}"/>
    <cellStyle name="Normal 4 145 2" xfId="30230" xr:uid="{00000000-0005-0000-0000-000002760000}"/>
    <cellStyle name="Normal 4 146" xfId="30231" xr:uid="{00000000-0005-0000-0000-000003760000}"/>
    <cellStyle name="Normal 4 146 2" xfId="30232" xr:uid="{00000000-0005-0000-0000-000004760000}"/>
    <cellStyle name="Normal 4 147" xfId="30233" xr:uid="{00000000-0005-0000-0000-000005760000}"/>
    <cellStyle name="Normal 4 147 2" xfId="30234" xr:uid="{00000000-0005-0000-0000-000006760000}"/>
    <cellStyle name="Normal 4 148" xfId="30235" xr:uid="{00000000-0005-0000-0000-000007760000}"/>
    <cellStyle name="Normal 4 148 2" xfId="30236" xr:uid="{00000000-0005-0000-0000-000008760000}"/>
    <cellStyle name="Normal 4 148 3" xfId="30237" xr:uid="{00000000-0005-0000-0000-000009760000}"/>
    <cellStyle name="Normal 4 149" xfId="30238" xr:uid="{00000000-0005-0000-0000-00000A760000}"/>
    <cellStyle name="Normal 4 149 2" xfId="30239" xr:uid="{00000000-0005-0000-0000-00000B760000}"/>
    <cellStyle name="Normal 4 149 3" xfId="30240" xr:uid="{00000000-0005-0000-0000-00000C760000}"/>
    <cellStyle name="Normal 4 15" xfId="30241" xr:uid="{00000000-0005-0000-0000-00000D760000}"/>
    <cellStyle name="Normal 4 15 2" xfId="30242" xr:uid="{00000000-0005-0000-0000-00000E760000}"/>
    <cellStyle name="Normal 4 15 3" xfId="30243" xr:uid="{00000000-0005-0000-0000-00000F760000}"/>
    <cellStyle name="Normal 4 15 4" xfId="30244" xr:uid="{00000000-0005-0000-0000-000010760000}"/>
    <cellStyle name="Normal 4 15 5" xfId="30245" xr:uid="{00000000-0005-0000-0000-000011760000}"/>
    <cellStyle name="Normal 4 15_Enlaces" xfId="30246" xr:uid="{00000000-0005-0000-0000-000012760000}"/>
    <cellStyle name="Normal 4 150" xfId="30247" xr:uid="{00000000-0005-0000-0000-000013760000}"/>
    <cellStyle name="Normal 4 150 2" xfId="30248" xr:uid="{00000000-0005-0000-0000-000014760000}"/>
    <cellStyle name="Normal 4 150 3" xfId="30249" xr:uid="{00000000-0005-0000-0000-000015760000}"/>
    <cellStyle name="Normal 4 151" xfId="30250" xr:uid="{00000000-0005-0000-0000-000016760000}"/>
    <cellStyle name="Normal 4 151 2" xfId="30251" xr:uid="{00000000-0005-0000-0000-000017760000}"/>
    <cellStyle name="Normal 4 151 3" xfId="30252" xr:uid="{00000000-0005-0000-0000-000018760000}"/>
    <cellStyle name="Normal 4 152" xfId="30253" xr:uid="{00000000-0005-0000-0000-000019760000}"/>
    <cellStyle name="Normal 4 152 2" xfId="30254" xr:uid="{00000000-0005-0000-0000-00001A760000}"/>
    <cellStyle name="Normal 4 152 3" xfId="30255" xr:uid="{00000000-0005-0000-0000-00001B760000}"/>
    <cellStyle name="Normal 4 153" xfId="30256" xr:uid="{00000000-0005-0000-0000-00001C760000}"/>
    <cellStyle name="Normal 4 153 2" xfId="30257" xr:uid="{00000000-0005-0000-0000-00001D760000}"/>
    <cellStyle name="Normal 4 154" xfId="30258" xr:uid="{00000000-0005-0000-0000-00001E760000}"/>
    <cellStyle name="Normal 4 155" xfId="30259" xr:uid="{00000000-0005-0000-0000-00001F760000}"/>
    <cellStyle name="Normal 4 156" xfId="30260" xr:uid="{00000000-0005-0000-0000-000020760000}"/>
    <cellStyle name="Normal 4 157" xfId="30261" xr:uid="{00000000-0005-0000-0000-000021760000}"/>
    <cellStyle name="Normal 4 158" xfId="30262" xr:uid="{00000000-0005-0000-0000-000022760000}"/>
    <cellStyle name="Normal 4 159" xfId="30263" xr:uid="{00000000-0005-0000-0000-000023760000}"/>
    <cellStyle name="Normal 4 16" xfId="30264" xr:uid="{00000000-0005-0000-0000-000024760000}"/>
    <cellStyle name="Normal 4 16 2" xfId="30265" xr:uid="{00000000-0005-0000-0000-000025760000}"/>
    <cellStyle name="Normal 4 16 3" xfId="30266" xr:uid="{00000000-0005-0000-0000-000026760000}"/>
    <cellStyle name="Normal 4 16 4" xfId="30267" xr:uid="{00000000-0005-0000-0000-000027760000}"/>
    <cellStyle name="Normal 4 16 5" xfId="30268" xr:uid="{00000000-0005-0000-0000-000028760000}"/>
    <cellStyle name="Normal 4 16_Enlaces" xfId="30269" xr:uid="{00000000-0005-0000-0000-000029760000}"/>
    <cellStyle name="Normal 4 160" xfId="30270" xr:uid="{00000000-0005-0000-0000-00002A760000}"/>
    <cellStyle name="Normal 4 161" xfId="30271" xr:uid="{00000000-0005-0000-0000-00002B760000}"/>
    <cellStyle name="Normal 4 162" xfId="30272" xr:uid="{00000000-0005-0000-0000-00002C760000}"/>
    <cellStyle name="Normal 4 163" xfId="30273" xr:uid="{00000000-0005-0000-0000-00002D760000}"/>
    <cellStyle name="Normal 4 164" xfId="30274" xr:uid="{00000000-0005-0000-0000-00002E760000}"/>
    <cellStyle name="Normal 4 165" xfId="30275" xr:uid="{00000000-0005-0000-0000-00002F760000}"/>
    <cellStyle name="Normal 4 166" xfId="30276" xr:uid="{00000000-0005-0000-0000-000030760000}"/>
    <cellStyle name="Normal 4 167" xfId="30277" xr:uid="{00000000-0005-0000-0000-000031760000}"/>
    <cellStyle name="Normal 4 168" xfId="30278" xr:uid="{00000000-0005-0000-0000-000032760000}"/>
    <cellStyle name="Normal 4 169" xfId="30279" xr:uid="{00000000-0005-0000-0000-000033760000}"/>
    <cellStyle name="Normal 4 17" xfId="30280" xr:uid="{00000000-0005-0000-0000-000034760000}"/>
    <cellStyle name="Normal 4 17 2" xfId="30281" xr:uid="{00000000-0005-0000-0000-000035760000}"/>
    <cellStyle name="Normal 4 17 3" xfId="30282" xr:uid="{00000000-0005-0000-0000-000036760000}"/>
    <cellStyle name="Normal 4 17 4" xfId="30283" xr:uid="{00000000-0005-0000-0000-000037760000}"/>
    <cellStyle name="Normal 4 17 5" xfId="30284" xr:uid="{00000000-0005-0000-0000-000038760000}"/>
    <cellStyle name="Normal 4 17_Enlaces" xfId="30285" xr:uid="{00000000-0005-0000-0000-000039760000}"/>
    <cellStyle name="Normal 4 170" xfId="30286" xr:uid="{00000000-0005-0000-0000-00003A760000}"/>
    <cellStyle name="Normal 4 171" xfId="30287" xr:uid="{00000000-0005-0000-0000-00003B760000}"/>
    <cellStyle name="Normal 4 172" xfId="30091" xr:uid="{00000000-0005-0000-0000-00003C760000}"/>
    <cellStyle name="Normal 4 18" xfId="30288" xr:uid="{00000000-0005-0000-0000-00003D760000}"/>
    <cellStyle name="Normal 4 18 2" xfId="30289" xr:uid="{00000000-0005-0000-0000-00003E760000}"/>
    <cellStyle name="Normal 4 18 3" xfId="30290" xr:uid="{00000000-0005-0000-0000-00003F760000}"/>
    <cellStyle name="Normal 4 18 4" xfId="30291" xr:uid="{00000000-0005-0000-0000-000040760000}"/>
    <cellStyle name="Normal 4 18 5" xfId="30292" xr:uid="{00000000-0005-0000-0000-000041760000}"/>
    <cellStyle name="Normal 4 18_Enlaces" xfId="30293" xr:uid="{00000000-0005-0000-0000-000042760000}"/>
    <cellStyle name="Normal 4 19" xfId="30294" xr:uid="{00000000-0005-0000-0000-000043760000}"/>
    <cellStyle name="Normal 4 19 2" xfId="30295" xr:uid="{00000000-0005-0000-0000-000044760000}"/>
    <cellStyle name="Normal 4 19 3" xfId="30296" xr:uid="{00000000-0005-0000-0000-000045760000}"/>
    <cellStyle name="Normal 4 19 4" xfId="30297" xr:uid="{00000000-0005-0000-0000-000046760000}"/>
    <cellStyle name="Normal 4 19 5" xfId="30298" xr:uid="{00000000-0005-0000-0000-000047760000}"/>
    <cellStyle name="Normal 4 19_Enlaces" xfId="30299" xr:uid="{00000000-0005-0000-0000-000048760000}"/>
    <cellStyle name="Normal 4 2" xfId="60" xr:uid="{00000000-0005-0000-0000-000049760000}"/>
    <cellStyle name="Normal 4 2 10" xfId="30301" xr:uid="{00000000-0005-0000-0000-00004A760000}"/>
    <cellStyle name="Normal 4 2 10 2" xfId="30302" xr:uid="{00000000-0005-0000-0000-00004B760000}"/>
    <cellStyle name="Normal 4 2 11" xfId="30303" xr:uid="{00000000-0005-0000-0000-00004C760000}"/>
    <cellStyle name="Normal 4 2 11 2" xfId="30304" xr:uid="{00000000-0005-0000-0000-00004D760000}"/>
    <cellStyle name="Normal 4 2 12" xfId="30305" xr:uid="{00000000-0005-0000-0000-00004E760000}"/>
    <cellStyle name="Normal 4 2 12 2" xfId="30306" xr:uid="{00000000-0005-0000-0000-00004F760000}"/>
    <cellStyle name="Normal 4 2 13" xfId="30307" xr:uid="{00000000-0005-0000-0000-000050760000}"/>
    <cellStyle name="Normal 4 2 13 2" xfId="30308" xr:uid="{00000000-0005-0000-0000-000051760000}"/>
    <cellStyle name="Normal 4 2 14" xfId="30309" xr:uid="{00000000-0005-0000-0000-000052760000}"/>
    <cellStyle name="Normal 4 2 14 2" xfId="30310" xr:uid="{00000000-0005-0000-0000-000053760000}"/>
    <cellStyle name="Normal 4 2 15" xfId="30311" xr:uid="{00000000-0005-0000-0000-000054760000}"/>
    <cellStyle name="Normal 4 2 15 2" xfId="30312" xr:uid="{00000000-0005-0000-0000-000055760000}"/>
    <cellStyle name="Normal 4 2 16" xfId="30313" xr:uid="{00000000-0005-0000-0000-000056760000}"/>
    <cellStyle name="Normal 4 2 16 2" xfId="30314" xr:uid="{00000000-0005-0000-0000-000057760000}"/>
    <cellStyle name="Normal 4 2 17" xfId="30315" xr:uid="{00000000-0005-0000-0000-000058760000}"/>
    <cellStyle name="Normal 4 2 17 2" xfId="30316" xr:uid="{00000000-0005-0000-0000-000059760000}"/>
    <cellStyle name="Normal 4 2 18" xfId="30317" xr:uid="{00000000-0005-0000-0000-00005A760000}"/>
    <cellStyle name="Normal 4 2 18 2" xfId="30318" xr:uid="{00000000-0005-0000-0000-00005B760000}"/>
    <cellStyle name="Normal 4 2 19" xfId="30319" xr:uid="{00000000-0005-0000-0000-00005C760000}"/>
    <cellStyle name="Normal 4 2 19 2" xfId="30320" xr:uid="{00000000-0005-0000-0000-00005D760000}"/>
    <cellStyle name="Normal 4 2 2" xfId="30321" xr:uid="{00000000-0005-0000-0000-00005E760000}"/>
    <cellStyle name="Normal 4 2 2 2" xfId="30322" xr:uid="{00000000-0005-0000-0000-00005F760000}"/>
    <cellStyle name="Normal 4 2 20" xfId="30323" xr:uid="{00000000-0005-0000-0000-000060760000}"/>
    <cellStyle name="Normal 4 2 20 2" xfId="30324" xr:uid="{00000000-0005-0000-0000-000061760000}"/>
    <cellStyle name="Normal 4 2 21" xfId="30325" xr:uid="{00000000-0005-0000-0000-000062760000}"/>
    <cellStyle name="Normal 4 2 21 2" xfId="30326" xr:uid="{00000000-0005-0000-0000-000063760000}"/>
    <cellStyle name="Normal 4 2 22" xfId="30327" xr:uid="{00000000-0005-0000-0000-000064760000}"/>
    <cellStyle name="Normal 4 2 22 2" xfId="30328" xr:uid="{00000000-0005-0000-0000-000065760000}"/>
    <cellStyle name="Normal 4 2 23" xfId="30329" xr:uid="{00000000-0005-0000-0000-000066760000}"/>
    <cellStyle name="Normal 4 2 23 2" xfId="30330" xr:uid="{00000000-0005-0000-0000-000067760000}"/>
    <cellStyle name="Normal 4 2 24" xfId="30331" xr:uid="{00000000-0005-0000-0000-000068760000}"/>
    <cellStyle name="Normal 4 2 25" xfId="30332" xr:uid="{00000000-0005-0000-0000-000069760000}"/>
    <cellStyle name="Normal 4 2 26" xfId="30333" xr:uid="{00000000-0005-0000-0000-00006A760000}"/>
    <cellStyle name="Normal 4 2 27" xfId="30334" xr:uid="{00000000-0005-0000-0000-00006B760000}"/>
    <cellStyle name="Normal 4 2 28" xfId="30335" xr:uid="{00000000-0005-0000-0000-00006C760000}"/>
    <cellStyle name="Normal 4 2 29" xfId="30336" xr:uid="{00000000-0005-0000-0000-00006D760000}"/>
    <cellStyle name="Normal 4 2 3" xfId="30337" xr:uid="{00000000-0005-0000-0000-00006E760000}"/>
    <cellStyle name="Normal 4 2 3 2" xfId="30338" xr:uid="{00000000-0005-0000-0000-00006F760000}"/>
    <cellStyle name="Normal 4 2 30" xfId="30339" xr:uid="{00000000-0005-0000-0000-000070760000}"/>
    <cellStyle name="Normal 4 2 31" xfId="30340" xr:uid="{00000000-0005-0000-0000-000071760000}"/>
    <cellStyle name="Normal 4 2 32" xfId="30341" xr:uid="{00000000-0005-0000-0000-000072760000}"/>
    <cellStyle name="Normal 4 2 33" xfId="30342" xr:uid="{00000000-0005-0000-0000-000073760000}"/>
    <cellStyle name="Normal 4 2 34" xfId="30343" xr:uid="{00000000-0005-0000-0000-000074760000}"/>
    <cellStyle name="Normal 4 2 35" xfId="30344" xr:uid="{00000000-0005-0000-0000-000075760000}"/>
    <cellStyle name="Normal 4 2 36" xfId="30345" xr:uid="{00000000-0005-0000-0000-000076760000}"/>
    <cellStyle name="Normal 4 2 37" xfId="30346" xr:uid="{00000000-0005-0000-0000-000077760000}"/>
    <cellStyle name="Normal 4 2 38" xfId="30347" xr:uid="{00000000-0005-0000-0000-000078760000}"/>
    <cellStyle name="Normal 4 2 39" xfId="30348" xr:uid="{00000000-0005-0000-0000-000079760000}"/>
    <cellStyle name="Normal 4 2 4" xfId="30349" xr:uid="{00000000-0005-0000-0000-00007A760000}"/>
    <cellStyle name="Normal 4 2 4 2" xfId="30350" xr:uid="{00000000-0005-0000-0000-00007B760000}"/>
    <cellStyle name="Normal 4 2 40" xfId="30351" xr:uid="{00000000-0005-0000-0000-00007C760000}"/>
    <cellStyle name="Normal 4 2 41" xfId="30352" xr:uid="{00000000-0005-0000-0000-00007D760000}"/>
    <cellStyle name="Normal 4 2 42" xfId="30353" xr:uid="{00000000-0005-0000-0000-00007E760000}"/>
    <cellStyle name="Normal 4 2 43" xfId="30354" xr:uid="{00000000-0005-0000-0000-00007F760000}"/>
    <cellStyle name="Normal 4 2 44" xfId="30355" xr:uid="{00000000-0005-0000-0000-000080760000}"/>
    <cellStyle name="Normal 4 2 45" xfId="30356" xr:uid="{00000000-0005-0000-0000-000081760000}"/>
    <cellStyle name="Normal 4 2 46" xfId="30357" xr:uid="{00000000-0005-0000-0000-000082760000}"/>
    <cellStyle name="Normal 4 2 47" xfId="30358" xr:uid="{00000000-0005-0000-0000-000083760000}"/>
    <cellStyle name="Normal 4 2 48" xfId="30359" xr:uid="{00000000-0005-0000-0000-000084760000}"/>
    <cellStyle name="Normal 4 2 49" xfId="30360" xr:uid="{00000000-0005-0000-0000-000085760000}"/>
    <cellStyle name="Normal 4 2 5" xfId="30361" xr:uid="{00000000-0005-0000-0000-000086760000}"/>
    <cellStyle name="Normal 4 2 5 2" xfId="30362" xr:uid="{00000000-0005-0000-0000-000087760000}"/>
    <cellStyle name="Normal 4 2 50" xfId="30363" xr:uid="{00000000-0005-0000-0000-000088760000}"/>
    <cellStyle name="Normal 4 2 51" xfId="30364" xr:uid="{00000000-0005-0000-0000-000089760000}"/>
    <cellStyle name="Normal 4 2 52" xfId="30365" xr:uid="{00000000-0005-0000-0000-00008A760000}"/>
    <cellStyle name="Normal 4 2 53" xfId="30366" xr:uid="{00000000-0005-0000-0000-00008B760000}"/>
    <cellStyle name="Normal 4 2 54" xfId="30367" xr:uid="{00000000-0005-0000-0000-00008C760000}"/>
    <cellStyle name="Normal 4 2 55" xfId="30368" xr:uid="{00000000-0005-0000-0000-00008D760000}"/>
    <cellStyle name="Normal 4 2 56" xfId="30369" xr:uid="{00000000-0005-0000-0000-00008E760000}"/>
    <cellStyle name="Normal 4 2 57" xfId="30370" xr:uid="{00000000-0005-0000-0000-00008F760000}"/>
    <cellStyle name="Normal 4 2 58" xfId="30371" xr:uid="{00000000-0005-0000-0000-000090760000}"/>
    <cellStyle name="Normal 4 2 59" xfId="30372" xr:uid="{00000000-0005-0000-0000-000091760000}"/>
    <cellStyle name="Normal 4 2 6" xfId="30373" xr:uid="{00000000-0005-0000-0000-000092760000}"/>
    <cellStyle name="Normal 4 2 6 2" xfId="30374" xr:uid="{00000000-0005-0000-0000-000093760000}"/>
    <cellStyle name="Normal 4 2 60" xfId="30375" xr:uid="{00000000-0005-0000-0000-000094760000}"/>
    <cellStyle name="Normal 4 2 61" xfId="30376" xr:uid="{00000000-0005-0000-0000-000095760000}"/>
    <cellStyle name="Normal 4 2 62" xfId="30377" xr:uid="{00000000-0005-0000-0000-000096760000}"/>
    <cellStyle name="Normal 4 2 63" xfId="30378" xr:uid="{00000000-0005-0000-0000-000097760000}"/>
    <cellStyle name="Normal 4 2 64" xfId="30379" xr:uid="{00000000-0005-0000-0000-000098760000}"/>
    <cellStyle name="Normal 4 2 65" xfId="30380" xr:uid="{00000000-0005-0000-0000-000099760000}"/>
    <cellStyle name="Normal 4 2 66" xfId="30381" xr:uid="{00000000-0005-0000-0000-00009A760000}"/>
    <cellStyle name="Normal 4 2 67" xfId="30382" xr:uid="{00000000-0005-0000-0000-00009B760000}"/>
    <cellStyle name="Normal 4 2 68" xfId="30383" xr:uid="{00000000-0005-0000-0000-00009C760000}"/>
    <cellStyle name="Normal 4 2 69" xfId="30384" xr:uid="{00000000-0005-0000-0000-00009D760000}"/>
    <cellStyle name="Normal 4 2 7" xfId="30385" xr:uid="{00000000-0005-0000-0000-00009E760000}"/>
    <cellStyle name="Normal 4 2 7 2" xfId="30386" xr:uid="{00000000-0005-0000-0000-00009F760000}"/>
    <cellStyle name="Normal 4 2 70" xfId="30387" xr:uid="{00000000-0005-0000-0000-0000A0760000}"/>
    <cellStyle name="Normal 4 2 71" xfId="30388" xr:uid="{00000000-0005-0000-0000-0000A1760000}"/>
    <cellStyle name="Normal 4 2 72" xfId="30389" xr:uid="{00000000-0005-0000-0000-0000A2760000}"/>
    <cellStyle name="Normal 4 2 73" xfId="30390" xr:uid="{00000000-0005-0000-0000-0000A3760000}"/>
    <cellStyle name="Normal 4 2 74" xfId="30391" xr:uid="{00000000-0005-0000-0000-0000A4760000}"/>
    <cellStyle name="Normal 4 2 75" xfId="30392" xr:uid="{00000000-0005-0000-0000-0000A5760000}"/>
    <cellStyle name="Normal 4 2 76" xfId="30393" xr:uid="{00000000-0005-0000-0000-0000A6760000}"/>
    <cellStyle name="Normal 4 2 77" xfId="30394" xr:uid="{00000000-0005-0000-0000-0000A7760000}"/>
    <cellStyle name="Normal 4 2 78" xfId="30395" xr:uid="{00000000-0005-0000-0000-0000A8760000}"/>
    <cellStyle name="Normal 4 2 79" xfId="30396" xr:uid="{00000000-0005-0000-0000-0000A9760000}"/>
    <cellStyle name="Normal 4 2 8" xfId="30397" xr:uid="{00000000-0005-0000-0000-0000AA760000}"/>
    <cellStyle name="Normal 4 2 8 2" xfId="30398" xr:uid="{00000000-0005-0000-0000-0000AB760000}"/>
    <cellStyle name="Normal 4 2 80" xfId="30399" xr:uid="{00000000-0005-0000-0000-0000AC760000}"/>
    <cellStyle name="Normal 4 2 81" xfId="30400" xr:uid="{00000000-0005-0000-0000-0000AD760000}"/>
    <cellStyle name="Normal 4 2 82" xfId="30401" xr:uid="{00000000-0005-0000-0000-0000AE760000}"/>
    <cellStyle name="Normal 4 2 83" xfId="30402" xr:uid="{00000000-0005-0000-0000-0000AF760000}"/>
    <cellStyle name="Normal 4 2 84" xfId="30403" xr:uid="{00000000-0005-0000-0000-0000B0760000}"/>
    <cellStyle name="Normal 4 2 85" xfId="30404" xr:uid="{00000000-0005-0000-0000-0000B1760000}"/>
    <cellStyle name="Normal 4 2 86" xfId="30405" xr:uid="{00000000-0005-0000-0000-0000B2760000}"/>
    <cellStyle name="Normal 4 2 87" xfId="30406" xr:uid="{00000000-0005-0000-0000-0000B3760000}"/>
    <cellStyle name="Normal 4 2 87 2" xfId="30407" xr:uid="{00000000-0005-0000-0000-0000B4760000}"/>
    <cellStyle name="Normal 4 2 88" xfId="30300" xr:uid="{00000000-0005-0000-0000-0000B5760000}"/>
    <cellStyle name="Normal 4 2 9" xfId="30408" xr:uid="{00000000-0005-0000-0000-0000B6760000}"/>
    <cellStyle name="Normal 4 2 9 2" xfId="30409" xr:uid="{00000000-0005-0000-0000-0000B7760000}"/>
    <cellStyle name="Normal 4 2_Xa Parametrización de Usuarios" xfId="30410" xr:uid="{00000000-0005-0000-0000-0000B8760000}"/>
    <cellStyle name="Normal 4 20" xfId="30411" xr:uid="{00000000-0005-0000-0000-0000B9760000}"/>
    <cellStyle name="Normal 4 20 2" xfId="30412" xr:uid="{00000000-0005-0000-0000-0000BA760000}"/>
    <cellStyle name="Normal 4 20 3" xfId="30413" xr:uid="{00000000-0005-0000-0000-0000BB760000}"/>
    <cellStyle name="Normal 4 20 4" xfId="30414" xr:uid="{00000000-0005-0000-0000-0000BC760000}"/>
    <cellStyle name="Normal 4 20_Enlaces" xfId="30415" xr:uid="{00000000-0005-0000-0000-0000BD760000}"/>
    <cellStyle name="Normal 4 21" xfId="30416" xr:uid="{00000000-0005-0000-0000-0000BE760000}"/>
    <cellStyle name="Normal 4 21 2" xfId="30417" xr:uid="{00000000-0005-0000-0000-0000BF760000}"/>
    <cellStyle name="Normal 4 21 3" xfId="30418" xr:uid="{00000000-0005-0000-0000-0000C0760000}"/>
    <cellStyle name="Normal 4 21 4" xfId="30419" xr:uid="{00000000-0005-0000-0000-0000C1760000}"/>
    <cellStyle name="Normal 4 21_Enlaces" xfId="30420" xr:uid="{00000000-0005-0000-0000-0000C2760000}"/>
    <cellStyle name="Normal 4 22" xfId="30421" xr:uid="{00000000-0005-0000-0000-0000C3760000}"/>
    <cellStyle name="Normal 4 22 2" xfId="30422" xr:uid="{00000000-0005-0000-0000-0000C4760000}"/>
    <cellStyle name="Normal 4 22 3" xfId="30423" xr:uid="{00000000-0005-0000-0000-0000C5760000}"/>
    <cellStyle name="Normal 4 22 4" xfId="30424" xr:uid="{00000000-0005-0000-0000-0000C6760000}"/>
    <cellStyle name="Normal 4 22_Enlaces" xfId="30425" xr:uid="{00000000-0005-0000-0000-0000C7760000}"/>
    <cellStyle name="Normal 4 23" xfId="30426" xr:uid="{00000000-0005-0000-0000-0000C8760000}"/>
    <cellStyle name="Normal 4 23 2" xfId="30427" xr:uid="{00000000-0005-0000-0000-0000C9760000}"/>
    <cellStyle name="Normal 4 23 3" xfId="30428" xr:uid="{00000000-0005-0000-0000-0000CA760000}"/>
    <cellStyle name="Normal 4 23 4" xfId="30429" xr:uid="{00000000-0005-0000-0000-0000CB760000}"/>
    <cellStyle name="Normal 4 23_Enlaces" xfId="30430" xr:uid="{00000000-0005-0000-0000-0000CC760000}"/>
    <cellStyle name="Normal 4 24" xfId="30431" xr:uid="{00000000-0005-0000-0000-0000CD760000}"/>
    <cellStyle name="Normal 4 24 2" xfId="30432" xr:uid="{00000000-0005-0000-0000-0000CE760000}"/>
    <cellStyle name="Normal 4 24 3" xfId="30433" xr:uid="{00000000-0005-0000-0000-0000CF760000}"/>
    <cellStyle name="Normal 4 24 4" xfId="30434" xr:uid="{00000000-0005-0000-0000-0000D0760000}"/>
    <cellStyle name="Normal 4 24_Enlaces" xfId="30435" xr:uid="{00000000-0005-0000-0000-0000D1760000}"/>
    <cellStyle name="Normal 4 25" xfId="30436" xr:uid="{00000000-0005-0000-0000-0000D2760000}"/>
    <cellStyle name="Normal 4 25 2" xfId="30437" xr:uid="{00000000-0005-0000-0000-0000D3760000}"/>
    <cellStyle name="Normal 4 25 3" xfId="30438" xr:uid="{00000000-0005-0000-0000-0000D4760000}"/>
    <cellStyle name="Normal 4 25 4" xfId="30439" xr:uid="{00000000-0005-0000-0000-0000D5760000}"/>
    <cellStyle name="Normal 4 25_Enlaces" xfId="30440" xr:uid="{00000000-0005-0000-0000-0000D6760000}"/>
    <cellStyle name="Normal 4 26" xfId="30441" xr:uid="{00000000-0005-0000-0000-0000D7760000}"/>
    <cellStyle name="Normal 4 26 2" xfId="30442" xr:uid="{00000000-0005-0000-0000-0000D8760000}"/>
    <cellStyle name="Normal 4 26 3" xfId="30443" xr:uid="{00000000-0005-0000-0000-0000D9760000}"/>
    <cellStyle name="Normal 4 26 4" xfId="30444" xr:uid="{00000000-0005-0000-0000-0000DA760000}"/>
    <cellStyle name="Normal 4 26_Enlaces" xfId="30445" xr:uid="{00000000-0005-0000-0000-0000DB760000}"/>
    <cellStyle name="Normal 4 27" xfId="30446" xr:uid="{00000000-0005-0000-0000-0000DC760000}"/>
    <cellStyle name="Normal 4 27 2" xfId="30447" xr:uid="{00000000-0005-0000-0000-0000DD760000}"/>
    <cellStyle name="Normal 4 27 3" xfId="30448" xr:uid="{00000000-0005-0000-0000-0000DE760000}"/>
    <cellStyle name="Normal 4 28" xfId="30449" xr:uid="{00000000-0005-0000-0000-0000DF760000}"/>
    <cellStyle name="Normal 4 28 2" xfId="30450" xr:uid="{00000000-0005-0000-0000-0000E0760000}"/>
    <cellStyle name="Normal 4 28 3" xfId="30451" xr:uid="{00000000-0005-0000-0000-0000E1760000}"/>
    <cellStyle name="Normal 4 29" xfId="30452" xr:uid="{00000000-0005-0000-0000-0000E2760000}"/>
    <cellStyle name="Normal 4 29 2" xfId="30453" xr:uid="{00000000-0005-0000-0000-0000E3760000}"/>
    <cellStyle name="Normal 4 29 3" xfId="30454" xr:uid="{00000000-0005-0000-0000-0000E4760000}"/>
    <cellStyle name="Normal 4 3" xfId="41" xr:uid="{00000000-0005-0000-0000-0000E5760000}"/>
    <cellStyle name="Normal 4 3 10" xfId="30456" xr:uid="{00000000-0005-0000-0000-0000E6760000}"/>
    <cellStyle name="Normal 4 3 11" xfId="30457" xr:uid="{00000000-0005-0000-0000-0000E7760000}"/>
    <cellStyle name="Normal 4 3 12" xfId="30458" xr:uid="{00000000-0005-0000-0000-0000E8760000}"/>
    <cellStyle name="Normal 4 3 13" xfId="30459" xr:uid="{00000000-0005-0000-0000-0000E9760000}"/>
    <cellStyle name="Normal 4 3 14" xfId="30460" xr:uid="{00000000-0005-0000-0000-0000EA760000}"/>
    <cellStyle name="Normal 4 3 15" xfId="30461" xr:uid="{00000000-0005-0000-0000-0000EB760000}"/>
    <cellStyle name="Normal 4 3 16" xfId="30462" xr:uid="{00000000-0005-0000-0000-0000EC760000}"/>
    <cellStyle name="Normal 4 3 17" xfId="30463" xr:uid="{00000000-0005-0000-0000-0000ED760000}"/>
    <cellStyle name="Normal 4 3 18" xfId="30464" xr:uid="{00000000-0005-0000-0000-0000EE760000}"/>
    <cellStyle name="Normal 4 3 19" xfId="30465" xr:uid="{00000000-0005-0000-0000-0000EF760000}"/>
    <cellStyle name="Normal 4 3 2" xfId="30466" xr:uid="{00000000-0005-0000-0000-0000F0760000}"/>
    <cellStyle name="Normal 4 3 2 2" xfId="30467" xr:uid="{00000000-0005-0000-0000-0000F1760000}"/>
    <cellStyle name="Normal 4 3 20" xfId="30468" xr:uid="{00000000-0005-0000-0000-0000F2760000}"/>
    <cellStyle name="Normal 4 3 21" xfId="30469" xr:uid="{00000000-0005-0000-0000-0000F3760000}"/>
    <cellStyle name="Normal 4 3 22" xfId="30470" xr:uid="{00000000-0005-0000-0000-0000F4760000}"/>
    <cellStyle name="Normal 4 3 23" xfId="30471" xr:uid="{00000000-0005-0000-0000-0000F5760000}"/>
    <cellStyle name="Normal 4 3 24" xfId="30472" xr:uid="{00000000-0005-0000-0000-0000F6760000}"/>
    <cellStyle name="Normal 4 3 25" xfId="30473" xr:uid="{00000000-0005-0000-0000-0000F7760000}"/>
    <cellStyle name="Normal 4 3 26" xfId="30474" xr:uid="{00000000-0005-0000-0000-0000F8760000}"/>
    <cellStyle name="Normal 4 3 27" xfId="30475" xr:uid="{00000000-0005-0000-0000-0000F9760000}"/>
    <cellStyle name="Normal 4 3 28" xfId="30476" xr:uid="{00000000-0005-0000-0000-0000FA760000}"/>
    <cellStyle name="Normal 4 3 29" xfId="30477" xr:uid="{00000000-0005-0000-0000-0000FB760000}"/>
    <cellStyle name="Normal 4 3 3" xfId="30478" xr:uid="{00000000-0005-0000-0000-0000FC760000}"/>
    <cellStyle name="Normal 4 3 30" xfId="30479" xr:uid="{00000000-0005-0000-0000-0000FD760000}"/>
    <cellStyle name="Normal 4 3 31" xfId="30480" xr:uid="{00000000-0005-0000-0000-0000FE760000}"/>
    <cellStyle name="Normal 4 3 32" xfId="30481" xr:uid="{00000000-0005-0000-0000-0000FF760000}"/>
    <cellStyle name="Normal 4 3 33" xfId="30482" xr:uid="{00000000-0005-0000-0000-000000770000}"/>
    <cellStyle name="Normal 4 3 34" xfId="30483" xr:uid="{00000000-0005-0000-0000-000001770000}"/>
    <cellStyle name="Normal 4 3 35" xfId="30455" xr:uid="{00000000-0005-0000-0000-000002770000}"/>
    <cellStyle name="Normal 4 3 4" xfId="30484" xr:uid="{00000000-0005-0000-0000-000003770000}"/>
    <cellStyle name="Normal 4 3 5" xfId="30485" xr:uid="{00000000-0005-0000-0000-000004770000}"/>
    <cellStyle name="Normal 4 3 6" xfId="30486" xr:uid="{00000000-0005-0000-0000-000005770000}"/>
    <cellStyle name="Normal 4 3 7" xfId="30487" xr:uid="{00000000-0005-0000-0000-000006770000}"/>
    <cellStyle name="Normal 4 3 8" xfId="30488" xr:uid="{00000000-0005-0000-0000-000007770000}"/>
    <cellStyle name="Normal 4 3 9" xfId="30489" xr:uid="{00000000-0005-0000-0000-000008770000}"/>
    <cellStyle name="Normal 4 3_Enlaces" xfId="30490" xr:uid="{00000000-0005-0000-0000-000009770000}"/>
    <cellStyle name="Normal 4 30" xfId="30491" xr:uid="{00000000-0005-0000-0000-00000A770000}"/>
    <cellStyle name="Normal 4 30 2" xfId="30492" xr:uid="{00000000-0005-0000-0000-00000B770000}"/>
    <cellStyle name="Normal 4 30 3" xfId="30493" xr:uid="{00000000-0005-0000-0000-00000C770000}"/>
    <cellStyle name="Normal 4 31" xfId="30494" xr:uid="{00000000-0005-0000-0000-00000D770000}"/>
    <cellStyle name="Normal 4 31 2" xfId="30495" xr:uid="{00000000-0005-0000-0000-00000E770000}"/>
    <cellStyle name="Normal 4 31 3" xfId="30496" xr:uid="{00000000-0005-0000-0000-00000F770000}"/>
    <cellStyle name="Normal 4 32" xfId="30497" xr:uid="{00000000-0005-0000-0000-000010770000}"/>
    <cellStyle name="Normal 4 32 2" xfId="30498" xr:uid="{00000000-0005-0000-0000-000011770000}"/>
    <cellStyle name="Normal 4 32 3" xfId="30499" xr:uid="{00000000-0005-0000-0000-000012770000}"/>
    <cellStyle name="Normal 4 33" xfId="30500" xr:uid="{00000000-0005-0000-0000-000013770000}"/>
    <cellStyle name="Normal 4 33 2" xfId="30501" xr:uid="{00000000-0005-0000-0000-000014770000}"/>
    <cellStyle name="Normal 4 33 3" xfId="30502" xr:uid="{00000000-0005-0000-0000-000015770000}"/>
    <cellStyle name="Normal 4 34" xfId="30503" xr:uid="{00000000-0005-0000-0000-000016770000}"/>
    <cellStyle name="Normal 4 34 2" xfId="30504" xr:uid="{00000000-0005-0000-0000-000017770000}"/>
    <cellStyle name="Normal 4 34 3" xfId="30505" xr:uid="{00000000-0005-0000-0000-000018770000}"/>
    <cellStyle name="Normal 4 35" xfId="30506" xr:uid="{00000000-0005-0000-0000-000019770000}"/>
    <cellStyle name="Normal 4 35 2" xfId="30507" xr:uid="{00000000-0005-0000-0000-00001A770000}"/>
    <cellStyle name="Normal 4 35 3" xfId="30508" xr:uid="{00000000-0005-0000-0000-00001B770000}"/>
    <cellStyle name="Normal 4 36" xfId="30509" xr:uid="{00000000-0005-0000-0000-00001C770000}"/>
    <cellStyle name="Normal 4 36 2" xfId="30510" xr:uid="{00000000-0005-0000-0000-00001D770000}"/>
    <cellStyle name="Normal 4 36 3" xfId="30511" xr:uid="{00000000-0005-0000-0000-00001E770000}"/>
    <cellStyle name="Normal 4 37" xfId="30512" xr:uid="{00000000-0005-0000-0000-00001F770000}"/>
    <cellStyle name="Normal 4 37 2" xfId="30513" xr:uid="{00000000-0005-0000-0000-000020770000}"/>
    <cellStyle name="Normal 4 37 3" xfId="30514" xr:uid="{00000000-0005-0000-0000-000021770000}"/>
    <cellStyle name="Normal 4 38" xfId="30515" xr:uid="{00000000-0005-0000-0000-000022770000}"/>
    <cellStyle name="Normal 4 38 2" xfId="30516" xr:uid="{00000000-0005-0000-0000-000023770000}"/>
    <cellStyle name="Normal 4 38 3" xfId="30517" xr:uid="{00000000-0005-0000-0000-000024770000}"/>
    <cellStyle name="Normal 4 39" xfId="30518" xr:uid="{00000000-0005-0000-0000-000025770000}"/>
    <cellStyle name="Normal 4 39 2" xfId="30519" xr:uid="{00000000-0005-0000-0000-000026770000}"/>
    <cellStyle name="Normal 4 39 3" xfId="30520" xr:uid="{00000000-0005-0000-0000-000027770000}"/>
    <cellStyle name="Normal 4 4" xfId="30521" xr:uid="{00000000-0005-0000-0000-000028770000}"/>
    <cellStyle name="Normal 4 4 2" xfId="30522" xr:uid="{00000000-0005-0000-0000-000029770000}"/>
    <cellStyle name="Normal 4 4 3" xfId="30523" xr:uid="{00000000-0005-0000-0000-00002A770000}"/>
    <cellStyle name="Normal 4 4 4" xfId="30524" xr:uid="{00000000-0005-0000-0000-00002B770000}"/>
    <cellStyle name="Normal 4 4 5" xfId="30525" xr:uid="{00000000-0005-0000-0000-00002C770000}"/>
    <cellStyle name="Normal 4 4_Enlaces" xfId="30526" xr:uid="{00000000-0005-0000-0000-00002D770000}"/>
    <cellStyle name="Normal 4 40" xfId="30527" xr:uid="{00000000-0005-0000-0000-00002E770000}"/>
    <cellStyle name="Normal 4 40 2" xfId="30528" xr:uid="{00000000-0005-0000-0000-00002F770000}"/>
    <cellStyle name="Normal 4 40 3" xfId="30529" xr:uid="{00000000-0005-0000-0000-000030770000}"/>
    <cellStyle name="Normal 4 41" xfId="30530" xr:uid="{00000000-0005-0000-0000-000031770000}"/>
    <cellStyle name="Normal 4 41 2" xfId="30531" xr:uid="{00000000-0005-0000-0000-000032770000}"/>
    <cellStyle name="Normal 4 41 3" xfId="30532" xr:uid="{00000000-0005-0000-0000-000033770000}"/>
    <cellStyle name="Normal 4 42" xfId="30533" xr:uid="{00000000-0005-0000-0000-000034770000}"/>
    <cellStyle name="Normal 4 42 2" xfId="30534" xr:uid="{00000000-0005-0000-0000-000035770000}"/>
    <cellStyle name="Normal 4 42 3" xfId="30535" xr:uid="{00000000-0005-0000-0000-000036770000}"/>
    <cellStyle name="Normal 4 43" xfId="30536" xr:uid="{00000000-0005-0000-0000-000037770000}"/>
    <cellStyle name="Normal 4 43 2" xfId="30537" xr:uid="{00000000-0005-0000-0000-000038770000}"/>
    <cellStyle name="Normal 4 43 3" xfId="30538" xr:uid="{00000000-0005-0000-0000-000039770000}"/>
    <cellStyle name="Normal 4 44" xfId="30539" xr:uid="{00000000-0005-0000-0000-00003A770000}"/>
    <cellStyle name="Normal 4 44 2" xfId="30540" xr:uid="{00000000-0005-0000-0000-00003B770000}"/>
    <cellStyle name="Normal 4 44 3" xfId="30541" xr:uid="{00000000-0005-0000-0000-00003C770000}"/>
    <cellStyle name="Normal 4 45" xfId="30542" xr:uid="{00000000-0005-0000-0000-00003D770000}"/>
    <cellStyle name="Normal 4 45 2" xfId="30543" xr:uid="{00000000-0005-0000-0000-00003E770000}"/>
    <cellStyle name="Normal 4 45 3" xfId="30544" xr:uid="{00000000-0005-0000-0000-00003F770000}"/>
    <cellStyle name="Normal 4 46" xfId="30545" xr:uid="{00000000-0005-0000-0000-000040770000}"/>
    <cellStyle name="Normal 4 46 2" xfId="30546" xr:uid="{00000000-0005-0000-0000-000041770000}"/>
    <cellStyle name="Normal 4 46 3" xfId="30547" xr:uid="{00000000-0005-0000-0000-000042770000}"/>
    <cellStyle name="Normal 4 47" xfId="30548" xr:uid="{00000000-0005-0000-0000-000043770000}"/>
    <cellStyle name="Normal 4 48" xfId="30549" xr:uid="{00000000-0005-0000-0000-000044770000}"/>
    <cellStyle name="Normal 4 49" xfId="30550" xr:uid="{00000000-0005-0000-0000-000045770000}"/>
    <cellStyle name="Normal 4 5" xfId="30551" xr:uid="{00000000-0005-0000-0000-000046770000}"/>
    <cellStyle name="Normal 4 5 2" xfId="30552" xr:uid="{00000000-0005-0000-0000-000047770000}"/>
    <cellStyle name="Normal 4 5 3" xfId="30553" xr:uid="{00000000-0005-0000-0000-000048770000}"/>
    <cellStyle name="Normal 4 5 4" xfId="30554" xr:uid="{00000000-0005-0000-0000-000049770000}"/>
    <cellStyle name="Normal 4 5 5" xfId="30555" xr:uid="{00000000-0005-0000-0000-00004A770000}"/>
    <cellStyle name="Normal 4 5_Enlaces" xfId="30556" xr:uid="{00000000-0005-0000-0000-00004B770000}"/>
    <cellStyle name="Normal 4 50" xfId="30557" xr:uid="{00000000-0005-0000-0000-00004C770000}"/>
    <cellStyle name="Normal 4 51" xfId="30558" xr:uid="{00000000-0005-0000-0000-00004D770000}"/>
    <cellStyle name="Normal 4 52" xfId="30559" xr:uid="{00000000-0005-0000-0000-00004E770000}"/>
    <cellStyle name="Normal 4 53" xfId="30560" xr:uid="{00000000-0005-0000-0000-00004F770000}"/>
    <cellStyle name="Normal 4 54" xfId="30561" xr:uid="{00000000-0005-0000-0000-000050770000}"/>
    <cellStyle name="Normal 4 55" xfId="30562" xr:uid="{00000000-0005-0000-0000-000051770000}"/>
    <cellStyle name="Normal 4 56" xfId="30563" xr:uid="{00000000-0005-0000-0000-000052770000}"/>
    <cellStyle name="Normal 4 57" xfId="30564" xr:uid="{00000000-0005-0000-0000-000053770000}"/>
    <cellStyle name="Normal 4 58" xfId="30565" xr:uid="{00000000-0005-0000-0000-000054770000}"/>
    <cellStyle name="Normal 4 59" xfId="30566" xr:uid="{00000000-0005-0000-0000-000055770000}"/>
    <cellStyle name="Normal 4 6" xfId="30567" xr:uid="{00000000-0005-0000-0000-000056770000}"/>
    <cellStyle name="Normal 4 6 2" xfId="30568" xr:uid="{00000000-0005-0000-0000-000057770000}"/>
    <cellStyle name="Normal 4 6 3" xfId="30569" xr:uid="{00000000-0005-0000-0000-000058770000}"/>
    <cellStyle name="Normal 4 6 4" xfId="30570" xr:uid="{00000000-0005-0000-0000-000059770000}"/>
    <cellStyle name="Normal 4 6 5" xfId="30571" xr:uid="{00000000-0005-0000-0000-00005A770000}"/>
    <cellStyle name="Normal 4 6_Enlaces" xfId="30572" xr:uid="{00000000-0005-0000-0000-00005B770000}"/>
    <cellStyle name="Normal 4 60" xfId="30573" xr:uid="{00000000-0005-0000-0000-00005C770000}"/>
    <cellStyle name="Normal 4 61" xfId="30574" xr:uid="{00000000-0005-0000-0000-00005D770000}"/>
    <cellStyle name="Normal 4 62" xfId="30575" xr:uid="{00000000-0005-0000-0000-00005E770000}"/>
    <cellStyle name="Normal 4 63" xfId="30576" xr:uid="{00000000-0005-0000-0000-00005F770000}"/>
    <cellStyle name="Normal 4 64" xfId="30577" xr:uid="{00000000-0005-0000-0000-000060770000}"/>
    <cellStyle name="Normal 4 65" xfId="30578" xr:uid="{00000000-0005-0000-0000-000061770000}"/>
    <cellStyle name="Normal 4 66" xfId="30579" xr:uid="{00000000-0005-0000-0000-000062770000}"/>
    <cellStyle name="Normal 4 67" xfId="30580" xr:uid="{00000000-0005-0000-0000-000063770000}"/>
    <cellStyle name="Normal 4 68" xfId="30581" xr:uid="{00000000-0005-0000-0000-000064770000}"/>
    <cellStyle name="Normal 4 69" xfId="30582" xr:uid="{00000000-0005-0000-0000-000065770000}"/>
    <cellStyle name="Normal 4 7" xfId="30583" xr:uid="{00000000-0005-0000-0000-000066770000}"/>
    <cellStyle name="Normal 4 7 2" xfId="30584" xr:uid="{00000000-0005-0000-0000-000067770000}"/>
    <cellStyle name="Normal 4 7 3" xfId="30585" xr:uid="{00000000-0005-0000-0000-000068770000}"/>
    <cellStyle name="Normal 4 7 4" xfId="30586" xr:uid="{00000000-0005-0000-0000-000069770000}"/>
    <cellStyle name="Normal 4 7 5" xfId="30587" xr:uid="{00000000-0005-0000-0000-00006A770000}"/>
    <cellStyle name="Normal 4 7_Enlaces" xfId="30588" xr:uid="{00000000-0005-0000-0000-00006B770000}"/>
    <cellStyle name="Normal 4 70" xfId="30589" xr:uid="{00000000-0005-0000-0000-00006C770000}"/>
    <cellStyle name="Normal 4 71" xfId="30590" xr:uid="{00000000-0005-0000-0000-00006D770000}"/>
    <cellStyle name="Normal 4 72" xfId="30591" xr:uid="{00000000-0005-0000-0000-00006E770000}"/>
    <cellStyle name="Normal 4 73" xfId="30592" xr:uid="{00000000-0005-0000-0000-00006F770000}"/>
    <cellStyle name="Normal 4 74" xfId="30593" xr:uid="{00000000-0005-0000-0000-000070770000}"/>
    <cellStyle name="Normal 4 75" xfId="30594" xr:uid="{00000000-0005-0000-0000-000071770000}"/>
    <cellStyle name="Normal 4 76" xfId="30595" xr:uid="{00000000-0005-0000-0000-000072770000}"/>
    <cellStyle name="Normal 4 77" xfId="30596" xr:uid="{00000000-0005-0000-0000-000073770000}"/>
    <cellStyle name="Normal 4 78" xfId="30597" xr:uid="{00000000-0005-0000-0000-000074770000}"/>
    <cellStyle name="Normal 4 79" xfId="30598" xr:uid="{00000000-0005-0000-0000-000075770000}"/>
    <cellStyle name="Normal 4 8" xfId="30599" xr:uid="{00000000-0005-0000-0000-000076770000}"/>
    <cellStyle name="Normal 4 8 2" xfId="30600" xr:uid="{00000000-0005-0000-0000-000077770000}"/>
    <cellStyle name="Normal 4 8 3" xfId="30601" xr:uid="{00000000-0005-0000-0000-000078770000}"/>
    <cellStyle name="Normal 4 8 4" xfId="30602" xr:uid="{00000000-0005-0000-0000-000079770000}"/>
    <cellStyle name="Normal 4 8 5" xfId="30603" xr:uid="{00000000-0005-0000-0000-00007A770000}"/>
    <cellStyle name="Normal 4 8_Enlaces" xfId="30604" xr:uid="{00000000-0005-0000-0000-00007B770000}"/>
    <cellStyle name="Normal 4 80" xfId="30605" xr:uid="{00000000-0005-0000-0000-00007C770000}"/>
    <cellStyle name="Normal 4 81" xfId="30606" xr:uid="{00000000-0005-0000-0000-00007D770000}"/>
    <cellStyle name="Normal 4 82" xfId="30607" xr:uid="{00000000-0005-0000-0000-00007E770000}"/>
    <cellStyle name="Normal 4 83" xfId="30608" xr:uid="{00000000-0005-0000-0000-00007F770000}"/>
    <cellStyle name="Normal 4 84" xfId="30609" xr:uid="{00000000-0005-0000-0000-000080770000}"/>
    <cellStyle name="Normal 4 85" xfId="30610" xr:uid="{00000000-0005-0000-0000-000081770000}"/>
    <cellStyle name="Normal 4 86" xfId="30611" xr:uid="{00000000-0005-0000-0000-000082770000}"/>
    <cellStyle name="Normal 4 87" xfId="30612" xr:uid="{00000000-0005-0000-0000-000083770000}"/>
    <cellStyle name="Normal 4 88" xfId="30613" xr:uid="{00000000-0005-0000-0000-000084770000}"/>
    <cellStyle name="Normal 4 89" xfId="30614" xr:uid="{00000000-0005-0000-0000-000085770000}"/>
    <cellStyle name="Normal 4 9" xfId="30615" xr:uid="{00000000-0005-0000-0000-000086770000}"/>
    <cellStyle name="Normal 4 9 2" xfId="30616" xr:uid="{00000000-0005-0000-0000-000087770000}"/>
    <cellStyle name="Normal 4 9 3" xfId="30617" xr:uid="{00000000-0005-0000-0000-000088770000}"/>
    <cellStyle name="Normal 4 9 4" xfId="30618" xr:uid="{00000000-0005-0000-0000-000089770000}"/>
    <cellStyle name="Normal 4 9 5" xfId="30619" xr:uid="{00000000-0005-0000-0000-00008A770000}"/>
    <cellStyle name="Normal 4 9_Enlaces" xfId="30620" xr:uid="{00000000-0005-0000-0000-00008B770000}"/>
    <cellStyle name="Normal 4 90" xfId="30621" xr:uid="{00000000-0005-0000-0000-00008C770000}"/>
    <cellStyle name="Normal 4 91" xfId="30622" xr:uid="{00000000-0005-0000-0000-00008D770000}"/>
    <cellStyle name="Normal 4 92" xfId="30623" xr:uid="{00000000-0005-0000-0000-00008E770000}"/>
    <cellStyle name="Normal 4 93" xfId="30624" xr:uid="{00000000-0005-0000-0000-00008F770000}"/>
    <cellStyle name="Normal 4 94" xfId="30625" xr:uid="{00000000-0005-0000-0000-000090770000}"/>
    <cellStyle name="Normal 4 95" xfId="30626" xr:uid="{00000000-0005-0000-0000-000091770000}"/>
    <cellStyle name="Normal 4 96" xfId="30627" xr:uid="{00000000-0005-0000-0000-000092770000}"/>
    <cellStyle name="Normal 4 97" xfId="30628" xr:uid="{00000000-0005-0000-0000-000093770000}"/>
    <cellStyle name="Normal 4 98" xfId="30629" xr:uid="{00000000-0005-0000-0000-000094770000}"/>
    <cellStyle name="Normal 4 98 2" xfId="30630" xr:uid="{00000000-0005-0000-0000-000095770000}"/>
    <cellStyle name="Normal 4 98 3" xfId="30631" xr:uid="{00000000-0005-0000-0000-000096770000}"/>
    <cellStyle name="Normal 4 98 4" xfId="30632" xr:uid="{00000000-0005-0000-0000-000097770000}"/>
    <cellStyle name="Normal 4 98 5" xfId="30633" xr:uid="{00000000-0005-0000-0000-000098770000}"/>
    <cellStyle name="Normal 4 98 6" xfId="30634" xr:uid="{00000000-0005-0000-0000-000099770000}"/>
    <cellStyle name="Normal 4 99" xfId="30635" xr:uid="{00000000-0005-0000-0000-00009A770000}"/>
    <cellStyle name="Normal 4 99 2" xfId="30636" xr:uid="{00000000-0005-0000-0000-00009B770000}"/>
    <cellStyle name="Normal 4 99 3" xfId="30637" xr:uid="{00000000-0005-0000-0000-00009C770000}"/>
    <cellStyle name="Normal 4 99 4" xfId="30638" xr:uid="{00000000-0005-0000-0000-00009D770000}"/>
    <cellStyle name="Normal 4 99 5" xfId="30639" xr:uid="{00000000-0005-0000-0000-00009E770000}"/>
    <cellStyle name="Normal 4 99 6" xfId="30640" xr:uid="{00000000-0005-0000-0000-00009F770000}"/>
    <cellStyle name="Normal 4_Enlaces" xfId="30641" xr:uid="{00000000-0005-0000-0000-0000A0770000}"/>
    <cellStyle name="Normal 40" xfId="30642" xr:uid="{00000000-0005-0000-0000-0000A1770000}"/>
    <cellStyle name="Normal 40 10" xfId="30643" xr:uid="{00000000-0005-0000-0000-0000A2770000}"/>
    <cellStyle name="Normal 40 11" xfId="30644" xr:uid="{00000000-0005-0000-0000-0000A3770000}"/>
    <cellStyle name="Normal 40 12" xfId="30645" xr:uid="{00000000-0005-0000-0000-0000A4770000}"/>
    <cellStyle name="Normal 40 13" xfId="30646" xr:uid="{00000000-0005-0000-0000-0000A5770000}"/>
    <cellStyle name="Normal 40 14" xfId="30647" xr:uid="{00000000-0005-0000-0000-0000A6770000}"/>
    <cellStyle name="Normal 40 15" xfId="30648" xr:uid="{00000000-0005-0000-0000-0000A7770000}"/>
    <cellStyle name="Normal 40 16" xfId="30649" xr:uid="{00000000-0005-0000-0000-0000A8770000}"/>
    <cellStyle name="Normal 40 17" xfId="30650" xr:uid="{00000000-0005-0000-0000-0000A9770000}"/>
    <cellStyle name="Normal 40 18" xfId="30651" xr:uid="{00000000-0005-0000-0000-0000AA770000}"/>
    <cellStyle name="Normal 40 19" xfId="30652" xr:uid="{00000000-0005-0000-0000-0000AB770000}"/>
    <cellStyle name="Normal 40 2" xfId="30653" xr:uid="{00000000-0005-0000-0000-0000AC770000}"/>
    <cellStyle name="Normal 40 2 2" xfId="30654" xr:uid="{00000000-0005-0000-0000-0000AD770000}"/>
    <cellStyle name="Normal 40 20" xfId="30655" xr:uid="{00000000-0005-0000-0000-0000AE770000}"/>
    <cellStyle name="Normal 40 21" xfId="30656" xr:uid="{00000000-0005-0000-0000-0000AF770000}"/>
    <cellStyle name="Normal 40 22" xfId="30657" xr:uid="{00000000-0005-0000-0000-0000B0770000}"/>
    <cellStyle name="Normal 40 23" xfId="30658" xr:uid="{00000000-0005-0000-0000-0000B1770000}"/>
    <cellStyle name="Normal 40 24" xfId="30659" xr:uid="{00000000-0005-0000-0000-0000B2770000}"/>
    <cellStyle name="Normal 40 25" xfId="30660" xr:uid="{00000000-0005-0000-0000-0000B3770000}"/>
    <cellStyle name="Normal 40 26" xfId="30661" xr:uid="{00000000-0005-0000-0000-0000B4770000}"/>
    <cellStyle name="Normal 40 3" xfId="30662" xr:uid="{00000000-0005-0000-0000-0000B5770000}"/>
    <cellStyle name="Normal 40 3 2" xfId="30663" xr:uid="{00000000-0005-0000-0000-0000B6770000}"/>
    <cellStyle name="Normal 40 4" xfId="30664" xr:uid="{00000000-0005-0000-0000-0000B7770000}"/>
    <cellStyle name="Normal 40 4 2" xfId="30665" xr:uid="{00000000-0005-0000-0000-0000B8770000}"/>
    <cellStyle name="Normal 40 5" xfId="30666" xr:uid="{00000000-0005-0000-0000-0000B9770000}"/>
    <cellStyle name="Normal 40 5 2" xfId="30667" xr:uid="{00000000-0005-0000-0000-0000BA770000}"/>
    <cellStyle name="Normal 40 6" xfId="30668" xr:uid="{00000000-0005-0000-0000-0000BB770000}"/>
    <cellStyle name="Normal 40 7" xfId="30669" xr:uid="{00000000-0005-0000-0000-0000BC770000}"/>
    <cellStyle name="Normal 40 8" xfId="30670" xr:uid="{00000000-0005-0000-0000-0000BD770000}"/>
    <cellStyle name="Normal 40 9" xfId="30671" xr:uid="{00000000-0005-0000-0000-0000BE770000}"/>
    <cellStyle name="Normal 41" xfId="30672" xr:uid="{00000000-0005-0000-0000-0000BF770000}"/>
    <cellStyle name="Normal 41 10" xfId="30673" xr:uid="{00000000-0005-0000-0000-0000C0770000}"/>
    <cellStyle name="Normal 41 11" xfId="30674" xr:uid="{00000000-0005-0000-0000-0000C1770000}"/>
    <cellStyle name="Normal 41 12" xfId="30675" xr:uid="{00000000-0005-0000-0000-0000C2770000}"/>
    <cellStyle name="Normal 41 13" xfId="30676" xr:uid="{00000000-0005-0000-0000-0000C3770000}"/>
    <cellStyle name="Normal 41 14" xfId="30677" xr:uid="{00000000-0005-0000-0000-0000C4770000}"/>
    <cellStyle name="Normal 41 15" xfId="30678" xr:uid="{00000000-0005-0000-0000-0000C5770000}"/>
    <cellStyle name="Normal 41 16" xfId="30679" xr:uid="{00000000-0005-0000-0000-0000C6770000}"/>
    <cellStyle name="Normal 41 17" xfId="30680" xr:uid="{00000000-0005-0000-0000-0000C7770000}"/>
    <cellStyle name="Normal 41 18" xfId="30681" xr:uid="{00000000-0005-0000-0000-0000C8770000}"/>
    <cellStyle name="Normal 41 19" xfId="30682" xr:uid="{00000000-0005-0000-0000-0000C9770000}"/>
    <cellStyle name="Normal 41 2" xfId="30683" xr:uid="{00000000-0005-0000-0000-0000CA770000}"/>
    <cellStyle name="Normal 41 2 2" xfId="30684" xr:uid="{00000000-0005-0000-0000-0000CB770000}"/>
    <cellStyle name="Normal 41 20" xfId="30685" xr:uid="{00000000-0005-0000-0000-0000CC770000}"/>
    <cellStyle name="Normal 41 21" xfId="30686" xr:uid="{00000000-0005-0000-0000-0000CD770000}"/>
    <cellStyle name="Normal 41 22" xfId="30687" xr:uid="{00000000-0005-0000-0000-0000CE770000}"/>
    <cellStyle name="Normal 41 23" xfId="30688" xr:uid="{00000000-0005-0000-0000-0000CF770000}"/>
    <cellStyle name="Normal 41 24" xfId="30689" xr:uid="{00000000-0005-0000-0000-0000D0770000}"/>
    <cellStyle name="Normal 41 25" xfId="30690" xr:uid="{00000000-0005-0000-0000-0000D1770000}"/>
    <cellStyle name="Normal 41 26" xfId="30691" xr:uid="{00000000-0005-0000-0000-0000D2770000}"/>
    <cellStyle name="Normal 41 3" xfId="30692" xr:uid="{00000000-0005-0000-0000-0000D3770000}"/>
    <cellStyle name="Normal 41 3 2" xfId="30693" xr:uid="{00000000-0005-0000-0000-0000D4770000}"/>
    <cellStyle name="Normal 41 4" xfId="30694" xr:uid="{00000000-0005-0000-0000-0000D5770000}"/>
    <cellStyle name="Normal 41 4 2" xfId="30695" xr:uid="{00000000-0005-0000-0000-0000D6770000}"/>
    <cellStyle name="Normal 41 5" xfId="30696" xr:uid="{00000000-0005-0000-0000-0000D7770000}"/>
    <cellStyle name="Normal 41 5 2" xfId="30697" xr:uid="{00000000-0005-0000-0000-0000D8770000}"/>
    <cellStyle name="Normal 41 6" xfId="30698" xr:uid="{00000000-0005-0000-0000-0000D9770000}"/>
    <cellStyle name="Normal 41 7" xfId="30699" xr:uid="{00000000-0005-0000-0000-0000DA770000}"/>
    <cellStyle name="Normal 41 8" xfId="30700" xr:uid="{00000000-0005-0000-0000-0000DB770000}"/>
    <cellStyle name="Normal 41 9" xfId="30701" xr:uid="{00000000-0005-0000-0000-0000DC770000}"/>
    <cellStyle name="Normal 42" xfId="30702" xr:uid="{00000000-0005-0000-0000-0000DD770000}"/>
    <cellStyle name="Normal 43" xfId="30703" xr:uid="{00000000-0005-0000-0000-0000DE770000}"/>
    <cellStyle name="Normal 43 10" xfId="30704" xr:uid="{00000000-0005-0000-0000-0000DF770000}"/>
    <cellStyle name="Normal 43 11" xfId="30705" xr:uid="{00000000-0005-0000-0000-0000E0770000}"/>
    <cellStyle name="Normal 43 12" xfId="30706" xr:uid="{00000000-0005-0000-0000-0000E1770000}"/>
    <cellStyle name="Normal 43 13" xfId="30707" xr:uid="{00000000-0005-0000-0000-0000E2770000}"/>
    <cellStyle name="Normal 43 14" xfId="30708" xr:uid="{00000000-0005-0000-0000-0000E3770000}"/>
    <cellStyle name="Normal 43 15" xfId="30709" xr:uid="{00000000-0005-0000-0000-0000E4770000}"/>
    <cellStyle name="Normal 43 16" xfId="30710" xr:uid="{00000000-0005-0000-0000-0000E5770000}"/>
    <cellStyle name="Normal 43 17" xfId="30711" xr:uid="{00000000-0005-0000-0000-0000E6770000}"/>
    <cellStyle name="Normal 43 18" xfId="30712" xr:uid="{00000000-0005-0000-0000-0000E7770000}"/>
    <cellStyle name="Normal 43 19" xfId="30713" xr:uid="{00000000-0005-0000-0000-0000E8770000}"/>
    <cellStyle name="Normal 43 2" xfId="30714" xr:uid="{00000000-0005-0000-0000-0000E9770000}"/>
    <cellStyle name="Normal 43 2 2" xfId="30715" xr:uid="{00000000-0005-0000-0000-0000EA770000}"/>
    <cellStyle name="Normal 43 20" xfId="30716" xr:uid="{00000000-0005-0000-0000-0000EB770000}"/>
    <cellStyle name="Normal 43 21" xfId="30717" xr:uid="{00000000-0005-0000-0000-0000EC770000}"/>
    <cellStyle name="Normal 43 22" xfId="30718" xr:uid="{00000000-0005-0000-0000-0000ED770000}"/>
    <cellStyle name="Normal 43 23" xfId="30719" xr:uid="{00000000-0005-0000-0000-0000EE770000}"/>
    <cellStyle name="Normal 43 24" xfId="30720" xr:uid="{00000000-0005-0000-0000-0000EF770000}"/>
    <cellStyle name="Normal 43 25" xfId="30721" xr:uid="{00000000-0005-0000-0000-0000F0770000}"/>
    <cellStyle name="Normal 43 26" xfId="30722" xr:uid="{00000000-0005-0000-0000-0000F1770000}"/>
    <cellStyle name="Normal 43 27" xfId="30723" xr:uid="{00000000-0005-0000-0000-0000F2770000}"/>
    <cellStyle name="Normal 43 28" xfId="30724" xr:uid="{00000000-0005-0000-0000-0000F3770000}"/>
    <cellStyle name="Normal 43 3" xfId="30725" xr:uid="{00000000-0005-0000-0000-0000F4770000}"/>
    <cellStyle name="Normal 43 3 2" xfId="30726" xr:uid="{00000000-0005-0000-0000-0000F5770000}"/>
    <cellStyle name="Normal 43 4" xfId="30727" xr:uid="{00000000-0005-0000-0000-0000F6770000}"/>
    <cellStyle name="Normal 43 4 2" xfId="30728" xr:uid="{00000000-0005-0000-0000-0000F7770000}"/>
    <cellStyle name="Normal 43 5" xfId="30729" xr:uid="{00000000-0005-0000-0000-0000F8770000}"/>
    <cellStyle name="Normal 43 5 2" xfId="30730" xr:uid="{00000000-0005-0000-0000-0000F9770000}"/>
    <cellStyle name="Normal 43 6" xfId="30731" xr:uid="{00000000-0005-0000-0000-0000FA770000}"/>
    <cellStyle name="Normal 43 7" xfId="30732" xr:uid="{00000000-0005-0000-0000-0000FB770000}"/>
    <cellStyle name="Normal 43 8" xfId="30733" xr:uid="{00000000-0005-0000-0000-0000FC770000}"/>
    <cellStyle name="Normal 43 9" xfId="30734" xr:uid="{00000000-0005-0000-0000-0000FD770000}"/>
    <cellStyle name="Normal 44" xfId="30735" xr:uid="{00000000-0005-0000-0000-0000FE770000}"/>
    <cellStyle name="Normal 44 10" xfId="30736" xr:uid="{00000000-0005-0000-0000-0000FF770000}"/>
    <cellStyle name="Normal 44 11" xfId="30737" xr:uid="{00000000-0005-0000-0000-000000780000}"/>
    <cellStyle name="Normal 44 12" xfId="30738" xr:uid="{00000000-0005-0000-0000-000001780000}"/>
    <cellStyle name="Normal 44 13" xfId="30739" xr:uid="{00000000-0005-0000-0000-000002780000}"/>
    <cellStyle name="Normal 44 14" xfId="30740" xr:uid="{00000000-0005-0000-0000-000003780000}"/>
    <cellStyle name="Normal 44 15" xfId="30741" xr:uid="{00000000-0005-0000-0000-000004780000}"/>
    <cellStyle name="Normal 44 16" xfId="30742" xr:uid="{00000000-0005-0000-0000-000005780000}"/>
    <cellStyle name="Normal 44 17" xfId="30743" xr:uid="{00000000-0005-0000-0000-000006780000}"/>
    <cellStyle name="Normal 44 18" xfId="30744" xr:uid="{00000000-0005-0000-0000-000007780000}"/>
    <cellStyle name="Normal 44 19" xfId="30745" xr:uid="{00000000-0005-0000-0000-000008780000}"/>
    <cellStyle name="Normal 44 2" xfId="30746" xr:uid="{00000000-0005-0000-0000-000009780000}"/>
    <cellStyle name="Normal 44 2 2" xfId="30747" xr:uid="{00000000-0005-0000-0000-00000A780000}"/>
    <cellStyle name="Normal 44 20" xfId="30748" xr:uid="{00000000-0005-0000-0000-00000B780000}"/>
    <cellStyle name="Normal 44 21" xfId="30749" xr:uid="{00000000-0005-0000-0000-00000C780000}"/>
    <cellStyle name="Normal 44 22" xfId="30750" xr:uid="{00000000-0005-0000-0000-00000D780000}"/>
    <cellStyle name="Normal 44 23" xfId="30751" xr:uid="{00000000-0005-0000-0000-00000E780000}"/>
    <cellStyle name="Normal 44 24" xfId="30752" xr:uid="{00000000-0005-0000-0000-00000F780000}"/>
    <cellStyle name="Normal 44 25" xfId="30753" xr:uid="{00000000-0005-0000-0000-000010780000}"/>
    <cellStyle name="Normal 44 26" xfId="30754" xr:uid="{00000000-0005-0000-0000-000011780000}"/>
    <cellStyle name="Normal 44 3" xfId="30755" xr:uid="{00000000-0005-0000-0000-000012780000}"/>
    <cellStyle name="Normal 44 3 2" xfId="30756" xr:uid="{00000000-0005-0000-0000-000013780000}"/>
    <cellStyle name="Normal 44 4" xfId="30757" xr:uid="{00000000-0005-0000-0000-000014780000}"/>
    <cellStyle name="Normal 44 4 2" xfId="30758" xr:uid="{00000000-0005-0000-0000-000015780000}"/>
    <cellStyle name="Normal 44 5" xfId="30759" xr:uid="{00000000-0005-0000-0000-000016780000}"/>
    <cellStyle name="Normal 44 5 2" xfId="30760" xr:uid="{00000000-0005-0000-0000-000017780000}"/>
    <cellStyle name="Normal 44 6" xfId="30761" xr:uid="{00000000-0005-0000-0000-000018780000}"/>
    <cellStyle name="Normal 44 7" xfId="30762" xr:uid="{00000000-0005-0000-0000-000019780000}"/>
    <cellStyle name="Normal 44 8" xfId="30763" xr:uid="{00000000-0005-0000-0000-00001A780000}"/>
    <cellStyle name="Normal 44 9" xfId="30764" xr:uid="{00000000-0005-0000-0000-00001B780000}"/>
    <cellStyle name="Normal 45" xfId="30765" xr:uid="{00000000-0005-0000-0000-00001C780000}"/>
    <cellStyle name="Normal 46" xfId="30766" xr:uid="{00000000-0005-0000-0000-00001D780000}"/>
    <cellStyle name="Normal 47" xfId="30767" xr:uid="{00000000-0005-0000-0000-00001E780000}"/>
    <cellStyle name="Normal 48" xfId="30768" xr:uid="{00000000-0005-0000-0000-00001F780000}"/>
    <cellStyle name="Normal 49" xfId="30769" xr:uid="{00000000-0005-0000-0000-000020780000}"/>
    <cellStyle name="Normal 49 10" xfId="30770" xr:uid="{00000000-0005-0000-0000-000021780000}"/>
    <cellStyle name="Normal 49 11" xfId="30771" xr:uid="{00000000-0005-0000-0000-000022780000}"/>
    <cellStyle name="Normal 49 12" xfId="30772" xr:uid="{00000000-0005-0000-0000-000023780000}"/>
    <cellStyle name="Normal 49 13" xfId="30773" xr:uid="{00000000-0005-0000-0000-000024780000}"/>
    <cellStyle name="Normal 49 14" xfId="30774" xr:uid="{00000000-0005-0000-0000-000025780000}"/>
    <cellStyle name="Normal 49 15" xfId="30775" xr:uid="{00000000-0005-0000-0000-000026780000}"/>
    <cellStyle name="Normal 49 16" xfId="30776" xr:uid="{00000000-0005-0000-0000-000027780000}"/>
    <cellStyle name="Normal 49 17" xfId="30777" xr:uid="{00000000-0005-0000-0000-000028780000}"/>
    <cellStyle name="Normal 49 18" xfId="30778" xr:uid="{00000000-0005-0000-0000-000029780000}"/>
    <cellStyle name="Normal 49 19" xfId="30779" xr:uid="{00000000-0005-0000-0000-00002A780000}"/>
    <cellStyle name="Normal 49 2" xfId="30780" xr:uid="{00000000-0005-0000-0000-00002B780000}"/>
    <cellStyle name="Normal 49 2 2" xfId="30781" xr:uid="{00000000-0005-0000-0000-00002C780000}"/>
    <cellStyle name="Normal 49 20" xfId="30782" xr:uid="{00000000-0005-0000-0000-00002D780000}"/>
    <cellStyle name="Normal 49 21" xfId="30783" xr:uid="{00000000-0005-0000-0000-00002E780000}"/>
    <cellStyle name="Normal 49 22" xfId="30784" xr:uid="{00000000-0005-0000-0000-00002F780000}"/>
    <cellStyle name="Normal 49 23" xfId="30785" xr:uid="{00000000-0005-0000-0000-000030780000}"/>
    <cellStyle name="Normal 49 24" xfId="30786" xr:uid="{00000000-0005-0000-0000-000031780000}"/>
    <cellStyle name="Normal 49 25" xfId="30787" xr:uid="{00000000-0005-0000-0000-000032780000}"/>
    <cellStyle name="Normal 49 26" xfId="30788" xr:uid="{00000000-0005-0000-0000-000033780000}"/>
    <cellStyle name="Normal 49 3" xfId="30789" xr:uid="{00000000-0005-0000-0000-000034780000}"/>
    <cellStyle name="Normal 49 3 2" xfId="30790" xr:uid="{00000000-0005-0000-0000-000035780000}"/>
    <cellStyle name="Normal 49 4" xfId="30791" xr:uid="{00000000-0005-0000-0000-000036780000}"/>
    <cellStyle name="Normal 49 4 2" xfId="30792" xr:uid="{00000000-0005-0000-0000-000037780000}"/>
    <cellStyle name="Normal 49 5" xfId="30793" xr:uid="{00000000-0005-0000-0000-000038780000}"/>
    <cellStyle name="Normal 49 5 2" xfId="30794" xr:uid="{00000000-0005-0000-0000-000039780000}"/>
    <cellStyle name="Normal 49 6" xfId="30795" xr:uid="{00000000-0005-0000-0000-00003A780000}"/>
    <cellStyle name="Normal 49 7" xfId="30796" xr:uid="{00000000-0005-0000-0000-00003B780000}"/>
    <cellStyle name="Normal 49 8" xfId="30797" xr:uid="{00000000-0005-0000-0000-00003C780000}"/>
    <cellStyle name="Normal 49 9" xfId="30798" xr:uid="{00000000-0005-0000-0000-00003D780000}"/>
    <cellStyle name="Normal 5" xfId="24" xr:uid="{00000000-0005-0000-0000-00003E780000}"/>
    <cellStyle name="Normal 5 10" xfId="37" xr:uid="{00000000-0005-0000-0000-00003F780000}"/>
    <cellStyle name="Normal 5 10 10" xfId="30800" xr:uid="{00000000-0005-0000-0000-000040780000}"/>
    <cellStyle name="Normal 5 10 10 10" xfId="30801" xr:uid="{00000000-0005-0000-0000-000041780000}"/>
    <cellStyle name="Normal 5 10 10 11" xfId="30802" xr:uid="{00000000-0005-0000-0000-000042780000}"/>
    <cellStyle name="Normal 5 10 10 12" xfId="30803" xr:uid="{00000000-0005-0000-0000-000043780000}"/>
    <cellStyle name="Normal 5 10 10 13" xfId="30804" xr:uid="{00000000-0005-0000-0000-000044780000}"/>
    <cellStyle name="Normal 5 10 10 14" xfId="30805" xr:uid="{00000000-0005-0000-0000-000045780000}"/>
    <cellStyle name="Normal 5 10 10 2" xfId="30806" xr:uid="{00000000-0005-0000-0000-000046780000}"/>
    <cellStyle name="Normal 5 10 10 2 10" xfId="30807" xr:uid="{00000000-0005-0000-0000-000047780000}"/>
    <cellStyle name="Normal 5 10 10 2 2" xfId="30808" xr:uid="{00000000-0005-0000-0000-000048780000}"/>
    <cellStyle name="Normal 5 10 10 2 3" xfId="30809" xr:uid="{00000000-0005-0000-0000-000049780000}"/>
    <cellStyle name="Normal 5 10 10 2 4" xfId="30810" xr:uid="{00000000-0005-0000-0000-00004A780000}"/>
    <cellStyle name="Normal 5 10 10 2 5" xfId="30811" xr:uid="{00000000-0005-0000-0000-00004B780000}"/>
    <cellStyle name="Normal 5 10 10 2 6" xfId="30812" xr:uid="{00000000-0005-0000-0000-00004C780000}"/>
    <cellStyle name="Normal 5 10 10 2 7" xfId="30813" xr:uid="{00000000-0005-0000-0000-00004D780000}"/>
    <cellStyle name="Normal 5 10 10 2 8" xfId="30814" xr:uid="{00000000-0005-0000-0000-00004E780000}"/>
    <cellStyle name="Normal 5 10 10 2 9" xfId="30815" xr:uid="{00000000-0005-0000-0000-00004F780000}"/>
    <cellStyle name="Normal 5 10 10 3" xfId="30816" xr:uid="{00000000-0005-0000-0000-000050780000}"/>
    <cellStyle name="Normal 5 10 10 3 10" xfId="30817" xr:uid="{00000000-0005-0000-0000-000051780000}"/>
    <cellStyle name="Normal 5 10 10 3 2" xfId="30818" xr:uid="{00000000-0005-0000-0000-000052780000}"/>
    <cellStyle name="Normal 5 10 10 3 3" xfId="30819" xr:uid="{00000000-0005-0000-0000-000053780000}"/>
    <cellStyle name="Normal 5 10 10 3 4" xfId="30820" xr:uid="{00000000-0005-0000-0000-000054780000}"/>
    <cellStyle name="Normal 5 10 10 3 5" xfId="30821" xr:uid="{00000000-0005-0000-0000-000055780000}"/>
    <cellStyle name="Normal 5 10 10 3 6" xfId="30822" xr:uid="{00000000-0005-0000-0000-000056780000}"/>
    <cellStyle name="Normal 5 10 10 3 7" xfId="30823" xr:uid="{00000000-0005-0000-0000-000057780000}"/>
    <cellStyle name="Normal 5 10 10 3 8" xfId="30824" xr:uid="{00000000-0005-0000-0000-000058780000}"/>
    <cellStyle name="Normal 5 10 10 3 9" xfId="30825" xr:uid="{00000000-0005-0000-0000-000059780000}"/>
    <cellStyle name="Normal 5 10 10 4" xfId="30826" xr:uid="{00000000-0005-0000-0000-00005A780000}"/>
    <cellStyle name="Normal 5 10 10 4 10" xfId="30827" xr:uid="{00000000-0005-0000-0000-00005B780000}"/>
    <cellStyle name="Normal 5 10 10 4 2" xfId="30828" xr:uid="{00000000-0005-0000-0000-00005C780000}"/>
    <cellStyle name="Normal 5 10 10 4 3" xfId="30829" xr:uid="{00000000-0005-0000-0000-00005D780000}"/>
    <cellStyle name="Normal 5 10 10 4 4" xfId="30830" xr:uid="{00000000-0005-0000-0000-00005E780000}"/>
    <cellStyle name="Normal 5 10 10 4 5" xfId="30831" xr:uid="{00000000-0005-0000-0000-00005F780000}"/>
    <cellStyle name="Normal 5 10 10 4 6" xfId="30832" xr:uid="{00000000-0005-0000-0000-000060780000}"/>
    <cellStyle name="Normal 5 10 10 4 7" xfId="30833" xr:uid="{00000000-0005-0000-0000-000061780000}"/>
    <cellStyle name="Normal 5 10 10 4 8" xfId="30834" xr:uid="{00000000-0005-0000-0000-000062780000}"/>
    <cellStyle name="Normal 5 10 10 4 9" xfId="30835" xr:uid="{00000000-0005-0000-0000-000063780000}"/>
    <cellStyle name="Normal 5 10 10 5" xfId="30836" xr:uid="{00000000-0005-0000-0000-000064780000}"/>
    <cellStyle name="Normal 5 10 10 5 10" xfId="30837" xr:uid="{00000000-0005-0000-0000-000065780000}"/>
    <cellStyle name="Normal 5 10 10 5 2" xfId="30838" xr:uid="{00000000-0005-0000-0000-000066780000}"/>
    <cellStyle name="Normal 5 10 10 5 3" xfId="30839" xr:uid="{00000000-0005-0000-0000-000067780000}"/>
    <cellStyle name="Normal 5 10 10 5 4" xfId="30840" xr:uid="{00000000-0005-0000-0000-000068780000}"/>
    <cellStyle name="Normal 5 10 10 5 5" xfId="30841" xr:uid="{00000000-0005-0000-0000-000069780000}"/>
    <cellStyle name="Normal 5 10 10 5 6" xfId="30842" xr:uid="{00000000-0005-0000-0000-00006A780000}"/>
    <cellStyle name="Normal 5 10 10 5 7" xfId="30843" xr:uid="{00000000-0005-0000-0000-00006B780000}"/>
    <cellStyle name="Normal 5 10 10 5 8" xfId="30844" xr:uid="{00000000-0005-0000-0000-00006C780000}"/>
    <cellStyle name="Normal 5 10 10 5 9" xfId="30845" xr:uid="{00000000-0005-0000-0000-00006D780000}"/>
    <cellStyle name="Normal 5 10 10 6" xfId="30846" xr:uid="{00000000-0005-0000-0000-00006E780000}"/>
    <cellStyle name="Normal 5 10 10 7" xfId="30847" xr:uid="{00000000-0005-0000-0000-00006F780000}"/>
    <cellStyle name="Normal 5 10 10 8" xfId="30848" xr:uid="{00000000-0005-0000-0000-000070780000}"/>
    <cellStyle name="Normal 5 10 10 9" xfId="30849" xr:uid="{00000000-0005-0000-0000-000071780000}"/>
    <cellStyle name="Normal 5 10 11" xfId="30850" xr:uid="{00000000-0005-0000-0000-000072780000}"/>
    <cellStyle name="Normal 5 10 11 10" xfId="30851" xr:uid="{00000000-0005-0000-0000-000073780000}"/>
    <cellStyle name="Normal 5 10 11 11" xfId="30852" xr:uid="{00000000-0005-0000-0000-000074780000}"/>
    <cellStyle name="Normal 5 10 11 12" xfId="30853" xr:uid="{00000000-0005-0000-0000-000075780000}"/>
    <cellStyle name="Normal 5 10 11 13" xfId="30854" xr:uid="{00000000-0005-0000-0000-000076780000}"/>
    <cellStyle name="Normal 5 10 11 14" xfId="30855" xr:uid="{00000000-0005-0000-0000-000077780000}"/>
    <cellStyle name="Normal 5 10 11 2" xfId="30856" xr:uid="{00000000-0005-0000-0000-000078780000}"/>
    <cellStyle name="Normal 5 10 11 2 10" xfId="30857" xr:uid="{00000000-0005-0000-0000-000079780000}"/>
    <cellStyle name="Normal 5 10 11 2 2" xfId="30858" xr:uid="{00000000-0005-0000-0000-00007A780000}"/>
    <cellStyle name="Normal 5 10 11 2 3" xfId="30859" xr:uid="{00000000-0005-0000-0000-00007B780000}"/>
    <cellStyle name="Normal 5 10 11 2 4" xfId="30860" xr:uid="{00000000-0005-0000-0000-00007C780000}"/>
    <cellStyle name="Normal 5 10 11 2 5" xfId="30861" xr:uid="{00000000-0005-0000-0000-00007D780000}"/>
    <cellStyle name="Normal 5 10 11 2 6" xfId="30862" xr:uid="{00000000-0005-0000-0000-00007E780000}"/>
    <cellStyle name="Normal 5 10 11 2 7" xfId="30863" xr:uid="{00000000-0005-0000-0000-00007F780000}"/>
    <cellStyle name="Normal 5 10 11 2 8" xfId="30864" xr:uid="{00000000-0005-0000-0000-000080780000}"/>
    <cellStyle name="Normal 5 10 11 2 9" xfId="30865" xr:uid="{00000000-0005-0000-0000-000081780000}"/>
    <cellStyle name="Normal 5 10 11 3" xfId="30866" xr:uid="{00000000-0005-0000-0000-000082780000}"/>
    <cellStyle name="Normal 5 10 11 3 10" xfId="30867" xr:uid="{00000000-0005-0000-0000-000083780000}"/>
    <cellStyle name="Normal 5 10 11 3 2" xfId="30868" xr:uid="{00000000-0005-0000-0000-000084780000}"/>
    <cellStyle name="Normal 5 10 11 3 3" xfId="30869" xr:uid="{00000000-0005-0000-0000-000085780000}"/>
    <cellStyle name="Normal 5 10 11 3 4" xfId="30870" xr:uid="{00000000-0005-0000-0000-000086780000}"/>
    <cellStyle name="Normal 5 10 11 3 5" xfId="30871" xr:uid="{00000000-0005-0000-0000-000087780000}"/>
    <cellStyle name="Normal 5 10 11 3 6" xfId="30872" xr:uid="{00000000-0005-0000-0000-000088780000}"/>
    <cellStyle name="Normal 5 10 11 3 7" xfId="30873" xr:uid="{00000000-0005-0000-0000-000089780000}"/>
    <cellStyle name="Normal 5 10 11 3 8" xfId="30874" xr:uid="{00000000-0005-0000-0000-00008A780000}"/>
    <cellStyle name="Normal 5 10 11 3 9" xfId="30875" xr:uid="{00000000-0005-0000-0000-00008B780000}"/>
    <cellStyle name="Normal 5 10 11 4" xfId="30876" xr:uid="{00000000-0005-0000-0000-00008C780000}"/>
    <cellStyle name="Normal 5 10 11 4 10" xfId="30877" xr:uid="{00000000-0005-0000-0000-00008D780000}"/>
    <cellStyle name="Normal 5 10 11 4 2" xfId="30878" xr:uid="{00000000-0005-0000-0000-00008E780000}"/>
    <cellStyle name="Normal 5 10 11 4 3" xfId="30879" xr:uid="{00000000-0005-0000-0000-00008F780000}"/>
    <cellStyle name="Normal 5 10 11 4 4" xfId="30880" xr:uid="{00000000-0005-0000-0000-000090780000}"/>
    <cellStyle name="Normal 5 10 11 4 5" xfId="30881" xr:uid="{00000000-0005-0000-0000-000091780000}"/>
    <cellStyle name="Normal 5 10 11 4 6" xfId="30882" xr:uid="{00000000-0005-0000-0000-000092780000}"/>
    <cellStyle name="Normal 5 10 11 4 7" xfId="30883" xr:uid="{00000000-0005-0000-0000-000093780000}"/>
    <cellStyle name="Normal 5 10 11 4 8" xfId="30884" xr:uid="{00000000-0005-0000-0000-000094780000}"/>
    <cellStyle name="Normal 5 10 11 4 9" xfId="30885" xr:uid="{00000000-0005-0000-0000-000095780000}"/>
    <cellStyle name="Normal 5 10 11 5" xfId="30886" xr:uid="{00000000-0005-0000-0000-000096780000}"/>
    <cellStyle name="Normal 5 10 11 5 10" xfId="30887" xr:uid="{00000000-0005-0000-0000-000097780000}"/>
    <cellStyle name="Normal 5 10 11 5 2" xfId="30888" xr:uid="{00000000-0005-0000-0000-000098780000}"/>
    <cellStyle name="Normal 5 10 11 5 3" xfId="30889" xr:uid="{00000000-0005-0000-0000-000099780000}"/>
    <cellStyle name="Normal 5 10 11 5 4" xfId="30890" xr:uid="{00000000-0005-0000-0000-00009A780000}"/>
    <cellStyle name="Normal 5 10 11 5 5" xfId="30891" xr:uid="{00000000-0005-0000-0000-00009B780000}"/>
    <cellStyle name="Normal 5 10 11 5 6" xfId="30892" xr:uid="{00000000-0005-0000-0000-00009C780000}"/>
    <cellStyle name="Normal 5 10 11 5 7" xfId="30893" xr:uid="{00000000-0005-0000-0000-00009D780000}"/>
    <cellStyle name="Normal 5 10 11 5 8" xfId="30894" xr:uid="{00000000-0005-0000-0000-00009E780000}"/>
    <cellStyle name="Normal 5 10 11 5 9" xfId="30895" xr:uid="{00000000-0005-0000-0000-00009F780000}"/>
    <cellStyle name="Normal 5 10 11 6" xfId="30896" xr:uid="{00000000-0005-0000-0000-0000A0780000}"/>
    <cellStyle name="Normal 5 10 11 7" xfId="30897" xr:uid="{00000000-0005-0000-0000-0000A1780000}"/>
    <cellStyle name="Normal 5 10 11 8" xfId="30898" xr:uid="{00000000-0005-0000-0000-0000A2780000}"/>
    <cellStyle name="Normal 5 10 11 9" xfId="30899" xr:uid="{00000000-0005-0000-0000-0000A3780000}"/>
    <cellStyle name="Normal 5 10 12" xfId="30900" xr:uid="{00000000-0005-0000-0000-0000A4780000}"/>
    <cellStyle name="Normal 5 10 12 10" xfId="30901" xr:uid="{00000000-0005-0000-0000-0000A5780000}"/>
    <cellStyle name="Normal 5 10 12 11" xfId="30902" xr:uid="{00000000-0005-0000-0000-0000A6780000}"/>
    <cellStyle name="Normal 5 10 12 12" xfId="30903" xr:uid="{00000000-0005-0000-0000-0000A7780000}"/>
    <cellStyle name="Normal 5 10 12 13" xfId="30904" xr:uid="{00000000-0005-0000-0000-0000A8780000}"/>
    <cellStyle name="Normal 5 10 12 14" xfId="30905" xr:uid="{00000000-0005-0000-0000-0000A9780000}"/>
    <cellStyle name="Normal 5 10 12 2" xfId="30906" xr:uid="{00000000-0005-0000-0000-0000AA780000}"/>
    <cellStyle name="Normal 5 10 12 2 10" xfId="30907" xr:uid="{00000000-0005-0000-0000-0000AB780000}"/>
    <cellStyle name="Normal 5 10 12 2 2" xfId="30908" xr:uid="{00000000-0005-0000-0000-0000AC780000}"/>
    <cellStyle name="Normal 5 10 12 2 3" xfId="30909" xr:uid="{00000000-0005-0000-0000-0000AD780000}"/>
    <cellStyle name="Normal 5 10 12 2 4" xfId="30910" xr:uid="{00000000-0005-0000-0000-0000AE780000}"/>
    <cellStyle name="Normal 5 10 12 2 5" xfId="30911" xr:uid="{00000000-0005-0000-0000-0000AF780000}"/>
    <cellStyle name="Normal 5 10 12 2 6" xfId="30912" xr:uid="{00000000-0005-0000-0000-0000B0780000}"/>
    <cellStyle name="Normal 5 10 12 2 7" xfId="30913" xr:uid="{00000000-0005-0000-0000-0000B1780000}"/>
    <cellStyle name="Normal 5 10 12 2 8" xfId="30914" xr:uid="{00000000-0005-0000-0000-0000B2780000}"/>
    <cellStyle name="Normal 5 10 12 2 9" xfId="30915" xr:uid="{00000000-0005-0000-0000-0000B3780000}"/>
    <cellStyle name="Normal 5 10 12 3" xfId="30916" xr:uid="{00000000-0005-0000-0000-0000B4780000}"/>
    <cellStyle name="Normal 5 10 12 3 10" xfId="30917" xr:uid="{00000000-0005-0000-0000-0000B5780000}"/>
    <cellStyle name="Normal 5 10 12 3 2" xfId="30918" xr:uid="{00000000-0005-0000-0000-0000B6780000}"/>
    <cellStyle name="Normal 5 10 12 3 3" xfId="30919" xr:uid="{00000000-0005-0000-0000-0000B7780000}"/>
    <cellStyle name="Normal 5 10 12 3 4" xfId="30920" xr:uid="{00000000-0005-0000-0000-0000B8780000}"/>
    <cellStyle name="Normal 5 10 12 3 5" xfId="30921" xr:uid="{00000000-0005-0000-0000-0000B9780000}"/>
    <cellStyle name="Normal 5 10 12 3 6" xfId="30922" xr:uid="{00000000-0005-0000-0000-0000BA780000}"/>
    <cellStyle name="Normal 5 10 12 3 7" xfId="30923" xr:uid="{00000000-0005-0000-0000-0000BB780000}"/>
    <cellStyle name="Normal 5 10 12 3 8" xfId="30924" xr:uid="{00000000-0005-0000-0000-0000BC780000}"/>
    <cellStyle name="Normal 5 10 12 3 9" xfId="30925" xr:uid="{00000000-0005-0000-0000-0000BD780000}"/>
    <cellStyle name="Normal 5 10 12 4" xfId="30926" xr:uid="{00000000-0005-0000-0000-0000BE780000}"/>
    <cellStyle name="Normal 5 10 12 4 10" xfId="30927" xr:uid="{00000000-0005-0000-0000-0000BF780000}"/>
    <cellStyle name="Normal 5 10 12 4 2" xfId="30928" xr:uid="{00000000-0005-0000-0000-0000C0780000}"/>
    <cellStyle name="Normal 5 10 12 4 3" xfId="30929" xr:uid="{00000000-0005-0000-0000-0000C1780000}"/>
    <cellStyle name="Normal 5 10 12 4 4" xfId="30930" xr:uid="{00000000-0005-0000-0000-0000C2780000}"/>
    <cellStyle name="Normal 5 10 12 4 5" xfId="30931" xr:uid="{00000000-0005-0000-0000-0000C3780000}"/>
    <cellStyle name="Normal 5 10 12 4 6" xfId="30932" xr:uid="{00000000-0005-0000-0000-0000C4780000}"/>
    <cellStyle name="Normal 5 10 12 4 7" xfId="30933" xr:uid="{00000000-0005-0000-0000-0000C5780000}"/>
    <cellStyle name="Normal 5 10 12 4 8" xfId="30934" xr:uid="{00000000-0005-0000-0000-0000C6780000}"/>
    <cellStyle name="Normal 5 10 12 4 9" xfId="30935" xr:uid="{00000000-0005-0000-0000-0000C7780000}"/>
    <cellStyle name="Normal 5 10 12 5" xfId="30936" xr:uid="{00000000-0005-0000-0000-0000C8780000}"/>
    <cellStyle name="Normal 5 10 12 5 10" xfId="30937" xr:uid="{00000000-0005-0000-0000-0000C9780000}"/>
    <cellStyle name="Normal 5 10 12 5 2" xfId="30938" xr:uid="{00000000-0005-0000-0000-0000CA780000}"/>
    <cellStyle name="Normal 5 10 12 5 3" xfId="30939" xr:uid="{00000000-0005-0000-0000-0000CB780000}"/>
    <cellStyle name="Normal 5 10 12 5 4" xfId="30940" xr:uid="{00000000-0005-0000-0000-0000CC780000}"/>
    <cellStyle name="Normal 5 10 12 5 5" xfId="30941" xr:uid="{00000000-0005-0000-0000-0000CD780000}"/>
    <cellStyle name="Normal 5 10 12 5 6" xfId="30942" xr:uid="{00000000-0005-0000-0000-0000CE780000}"/>
    <cellStyle name="Normal 5 10 12 5 7" xfId="30943" xr:uid="{00000000-0005-0000-0000-0000CF780000}"/>
    <cellStyle name="Normal 5 10 12 5 8" xfId="30944" xr:uid="{00000000-0005-0000-0000-0000D0780000}"/>
    <cellStyle name="Normal 5 10 12 5 9" xfId="30945" xr:uid="{00000000-0005-0000-0000-0000D1780000}"/>
    <cellStyle name="Normal 5 10 12 6" xfId="30946" xr:uid="{00000000-0005-0000-0000-0000D2780000}"/>
    <cellStyle name="Normal 5 10 12 7" xfId="30947" xr:uid="{00000000-0005-0000-0000-0000D3780000}"/>
    <cellStyle name="Normal 5 10 12 8" xfId="30948" xr:uid="{00000000-0005-0000-0000-0000D4780000}"/>
    <cellStyle name="Normal 5 10 12 9" xfId="30949" xr:uid="{00000000-0005-0000-0000-0000D5780000}"/>
    <cellStyle name="Normal 5 10 13" xfId="30950" xr:uid="{00000000-0005-0000-0000-0000D6780000}"/>
    <cellStyle name="Normal 5 10 13 10" xfId="30951" xr:uid="{00000000-0005-0000-0000-0000D7780000}"/>
    <cellStyle name="Normal 5 10 13 11" xfId="30952" xr:uid="{00000000-0005-0000-0000-0000D8780000}"/>
    <cellStyle name="Normal 5 10 13 12" xfId="30953" xr:uid="{00000000-0005-0000-0000-0000D9780000}"/>
    <cellStyle name="Normal 5 10 13 13" xfId="30954" xr:uid="{00000000-0005-0000-0000-0000DA780000}"/>
    <cellStyle name="Normal 5 10 13 14" xfId="30955" xr:uid="{00000000-0005-0000-0000-0000DB780000}"/>
    <cellStyle name="Normal 5 10 13 2" xfId="30956" xr:uid="{00000000-0005-0000-0000-0000DC780000}"/>
    <cellStyle name="Normal 5 10 13 2 10" xfId="30957" xr:uid="{00000000-0005-0000-0000-0000DD780000}"/>
    <cellStyle name="Normal 5 10 13 2 2" xfId="30958" xr:uid="{00000000-0005-0000-0000-0000DE780000}"/>
    <cellStyle name="Normal 5 10 13 2 3" xfId="30959" xr:uid="{00000000-0005-0000-0000-0000DF780000}"/>
    <cellStyle name="Normal 5 10 13 2 4" xfId="30960" xr:uid="{00000000-0005-0000-0000-0000E0780000}"/>
    <cellStyle name="Normal 5 10 13 2 5" xfId="30961" xr:uid="{00000000-0005-0000-0000-0000E1780000}"/>
    <cellStyle name="Normal 5 10 13 2 6" xfId="30962" xr:uid="{00000000-0005-0000-0000-0000E2780000}"/>
    <cellStyle name="Normal 5 10 13 2 7" xfId="30963" xr:uid="{00000000-0005-0000-0000-0000E3780000}"/>
    <cellStyle name="Normal 5 10 13 2 8" xfId="30964" xr:uid="{00000000-0005-0000-0000-0000E4780000}"/>
    <cellStyle name="Normal 5 10 13 2 9" xfId="30965" xr:uid="{00000000-0005-0000-0000-0000E5780000}"/>
    <cellStyle name="Normal 5 10 13 3" xfId="30966" xr:uid="{00000000-0005-0000-0000-0000E6780000}"/>
    <cellStyle name="Normal 5 10 13 3 10" xfId="30967" xr:uid="{00000000-0005-0000-0000-0000E7780000}"/>
    <cellStyle name="Normal 5 10 13 3 2" xfId="30968" xr:uid="{00000000-0005-0000-0000-0000E8780000}"/>
    <cellStyle name="Normal 5 10 13 3 3" xfId="30969" xr:uid="{00000000-0005-0000-0000-0000E9780000}"/>
    <cellStyle name="Normal 5 10 13 3 4" xfId="30970" xr:uid="{00000000-0005-0000-0000-0000EA780000}"/>
    <cellStyle name="Normal 5 10 13 3 5" xfId="30971" xr:uid="{00000000-0005-0000-0000-0000EB780000}"/>
    <cellStyle name="Normal 5 10 13 3 6" xfId="30972" xr:uid="{00000000-0005-0000-0000-0000EC780000}"/>
    <cellStyle name="Normal 5 10 13 3 7" xfId="30973" xr:uid="{00000000-0005-0000-0000-0000ED780000}"/>
    <cellStyle name="Normal 5 10 13 3 8" xfId="30974" xr:uid="{00000000-0005-0000-0000-0000EE780000}"/>
    <cellStyle name="Normal 5 10 13 3 9" xfId="30975" xr:uid="{00000000-0005-0000-0000-0000EF780000}"/>
    <cellStyle name="Normal 5 10 13 4" xfId="30976" xr:uid="{00000000-0005-0000-0000-0000F0780000}"/>
    <cellStyle name="Normal 5 10 13 4 10" xfId="30977" xr:uid="{00000000-0005-0000-0000-0000F1780000}"/>
    <cellStyle name="Normal 5 10 13 4 2" xfId="30978" xr:uid="{00000000-0005-0000-0000-0000F2780000}"/>
    <cellStyle name="Normal 5 10 13 4 3" xfId="30979" xr:uid="{00000000-0005-0000-0000-0000F3780000}"/>
    <cellStyle name="Normal 5 10 13 4 4" xfId="30980" xr:uid="{00000000-0005-0000-0000-0000F4780000}"/>
    <cellStyle name="Normal 5 10 13 4 5" xfId="30981" xr:uid="{00000000-0005-0000-0000-0000F5780000}"/>
    <cellStyle name="Normal 5 10 13 4 6" xfId="30982" xr:uid="{00000000-0005-0000-0000-0000F6780000}"/>
    <cellStyle name="Normal 5 10 13 4 7" xfId="30983" xr:uid="{00000000-0005-0000-0000-0000F7780000}"/>
    <cellStyle name="Normal 5 10 13 4 8" xfId="30984" xr:uid="{00000000-0005-0000-0000-0000F8780000}"/>
    <cellStyle name="Normal 5 10 13 4 9" xfId="30985" xr:uid="{00000000-0005-0000-0000-0000F9780000}"/>
    <cellStyle name="Normal 5 10 13 5" xfId="30986" xr:uid="{00000000-0005-0000-0000-0000FA780000}"/>
    <cellStyle name="Normal 5 10 13 5 10" xfId="30987" xr:uid="{00000000-0005-0000-0000-0000FB780000}"/>
    <cellStyle name="Normal 5 10 13 5 2" xfId="30988" xr:uid="{00000000-0005-0000-0000-0000FC780000}"/>
    <cellStyle name="Normal 5 10 13 5 3" xfId="30989" xr:uid="{00000000-0005-0000-0000-0000FD780000}"/>
    <cellStyle name="Normal 5 10 13 5 4" xfId="30990" xr:uid="{00000000-0005-0000-0000-0000FE780000}"/>
    <cellStyle name="Normal 5 10 13 5 5" xfId="30991" xr:uid="{00000000-0005-0000-0000-0000FF780000}"/>
    <cellStyle name="Normal 5 10 13 5 6" xfId="30992" xr:uid="{00000000-0005-0000-0000-000000790000}"/>
    <cellStyle name="Normal 5 10 13 5 7" xfId="30993" xr:uid="{00000000-0005-0000-0000-000001790000}"/>
    <cellStyle name="Normal 5 10 13 5 8" xfId="30994" xr:uid="{00000000-0005-0000-0000-000002790000}"/>
    <cellStyle name="Normal 5 10 13 5 9" xfId="30995" xr:uid="{00000000-0005-0000-0000-000003790000}"/>
    <cellStyle name="Normal 5 10 13 6" xfId="30996" xr:uid="{00000000-0005-0000-0000-000004790000}"/>
    <cellStyle name="Normal 5 10 13 7" xfId="30997" xr:uid="{00000000-0005-0000-0000-000005790000}"/>
    <cellStyle name="Normal 5 10 13 8" xfId="30998" xr:uid="{00000000-0005-0000-0000-000006790000}"/>
    <cellStyle name="Normal 5 10 13 9" xfId="30999" xr:uid="{00000000-0005-0000-0000-000007790000}"/>
    <cellStyle name="Normal 5 10 14" xfId="31000" xr:uid="{00000000-0005-0000-0000-000008790000}"/>
    <cellStyle name="Normal 5 10 14 10" xfId="31001" xr:uid="{00000000-0005-0000-0000-000009790000}"/>
    <cellStyle name="Normal 5 10 14 11" xfId="31002" xr:uid="{00000000-0005-0000-0000-00000A790000}"/>
    <cellStyle name="Normal 5 10 14 12" xfId="31003" xr:uid="{00000000-0005-0000-0000-00000B790000}"/>
    <cellStyle name="Normal 5 10 14 13" xfId="31004" xr:uid="{00000000-0005-0000-0000-00000C790000}"/>
    <cellStyle name="Normal 5 10 14 14" xfId="31005" xr:uid="{00000000-0005-0000-0000-00000D790000}"/>
    <cellStyle name="Normal 5 10 14 2" xfId="31006" xr:uid="{00000000-0005-0000-0000-00000E790000}"/>
    <cellStyle name="Normal 5 10 14 2 10" xfId="31007" xr:uid="{00000000-0005-0000-0000-00000F790000}"/>
    <cellStyle name="Normal 5 10 14 2 2" xfId="31008" xr:uid="{00000000-0005-0000-0000-000010790000}"/>
    <cellStyle name="Normal 5 10 14 2 3" xfId="31009" xr:uid="{00000000-0005-0000-0000-000011790000}"/>
    <cellStyle name="Normal 5 10 14 2 4" xfId="31010" xr:uid="{00000000-0005-0000-0000-000012790000}"/>
    <cellStyle name="Normal 5 10 14 2 5" xfId="31011" xr:uid="{00000000-0005-0000-0000-000013790000}"/>
    <cellStyle name="Normal 5 10 14 2 6" xfId="31012" xr:uid="{00000000-0005-0000-0000-000014790000}"/>
    <cellStyle name="Normal 5 10 14 2 7" xfId="31013" xr:uid="{00000000-0005-0000-0000-000015790000}"/>
    <cellStyle name="Normal 5 10 14 2 8" xfId="31014" xr:uid="{00000000-0005-0000-0000-000016790000}"/>
    <cellStyle name="Normal 5 10 14 2 9" xfId="31015" xr:uid="{00000000-0005-0000-0000-000017790000}"/>
    <cellStyle name="Normal 5 10 14 3" xfId="31016" xr:uid="{00000000-0005-0000-0000-000018790000}"/>
    <cellStyle name="Normal 5 10 14 3 10" xfId="31017" xr:uid="{00000000-0005-0000-0000-000019790000}"/>
    <cellStyle name="Normal 5 10 14 3 2" xfId="31018" xr:uid="{00000000-0005-0000-0000-00001A790000}"/>
    <cellStyle name="Normal 5 10 14 3 3" xfId="31019" xr:uid="{00000000-0005-0000-0000-00001B790000}"/>
    <cellStyle name="Normal 5 10 14 3 4" xfId="31020" xr:uid="{00000000-0005-0000-0000-00001C790000}"/>
    <cellStyle name="Normal 5 10 14 3 5" xfId="31021" xr:uid="{00000000-0005-0000-0000-00001D790000}"/>
    <cellStyle name="Normal 5 10 14 3 6" xfId="31022" xr:uid="{00000000-0005-0000-0000-00001E790000}"/>
    <cellStyle name="Normal 5 10 14 3 7" xfId="31023" xr:uid="{00000000-0005-0000-0000-00001F790000}"/>
    <cellStyle name="Normal 5 10 14 3 8" xfId="31024" xr:uid="{00000000-0005-0000-0000-000020790000}"/>
    <cellStyle name="Normal 5 10 14 3 9" xfId="31025" xr:uid="{00000000-0005-0000-0000-000021790000}"/>
    <cellStyle name="Normal 5 10 14 4" xfId="31026" xr:uid="{00000000-0005-0000-0000-000022790000}"/>
    <cellStyle name="Normal 5 10 14 4 10" xfId="31027" xr:uid="{00000000-0005-0000-0000-000023790000}"/>
    <cellStyle name="Normal 5 10 14 4 2" xfId="31028" xr:uid="{00000000-0005-0000-0000-000024790000}"/>
    <cellStyle name="Normal 5 10 14 4 3" xfId="31029" xr:uid="{00000000-0005-0000-0000-000025790000}"/>
    <cellStyle name="Normal 5 10 14 4 4" xfId="31030" xr:uid="{00000000-0005-0000-0000-000026790000}"/>
    <cellStyle name="Normal 5 10 14 4 5" xfId="31031" xr:uid="{00000000-0005-0000-0000-000027790000}"/>
    <cellStyle name="Normal 5 10 14 4 6" xfId="31032" xr:uid="{00000000-0005-0000-0000-000028790000}"/>
    <cellStyle name="Normal 5 10 14 4 7" xfId="31033" xr:uid="{00000000-0005-0000-0000-000029790000}"/>
    <cellStyle name="Normal 5 10 14 4 8" xfId="31034" xr:uid="{00000000-0005-0000-0000-00002A790000}"/>
    <cellStyle name="Normal 5 10 14 4 9" xfId="31035" xr:uid="{00000000-0005-0000-0000-00002B790000}"/>
    <cellStyle name="Normal 5 10 14 5" xfId="31036" xr:uid="{00000000-0005-0000-0000-00002C790000}"/>
    <cellStyle name="Normal 5 10 14 5 10" xfId="31037" xr:uid="{00000000-0005-0000-0000-00002D790000}"/>
    <cellStyle name="Normal 5 10 14 5 2" xfId="31038" xr:uid="{00000000-0005-0000-0000-00002E790000}"/>
    <cellStyle name="Normal 5 10 14 5 3" xfId="31039" xr:uid="{00000000-0005-0000-0000-00002F790000}"/>
    <cellStyle name="Normal 5 10 14 5 4" xfId="31040" xr:uid="{00000000-0005-0000-0000-000030790000}"/>
    <cellStyle name="Normal 5 10 14 5 5" xfId="31041" xr:uid="{00000000-0005-0000-0000-000031790000}"/>
    <cellStyle name="Normal 5 10 14 5 6" xfId="31042" xr:uid="{00000000-0005-0000-0000-000032790000}"/>
    <cellStyle name="Normal 5 10 14 5 7" xfId="31043" xr:uid="{00000000-0005-0000-0000-000033790000}"/>
    <cellStyle name="Normal 5 10 14 5 8" xfId="31044" xr:uid="{00000000-0005-0000-0000-000034790000}"/>
    <cellStyle name="Normal 5 10 14 5 9" xfId="31045" xr:uid="{00000000-0005-0000-0000-000035790000}"/>
    <cellStyle name="Normal 5 10 14 6" xfId="31046" xr:uid="{00000000-0005-0000-0000-000036790000}"/>
    <cellStyle name="Normal 5 10 14 7" xfId="31047" xr:uid="{00000000-0005-0000-0000-000037790000}"/>
    <cellStyle name="Normal 5 10 14 8" xfId="31048" xr:uid="{00000000-0005-0000-0000-000038790000}"/>
    <cellStyle name="Normal 5 10 14 9" xfId="31049" xr:uid="{00000000-0005-0000-0000-000039790000}"/>
    <cellStyle name="Normal 5 10 15" xfId="31050" xr:uid="{00000000-0005-0000-0000-00003A790000}"/>
    <cellStyle name="Normal 5 10 15 10" xfId="31051" xr:uid="{00000000-0005-0000-0000-00003B790000}"/>
    <cellStyle name="Normal 5 10 15 11" xfId="31052" xr:uid="{00000000-0005-0000-0000-00003C790000}"/>
    <cellStyle name="Normal 5 10 15 12" xfId="31053" xr:uid="{00000000-0005-0000-0000-00003D790000}"/>
    <cellStyle name="Normal 5 10 15 13" xfId="31054" xr:uid="{00000000-0005-0000-0000-00003E790000}"/>
    <cellStyle name="Normal 5 10 15 14" xfId="31055" xr:uid="{00000000-0005-0000-0000-00003F790000}"/>
    <cellStyle name="Normal 5 10 15 2" xfId="31056" xr:uid="{00000000-0005-0000-0000-000040790000}"/>
    <cellStyle name="Normal 5 10 15 2 10" xfId="31057" xr:uid="{00000000-0005-0000-0000-000041790000}"/>
    <cellStyle name="Normal 5 10 15 2 2" xfId="31058" xr:uid="{00000000-0005-0000-0000-000042790000}"/>
    <cellStyle name="Normal 5 10 15 2 3" xfId="31059" xr:uid="{00000000-0005-0000-0000-000043790000}"/>
    <cellStyle name="Normal 5 10 15 2 4" xfId="31060" xr:uid="{00000000-0005-0000-0000-000044790000}"/>
    <cellStyle name="Normal 5 10 15 2 5" xfId="31061" xr:uid="{00000000-0005-0000-0000-000045790000}"/>
    <cellStyle name="Normal 5 10 15 2 6" xfId="31062" xr:uid="{00000000-0005-0000-0000-000046790000}"/>
    <cellStyle name="Normal 5 10 15 2 7" xfId="31063" xr:uid="{00000000-0005-0000-0000-000047790000}"/>
    <cellStyle name="Normal 5 10 15 2 8" xfId="31064" xr:uid="{00000000-0005-0000-0000-000048790000}"/>
    <cellStyle name="Normal 5 10 15 2 9" xfId="31065" xr:uid="{00000000-0005-0000-0000-000049790000}"/>
    <cellStyle name="Normal 5 10 15 3" xfId="31066" xr:uid="{00000000-0005-0000-0000-00004A790000}"/>
    <cellStyle name="Normal 5 10 15 3 10" xfId="31067" xr:uid="{00000000-0005-0000-0000-00004B790000}"/>
    <cellStyle name="Normal 5 10 15 3 2" xfId="31068" xr:uid="{00000000-0005-0000-0000-00004C790000}"/>
    <cellStyle name="Normal 5 10 15 3 3" xfId="31069" xr:uid="{00000000-0005-0000-0000-00004D790000}"/>
    <cellStyle name="Normal 5 10 15 3 4" xfId="31070" xr:uid="{00000000-0005-0000-0000-00004E790000}"/>
    <cellStyle name="Normal 5 10 15 3 5" xfId="31071" xr:uid="{00000000-0005-0000-0000-00004F790000}"/>
    <cellStyle name="Normal 5 10 15 3 6" xfId="31072" xr:uid="{00000000-0005-0000-0000-000050790000}"/>
    <cellStyle name="Normal 5 10 15 3 7" xfId="31073" xr:uid="{00000000-0005-0000-0000-000051790000}"/>
    <cellStyle name="Normal 5 10 15 3 8" xfId="31074" xr:uid="{00000000-0005-0000-0000-000052790000}"/>
    <cellStyle name="Normal 5 10 15 3 9" xfId="31075" xr:uid="{00000000-0005-0000-0000-000053790000}"/>
    <cellStyle name="Normal 5 10 15 4" xfId="31076" xr:uid="{00000000-0005-0000-0000-000054790000}"/>
    <cellStyle name="Normal 5 10 15 4 10" xfId="31077" xr:uid="{00000000-0005-0000-0000-000055790000}"/>
    <cellStyle name="Normal 5 10 15 4 2" xfId="31078" xr:uid="{00000000-0005-0000-0000-000056790000}"/>
    <cellStyle name="Normal 5 10 15 4 3" xfId="31079" xr:uid="{00000000-0005-0000-0000-000057790000}"/>
    <cellStyle name="Normal 5 10 15 4 4" xfId="31080" xr:uid="{00000000-0005-0000-0000-000058790000}"/>
    <cellStyle name="Normal 5 10 15 4 5" xfId="31081" xr:uid="{00000000-0005-0000-0000-000059790000}"/>
    <cellStyle name="Normal 5 10 15 4 6" xfId="31082" xr:uid="{00000000-0005-0000-0000-00005A790000}"/>
    <cellStyle name="Normal 5 10 15 4 7" xfId="31083" xr:uid="{00000000-0005-0000-0000-00005B790000}"/>
    <cellStyle name="Normal 5 10 15 4 8" xfId="31084" xr:uid="{00000000-0005-0000-0000-00005C790000}"/>
    <cellStyle name="Normal 5 10 15 4 9" xfId="31085" xr:uid="{00000000-0005-0000-0000-00005D790000}"/>
    <cellStyle name="Normal 5 10 15 5" xfId="31086" xr:uid="{00000000-0005-0000-0000-00005E790000}"/>
    <cellStyle name="Normal 5 10 15 5 10" xfId="31087" xr:uid="{00000000-0005-0000-0000-00005F790000}"/>
    <cellStyle name="Normal 5 10 15 5 2" xfId="31088" xr:uid="{00000000-0005-0000-0000-000060790000}"/>
    <cellStyle name="Normal 5 10 15 5 3" xfId="31089" xr:uid="{00000000-0005-0000-0000-000061790000}"/>
    <cellStyle name="Normal 5 10 15 5 4" xfId="31090" xr:uid="{00000000-0005-0000-0000-000062790000}"/>
    <cellStyle name="Normal 5 10 15 5 5" xfId="31091" xr:uid="{00000000-0005-0000-0000-000063790000}"/>
    <cellStyle name="Normal 5 10 15 5 6" xfId="31092" xr:uid="{00000000-0005-0000-0000-000064790000}"/>
    <cellStyle name="Normal 5 10 15 5 7" xfId="31093" xr:uid="{00000000-0005-0000-0000-000065790000}"/>
    <cellStyle name="Normal 5 10 15 5 8" xfId="31094" xr:uid="{00000000-0005-0000-0000-000066790000}"/>
    <cellStyle name="Normal 5 10 15 5 9" xfId="31095" xr:uid="{00000000-0005-0000-0000-000067790000}"/>
    <cellStyle name="Normal 5 10 15 6" xfId="31096" xr:uid="{00000000-0005-0000-0000-000068790000}"/>
    <cellStyle name="Normal 5 10 15 7" xfId="31097" xr:uid="{00000000-0005-0000-0000-000069790000}"/>
    <cellStyle name="Normal 5 10 15 8" xfId="31098" xr:uid="{00000000-0005-0000-0000-00006A790000}"/>
    <cellStyle name="Normal 5 10 15 9" xfId="31099" xr:uid="{00000000-0005-0000-0000-00006B790000}"/>
    <cellStyle name="Normal 5 10 16" xfId="31100" xr:uid="{00000000-0005-0000-0000-00006C790000}"/>
    <cellStyle name="Normal 5 10 16 10" xfId="31101" xr:uid="{00000000-0005-0000-0000-00006D790000}"/>
    <cellStyle name="Normal 5 10 16 11" xfId="31102" xr:uid="{00000000-0005-0000-0000-00006E790000}"/>
    <cellStyle name="Normal 5 10 16 12" xfId="31103" xr:uid="{00000000-0005-0000-0000-00006F790000}"/>
    <cellStyle name="Normal 5 10 16 13" xfId="31104" xr:uid="{00000000-0005-0000-0000-000070790000}"/>
    <cellStyle name="Normal 5 10 16 14" xfId="31105" xr:uid="{00000000-0005-0000-0000-000071790000}"/>
    <cellStyle name="Normal 5 10 16 2" xfId="31106" xr:uid="{00000000-0005-0000-0000-000072790000}"/>
    <cellStyle name="Normal 5 10 16 2 10" xfId="31107" xr:uid="{00000000-0005-0000-0000-000073790000}"/>
    <cellStyle name="Normal 5 10 16 2 2" xfId="31108" xr:uid="{00000000-0005-0000-0000-000074790000}"/>
    <cellStyle name="Normal 5 10 16 2 3" xfId="31109" xr:uid="{00000000-0005-0000-0000-000075790000}"/>
    <cellStyle name="Normal 5 10 16 2 4" xfId="31110" xr:uid="{00000000-0005-0000-0000-000076790000}"/>
    <cellStyle name="Normal 5 10 16 2 5" xfId="31111" xr:uid="{00000000-0005-0000-0000-000077790000}"/>
    <cellStyle name="Normal 5 10 16 2 6" xfId="31112" xr:uid="{00000000-0005-0000-0000-000078790000}"/>
    <cellStyle name="Normal 5 10 16 2 7" xfId="31113" xr:uid="{00000000-0005-0000-0000-000079790000}"/>
    <cellStyle name="Normal 5 10 16 2 8" xfId="31114" xr:uid="{00000000-0005-0000-0000-00007A790000}"/>
    <cellStyle name="Normal 5 10 16 2 9" xfId="31115" xr:uid="{00000000-0005-0000-0000-00007B790000}"/>
    <cellStyle name="Normal 5 10 16 3" xfId="31116" xr:uid="{00000000-0005-0000-0000-00007C790000}"/>
    <cellStyle name="Normal 5 10 16 3 10" xfId="31117" xr:uid="{00000000-0005-0000-0000-00007D790000}"/>
    <cellStyle name="Normal 5 10 16 3 2" xfId="31118" xr:uid="{00000000-0005-0000-0000-00007E790000}"/>
    <cellStyle name="Normal 5 10 16 3 3" xfId="31119" xr:uid="{00000000-0005-0000-0000-00007F790000}"/>
    <cellStyle name="Normal 5 10 16 3 4" xfId="31120" xr:uid="{00000000-0005-0000-0000-000080790000}"/>
    <cellStyle name="Normal 5 10 16 3 5" xfId="31121" xr:uid="{00000000-0005-0000-0000-000081790000}"/>
    <cellStyle name="Normal 5 10 16 3 6" xfId="31122" xr:uid="{00000000-0005-0000-0000-000082790000}"/>
    <cellStyle name="Normal 5 10 16 3 7" xfId="31123" xr:uid="{00000000-0005-0000-0000-000083790000}"/>
    <cellStyle name="Normal 5 10 16 3 8" xfId="31124" xr:uid="{00000000-0005-0000-0000-000084790000}"/>
    <cellStyle name="Normal 5 10 16 3 9" xfId="31125" xr:uid="{00000000-0005-0000-0000-000085790000}"/>
    <cellStyle name="Normal 5 10 16 4" xfId="31126" xr:uid="{00000000-0005-0000-0000-000086790000}"/>
    <cellStyle name="Normal 5 10 16 4 10" xfId="31127" xr:uid="{00000000-0005-0000-0000-000087790000}"/>
    <cellStyle name="Normal 5 10 16 4 2" xfId="31128" xr:uid="{00000000-0005-0000-0000-000088790000}"/>
    <cellStyle name="Normal 5 10 16 4 3" xfId="31129" xr:uid="{00000000-0005-0000-0000-000089790000}"/>
    <cellStyle name="Normal 5 10 16 4 4" xfId="31130" xr:uid="{00000000-0005-0000-0000-00008A790000}"/>
    <cellStyle name="Normal 5 10 16 4 5" xfId="31131" xr:uid="{00000000-0005-0000-0000-00008B790000}"/>
    <cellStyle name="Normal 5 10 16 4 6" xfId="31132" xr:uid="{00000000-0005-0000-0000-00008C790000}"/>
    <cellStyle name="Normal 5 10 16 4 7" xfId="31133" xr:uid="{00000000-0005-0000-0000-00008D790000}"/>
    <cellStyle name="Normal 5 10 16 4 8" xfId="31134" xr:uid="{00000000-0005-0000-0000-00008E790000}"/>
    <cellStyle name="Normal 5 10 16 4 9" xfId="31135" xr:uid="{00000000-0005-0000-0000-00008F790000}"/>
    <cellStyle name="Normal 5 10 16 5" xfId="31136" xr:uid="{00000000-0005-0000-0000-000090790000}"/>
    <cellStyle name="Normal 5 10 16 5 10" xfId="31137" xr:uid="{00000000-0005-0000-0000-000091790000}"/>
    <cellStyle name="Normal 5 10 16 5 2" xfId="31138" xr:uid="{00000000-0005-0000-0000-000092790000}"/>
    <cellStyle name="Normal 5 10 16 5 3" xfId="31139" xr:uid="{00000000-0005-0000-0000-000093790000}"/>
    <cellStyle name="Normal 5 10 16 5 4" xfId="31140" xr:uid="{00000000-0005-0000-0000-000094790000}"/>
    <cellStyle name="Normal 5 10 16 5 5" xfId="31141" xr:uid="{00000000-0005-0000-0000-000095790000}"/>
    <cellStyle name="Normal 5 10 16 5 6" xfId="31142" xr:uid="{00000000-0005-0000-0000-000096790000}"/>
    <cellStyle name="Normal 5 10 16 5 7" xfId="31143" xr:uid="{00000000-0005-0000-0000-000097790000}"/>
    <cellStyle name="Normal 5 10 16 5 8" xfId="31144" xr:uid="{00000000-0005-0000-0000-000098790000}"/>
    <cellStyle name="Normal 5 10 16 5 9" xfId="31145" xr:uid="{00000000-0005-0000-0000-000099790000}"/>
    <cellStyle name="Normal 5 10 16 6" xfId="31146" xr:uid="{00000000-0005-0000-0000-00009A790000}"/>
    <cellStyle name="Normal 5 10 16 7" xfId="31147" xr:uid="{00000000-0005-0000-0000-00009B790000}"/>
    <cellStyle name="Normal 5 10 16 8" xfId="31148" xr:uid="{00000000-0005-0000-0000-00009C790000}"/>
    <cellStyle name="Normal 5 10 16 9" xfId="31149" xr:uid="{00000000-0005-0000-0000-00009D790000}"/>
    <cellStyle name="Normal 5 10 17" xfId="31150" xr:uid="{00000000-0005-0000-0000-00009E790000}"/>
    <cellStyle name="Normal 5 10 17 10" xfId="31151" xr:uid="{00000000-0005-0000-0000-00009F790000}"/>
    <cellStyle name="Normal 5 10 17 11" xfId="31152" xr:uid="{00000000-0005-0000-0000-0000A0790000}"/>
    <cellStyle name="Normal 5 10 17 12" xfId="31153" xr:uid="{00000000-0005-0000-0000-0000A1790000}"/>
    <cellStyle name="Normal 5 10 17 13" xfId="31154" xr:uid="{00000000-0005-0000-0000-0000A2790000}"/>
    <cellStyle name="Normal 5 10 17 14" xfId="31155" xr:uid="{00000000-0005-0000-0000-0000A3790000}"/>
    <cellStyle name="Normal 5 10 17 2" xfId="31156" xr:uid="{00000000-0005-0000-0000-0000A4790000}"/>
    <cellStyle name="Normal 5 10 17 2 10" xfId="31157" xr:uid="{00000000-0005-0000-0000-0000A5790000}"/>
    <cellStyle name="Normal 5 10 17 2 2" xfId="31158" xr:uid="{00000000-0005-0000-0000-0000A6790000}"/>
    <cellStyle name="Normal 5 10 17 2 3" xfId="31159" xr:uid="{00000000-0005-0000-0000-0000A7790000}"/>
    <cellStyle name="Normal 5 10 17 2 4" xfId="31160" xr:uid="{00000000-0005-0000-0000-0000A8790000}"/>
    <cellStyle name="Normal 5 10 17 2 5" xfId="31161" xr:uid="{00000000-0005-0000-0000-0000A9790000}"/>
    <cellStyle name="Normal 5 10 17 2 6" xfId="31162" xr:uid="{00000000-0005-0000-0000-0000AA790000}"/>
    <cellStyle name="Normal 5 10 17 2 7" xfId="31163" xr:uid="{00000000-0005-0000-0000-0000AB790000}"/>
    <cellStyle name="Normal 5 10 17 2 8" xfId="31164" xr:uid="{00000000-0005-0000-0000-0000AC790000}"/>
    <cellStyle name="Normal 5 10 17 2 9" xfId="31165" xr:uid="{00000000-0005-0000-0000-0000AD790000}"/>
    <cellStyle name="Normal 5 10 17 3" xfId="31166" xr:uid="{00000000-0005-0000-0000-0000AE790000}"/>
    <cellStyle name="Normal 5 10 17 3 10" xfId="31167" xr:uid="{00000000-0005-0000-0000-0000AF790000}"/>
    <cellStyle name="Normal 5 10 17 3 2" xfId="31168" xr:uid="{00000000-0005-0000-0000-0000B0790000}"/>
    <cellStyle name="Normal 5 10 17 3 3" xfId="31169" xr:uid="{00000000-0005-0000-0000-0000B1790000}"/>
    <cellStyle name="Normal 5 10 17 3 4" xfId="31170" xr:uid="{00000000-0005-0000-0000-0000B2790000}"/>
    <cellStyle name="Normal 5 10 17 3 5" xfId="31171" xr:uid="{00000000-0005-0000-0000-0000B3790000}"/>
    <cellStyle name="Normal 5 10 17 3 6" xfId="31172" xr:uid="{00000000-0005-0000-0000-0000B4790000}"/>
    <cellStyle name="Normal 5 10 17 3 7" xfId="31173" xr:uid="{00000000-0005-0000-0000-0000B5790000}"/>
    <cellStyle name="Normal 5 10 17 3 8" xfId="31174" xr:uid="{00000000-0005-0000-0000-0000B6790000}"/>
    <cellStyle name="Normal 5 10 17 3 9" xfId="31175" xr:uid="{00000000-0005-0000-0000-0000B7790000}"/>
    <cellStyle name="Normal 5 10 17 4" xfId="31176" xr:uid="{00000000-0005-0000-0000-0000B8790000}"/>
    <cellStyle name="Normal 5 10 17 4 10" xfId="31177" xr:uid="{00000000-0005-0000-0000-0000B9790000}"/>
    <cellStyle name="Normal 5 10 17 4 2" xfId="31178" xr:uid="{00000000-0005-0000-0000-0000BA790000}"/>
    <cellStyle name="Normal 5 10 17 4 3" xfId="31179" xr:uid="{00000000-0005-0000-0000-0000BB790000}"/>
    <cellStyle name="Normal 5 10 17 4 4" xfId="31180" xr:uid="{00000000-0005-0000-0000-0000BC790000}"/>
    <cellStyle name="Normal 5 10 17 4 5" xfId="31181" xr:uid="{00000000-0005-0000-0000-0000BD790000}"/>
    <cellStyle name="Normal 5 10 17 4 6" xfId="31182" xr:uid="{00000000-0005-0000-0000-0000BE790000}"/>
    <cellStyle name="Normal 5 10 17 4 7" xfId="31183" xr:uid="{00000000-0005-0000-0000-0000BF790000}"/>
    <cellStyle name="Normal 5 10 17 4 8" xfId="31184" xr:uid="{00000000-0005-0000-0000-0000C0790000}"/>
    <cellStyle name="Normal 5 10 17 4 9" xfId="31185" xr:uid="{00000000-0005-0000-0000-0000C1790000}"/>
    <cellStyle name="Normal 5 10 17 5" xfId="31186" xr:uid="{00000000-0005-0000-0000-0000C2790000}"/>
    <cellStyle name="Normal 5 10 17 5 10" xfId="31187" xr:uid="{00000000-0005-0000-0000-0000C3790000}"/>
    <cellStyle name="Normal 5 10 17 5 2" xfId="31188" xr:uid="{00000000-0005-0000-0000-0000C4790000}"/>
    <cellStyle name="Normal 5 10 17 5 3" xfId="31189" xr:uid="{00000000-0005-0000-0000-0000C5790000}"/>
    <cellStyle name="Normal 5 10 17 5 4" xfId="31190" xr:uid="{00000000-0005-0000-0000-0000C6790000}"/>
    <cellStyle name="Normal 5 10 17 5 5" xfId="31191" xr:uid="{00000000-0005-0000-0000-0000C7790000}"/>
    <cellStyle name="Normal 5 10 17 5 6" xfId="31192" xr:uid="{00000000-0005-0000-0000-0000C8790000}"/>
    <cellStyle name="Normal 5 10 17 5 7" xfId="31193" xr:uid="{00000000-0005-0000-0000-0000C9790000}"/>
    <cellStyle name="Normal 5 10 17 5 8" xfId="31194" xr:uid="{00000000-0005-0000-0000-0000CA790000}"/>
    <cellStyle name="Normal 5 10 17 5 9" xfId="31195" xr:uid="{00000000-0005-0000-0000-0000CB790000}"/>
    <cellStyle name="Normal 5 10 17 6" xfId="31196" xr:uid="{00000000-0005-0000-0000-0000CC790000}"/>
    <cellStyle name="Normal 5 10 17 7" xfId="31197" xr:uid="{00000000-0005-0000-0000-0000CD790000}"/>
    <cellStyle name="Normal 5 10 17 8" xfId="31198" xr:uid="{00000000-0005-0000-0000-0000CE790000}"/>
    <cellStyle name="Normal 5 10 17 9" xfId="31199" xr:uid="{00000000-0005-0000-0000-0000CF790000}"/>
    <cellStyle name="Normal 5 10 18" xfId="31200" xr:uid="{00000000-0005-0000-0000-0000D0790000}"/>
    <cellStyle name="Normal 5 10 18 10" xfId="31201" xr:uid="{00000000-0005-0000-0000-0000D1790000}"/>
    <cellStyle name="Normal 5 10 18 11" xfId="31202" xr:uid="{00000000-0005-0000-0000-0000D2790000}"/>
    <cellStyle name="Normal 5 10 18 12" xfId="31203" xr:uid="{00000000-0005-0000-0000-0000D3790000}"/>
    <cellStyle name="Normal 5 10 18 13" xfId="31204" xr:uid="{00000000-0005-0000-0000-0000D4790000}"/>
    <cellStyle name="Normal 5 10 18 14" xfId="31205" xr:uid="{00000000-0005-0000-0000-0000D5790000}"/>
    <cellStyle name="Normal 5 10 18 2" xfId="31206" xr:uid="{00000000-0005-0000-0000-0000D6790000}"/>
    <cellStyle name="Normal 5 10 18 2 10" xfId="31207" xr:uid="{00000000-0005-0000-0000-0000D7790000}"/>
    <cellStyle name="Normal 5 10 18 2 2" xfId="31208" xr:uid="{00000000-0005-0000-0000-0000D8790000}"/>
    <cellStyle name="Normal 5 10 18 2 3" xfId="31209" xr:uid="{00000000-0005-0000-0000-0000D9790000}"/>
    <cellStyle name="Normal 5 10 18 2 4" xfId="31210" xr:uid="{00000000-0005-0000-0000-0000DA790000}"/>
    <cellStyle name="Normal 5 10 18 2 5" xfId="31211" xr:uid="{00000000-0005-0000-0000-0000DB790000}"/>
    <cellStyle name="Normal 5 10 18 2 6" xfId="31212" xr:uid="{00000000-0005-0000-0000-0000DC790000}"/>
    <cellStyle name="Normal 5 10 18 2 7" xfId="31213" xr:uid="{00000000-0005-0000-0000-0000DD790000}"/>
    <cellStyle name="Normal 5 10 18 2 8" xfId="31214" xr:uid="{00000000-0005-0000-0000-0000DE790000}"/>
    <cellStyle name="Normal 5 10 18 2 9" xfId="31215" xr:uid="{00000000-0005-0000-0000-0000DF790000}"/>
    <cellStyle name="Normal 5 10 18 3" xfId="31216" xr:uid="{00000000-0005-0000-0000-0000E0790000}"/>
    <cellStyle name="Normal 5 10 18 3 10" xfId="31217" xr:uid="{00000000-0005-0000-0000-0000E1790000}"/>
    <cellStyle name="Normal 5 10 18 3 2" xfId="31218" xr:uid="{00000000-0005-0000-0000-0000E2790000}"/>
    <cellStyle name="Normal 5 10 18 3 3" xfId="31219" xr:uid="{00000000-0005-0000-0000-0000E3790000}"/>
    <cellStyle name="Normal 5 10 18 3 4" xfId="31220" xr:uid="{00000000-0005-0000-0000-0000E4790000}"/>
    <cellStyle name="Normal 5 10 18 3 5" xfId="31221" xr:uid="{00000000-0005-0000-0000-0000E5790000}"/>
    <cellStyle name="Normal 5 10 18 3 6" xfId="31222" xr:uid="{00000000-0005-0000-0000-0000E6790000}"/>
    <cellStyle name="Normal 5 10 18 3 7" xfId="31223" xr:uid="{00000000-0005-0000-0000-0000E7790000}"/>
    <cellStyle name="Normal 5 10 18 3 8" xfId="31224" xr:uid="{00000000-0005-0000-0000-0000E8790000}"/>
    <cellStyle name="Normal 5 10 18 3 9" xfId="31225" xr:uid="{00000000-0005-0000-0000-0000E9790000}"/>
    <cellStyle name="Normal 5 10 18 4" xfId="31226" xr:uid="{00000000-0005-0000-0000-0000EA790000}"/>
    <cellStyle name="Normal 5 10 18 4 10" xfId="31227" xr:uid="{00000000-0005-0000-0000-0000EB790000}"/>
    <cellStyle name="Normal 5 10 18 4 2" xfId="31228" xr:uid="{00000000-0005-0000-0000-0000EC790000}"/>
    <cellStyle name="Normal 5 10 18 4 3" xfId="31229" xr:uid="{00000000-0005-0000-0000-0000ED790000}"/>
    <cellStyle name="Normal 5 10 18 4 4" xfId="31230" xr:uid="{00000000-0005-0000-0000-0000EE790000}"/>
    <cellStyle name="Normal 5 10 18 4 5" xfId="31231" xr:uid="{00000000-0005-0000-0000-0000EF790000}"/>
    <cellStyle name="Normal 5 10 18 4 6" xfId="31232" xr:uid="{00000000-0005-0000-0000-0000F0790000}"/>
    <cellStyle name="Normal 5 10 18 4 7" xfId="31233" xr:uid="{00000000-0005-0000-0000-0000F1790000}"/>
    <cellStyle name="Normal 5 10 18 4 8" xfId="31234" xr:uid="{00000000-0005-0000-0000-0000F2790000}"/>
    <cellStyle name="Normal 5 10 18 4 9" xfId="31235" xr:uid="{00000000-0005-0000-0000-0000F3790000}"/>
    <cellStyle name="Normal 5 10 18 5" xfId="31236" xr:uid="{00000000-0005-0000-0000-0000F4790000}"/>
    <cellStyle name="Normal 5 10 18 5 10" xfId="31237" xr:uid="{00000000-0005-0000-0000-0000F5790000}"/>
    <cellStyle name="Normal 5 10 18 5 2" xfId="31238" xr:uid="{00000000-0005-0000-0000-0000F6790000}"/>
    <cellStyle name="Normal 5 10 18 5 3" xfId="31239" xr:uid="{00000000-0005-0000-0000-0000F7790000}"/>
    <cellStyle name="Normal 5 10 18 5 4" xfId="31240" xr:uid="{00000000-0005-0000-0000-0000F8790000}"/>
    <cellStyle name="Normal 5 10 18 5 5" xfId="31241" xr:uid="{00000000-0005-0000-0000-0000F9790000}"/>
    <cellStyle name="Normal 5 10 18 5 6" xfId="31242" xr:uid="{00000000-0005-0000-0000-0000FA790000}"/>
    <cellStyle name="Normal 5 10 18 5 7" xfId="31243" xr:uid="{00000000-0005-0000-0000-0000FB790000}"/>
    <cellStyle name="Normal 5 10 18 5 8" xfId="31244" xr:uid="{00000000-0005-0000-0000-0000FC790000}"/>
    <cellStyle name="Normal 5 10 18 5 9" xfId="31245" xr:uid="{00000000-0005-0000-0000-0000FD790000}"/>
    <cellStyle name="Normal 5 10 18 6" xfId="31246" xr:uid="{00000000-0005-0000-0000-0000FE790000}"/>
    <cellStyle name="Normal 5 10 18 7" xfId="31247" xr:uid="{00000000-0005-0000-0000-0000FF790000}"/>
    <cellStyle name="Normal 5 10 18 8" xfId="31248" xr:uid="{00000000-0005-0000-0000-0000007A0000}"/>
    <cellStyle name="Normal 5 10 18 9" xfId="31249" xr:uid="{00000000-0005-0000-0000-0000017A0000}"/>
    <cellStyle name="Normal 5 10 19" xfId="31250" xr:uid="{00000000-0005-0000-0000-0000027A0000}"/>
    <cellStyle name="Normal 5 10 19 10" xfId="31251" xr:uid="{00000000-0005-0000-0000-0000037A0000}"/>
    <cellStyle name="Normal 5 10 19 11" xfId="31252" xr:uid="{00000000-0005-0000-0000-0000047A0000}"/>
    <cellStyle name="Normal 5 10 19 12" xfId="31253" xr:uid="{00000000-0005-0000-0000-0000057A0000}"/>
    <cellStyle name="Normal 5 10 19 13" xfId="31254" xr:uid="{00000000-0005-0000-0000-0000067A0000}"/>
    <cellStyle name="Normal 5 10 19 14" xfId="31255" xr:uid="{00000000-0005-0000-0000-0000077A0000}"/>
    <cellStyle name="Normal 5 10 19 2" xfId="31256" xr:uid="{00000000-0005-0000-0000-0000087A0000}"/>
    <cellStyle name="Normal 5 10 19 2 10" xfId="31257" xr:uid="{00000000-0005-0000-0000-0000097A0000}"/>
    <cellStyle name="Normal 5 10 19 2 2" xfId="31258" xr:uid="{00000000-0005-0000-0000-00000A7A0000}"/>
    <cellStyle name="Normal 5 10 19 2 3" xfId="31259" xr:uid="{00000000-0005-0000-0000-00000B7A0000}"/>
    <cellStyle name="Normal 5 10 19 2 4" xfId="31260" xr:uid="{00000000-0005-0000-0000-00000C7A0000}"/>
    <cellStyle name="Normal 5 10 19 2 5" xfId="31261" xr:uid="{00000000-0005-0000-0000-00000D7A0000}"/>
    <cellStyle name="Normal 5 10 19 2 6" xfId="31262" xr:uid="{00000000-0005-0000-0000-00000E7A0000}"/>
    <cellStyle name="Normal 5 10 19 2 7" xfId="31263" xr:uid="{00000000-0005-0000-0000-00000F7A0000}"/>
    <cellStyle name="Normal 5 10 19 2 8" xfId="31264" xr:uid="{00000000-0005-0000-0000-0000107A0000}"/>
    <cellStyle name="Normal 5 10 19 2 9" xfId="31265" xr:uid="{00000000-0005-0000-0000-0000117A0000}"/>
    <cellStyle name="Normal 5 10 19 3" xfId="31266" xr:uid="{00000000-0005-0000-0000-0000127A0000}"/>
    <cellStyle name="Normal 5 10 19 3 10" xfId="31267" xr:uid="{00000000-0005-0000-0000-0000137A0000}"/>
    <cellStyle name="Normal 5 10 19 3 2" xfId="31268" xr:uid="{00000000-0005-0000-0000-0000147A0000}"/>
    <cellStyle name="Normal 5 10 19 3 3" xfId="31269" xr:uid="{00000000-0005-0000-0000-0000157A0000}"/>
    <cellStyle name="Normal 5 10 19 3 4" xfId="31270" xr:uid="{00000000-0005-0000-0000-0000167A0000}"/>
    <cellStyle name="Normal 5 10 19 3 5" xfId="31271" xr:uid="{00000000-0005-0000-0000-0000177A0000}"/>
    <cellStyle name="Normal 5 10 19 3 6" xfId="31272" xr:uid="{00000000-0005-0000-0000-0000187A0000}"/>
    <cellStyle name="Normal 5 10 19 3 7" xfId="31273" xr:uid="{00000000-0005-0000-0000-0000197A0000}"/>
    <cellStyle name="Normal 5 10 19 3 8" xfId="31274" xr:uid="{00000000-0005-0000-0000-00001A7A0000}"/>
    <cellStyle name="Normal 5 10 19 3 9" xfId="31275" xr:uid="{00000000-0005-0000-0000-00001B7A0000}"/>
    <cellStyle name="Normal 5 10 19 4" xfId="31276" xr:uid="{00000000-0005-0000-0000-00001C7A0000}"/>
    <cellStyle name="Normal 5 10 19 4 10" xfId="31277" xr:uid="{00000000-0005-0000-0000-00001D7A0000}"/>
    <cellStyle name="Normal 5 10 19 4 2" xfId="31278" xr:uid="{00000000-0005-0000-0000-00001E7A0000}"/>
    <cellStyle name="Normal 5 10 19 4 3" xfId="31279" xr:uid="{00000000-0005-0000-0000-00001F7A0000}"/>
    <cellStyle name="Normal 5 10 19 4 4" xfId="31280" xr:uid="{00000000-0005-0000-0000-0000207A0000}"/>
    <cellStyle name="Normal 5 10 19 4 5" xfId="31281" xr:uid="{00000000-0005-0000-0000-0000217A0000}"/>
    <cellStyle name="Normal 5 10 19 4 6" xfId="31282" xr:uid="{00000000-0005-0000-0000-0000227A0000}"/>
    <cellStyle name="Normal 5 10 19 4 7" xfId="31283" xr:uid="{00000000-0005-0000-0000-0000237A0000}"/>
    <cellStyle name="Normal 5 10 19 4 8" xfId="31284" xr:uid="{00000000-0005-0000-0000-0000247A0000}"/>
    <cellStyle name="Normal 5 10 19 4 9" xfId="31285" xr:uid="{00000000-0005-0000-0000-0000257A0000}"/>
    <cellStyle name="Normal 5 10 19 5" xfId="31286" xr:uid="{00000000-0005-0000-0000-0000267A0000}"/>
    <cellStyle name="Normal 5 10 19 5 10" xfId="31287" xr:uid="{00000000-0005-0000-0000-0000277A0000}"/>
    <cellStyle name="Normal 5 10 19 5 2" xfId="31288" xr:uid="{00000000-0005-0000-0000-0000287A0000}"/>
    <cellStyle name="Normal 5 10 19 5 3" xfId="31289" xr:uid="{00000000-0005-0000-0000-0000297A0000}"/>
    <cellStyle name="Normal 5 10 19 5 4" xfId="31290" xr:uid="{00000000-0005-0000-0000-00002A7A0000}"/>
    <cellStyle name="Normal 5 10 19 5 5" xfId="31291" xr:uid="{00000000-0005-0000-0000-00002B7A0000}"/>
    <cellStyle name="Normal 5 10 19 5 6" xfId="31292" xr:uid="{00000000-0005-0000-0000-00002C7A0000}"/>
    <cellStyle name="Normal 5 10 19 5 7" xfId="31293" xr:uid="{00000000-0005-0000-0000-00002D7A0000}"/>
    <cellStyle name="Normal 5 10 19 5 8" xfId="31294" xr:uid="{00000000-0005-0000-0000-00002E7A0000}"/>
    <cellStyle name="Normal 5 10 19 5 9" xfId="31295" xr:uid="{00000000-0005-0000-0000-00002F7A0000}"/>
    <cellStyle name="Normal 5 10 19 6" xfId="31296" xr:uid="{00000000-0005-0000-0000-0000307A0000}"/>
    <cellStyle name="Normal 5 10 19 7" xfId="31297" xr:uid="{00000000-0005-0000-0000-0000317A0000}"/>
    <cellStyle name="Normal 5 10 19 8" xfId="31298" xr:uid="{00000000-0005-0000-0000-0000327A0000}"/>
    <cellStyle name="Normal 5 10 19 9" xfId="31299" xr:uid="{00000000-0005-0000-0000-0000337A0000}"/>
    <cellStyle name="Normal 5 10 2" xfId="61" xr:uid="{00000000-0005-0000-0000-0000347A0000}"/>
    <cellStyle name="Normal 5 10 2 10" xfId="31301" xr:uid="{00000000-0005-0000-0000-0000357A0000}"/>
    <cellStyle name="Normal 5 10 2 10 10" xfId="31302" xr:uid="{00000000-0005-0000-0000-0000367A0000}"/>
    <cellStyle name="Normal 5 10 2 10 11" xfId="31303" xr:uid="{00000000-0005-0000-0000-0000377A0000}"/>
    <cellStyle name="Normal 5 10 2 10 12" xfId="31304" xr:uid="{00000000-0005-0000-0000-0000387A0000}"/>
    <cellStyle name="Normal 5 10 2 10 13" xfId="31305" xr:uid="{00000000-0005-0000-0000-0000397A0000}"/>
    <cellStyle name="Normal 5 10 2 10 14" xfId="31306" xr:uid="{00000000-0005-0000-0000-00003A7A0000}"/>
    <cellStyle name="Normal 5 10 2 10 2" xfId="31307" xr:uid="{00000000-0005-0000-0000-00003B7A0000}"/>
    <cellStyle name="Normal 5 10 2 10 2 10" xfId="31308" xr:uid="{00000000-0005-0000-0000-00003C7A0000}"/>
    <cellStyle name="Normal 5 10 2 10 2 2" xfId="31309" xr:uid="{00000000-0005-0000-0000-00003D7A0000}"/>
    <cellStyle name="Normal 5 10 2 10 2 3" xfId="31310" xr:uid="{00000000-0005-0000-0000-00003E7A0000}"/>
    <cellStyle name="Normal 5 10 2 10 2 4" xfId="31311" xr:uid="{00000000-0005-0000-0000-00003F7A0000}"/>
    <cellStyle name="Normal 5 10 2 10 2 5" xfId="31312" xr:uid="{00000000-0005-0000-0000-0000407A0000}"/>
    <cellStyle name="Normal 5 10 2 10 2 6" xfId="31313" xr:uid="{00000000-0005-0000-0000-0000417A0000}"/>
    <cellStyle name="Normal 5 10 2 10 2 7" xfId="31314" xr:uid="{00000000-0005-0000-0000-0000427A0000}"/>
    <cellStyle name="Normal 5 10 2 10 2 8" xfId="31315" xr:uid="{00000000-0005-0000-0000-0000437A0000}"/>
    <cellStyle name="Normal 5 10 2 10 2 9" xfId="31316" xr:uid="{00000000-0005-0000-0000-0000447A0000}"/>
    <cellStyle name="Normal 5 10 2 10 3" xfId="31317" xr:uid="{00000000-0005-0000-0000-0000457A0000}"/>
    <cellStyle name="Normal 5 10 2 10 3 10" xfId="31318" xr:uid="{00000000-0005-0000-0000-0000467A0000}"/>
    <cellStyle name="Normal 5 10 2 10 3 2" xfId="31319" xr:uid="{00000000-0005-0000-0000-0000477A0000}"/>
    <cellStyle name="Normal 5 10 2 10 3 3" xfId="31320" xr:uid="{00000000-0005-0000-0000-0000487A0000}"/>
    <cellStyle name="Normal 5 10 2 10 3 4" xfId="31321" xr:uid="{00000000-0005-0000-0000-0000497A0000}"/>
    <cellStyle name="Normal 5 10 2 10 3 5" xfId="31322" xr:uid="{00000000-0005-0000-0000-00004A7A0000}"/>
    <cellStyle name="Normal 5 10 2 10 3 6" xfId="31323" xr:uid="{00000000-0005-0000-0000-00004B7A0000}"/>
    <cellStyle name="Normal 5 10 2 10 3 7" xfId="31324" xr:uid="{00000000-0005-0000-0000-00004C7A0000}"/>
    <cellStyle name="Normal 5 10 2 10 3 8" xfId="31325" xr:uid="{00000000-0005-0000-0000-00004D7A0000}"/>
    <cellStyle name="Normal 5 10 2 10 3 9" xfId="31326" xr:uid="{00000000-0005-0000-0000-00004E7A0000}"/>
    <cellStyle name="Normal 5 10 2 10 4" xfId="31327" xr:uid="{00000000-0005-0000-0000-00004F7A0000}"/>
    <cellStyle name="Normal 5 10 2 10 4 10" xfId="31328" xr:uid="{00000000-0005-0000-0000-0000507A0000}"/>
    <cellStyle name="Normal 5 10 2 10 4 2" xfId="31329" xr:uid="{00000000-0005-0000-0000-0000517A0000}"/>
    <cellStyle name="Normal 5 10 2 10 4 3" xfId="31330" xr:uid="{00000000-0005-0000-0000-0000527A0000}"/>
    <cellStyle name="Normal 5 10 2 10 4 4" xfId="31331" xr:uid="{00000000-0005-0000-0000-0000537A0000}"/>
    <cellStyle name="Normal 5 10 2 10 4 5" xfId="31332" xr:uid="{00000000-0005-0000-0000-0000547A0000}"/>
    <cellStyle name="Normal 5 10 2 10 4 6" xfId="31333" xr:uid="{00000000-0005-0000-0000-0000557A0000}"/>
    <cellStyle name="Normal 5 10 2 10 4 7" xfId="31334" xr:uid="{00000000-0005-0000-0000-0000567A0000}"/>
    <cellStyle name="Normal 5 10 2 10 4 8" xfId="31335" xr:uid="{00000000-0005-0000-0000-0000577A0000}"/>
    <cellStyle name="Normal 5 10 2 10 4 9" xfId="31336" xr:uid="{00000000-0005-0000-0000-0000587A0000}"/>
    <cellStyle name="Normal 5 10 2 10 5" xfId="31337" xr:uid="{00000000-0005-0000-0000-0000597A0000}"/>
    <cellStyle name="Normal 5 10 2 10 5 10" xfId="31338" xr:uid="{00000000-0005-0000-0000-00005A7A0000}"/>
    <cellStyle name="Normal 5 10 2 10 5 2" xfId="31339" xr:uid="{00000000-0005-0000-0000-00005B7A0000}"/>
    <cellStyle name="Normal 5 10 2 10 5 3" xfId="31340" xr:uid="{00000000-0005-0000-0000-00005C7A0000}"/>
    <cellStyle name="Normal 5 10 2 10 5 4" xfId="31341" xr:uid="{00000000-0005-0000-0000-00005D7A0000}"/>
    <cellStyle name="Normal 5 10 2 10 5 5" xfId="31342" xr:uid="{00000000-0005-0000-0000-00005E7A0000}"/>
    <cellStyle name="Normal 5 10 2 10 5 6" xfId="31343" xr:uid="{00000000-0005-0000-0000-00005F7A0000}"/>
    <cellStyle name="Normal 5 10 2 10 5 7" xfId="31344" xr:uid="{00000000-0005-0000-0000-0000607A0000}"/>
    <cellStyle name="Normal 5 10 2 10 5 8" xfId="31345" xr:uid="{00000000-0005-0000-0000-0000617A0000}"/>
    <cellStyle name="Normal 5 10 2 10 5 9" xfId="31346" xr:uid="{00000000-0005-0000-0000-0000627A0000}"/>
    <cellStyle name="Normal 5 10 2 10 6" xfId="31347" xr:uid="{00000000-0005-0000-0000-0000637A0000}"/>
    <cellStyle name="Normal 5 10 2 10 7" xfId="31348" xr:uid="{00000000-0005-0000-0000-0000647A0000}"/>
    <cellStyle name="Normal 5 10 2 10 8" xfId="31349" xr:uid="{00000000-0005-0000-0000-0000657A0000}"/>
    <cellStyle name="Normal 5 10 2 10 9" xfId="31350" xr:uid="{00000000-0005-0000-0000-0000667A0000}"/>
    <cellStyle name="Normal 5 10 2 11" xfId="31351" xr:uid="{00000000-0005-0000-0000-0000677A0000}"/>
    <cellStyle name="Normal 5 10 2 11 10" xfId="31352" xr:uid="{00000000-0005-0000-0000-0000687A0000}"/>
    <cellStyle name="Normal 5 10 2 11 11" xfId="31353" xr:uid="{00000000-0005-0000-0000-0000697A0000}"/>
    <cellStyle name="Normal 5 10 2 11 12" xfId="31354" xr:uid="{00000000-0005-0000-0000-00006A7A0000}"/>
    <cellStyle name="Normal 5 10 2 11 13" xfId="31355" xr:uid="{00000000-0005-0000-0000-00006B7A0000}"/>
    <cellStyle name="Normal 5 10 2 11 14" xfId="31356" xr:uid="{00000000-0005-0000-0000-00006C7A0000}"/>
    <cellStyle name="Normal 5 10 2 11 2" xfId="31357" xr:uid="{00000000-0005-0000-0000-00006D7A0000}"/>
    <cellStyle name="Normal 5 10 2 11 2 10" xfId="31358" xr:uid="{00000000-0005-0000-0000-00006E7A0000}"/>
    <cellStyle name="Normal 5 10 2 11 2 2" xfId="31359" xr:uid="{00000000-0005-0000-0000-00006F7A0000}"/>
    <cellStyle name="Normal 5 10 2 11 2 3" xfId="31360" xr:uid="{00000000-0005-0000-0000-0000707A0000}"/>
    <cellStyle name="Normal 5 10 2 11 2 4" xfId="31361" xr:uid="{00000000-0005-0000-0000-0000717A0000}"/>
    <cellStyle name="Normal 5 10 2 11 2 5" xfId="31362" xr:uid="{00000000-0005-0000-0000-0000727A0000}"/>
    <cellStyle name="Normal 5 10 2 11 2 6" xfId="31363" xr:uid="{00000000-0005-0000-0000-0000737A0000}"/>
    <cellStyle name="Normal 5 10 2 11 2 7" xfId="31364" xr:uid="{00000000-0005-0000-0000-0000747A0000}"/>
    <cellStyle name="Normal 5 10 2 11 2 8" xfId="31365" xr:uid="{00000000-0005-0000-0000-0000757A0000}"/>
    <cellStyle name="Normal 5 10 2 11 2 9" xfId="31366" xr:uid="{00000000-0005-0000-0000-0000767A0000}"/>
    <cellStyle name="Normal 5 10 2 11 3" xfId="31367" xr:uid="{00000000-0005-0000-0000-0000777A0000}"/>
    <cellStyle name="Normal 5 10 2 11 3 10" xfId="31368" xr:uid="{00000000-0005-0000-0000-0000787A0000}"/>
    <cellStyle name="Normal 5 10 2 11 3 2" xfId="31369" xr:uid="{00000000-0005-0000-0000-0000797A0000}"/>
    <cellStyle name="Normal 5 10 2 11 3 3" xfId="31370" xr:uid="{00000000-0005-0000-0000-00007A7A0000}"/>
    <cellStyle name="Normal 5 10 2 11 3 4" xfId="31371" xr:uid="{00000000-0005-0000-0000-00007B7A0000}"/>
    <cellStyle name="Normal 5 10 2 11 3 5" xfId="31372" xr:uid="{00000000-0005-0000-0000-00007C7A0000}"/>
    <cellStyle name="Normal 5 10 2 11 3 6" xfId="31373" xr:uid="{00000000-0005-0000-0000-00007D7A0000}"/>
    <cellStyle name="Normal 5 10 2 11 3 7" xfId="31374" xr:uid="{00000000-0005-0000-0000-00007E7A0000}"/>
    <cellStyle name="Normal 5 10 2 11 3 8" xfId="31375" xr:uid="{00000000-0005-0000-0000-00007F7A0000}"/>
    <cellStyle name="Normal 5 10 2 11 3 9" xfId="31376" xr:uid="{00000000-0005-0000-0000-0000807A0000}"/>
    <cellStyle name="Normal 5 10 2 11 4" xfId="31377" xr:uid="{00000000-0005-0000-0000-0000817A0000}"/>
    <cellStyle name="Normal 5 10 2 11 4 10" xfId="31378" xr:uid="{00000000-0005-0000-0000-0000827A0000}"/>
    <cellStyle name="Normal 5 10 2 11 4 2" xfId="31379" xr:uid="{00000000-0005-0000-0000-0000837A0000}"/>
    <cellStyle name="Normal 5 10 2 11 4 3" xfId="31380" xr:uid="{00000000-0005-0000-0000-0000847A0000}"/>
    <cellStyle name="Normal 5 10 2 11 4 4" xfId="31381" xr:uid="{00000000-0005-0000-0000-0000857A0000}"/>
    <cellStyle name="Normal 5 10 2 11 4 5" xfId="31382" xr:uid="{00000000-0005-0000-0000-0000867A0000}"/>
    <cellStyle name="Normal 5 10 2 11 4 6" xfId="31383" xr:uid="{00000000-0005-0000-0000-0000877A0000}"/>
    <cellStyle name="Normal 5 10 2 11 4 7" xfId="31384" xr:uid="{00000000-0005-0000-0000-0000887A0000}"/>
    <cellStyle name="Normal 5 10 2 11 4 8" xfId="31385" xr:uid="{00000000-0005-0000-0000-0000897A0000}"/>
    <cellStyle name="Normal 5 10 2 11 4 9" xfId="31386" xr:uid="{00000000-0005-0000-0000-00008A7A0000}"/>
    <cellStyle name="Normal 5 10 2 11 5" xfId="31387" xr:uid="{00000000-0005-0000-0000-00008B7A0000}"/>
    <cellStyle name="Normal 5 10 2 11 5 10" xfId="31388" xr:uid="{00000000-0005-0000-0000-00008C7A0000}"/>
    <cellStyle name="Normal 5 10 2 11 5 2" xfId="31389" xr:uid="{00000000-0005-0000-0000-00008D7A0000}"/>
    <cellStyle name="Normal 5 10 2 11 5 3" xfId="31390" xr:uid="{00000000-0005-0000-0000-00008E7A0000}"/>
    <cellStyle name="Normal 5 10 2 11 5 4" xfId="31391" xr:uid="{00000000-0005-0000-0000-00008F7A0000}"/>
    <cellStyle name="Normal 5 10 2 11 5 5" xfId="31392" xr:uid="{00000000-0005-0000-0000-0000907A0000}"/>
    <cellStyle name="Normal 5 10 2 11 5 6" xfId="31393" xr:uid="{00000000-0005-0000-0000-0000917A0000}"/>
    <cellStyle name="Normal 5 10 2 11 5 7" xfId="31394" xr:uid="{00000000-0005-0000-0000-0000927A0000}"/>
    <cellStyle name="Normal 5 10 2 11 5 8" xfId="31395" xr:uid="{00000000-0005-0000-0000-0000937A0000}"/>
    <cellStyle name="Normal 5 10 2 11 5 9" xfId="31396" xr:uid="{00000000-0005-0000-0000-0000947A0000}"/>
    <cellStyle name="Normal 5 10 2 11 6" xfId="31397" xr:uid="{00000000-0005-0000-0000-0000957A0000}"/>
    <cellStyle name="Normal 5 10 2 11 7" xfId="31398" xr:uid="{00000000-0005-0000-0000-0000967A0000}"/>
    <cellStyle name="Normal 5 10 2 11 8" xfId="31399" xr:uid="{00000000-0005-0000-0000-0000977A0000}"/>
    <cellStyle name="Normal 5 10 2 11 9" xfId="31400" xr:uid="{00000000-0005-0000-0000-0000987A0000}"/>
    <cellStyle name="Normal 5 10 2 12" xfId="31401" xr:uid="{00000000-0005-0000-0000-0000997A0000}"/>
    <cellStyle name="Normal 5 10 2 12 10" xfId="31402" xr:uid="{00000000-0005-0000-0000-00009A7A0000}"/>
    <cellStyle name="Normal 5 10 2 12 11" xfId="31403" xr:uid="{00000000-0005-0000-0000-00009B7A0000}"/>
    <cellStyle name="Normal 5 10 2 12 12" xfId="31404" xr:uid="{00000000-0005-0000-0000-00009C7A0000}"/>
    <cellStyle name="Normal 5 10 2 12 13" xfId="31405" xr:uid="{00000000-0005-0000-0000-00009D7A0000}"/>
    <cellStyle name="Normal 5 10 2 12 14" xfId="31406" xr:uid="{00000000-0005-0000-0000-00009E7A0000}"/>
    <cellStyle name="Normal 5 10 2 12 2" xfId="31407" xr:uid="{00000000-0005-0000-0000-00009F7A0000}"/>
    <cellStyle name="Normal 5 10 2 12 2 10" xfId="31408" xr:uid="{00000000-0005-0000-0000-0000A07A0000}"/>
    <cellStyle name="Normal 5 10 2 12 2 2" xfId="31409" xr:uid="{00000000-0005-0000-0000-0000A17A0000}"/>
    <cellStyle name="Normal 5 10 2 12 2 3" xfId="31410" xr:uid="{00000000-0005-0000-0000-0000A27A0000}"/>
    <cellStyle name="Normal 5 10 2 12 2 4" xfId="31411" xr:uid="{00000000-0005-0000-0000-0000A37A0000}"/>
    <cellStyle name="Normal 5 10 2 12 2 5" xfId="31412" xr:uid="{00000000-0005-0000-0000-0000A47A0000}"/>
    <cellStyle name="Normal 5 10 2 12 2 6" xfId="31413" xr:uid="{00000000-0005-0000-0000-0000A57A0000}"/>
    <cellStyle name="Normal 5 10 2 12 2 7" xfId="31414" xr:uid="{00000000-0005-0000-0000-0000A67A0000}"/>
    <cellStyle name="Normal 5 10 2 12 2 8" xfId="31415" xr:uid="{00000000-0005-0000-0000-0000A77A0000}"/>
    <cellStyle name="Normal 5 10 2 12 2 9" xfId="31416" xr:uid="{00000000-0005-0000-0000-0000A87A0000}"/>
    <cellStyle name="Normal 5 10 2 12 3" xfId="31417" xr:uid="{00000000-0005-0000-0000-0000A97A0000}"/>
    <cellStyle name="Normal 5 10 2 12 3 10" xfId="31418" xr:uid="{00000000-0005-0000-0000-0000AA7A0000}"/>
    <cellStyle name="Normal 5 10 2 12 3 2" xfId="31419" xr:uid="{00000000-0005-0000-0000-0000AB7A0000}"/>
    <cellStyle name="Normal 5 10 2 12 3 3" xfId="31420" xr:uid="{00000000-0005-0000-0000-0000AC7A0000}"/>
    <cellStyle name="Normal 5 10 2 12 3 4" xfId="31421" xr:uid="{00000000-0005-0000-0000-0000AD7A0000}"/>
    <cellStyle name="Normal 5 10 2 12 3 5" xfId="31422" xr:uid="{00000000-0005-0000-0000-0000AE7A0000}"/>
    <cellStyle name="Normal 5 10 2 12 3 6" xfId="31423" xr:uid="{00000000-0005-0000-0000-0000AF7A0000}"/>
    <cellStyle name="Normal 5 10 2 12 3 7" xfId="31424" xr:uid="{00000000-0005-0000-0000-0000B07A0000}"/>
    <cellStyle name="Normal 5 10 2 12 3 8" xfId="31425" xr:uid="{00000000-0005-0000-0000-0000B17A0000}"/>
    <cellStyle name="Normal 5 10 2 12 3 9" xfId="31426" xr:uid="{00000000-0005-0000-0000-0000B27A0000}"/>
    <cellStyle name="Normal 5 10 2 12 4" xfId="31427" xr:uid="{00000000-0005-0000-0000-0000B37A0000}"/>
    <cellStyle name="Normal 5 10 2 12 4 10" xfId="31428" xr:uid="{00000000-0005-0000-0000-0000B47A0000}"/>
    <cellStyle name="Normal 5 10 2 12 4 2" xfId="31429" xr:uid="{00000000-0005-0000-0000-0000B57A0000}"/>
    <cellStyle name="Normal 5 10 2 12 4 3" xfId="31430" xr:uid="{00000000-0005-0000-0000-0000B67A0000}"/>
    <cellStyle name="Normal 5 10 2 12 4 4" xfId="31431" xr:uid="{00000000-0005-0000-0000-0000B77A0000}"/>
    <cellStyle name="Normal 5 10 2 12 4 5" xfId="31432" xr:uid="{00000000-0005-0000-0000-0000B87A0000}"/>
    <cellStyle name="Normal 5 10 2 12 4 6" xfId="31433" xr:uid="{00000000-0005-0000-0000-0000B97A0000}"/>
    <cellStyle name="Normal 5 10 2 12 4 7" xfId="31434" xr:uid="{00000000-0005-0000-0000-0000BA7A0000}"/>
    <cellStyle name="Normal 5 10 2 12 4 8" xfId="31435" xr:uid="{00000000-0005-0000-0000-0000BB7A0000}"/>
    <cellStyle name="Normal 5 10 2 12 4 9" xfId="31436" xr:uid="{00000000-0005-0000-0000-0000BC7A0000}"/>
    <cellStyle name="Normal 5 10 2 12 5" xfId="31437" xr:uid="{00000000-0005-0000-0000-0000BD7A0000}"/>
    <cellStyle name="Normal 5 10 2 12 5 10" xfId="31438" xr:uid="{00000000-0005-0000-0000-0000BE7A0000}"/>
    <cellStyle name="Normal 5 10 2 12 5 2" xfId="31439" xr:uid="{00000000-0005-0000-0000-0000BF7A0000}"/>
    <cellStyle name="Normal 5 10 2 12 5 3" xfId="31440" xr:uid="{00000000-0005-0000-0000-0000C07A0000}"/>
    <cellStyle name="Normal 5 10 2 12 5 4" xfId="31441" xr:uid="{00000000-0005-0000-0000-0000C17A0000}"/>
    <cellStyle name="Normal 5 10 2 12 5 5" xfId="31442" xr:uid="{00000000-0005-0000-0000-0000C27A0000}"/>
    <cellStyle name="Normal 5 10 2 12 5 6" xfId="31443" xr:uid="{00000000-0005-0000-0000-0000C37A0000}"/>
    <cellStyle name="Normal 5 10 2 12 5 7" xfId="31444" xr:uid="{00000000-0005-0000-0000-0000C47A0000}"/>
    <cellStyle name="Normal 5 10 2 12 5 8" xfId="31445" xr:uid="{00000000-0005-0000-0000-0000C57A0000}"/>
    <cellStyle name="Normal 5 10 2 12 5 9" xfId="31446" xr:uid="{00000000-0005-0000-0000-0000C67A0000}"/>
    <cellStyle name="Normal 5 10 2 12 6" xfId="31447" xr:uid="{00000000-0005-0000-0000-0000C77A0000}"/>
    <cellStyle name="Normal 5 10 2 12 7" xfId="31448" xr:uid="{00000000-0005-0000-0000-0000C87A0000}"/>
    <cellStyle name="Normal 5 10 2 12 8" xfId="31449" xr:uid="{00000000-0005-0000-0000-0000C97A0000}"/>
    <cellStyle name="Normal 5 10 2 12 9" xfId="31450" xr:uid="{00000000-0005-0000-0000-0000CA7A0000}"/>
    <cellStyle name="Normal 5 10 2 13" xfId="31451" xr:uid="{00000000-0005-0000-0000-0000CB7A0000}"/>
    <cellStyle name="Normal 5 10 2 13 10" xfId="31452" xr:uid="{00000000-0005-0000-0000-0000CC7A0000}"/>
    <cellStyle name="Normal 5 10 2 13 11" xfId="31453" xr:uid="{00000000-0005-0000-0000-0000CD7A0000}"/>
    <cellStyle name="Normal 5 10 2 13 12" xfId="31454" xr:uid="{00000000-0005-0000-0000-0000CE7A0000}"/>
    <cellStyle name="Normal 5 10 2 13 13" xfId="31455" xr:uid="{00000000-0005-0000-0000-0000CF7A0000}"/>
    <cellStyle name="Normal 5 10 2 13 14" xfId="31456" xr:uid="{00000000-0005-0000-0000-0000D07A0000}"/>
    <cellStyle name="Normal 5 10 2 13 2" xfId="31457" xr:uid="{00000000-0005-0000-0000-0000D17A0000}"/>
    <cellStyle name="Normal 5 10 2 13 2 10" xfId="31458" xr:uid="{00000000-0005-0000-0000-0000D27A0000}"/>
    <cellStyle name="Normal 5 10 2 13 2 2" xfId="31459" xr:uid="{00000000-0005-0000-0000-0000D37A0000}"/>
    <cellStyle name="Normal 5 10 2 13 2 3" xfId="31460" xr:uid="{00000000-0005-0000-0000-0000D47A0000}"/>
    <cellStyle name="Normal 5 10 2 13 2 4" xfId="31461" xr:uid="{00000000-0005-0000-0000-0000D57A0000}"/>
    <cellStyle name="Normal 5 10 2 13 2 5" xfId="31462" xr:uid="{00000000-0005-0000-0000-0000D67A0000}"/>
    <cellStyle name="Normal 5 10 2 13 2 6" xfId="31463" xr:uid="{00000000-0005-0000-0000-0000D77A0000}"/>
    <cellStyle name="Normal 5 10 2 13 2 7" xfId="31464" xr:uid="{00000000-0005-0000-0000-0000D87A0000}"/>
    <cellStyle name="Normal 5 10 2 13 2 8" xfId="31465" xr:uid="{00000000-0005-0000-0000-0000D97A0000}"/>
    <cellStyle name="Normal 5 10 2 13 2 9" xfId="31466" xr:uid="{00000000-0005-0000-0000-0000DA7A0000}"/>
    <cellStyle name="Normal 5 10 2 13 3" xfId="31467" xr:uid="{00000000-0005-0000-0000-0000DB7A0000}"/>
    <cellStyle name="Normal 5 10 2 13 3 10" xfId="31468" xr:uid="{00000000-0005-0000-0000-0000DC7A0000}"/>
    <cellStyle name="Normal 5 10 2 13 3 2" xfId="31469" xr:uid="{00000000-0005-0000-0000-0000DD7A0000}"/>
    <cellStyle name="Normal 5 10 2 13 3 3" xfId="31470" xr:uid="{00000000-0005-0000-0000-0000DE7A0000}"/>
    <cellStyle name="Normal 5 10 2 13 3 4" xfId="31471" xr:uid="{00000000-0005-0000-0000-0000DF7A0000}"/>
    <cellStyle name="Normal 5 10 2 13 3 5" xfId="31472" xr:uid="{00000000-0005-0000-0000-0000E07A0000}"/>
    <cellStyle name="Normal 5 10 2 13 3 6" xfId="31473" xr:uid="{00000000-0005-0000-0000-0000E17A0000}"/>
    <cellStyle name="Normal 5 10 2 13 3 7" xfId="31474" xr:uid="{00000000-0005-0000-0000-0000E27A0000}"/>
    <cellStyle name="Normal 5 10 2 13 3 8" xfId="31475" xr:uid="{00000000-0005-0000-0000-0000E37A0000}"/>
    <cellStyle name="Normal 5 10 2 13 3 9" xfId="31476" xr:uid="{00000000-0005-0000-0000-0000E47A0000}"/>
    <cellStyle name="Normal 5 10 2 13 4" xfId="31477" xr:uid="{00000000-0005-0000-0000-0000E57A0000}"/>
    <cellStyle name="Normal 5 10 2 13 4 10" xfId="31478" xr:uid="{00000000-0005-0000-0000-0000E67A0000}"/>
    <cellStyle name="Normal 5 10 2 13 4 2" xfId="31479" xr:uid="{00000000-0005-0000-0000-0000E77A0000}"/>
    <cellStyle name="Normal 5 10 2 13 4 3" xfId="31480" xr:uid="{00000000-0005-0000-0000-0000E87A0000}"/>
    <cellStyle name="Normal 5 10 2 13 4 4" xfId="31481" xr:uid="{00000000-0005-0000-0000-0000E97A0000}"/>
    <cellStyle name="Normal 5 10 2 13 4 5" xfId="31482" xr:uid="{00000000-0005-0000-0000-0000EA7A0000}"/>
    <cellStyle name="Normal 5 10 2 13 4 6" xfId="31483" xr:uid="{00000000-0005-0000-0000-0000EB7A0000}"/>
    <cellStyle name="Normal 5 10 2 13 4 7" xfId="31484" xr:uid="{00000000-0005-0000-0000-0000EC7A0000}"/>
    <cellStyle name="Normal 5 10 2 13 4 8" xfId="31485" xr:uid="{00000000-0005-0000-0000-0000ED7A0000}"/>
    <cellStyle name="Normal 5 10 2 13 4 9" xfId="31486" xr:uid="{00000000-0005-0000-0000-0000EE7A0000}"/>
    <cellStyle name="Normal 5 10 2 13 5" xfId="31487" xr:uid="{00000000-0005-0000-0000-0000EF7A0000}"/>
    <cellStyle name="Normal 5 10 2 13 5 10" xfId="31488" xr:uid="{00000000-0005-0000-0000-0000F07A0000}"/>
    <cellStyle name="Normal 5 10 2 13 5 2" xfId="31489" xr:uid="{00000000-0005-0000-0000-0000F17A0000}"/>
    <cellStyle name="Normal 5 10 2 13 5 3" xfId="31490" xr:uid="{00000000-0005-0000-0000-0000F27A0000}"/>
    <cellStyle name="Normal 5 10 2 13 5 4" xfId="31491" xr:uid="{00000000-0005-0000-0000-0000F37A0000}"/>
    <cellStyle name="Normal 5 10 2 13 5 5" xfId="31492" xr:uid="{00000000-0005-0000-0000-0000F47A0000}"/>
    <cellStyle name="Normal 5 10 2 13 5 6" xfId="31493" xr:uid="{00000000-0005-0000-0000-0000F57A0000}"/>
    <cellStyle name="Normal 5 10 2 13 5 7" xfId="31494" xr:uid="{00000000-0005-0000-0000-0000F67A0000}"/>
    <cellStyle name="Normal 5 10 2 13 5 8" xfId="31495" xr:uid="{00000000-0005-0000-0000-0000F77A0000}"/>
    <cellStyle name="Normal 5 10 2 13 5 9" xfId="31496" xr:uid="{00000000-0005-0000-0000-0000F87A0000}"/>
    <cellStyle name="Normal 5 10 2 13 6" xfId="31497" xr:uid="{00000000-0005-0000-0000-0000F97A0000}"/>
    <cellStyle name="Normal 5 10 2 13 7" xfId="31498" xr:uid="{00000000-0005-0000-0000-0000FA7A0000}"/>
    <cellStyle name="Normal 5 10 2 13 8" xfId="31499" xr:uid="{00000000-0005-0000-0000-0000FB7A0000}"/>
    <cellStyle name="Normal 5 10 2 13 9" xfId="31500" xr:uid="{00000000-0005-0000-0000-0000FC7A0000}"/>
    <cellStyle name="Normal 5 10 2 14" xfId="31501" xr:uid="{00000000-0005-0000-0000-0000FD7A0000}"/>
    <cellStyle name="Normal 5 10 2 14 10" xfId="31502" xr:uid="{00000000-0005-0000-0000-0000FE7A0000}"/>
    <cellStyle name="Normal 5 10 2 14 11" xfId="31503" xr:uid="{00000000-0005-0000-0000-0000FF7A0000}"/>
    <cellStyle name="Normal 5 10 2 14 12" xfId="31504" xr:uid="{00000000-0005-0000-0000-0000007B0000}"/>
    <cellStyle name="Normal 5 10 2 14 13" xfId="31505" xr:uid="{00000000-0005-0000-0000-0000017B0000}"/>
    <cellStyle name="Normal 5 10 2 14 14" xfId="31506" xr:uid="{00000000-0005-0000-0000-0000027B0000}"/>
    <cellStyle name="Normal 5 10 2 14 2" xfId="31507" xr:uid="{00000000-0005-0000-0000-0000037B0000}"/>
    <cellStyle name="Normal 5 10 2 14 2 10" xfId="31508" xr:uid="{00000000-0005-0000-0000-0000047B0000}"/>
    <cellStyle name="Normal 5 10 2 14 2 2" xfId="31509" xr:uid="{00000000-0005-0000-0000-0000057B0000}"/>
    <cellStyle name="Normal 5 10 2 14 2 3" xfId="31510" xr:uid="{00000000-0005-0000-0000-0000067B0000}"/>
    <cellStyle name="Normal 5 10 2 14 2 4" xfId="31511" xr:uid="{00000000-0005-0000-0000-0000077B0000}"/>
    <cellStyle name="Normal 5 10 2 14 2 5" xfId="31512" xr:uid="{00000000-0005-0000-0000-0000087B0000}"/>
    <cellStyle name="Normal 5 10 2 14 2 6" xfId="31513" xr:uid="{00000000-0005-0000-0000-0000097B0000}"/>
    <cellStyle name="Normal 5 10 2 14 2 7" xfId="31514" xr:uid="{00000000-0005-0000-0000-00000A7B0000}"/>
    <cellStyle name="Normal 5 10 2 14 2 8" xfId="31515" xr:uid="{00000000-0005-0000-0000-00000B7B0000}"/>
    <cellStyle name="Normal 5 10 2 14 2 9" xfId="31516" xr:uid="{00000000-0005-0000-0000-00000C7B0000}"/>
    <cellStyle name="Normal 5 10 2 14 3" xfId="31517" xr:uid="{00000000-0005-0000-0000-00000D7B0000}"/>
    <cellStyle name="Normal 5 10 2 14 3 10" xfId="31518" xr:uid="{00000000-0005-0000-0000-00000E7B0000}"/>
    <cellStyle name="Normal 5 10 2 14 3 2" xfId="31519" xr:uid="{00000000-0005-0000-0000-00000F7B0000}"/>
    <cellStyle name="Normal 5 10 2 14 3 3" xfId="31520" xr:uid="{00000000-0005-0000-0000-0000107B0000}"/>
    <cellStyle name="Normal 5 10 2 14 3 4" xfId="31521" xr:uid="{00000000-0005-0000-0000-0000117B0000}"/>
    <cellStyle name="Normal 5 10 2 14 3 5" xfId="31522" xr:uid="{00000000-0005-0000-0000-0000127B0000}"/>
    <cellStyle name="Normal 5 10 2 14 3 6" xfId="31523" xr:uid="{00000000-0005-0000-0000-0000137B0000}"/>
    <cellStyle name="Normal 5 10 2 14 3 7" xfId="31524" xr:uid="{00000000-0005-0000-0000-0000147B0000}"/>
    <cellStyle name="Normal 5 10 2 14 3 8" xfId="31525" xr:uid="{00000000-0005-0000-0000-0000157B0000}"/>
    <cellStyle name="Normal 5 10 2 14 3 9" xfId="31526" xr:uid="{00000000-0005-0000-0000-0000167B0000}"/>
    <cellStyle name="Normal 5 10 2 14 4" xfId="31527" xr:uid="{00000000-0005-0000-0000-0000177B0000}"/>
    <cellStyle name="Normal 5 10 2 14 4 10" xfId="31528" xr:uid="{00000000-0005-0000-0000-0000187B0000}"/>
    <cellStyle name="Normal 5 10 2 14 4 2" xfId="31529" xr:uid="{00000000-0005-0000-0000-0000197B0000}"/>
    <cellStyle name="Normal 5 10 2 14 4 3" xfId="31530" xr:uid="{00000000-0005-0000-0000-00001A7B0000}"/>
    <cellStyle name="Normal 5 10 2 14 4 4" xfId="31531" xr:uid="{00000000-0005-0000-0000-00001B7B0000}"/>
    <cellStyle name="Normal 5 10 2 14 4 5" xfId="31532" xr:uid="{00000000-0005-0000-0000-00001C7B0000}"/>
    <cellStyle name="Normal 5 10 2 14 4 6" xfId="31533" xr:uid="{00000000-0005-0000-0000-00001D7B0000}"/>
    <cellStyle name="Normal 5 10 2 14 4 7" xfId="31534" xr:uid="{00000000-0005-0000-0000-00001E7B0000}"/>
    <cellStyle name="Normal 5 10 2 14 4 8" xfId="31535" xr:uid="{00000000-0005-0000-0000-00001F7B0000}"/>
    <cellStyle name="Normal 5 10 2 14 4 9" xfId="31536" xr:uid="{00000000-0005-0000-0000-0000207B0000}"/>
    <cellStyle name="Normal 5 10 2 14 5" xfId="31537" xr:uid="{00000000-0005-0000-0000-0000217B0000}"/>
    <cellStyle name="Normal 5 10 2 14 5 10" xfId="31538" xr:uid="{00000000-0005-0000-0000-0000227B0000}"/>
    <cellStyle name="Normal 5 10 2 14 5 2" xfId="31539" xr:uid="{00000000-0005-0000-0000-0000237B0000}"/>
    <cellStyle name="Normal 5 10 2 14 5 3" xfId="31540" xr:uid="{00000000-0005-0000-0000-0000247B0000}"/>
    <cellStyle name="Normal 5 10 2 14 5 4" xfId="31541" xr:uid="{00000000-0005-0000-0000-0000257B0000}"/>
    <cellStyle name="Normal 5 10 2 14 5 5" xfId="31542" xr:uid="{00000000-0005-0000-0000-0000267B0000}"/>
    <cellStyle name="Normal 5 10 2 14 5 6" xfId="31543" xr:uid="{00000000-0005-0000-0000-0000277B0000}"/>
    <cellStyle name="Normal 5 10 2 14 5 7" xfId="31544" xr:uid="{00000000-0005-0000-0000-0000287B0000}"/>
    <cellStyle name="Normal 5 10 2 14 5 8" xfId="31545" xr:uid="{00000000-0005-0000-0000-0000297B0000}"/>
    <cellStyle name="Normal 5 10 2 14 5 9" xfId="31546" xr:uid="{00000000-0005-0000-0000-00002A7B0000}"/>
    <cellStyle name="Normal 5 10 2 14 6" xfId="31547" xr:uid="{00000000-0005-0000-0000-00002B7B0000}"/>
    <cellStyle name="Normal 5 10 2 14 7" xfId="31548" xr:uid="{00000000-0005-0000-0000-00002C7B0000}"/>
    <cellStyle name="Normal 5 10 2 14 8" xfId="31549" xr:uid="{00000000-0005-0000-0000-00002D7B0000}"/>
    <cellStyle name="Normal 5 10 2 14 9" xfId="31550" xr:uid="{00000000-0005-0000-0000-00002E7B0000}"/>
    <cellStyle name="Normal 5 10 2 15" xfId="31551" xr:uid="{00000000-0005-0000-0000-00002F7B0000}"/>
    <cellStyle name="Normal 5 10 2 15 10" xfId="31552" xr:uid="{00000000-0005-0000-0000-0000307B0000}"/>
    <cellStyle name="Normal 5 10 2 15 11" xfId="31553" xr:uid="{00000000-0005-0000-0000-0000317B0000}"/>
    <cellStyle name="Normal 5 10 2 15 12" xfId="31554" xr:uid="{00000000-0005-0000-0000-0000327B0000}"/>
    <cellStyle name="Normal 5 10 2 15 13" xfId="31555" xr:uid="{00000000-0005-0000-0000-0000337B0000}"/>
    <cellStyle name="Normal 5 10 2 15 14" xfId="31556" xr:uid="{00000000-0005-0000-0000-0000347B0000}"/>
    <cellStyle name="Normal 5 10 2 15 2" xfId="31557" xr:uid="{00000000-0005-0000-0000-0000357B0000}"/>
    <cellStyle name="Normal 5 10 2 15 2 10" xfId="31558" xr:uid="{00000000-0005-0000-0000-0000367B0000}"/>
    <cellStyle name="Normal 5 10 2 15 2 2" xfId="31559" xr:uid="{00000000-0005-0000-0000-0000377B0000}"/>
    <cellStyle name="Normal 5 10 2 15 2 3" xfId="31560" xr:uid="{00000000-0005-0000-0000-0000387B0000}"/>
    <cellStyle name="Normal 5 10 2 15 2 4" xfId="31561" xr:uid="{00000000-0005-0000-0000-0000397B0000}"/>
    <cellStyle name="Normal 5 10 2 15 2 5" xfId="31562" xr:uid="{00000000-0005-0000-0000-00003A7B0000}"/>
    <cellStyle name="Normal 5 10 2 15 2 6" xfId="31563" xr:uid="{00000000-0005-0000-0000-00003B7B0000}"/>
    <cellStyle name="Normal 5 10 2 15 2 7" xfId="31564" xr:uid="{00000000-0005-0000-0000-00003C7B0000}"/>
    <cellStyle name="Normal 5 10 2 15 2 8" xfId="31565" xr:uid="{00000000-0005-0000-0000-00003D7B0000}"/>
    <cellStyle name="Normal 5 10 2 15 2 9" xfId="31566" xr:uid="{00000000-0005-0000-0000-00003E7B0000}"/>
    <cellStyle name="Normal 5 10 2 15 3" xfId="31567" xr:uid="{00000000-0005-0000-0000-00003F7B0000}"/>
    <cellStyle name="Normal 5 10 2 15 3 10" xfId="31568" xr:uid="{00000000-0005-0000-0000-0000407B0000}"/>
    <cellStyle name="Normal 5 10 2 15 3 2" xfId="31569" xr:uid="{00000000-0005-0000-0000-0000417B0000}"/>
    <cellStyle name="Normal 5 10 2 15 3 3" xfId="31570" xr:uid="{00000000-0005-0000-0000-0000427B0000}"/>
    <cellStyle name="Normal 5 10 2 15 3 4" xfId="31571" xr:uid="{00000000-0005-0000-0000-0000437B0000}"/>
    <cellStyle name="Normal 5 10 2 15 3 5" xfId="31572" xr:uid="{00000000-0005-0000-0000-0000447B0000}"/>
    <cellStyle name="Normal 5 10 2 15 3 6" xfId="31573" xr:uid="{00000000-0005-0000-0000-0000457B0000}"/>
    <cellStyle name="Normal 5 10 2 15 3 7" xfId="31574" xr:uid="{00000000-0005-0000-0000-0000467B0000}"/>
    <cellStyle name="Normal 5 10 2 15 3 8" xfId="31575" xr:uid="{00000000-0005-0000-0000-0000477B0000}"/>
    <cellStyle name="Normal 5 10 2 15 3 9" xfId="31576" xr:uid="{00000000-0005-0000-0000-0000487B0000}"/>
    <cellStyle name="Normal 5 10 2 15 4" xfId="31577" xr:uid="{00000000-0005-0000-0000-0000497B0000}"/>
    <cellStyle name="Normal 5 10 2 15 4 10" xfId="31578" xr:uid="{00000000-0005-0000-0000-00004A7B0000}"/>
    <cellStyle name="Normal 5 10 2 15 4 2" xfId="31579" xr:uid="{00000000-0005-0000-0000-00004B7B0000}"/>
    <cellStyle name="Normal 5 10 2 15 4 3" xfId="31580" xr:uid="{00000000-0005-0000-0000-00004C7B0000}"/>
    <cellStyle name="Normal 5 10 2 15 4 4" xfId="31581" xr:uid="{00000000-0005-0000-0000-00004D7B0000}"/>
    <cellStyle name="Normal 5 10 2 15 4 5" xfId="31582" xr:uid="{00000000-0005-0000-0000-00004E7B0000}"/>
    <cellStyle name="Normal 5 10 2 15 4 6" xfId="31583" xr:uid="{00000000-0005-0000-0000-00004F7B0000}"/>
    <cellStyle name="Normal 5 10 2 15 4 7" xfId="31584" xr:uid="{00000000-0005-0000-0000-0000507B0000}"/>
    <cellStyle name="Normal 5 10 2 15 4 8" xfId="31585" xr:uid="{00000000-0005-0000-0000-0000517B0000}"/>
    <cellStyle name="Normal 5 10 2 15 4 9" xfId="31586" xr:uid="{00000000-0005-0000-0000-0000527B0000}"/>
    <cellStyle name="Normal 5 10 2 15 5" xfId="31587" xr:uid="{00000000-0005-0000-0000-0000537B0000}"/>
    <cellStyle name="Normal 5 10 2 15 5 10" xfId="31588" xr:uid="{00000000-0005-0000-0000-0000547B0000}"/>
    <cellStyle name="Normal 5 10 2 15 5 2" xfId="31589" xr:uid="{00000000-0005-0000-0000-0000557B0000}"/>
    <cellStyle name="Normal 5 10 2 15 5 3" xfId="31590" xr:uid="{00000000-0005-0000-0000-0000567B0000}"/>
    <cellStyle name="Normal 5 10 2 15 5 4" xfId="31591" xr:uid="{00000000-0005-0000-0000-0000577B0000}"/>
    <cellStyle name="Normal 5 10 2 15 5 5" xfId="31592" xr:uid="{00000000-0005-0000-0000-0000587B0000}"/>
    <cellStyle name="Normal 5 10 2 15 5 6" xfId="31593" xr:uid="{00000000-0005-0000-0000-0000597B0000}"/>
    <cellStyle name="Normal 5 10 2 15 5 7" xfId="31594" xr:uid="{00000000-0005-0000-0000-00005A7B0000}"/>
    <cellStyle name="Normal 5 10 2 15 5 8" xfId="31595" xr:uid="{00000000-0005-0000-0000-00005B7B0000}"/>
    <cellStyle name="Normal 5 10 2 15 5 9" xfId="31596" xr:uid="{00000000-0005-0000-0000-00005C7B0000}"/>
    <cellStyle name="Normal 5 10 2 15 6" xfId="31597" xr:uid="{00000000-0005-0000-0000-00005D7B0000}"/>
    <cellStyle name="Normal 5 10 2 15 7" xfId="31598" xr:uid="{00000000-0005-0000-0000-00005E7B0000}"/>
    <cellStyle name="Normal 5 10 2 15 8" xfId="31599" xr:uid="{00000000-0005-0000-0000-00005F7B0000}"/>
    <cellStyle name="Normal 5 10 2 15 9" xfId="31600" xr:uid="{00000000-0005-0000-0000-0000607B0000}"/>
    <cellStyle name="Normal 5 10 2 16" xfId="31601" xr:uid="{00000000-0005-0000-0000-0000617B0000}"/>
    <cellStyle name="Normal 5 10 2 16 10" xfId="31602" xr:uid="{00000000-0005-0000-0000-0000627B0000}"/>
    <cellStyle name="Normal 5 10 2 16 11" xfId="31603" xr:uid="{00000000-0005-0000-0000-0000637B0000}"/>
    <cellStyle name="Normal 5 10 2 16 12" xfId="31604" xr:uid="{00000000-0005-0000-0000-0000647B0000}"/>
    <cellStyle name="Normal 5 10 2 16 13" xfId="31605" xr:uid="{00000000-0005-0000-0000-0000657B0000}"/>
    <cellStyle name="Normal 5 10 2 16 14" xfId="31606" xr:uid="{00000000-0005-0000-0000-0000667B0000}"/>
    <cellStyle name="Normal 5 10 2 16 2" xfId="31607" xr:uid="{00000000-0005-0000-0000-0000677B0000}"/>
    <cellStyle name="Normal 5 10 2 16 2 10" xfId="31608" xr:uid="{00000000-0005-0000-0000-0000687B0000}"/>
    <cellStyle name="Normal 5 10 2 16 2 2" xfId="31609" xr:uid="{00000000-0005-0000-0000-0000697B0000}"/>
    <cellStyle name="Normal 5 10 2 16 2 3" xfId="31610" xr:uid="{00000000-0005-0000-0000-00006A7B0000}"/>
    <cellStyle name="Normal 5 10 2 16 2 4" xfId="31611" xr:uid="{00000000-0005-0000-0000-00006B7B0000}"/>
    <cellStyle name="Normal 5 10 2 16 2 5" xfId="31612" xr:uid="{00000000-0005-0000-0000-00006C7B0000}"/>
    <cellStyle name="Normal 5 10 2 16 2 6" xfId="31613" xr:uid="{00000000-0005-0000-0000-00006D7B0000}"/>
    <cellStyle name="Normal 5 10 2 16 2 7" xfId="31614" xr:uid="{00000000-0005-0000-0000-00006E7B0000}"/>
    <cellStyle name="Normal 5 10 2 16 2 8" xfId="31615" xr:uid="{00000000-0005-0000-0000-00006F7B0000}"/>
    <cellStyle name="Normal 5 10 2 16 2 9" xfId="31616" xr:uid="{00000000-0005-0000-0000-0000707B0000}"/>
    <cellStyle name="Normal 5 10 2 16 3" xfId="31617" xr:uid="{00000000-0005-0000-0000-0000717B0000}"/>
    <cellStyle name="Normal 5 10 2 16 3 10" xfId="31618" xr:uid="{00000000-0005-0000-0000-0000727B0000}"/>
    <cellStyle name="Normal 5 10 2 16 3 2" xfId="31619" xr:uid="{00000000-0005-0000-0000-0000737B0000}"/>
    <cellStyle name="Normal 5 10 2 16 3 3" xfId="31620" xr:uid="{00000000-0005-0000-0000-0000747B0000}"/>
    <cellStyle name="Normal 5 10 2 16 3 4" xfId="31621" xr:uid="{00000000-0005-0000-0000-0000757B0000}"/>
    <cellStyle name="Normal 5 10 2 16 3 5" xfId="31622" xr:uid="{00000000-0005-0000-0000-0000767B0000}"/>
    <cellStyle name="Normal 5 10 2 16 3 6" xfId="31623" xr:uid="{00000000-0005-0000-0000-0000777B0000}"/>
    <cellStyle name="Normal 5 10 2 16 3 7" xfId="31624" xr:uid="{00000000-0005-0000-0000-0000787B0000}"/>
    <cellStyle name="Normal 5 10 2 16 3 8" xfId="31625" xr:uid="{00000000-0005-0000-0000-0000797B0000}"/>
    <cellStyle name="Normal 5 10 2 16 3 9" xfId="31626" xr:uid="{00000000-0005-0000-0000-00007A7B0000}"/>
    <cellStyle name="Normal 5 10 2 16 4" xfId="31627" xr:uid="{00000000-0005-0000-0000-00007B7B0000}"/>
    <cellStyle name="Normal 5 10 2 16 4 10" xfId="31628" xr:uid="{00000000-0005-0000-0000-00007C7B0000}"/>
    <cellStyle name="Normal 5 10 2 16 4 2" xfId="31629" xr:uid="{00000000-0005-0000-0000-00007D7B0000}"/>
    <cellStyle name="Normal 5 10 2 16 4 3" xfId="31630" xr:uid="{00000000-0005-0000-0000-00007E7B0000}"/>
    <cellStyle name="Normal 5 10 2 16 4 4" xfId="31631" xr:uid="{00000000-0005-0000-0000-00007F7B0000}"/>
    <cellStyle name="Normal 5 10 2 16 4 5" xfId="31632" xr:uid="{00000000-0005-0000-0000-0000807B0000}"/>
    <cellStyle name="Normal 5 10 2 16 4 6" xfId="31633" xr:uid="{00000000-0005-0000-0000-0000817B0000}"/>
    <cellStyle name="Normal 5 10 2 16 4 7" xfId="31634" xr:uid="{00000000-0005-0000-0000-0000827B0000}"/>
    <cellStyle name="Normal 5 10 2 16 4 8" xfId="31635" xr:uid="{00000000-0005-0000-0000-0000837B0000}"/>
    <cellStyle name="Normal 5 10 2 16 4 9" xfId="31636" xr:uid="{00000000-0005-0000-0000-0000847B0000}"/>
    <cellStyle name="Normal 5 10 2 16 5" xfId="31637" xr:uid="{00000000-0005-0000-0000-0000857B0000}"/>
    <cellStyle name="Normal 5 10 2 16 5 10" xfId="31638" xr:uid="{00000000-0005-0000-0000-0000867B0000}"/>
    <cellStyle name="Normal 5 10 2 16 5 2" xfId="31639" xr:uid="{00000000-0005-0000-0000-0000877B0000}"/>
    <cellStyle name="Normal 5 10 2 16 5 3" xfId="31640" xr:uid="{00000000-0005-0000-0000-0000887B0000}"/>
    <cellStyle name="Normal 5 10 2 16 5 4" xfId="31641" xr:uid="{00000000-0005-0000-0000-0000897B0000}"/>
    <cellStyle name="Normal 5 10 2 16 5 5" xfId="31642" xr:uid="{00000000-0005-0000-0000-00008A7B0000}"/>
    <cellStyle name="Normal 5 10 2 16 5 6" xfId="31643" xr:uid="{00000000-0005-0000-0000-00008B7B0000}"/>
    <cellStyle name="Normal 5 10 2 16 5 7" xfId="31644" xr:uid="{00000000-0005-0000-0000-00008C7B0000}"/>
    <cellStyle name="Normal 5 10 2 16 5 8" xfId="31645" xr:uid="{00000000-0005-0000-0000-00008D7B0000}"/>
    <cellStyle name="Normal 5 10 2 16 5 9" xfId="31646" xr:uid="{00000000-0005-0000-0000-00008E7B0000}"/>
    <cellStyle name="Normal 5 10 2 16 6" xfId="31647" xr:uid="{00000000-0005-0000-0000-00008F7B0000}"/>
    <cellStyle name="Normal 5 10 2 16 7" xfId="31648" xr:uid="{00000000-0005-0000-0000-0000907B0000}"/>
    <cellStyle name="Normal 5 10 2 16 8" xfId="31649" xr:uid="{00000000-0005-0000-0000-0000917B0000}"/>
    <cellStyle name="Normal 5 10 2 16 9" xfId="31650" xr:uid="{00000000-0005-0000-0000-0000927B0000}"/>
    <cellStyle name="Normal 5 10 2 17" xfId="31651" xr:uid="{00000000-0005-0000-0000-0000937B0000}"/>
    <cellStyle name="Normal 5 10 2 17 10" xfId="31652" xr:uid="{00000000-0005-0000-0000-0000947B0000}"/>
    <cellStyle name="Normal 5 10 2 17 11" xfId="31653" xr:uid="{00000000-0005-0000-0000-0000957B0000}"/>
    <cellStyle name="Normal 5 10 2 17 12" xfId="31654" xr:uid="{00000000-0005-0000-0000-0000967B0000}"/>
    <cellStyle name="Normal 5 10 2 17 13" xfId="31655" xr:uid="{00000000-0005-0000-0000-0000977B0000}"/>
    <cellStyle name="Normal 5 10 2 17 14" xfId="31656" xr:uid="{00000000-0005-0000-0000-0000987B0000}"/>
    <cellStyle name="Normal 5 10 2 17 2" xfId="31657" xr:uid="{00000000-0005-0000-0000-0000997B0000}"/>
    <cellStyle name="Normal 5 10 2 17 2 10" xfId="31658" xr:uid="{00000000-0005-0000-0000-00009A7B0000}"/>
    <cellStyle name="Normal 5 10 2 17 2 2" xfId="31659" xr:uid="{00000000-0005-0000-0000-00009B7B0000}"/>
    <cellStyle name="Normal 5 10 2 17 2 3" xfId="31660" xr:uid="{00000000-0005-0000-0000-00009C7B0000}"/>
    <cellStyle name="Normal 5 10 2 17 2 4" xfId="31661" xr:uid="{00000000-0005-0000-0000-00009D7B0000}"/>
    <cellStyle name="Normal 5 10 2 17 2 5" xfId="31662" xr:uid="{00000000-0005-0000-0000-00009E7B0000}"/>
    <cellStyle name="Normal 5 10 2 17 2 6" xfId="31663" xr:uid="{00000000-0005-0000-0000-00009F7B0000}"/>
    <cellStyle name="Normal 5 10 2 17 2 7" xfId="31664" xr:uid="{00000000-0005-0000-0000-0000A07B0000}"/>
    <cellStyle name="Normal 5 10 2 17 2 8" xfId="31665" xr:uid="{00000000-0005-0000-0000-0000A17B0000}"/>
    <cellStyle name="Normal 5 10 2 17 2 9" xfId="31666" xr:uid="{00000000-0005-0000-0000-0000A27B0000}"/>
    <cellStyle name="Normal 5 10 2 17 3" xfId="31667" xr:uid="{00000000-0005-0000-0000-0000A37B0000}"/>
    <cellStyle name="Normal 5 10 2 17 3 10" xfId="31668" xr:uid="{00000000-0005-0000-0000-0000A47B0000}"/>
    <cellStyle name="Normal 5 10 2 17 3 2" xfId="31669" xr:uid="{00000000-0005-0000-0000-0000A57B0000}"/>
    <cellStyle name="Normal 5 10 2 17 3 3" xfId="31670" xr:uid="{00000000-0005-0000-0000-0000A67B0000}"/>
    <cellStyle name="Normal 5 10 2 17 3 4" xfId="31671" xr:uid="{00000000-0005-0000-0000-0000A77B0000}"/>
    <cellStyle name="Normal 5 10 2 17 3 5" xfId="31672" xr:uid="{00000000-0005-0000-0000-0000A87B0000}"/>
    <cellStyle name="Normal 5 10 2 17 3 6" xfId="31673" xr:uid="{00000000-0005-0000-0000-0000A97B0000}"/>
    <cellStyle name="Normal 5 10 2 17 3 7" xfId="31674" xr:uid="{00000000-0005-0000-0000-0000AA7B0000}"/>
    <cellStyle name="Normal 5 10 2 17 3 8" xfId="31675" xr:uid="{00000000-0005-0000-0000-0000AB7B0000}"/>
    <cellStyle name="Normal 5 10 2 17 3 9" xfId="31676" xr:uid="{00000000-0005-0000-0000-0000AC7B0000}"/>
    <cellStyle name="Normal 5 10 2 17 4" xfId="31677" xr:uid="{00000000-0005-0000-0000-0000AD7B0000}"/>
    <cellStyle name="Normal 5 10 2 17 4 10" xfId="31678" xr:uid="{00000000-0005-0000-0000-0000AE7B0000}"/>
    <cellStyle name="Normal 5 10 2 17 4 2" xfId="31679" xr:uid="{00000000-0005-0000-0000-0000AF7B0000}"/>
    <cellStyle name="Normal 5 10 2 17 4 3" xfId="31680" xr:uid="{00000000-0005-0000-0000-0000B07B0000}"/>
    <cellStyle name="Normal 5 10 2 17 4 4" xfId="31681" xr:uid="{00000000-0005-0000-0000-0000B17B0000}"/>
    <cellStyle name="Normal 5 10 2 17 4 5" xfId="31682" xr:uid="{00000000-0005-0000-0000-0000B27B0000}"/>
    <cellStyle name="Normal 5 10 2 17 4 6" xfId="31683" xr:uid="{00000000-0005-0000-0000-0000B37B0000}"/>
    <cellStyle name="Normal 5 10 2 17 4 7" xfId="31684" xr:uid="{00000000-0005-0000-0000-0000B47B0000}"/>
    <cellStyle name="Normal 5 10 2 17 4 8" xfId="31685" xr:uid="{00000000-0005-0000-0000-0000B57B0000}"/>
    <cellStyle name="Normal 5 10 2 17 4 9" xfId="31686" xr:uid="{00000000-0005-0000-0000-0000B67B0000}"/>
    <cellStyle name="Normal 5 10 2 17 5" xfId="31687" xr:uid="{00000000-0005-0000-0000-0000B77B0000}"/>
    <cellStyle name="Normal 5 10 2 17 5 10" xfId="31688" xr:uid="{00000000-0005-0000-0000-0000B87B0000}"/>
    <cellStyle name="Normal 5 10 2 17 5 2" xfId="31689" xr:uid="{00000000-0005-0000-0000-0000B97B0000}"/>
    <cellStyle name="Normal 5 10 2 17 5 3" xfId="31690" xr:uid="{00000000-0005-0000-0000-0000BA7B0000}"/>
    <cellStyle name="Normal 5 10 2 17 5 4" xfId="31691" xr:uid="{00000000-0005-0000-0000-0000BB7B0000}"/>
    <cellStyle name="Normal 5 10 2 17 5 5" xfId="31692" xr:uid="{00000000-0005-0000-0000-0000BC7B0000}"/>
    <cellStyle name="Normal 5 10 2 17 5 6" xfId="31693" xr:uid="{00000000-0005-0000-0000-0000BD7B0000}"/>
    <cellStyle name="Normal 5 10 2 17 5 7" xfId="31694" xr:uid="{00000000-0005-0000-0000-0000BE7B0000}"/>
    <cellStyle name="Normal 5 10 2 17 5 8" xfId="31695" xr:uid="{00000000-0005-0000-0000-0000BF7B0000}"/>
    <cellStyle name="Normal 5 10 2 17 5 9" xfId="31696" xr:uid="{00000000-0005-0000-0000-0000C07B0000}"/>
    <cellStyle name="Normal 5 10 2 17 6" xfId="31697" xr:uid="{00000000-0005-0000-0000-0000C17B0000}"/>
    <cellStyle name="Normal 5 10 2 17 7" xfId="31698" xr:uid="{00000000-0005-0000-0000-0000C27B0000}"/>
    <cellStyle name="Normal 5 10 2 17 8" xfId="31699" xr:uid="{00000000-0005-0000-0000-0000C37B0000}"/>
    <cellStyle name="Normal 5 10 2 17 9" xfId="31700" xr:uid="{00000000-0005-0000-0000-0000C47B0000}"/>
    <cellStyle name="Normal 5 10 2 18" xfId="31701" xr:uid="{00000000-0005-0000-0000-0000C57B0000}"/>
    <cellStyle name="Normal 5 10 2 18 10" xfId="31702" xr:uid="{00000000-0005-0000-0000-0000C67B0000}"/>
    <cellStyle name="Normal 5 10 2 18 11" xfId="31703" xr:uid="{00000000-0005-0000-0000-0000C77B0000}"/>
    <cellStyle name="Normal 5 10 2 18 12" xfId="31704" xr:uid="{00000000-0005-0000-0000-0000C87B0000}"/>
    <cellStyle name="Normal 5 10 2 18 13" xfId="31705" xr:uid="{00000000-0005-0000-0000-0000C97B0000}"/>
    <cellStyle name="Normal 5 10 2 18 14" xfId="31706" xr:uid="{00000000-0005-0000-0000-0000CA7B0000}"/>
    <cellStyle name="Normal 5 10 2 18 2" xfId="31707" xr:uid="{00000000-0005-0000-0000-0000CB7B0000}"/>
    <cellStyle name="Normal 5 10 2 18 2 10" xfId="31708" xr:uid="{00000000-0005-0000-0000-0000CC7B0000}"/>
    <cellStyle name="Normal 5 10 2 18 2 2" xfId="31709" xr:uid="{00000000-0005-0000-0000-0000CD7B0000}"/>
    <cellStyle name="Normal 5 10 2 18 2 3" xfId="31710" xr:uid="{00000000-0005-0000-0000-0000CE7B0000}"/>
    <cellStyle name="Normal 5 10 2 18 2 4" xfId="31711" xr:uid="{00000000-0005-0000-0000-0000CF7B0000}"/>
    <cellStyle name="Normal 5 10 2 18 2 5" xfId="31712" xr:uid="{00000000-0005-0000-0000-0000D07B0000}"/>
    <cellStyle name="Normal 5 10 2 18 2 6" xfId="31713" xr:uid="{00000000-0005-0000-0000-0000D17B0000}"/>
    <cellStyle name="Normal 5 10 2 18 2 7" xfId="31714" xr:uid="{00000000-0005-0000-0000-0000D27B0000}"/>
    <cellStyle name="Normal 5 10 2 18 2 8" xfId="31715" xr:uid="{00000000-0005-0000-0000-0000D37B0000}"/>
    <cellStyle name="Normal 5 10 2 18 2 9" xfId="31716" xr:uid="{00000000-0005-0000-0000-0000D47B0000}"/>
    <cellStyle name="Normal 5 10 2 18 3" xfId="31717" xr:uid="{00000000-0005-0000-0000-0000D57B0000}"/>
    <cellStyle name="Normal 5 10 2 18 3 10" xfId="31718" xr:uid="{00000000-0005-0000-0000-0000D67B0000}"/>
    <cellStyle name="Normal 5 10 2 18 3 2" xfId="31719" xr:uid="{00000000-0005-0000-0000-0000D77B0000}"/>
    <cellStyle name="Normal 5 10 2 18 3 3" xfId="31720" xr:uid="{00000000-0005-0000-0000-0000D87B0000}"/>
    <cellStyle name="Normal 5 10 2 18 3 4" xfId="31721" xr:uid="{00000000-0005-0000-0000-0000D97B0000}"/>
    <cellStyle name="Normal 5 10 2 18 3 5" xfId="31722" xr:uid="{00000000-0005-0000-0000-0000DA7B0000}"/>
    <cellStyle name="Normal 5 10 2 18 3 6" xfId="31723" xr:uid="{00000000-0005-0000-0000-0000DB7B0000}"/>
    <cellStyle name="Normal 5 10 2 18 3 7" xfId="31724" xr:uid="{00000000-0005-0000-0000-0000DC7B0000}"/>
    <cellStyle name="Normal 5 10 2 18 3 8" xfId="31725" xr:uid="{00000000-0005-0000-0000-0000DD7B0000}"/>
    <cellStyle name="Normal 5 10 2 18 3 9" xfId="31726" xr:uid="{00000000-0005-0000-0000-0000DE7B0000}"/>
    <cellStyle name="Normal 5 10 2 18 4" xfId="31727" xr:uid="{00000000-0005-0000-0000-0000DF7B0000}"/>
    <cellStyle name="Normal 5 10 2 18 4 10" xfId="31728" xr:uid="{00000000-0005-0000-0000-0000E07B0000}"/>
    <cellStyle name="Normal 5 10 2 18 4 2" xfId="31729" xr:uid="{00000000-0005-0000-0000-0000E17B0000}"/>
    <cellStyle name="Normal 5 10 2 18 4 3" xfId="31730" xr:uid="{00000000-0005-0000-0000-0000E27B0000}"/>
    <cellStyle name="Normal 5 10 2 18 4 4" xfId="31731" xr:uid="{00000000-0005-0000-0000-0000E37B0000}"/>
    <cellStyle name="Normal 5 10 2 18 4 5" xfId="31732" xr:uid="{00000000-0005-0000-0000-0000E47B0000}"/>
    <cellStyle name="Normal 5 10 2 18 4 6" xfId="31733" xr:uid="{00000000-0005-0000-0000-0000E57B0000}"/>
    <cellStyle name="Normal 5 10 2 18 4 7" xfId="31734" xr:uid="{00000000-0005-0000-0000-0000E67B0000}"/>
    <cellStyle name="Normal 5 10 2 18 4 8" xfId="31735" xr:uid="{00000000-0005-0000-0000-0000E77B0000}"/>
    <cellStyle name="Normal 5 10 2 18 4 9" xfId="31736" xr:uid="{00000000-0005-0000-0000-0000E87B0000}"/>
    <cellStyle name="Normal 5 10 2 18 5" xfId="31737" xr:uid="{00000000-0005-0000-0000-0000E97B0000}"/>
    <cellStyle name="Normal 5 10 2 18 5 10" xfId="31738" xr:uid="{00000000-0005-0000-0000-0000EA7B0000}"/>
    <cellStyle name="Normal 5 10 2 18 5 2" xfId="31739" xr:uid="{00000000-0005-0000-0000-0000EB7B0000}"/>
    <cellStyle name="Normal 5 10 2 18 5 3" xfId="31740" xr:uid="{00000000-0005-0000-0000-0000EC7B0000}"/>
    <cellStyle name="Normal 5 10 2 18 5 4" xfId="31741" xr:uid="{00000000-0005-0000-0000-0000ED7B0000}"/>
    <cellStyle name="Normal 5 10 2 18 5 5" xfId="31742" xr:uid="{00000000-0005-0000-0000-0000EE7B0000}"/>
    <cellStyle name="Normal 5 10 2 18 5 6" xfId="31743" xr:uid="{00000000-0005-0000-0000-0000EF7B0000}"/>
    <cellStyle name="Normal 5 10 2 18 5 7" xfId="31744" xr:uid="{00000000-0005-0000-0000-0000F07B0000}"/>
    <cellStyle name="Normal 5 10 2 18 5 8" xfId="31745" xr:uid="{00000000-0005-0000-0000-0000F17B0000}"/>
    <cellStyle name="Normal 5 10 2 18 5 9" xfId="31746" xr:uid="{00000000-0005-0000-0000-0000F27B0000}"/>
    <cellStyle name="Normal 5 10 2 18 6" xfId="31747" xr:uid="{00000000-0005-0000-0000-0000F37B0000}"/>
    <cellStyle name="Normal 5 10 2 18 7" xfId="31748" xr:uid="{00000000-0005-0000-0000-0000F47B0000}"/>
    <cellStyle name="Normal 5 10 2 18 8" xfId="31749" xr:uid="{00000000-0005-0000-0000-0000F57B0000}"/>
    <cellStyle name="Normal 5 10 2 18 9" xfId="31750" xr:uid="{00000000-0005-0000-0000-0000F67B0000}"/>
    <cellStyle name="Normal 5 10 2 19" xfId="31751" xr:uid="{00000000-0005-0000-0000-0000F77B0000}"/>
    <cellStyle name="Normal 5 10 2 19 10" xfId="31752" xr:uid="{00000000-0005-0000-0000-0000F87B0000}"/>
    <cellStyle name="Normal 5 10 2 19 11" xfId="31753" xr:uid="{00000000-0005-0000-0000-0000F97B0000}"/>
    <cellStyle name="Normal 5 10 2 19 12" xfId="31754" xr:uid="{00000000-0005-0000-0000-0000FA7B0000}"/>
    <cellStyle name="Normal 5 10 2 19 13" xfId="31755" xr:uid="{00000000-0005-0000-0000-0000FB7B0000}"/>
    <cellStyle name="Normal 5 10 2 19 14" xfId="31756" xr:uid="{00000000-0005-0000-0000-0000FC7B0000}"/>
    <cellStyle name="Normal 5 10 2 19 2" xfId="31757" xr:uid="{00000000-0005-0000-0000-0000FD7B0000}"/>
    <cellStyle name="Normal 5 10 2 19 2 10" xfId="31758" xr:uid="{00000000-0005-0000-0000-0000FE7B0000}"/>
    <cellStyle name="Normal 5 10 2 19 2 2" xfId="31759" xr:uid="{00000000-0005-0000-0000-0000FF7B0000}"/>
    <cellStyle name="Normal 5 10 2 19 2 3" xfId="31760" xr:uid="{00000000-0005-0000-0000-0000007C0000}"/>
    <cellStyle name="Normal 5 10 2 19 2 4" xfId="31761" xr:uid="{00000000-0005-0000-0000-0000017C0000}"/>
    <cellStyle name="Normal 5 10 2 19 2 5" xfId="31762" xr:uid="{00000000-0005-0000-0000-0000027C0000}"/>
    <cellStyle name="Normal 5 10 2 19 2 6" xfId="31763" xr:uid="{00000000-0005-0000-0000-0000037C0000}"/>
    <cellStyle name="Normal 5 10 2 19 2 7" xfId="31764" xr:uid="{00000000-0005-0000-0000-0000047C0000}"/>
    <cellStyle name="Normal 5 10 2 19 2 8" xfId="31765" xr:uid="{00000000-0005-0000-0000-0000057C0000}"/>
    <cellStyle name="Normal 5 10 2 19 2 9" xfId="31766" xr:uid="{00000000-0005-0000-0000-0000067C0000}"/>
    <cellStyle name="Normal 5 10 2 19 3" xfId="31767" xr:uid="{00000000-0005-0000-0000-0000077C0000}"/>
    <cellStyle name="Normal 5 10 2 19 3 10" xfId="31768" xr:uid="{00000000-0005-0000-0000-0000087C0000}"/>
    <cellStyle name="Normal 5 10 2 19 3 2" xfId="31769" xr:uid="{00000000-0005-0000-0000-0000097C0000}"/>
    <cellStyle name="Normal 5 10 2 19 3 3" xfId="31770" xr:uid="{00000000-0005-0000-0000-00000A7C0000}"/>
    <cellStyle name="Normal 5 10 2 19 3 4" xfId="31771" xr:uid="{00000000-0005-0000-0000-00000B7C0000}"/>
    <cellStyle name="Normal 5 10 2 19 3 5" xfId="31772" xr:uid="{00000000-0005-0000-0000-00000C7C0000}"/>
    <cellStyle name="Normal 5 10 2 19 3 6" xfId="31773" xr:uid="{00000000-0005-0000-0000-00000D7C0000}"/>
    <cellStyle name="Normal 5 10 2 19 3 7" xfId="31774" xr:uid="{00000000-0005-0000-0000-00000E7C0000}"/>
    <cellStyle name="Normal 5 10 2 19 3 8" xfId="31775" xr:uid="{00000000-0005-0000-0000-00000F7C0000}"/>
    <cellStyle name="Normal 5 10 2 19 3 9" xfId="31776" xr:uid="{00000000-0005-0000-0000-0000107C0000}"/>
    <cellStyle name="Normal 5 10 2 19 4" xfId="31777" xr:uid="{00000000-0005-0000-0000-0000117C0000}"/>
    <cellStyle name="Normal 5 10 2 19 4 10" xfId="31778" xr:uid="{00000000-0005-0000-0000-0000127C0000}"/>
    <cellStyle name="Normal 5 10 2 19 4 2" xfId="31779" xr:uid="{00000000-0005-0000-0000-0000137C0000}"/>
    <cellStyle name="Normal 5 10 2 19 4 3" xfId="31780" xr:uid="{00000000-0005-0000-0000-0000147C0000}"/>
    <cellStyle name="Normal 5 10 2 19 4 4" xfId="31781" xr:uid="{00000000-0005-0000-0000-0000157C0000}"/>
    <cellStyle name="Normal 5 10 2 19 4 5" xfId="31782" xr:uid="{00000000-0005-0000-0000-0000167C0000}"/>
    <cellStyle name="Normal 5 10 2 19 4 6" xfId="31783" xr:uid="{00000000-0005-0000-0000-0000177C0000}"/>
    <cellStyle name="Normal 5 10 2 19 4 7" xfId="31784" xr:uid="{00000000-0005-0000-0000-0000187C0000}"/>
    <cellStyle name="Normal 5 10 2 19 4 8" xfId="31785" xr:uid="{00000000-0005-0000-0000-0000197C0000}"/>
    <cellStyle name="Normal 5 10 2 19 4 9" xfId="31786" xr:uid="{00000000-0005-0000-0000-00001A7C0000}"/>
    <cellStyle name="Normal 5 10 2 19 5" xfId="31787" xr:uid="{00000000-0005-0000-0000-00001B7C0000}"/>
    <cellStyle name="Normal 5 10 2 19 5 10" xfId="31788" xr:uid="{00000000-0005-0000-0000-00001C7C0000}"/>
    <cellStyle name="Normal 5 10 2 19 5 2" xfId="31789" xr:uid="{00000000-0005-0000-0000-00001D7C0000}"/>
    <cellStyle name="Normal 5 10 2 19 5 3" xfId="31790" xr:uid="{00000000-0005-0000-0000-00001E7C0000}"/>
    <cellStyle name="Normal 5 10 2 19 5 4" xfId="31791" xr:uid="{00000000-0005-0000-0000-00001F7C0000}"/>
    <cellStyle name="Normal 5 10 2 19 5 5" xfId="31792" xr:uid="{00000000-0005-0000-0000-0000207C0000}"/>
    <cellStyle name="Normal 5 10 2 19 5 6" xfId="31793" xr:uid="{00000000-0005-0000-0000-0000217C0000}"/>
    <cellStyle name="Normal 5 10 2 19 5 7" xfId="31794" xr:uid="{00000000-0005-0000-0000-0000227C0000}"/>
    <cellStyle name="Normal 5 10 2 19 5 8" xfId="31795" xr:uid="{00000000-0005-0000-0000-0000237C0000}"/>
    <cellStyle name="Normal 5 10 2 19 5 9" xfId="31796" xr:uid="{00000000-0005-0000-0000-0000247C0000}"/>
    <cellStyle name="Normal 5 10 2 19 6" xfId="31797" xr:uid="{00000000-0005-0000-0000-0000257C0000}"/>
    <cellStyle name="Normal 5 10 2 19 7" xfId="31798" xr:uid="{00000000-0005-0000-0000-0000267C0000}"/>
    <cellStyle name="Normal 5 10 2 19 8" xfId="31799" xr:uid="{00000000-0005-0000-0000-0000277C0000}"/>
    <cellStyle name="Normal 5 10 2 19 9" xfId="31800" xr:uid="{00000000-0005-0000-0000-0000287C0000}"/>
    <cellStyle name="Normal 5 10 2 2" xfId="31801" xr:uid="{00000000-0005-0000-0000-0000297C0000}"/>
    <cellStyle name="Normal 5 10 2 2 10" xfId="31802" xr:uid="{00000000-0005-0000-0000-00002A7C0000}"/>
    <cellStyle name="Normal 5 10 2 2 11" xfId="31803" xr:uid="{00000000-0005-0000-0000-00002B7C0000}"/>
    <cellStyle name="Normal 5 10 2 2 12" xfId="31804" xr:uid="{00000000-0005-0000-0000-00002C7C0000}"/>
    <cellStyle name="Normal 5 10 2 2 13" xfId="31805" xr:uid="{00000000-0005-0000-0000-00002D7C0000}"/>
    <cellStyle name="Normal 5 10 2 2 14" xfId="31806" xr:uid="{00000000-0005-0000-0000-00002E7C0000}"/>
    <cellStyle name="Normal 5 10 2 2 15" xfId="31807" xr:uid="{00000000-0005-0000-0000-00002F7C0000}"/>
    <cellStyle name="Normal 5 10 2 2 16" xfId="31808" xr:uid="{00000000-0005-0000-0000-0000307C0000}"/>
    <cellStyle name="Normal 5 10 2 2 2" xfId="31809" xr:uid="{00000000-0005-0000-0000-0000317C0000}"/>
    <cellStyle name="Normal 5 10 2 2 2 10" xfId="31810" xr:uid="{00000000-0005-0000-0000-0000327C0000}"/>
    <cellStyle name="Normal 5 10 2 2 2 2" xfId="31811" xr:uid="{00000000-0005-0000-0000-0000337C0000}"/>
    <cellStyle name="Normal 5 10 2 2 2 3" xfId="31812" xr:uid="{00000000-0005-0000-0000-0000347C0000}"/>
    <cellStyle name="Normal 5 10 2 2 2 4" xfId="31813" xr:uid="{00000000-0005-0000-0000-0000357C0000}"/>
    <cellStyle name="Normal 5 10 2 2 2 5" xfId="31814" xr:uid="{00000000-0005-0000-0000-0000367C0000}"/>
    <cellStyle name="Normal 5 10 2 2 2 6" xfId="31815" xr:uid="{00000000-0005-0000-0000-0000377C0000}"/>
    <cellStyle name="Normal 5 10 2 2 2 7" xfId="31816" xr:uid="{00000000-0005-0000-0000-0000387C0000}"/>
    <cellStyle name="Normal 5 10 2 2 2 8" xfId="31817" xr:uid="{00000000-0005-0000-0000-0000397C0000}"/>
    <cellStyle name="Normal 5 10 2 2 2 9" xfId="31818" xr:uid="{00000000-0005-0000-0000-00003A7C0000}"/>
    <cellStyle name="Normal 5 10 2 2 3" xfId="31819" xr:uid="{00000000-0005-0000-0000-00003B7C0000}"/>
    <cellStyle name="Normal 5 10 2 2 3 10" xfId="31820" xr:uid="{00000000-0005-0000-0000-00003C7C0000}"/>
    <cellStyle name="Normal 5 10 2 2 3 2" xfId="31821" xr:uid="{00000000-0005-0000-0000-00003D7C0000}"/>
    <cellStyle name="Normal 5 10 2 2 3 3" xfId="31822" xr:uid="{00000000-0005-0000-0000-00003E7C0000}"/>
    <cellStyle name="Normal 5 10 2 2 3 4" xfId="31823" xr:uid="{00000000-0005-0000-0000-00003F7C0000}"/>
    <cellStyle name="Normal 5 10 2 2 3 5" xfId="31824" xr:uid="{00000000-0005-0000-0000-0000407C0000}"/>
    <cellStyle name="Normal 5 10 2 2 3 6" xfId="31825" xr:uid="{00000000-0005-0000-0000-0000417C0000}"/>
    <cellStyle name="Normal 5 10 2 2 3 7" xfId="31826" xr:uid="{00000000-0005-0000-0000-0000427C0000}"/>
    <cellStyle name="Normal 5 10 2 2 3 8" xfId="31827" xr:uid="{00000000-0005-0000-0000-0000437C0000}"/>
    <cellStyle name="Normal 5 10 2 2 3 9" xfId="31828" xr:uid="{00000000-0005-0000-0000-0000447C0000}"/>
    <cellStyle name="Normal 5 10 2 2 4" xfId="31829" xr:uid="{00000000-0005-0000-0000-0000457C0000}"/>
    <cellStyle name="Normal 5 10 2 2 4 10" xfId="31830" xr:uid="{00000000-0005-0000-0000-0000467C0000}"/>
    <cellStyle name="Normal 5 10 2 2 4 2" xfId="31831" xr:uid="{00000000-0005-0000-0000-0000477C0000}"/>
    <cellStyle name="Normal 5 10 2 2 4 3" xfId="31832" xr:uid="{00000000-0005-0000-0000-0000487C0000}"/>
    <cellStyle name="Normal 5 10 2 2 4 4" xfId="31833" xr:uid="{00000000-0005-0000-0000-0000497C0000}"/>
    <cellStyle name="Normal 5 10 2 2 4 5" xfId="31834" xr:uid="{00000000-0005-0000-0000-00004A7C0000}"/>
    <cellStyle name="Normal 5 10 2 2 4 6" xfId="31835" xr:uid="{00000000-0005-0000-0000-00004B7C0000}"/>
    <cellStyle name="Normal 5 10 2 2 4 7" xfId="31836" xr:uid="{00000000-0005-0000-0000-00004C7C0000}"/>
    <cellStyle name="Normal 5 10 2 2 4 8" xfId="31837" xr:uid="{00000000-0005-0000-0000-00004D7C0000}"/>
    <cellStyle name="Normal 5 10 2 2 4 9" xfId="31838" xr:uid="{00000000-0005-0000-0000-00004E7C0000}"/>
    <cellStyle name="Normal 5 10 2 2 5" xfId="31839" xr:uid="{00000000-0005-0000-0000-00004F7C0000}"/>
    <cellStyle name="Normal 5 10 2 2 5 10" xfId="31840" xr:uid="{00000000-0005-0000-0000-0000507C0000}"/>
    <cellStyle name="Normal 5 10 2 2 5 2" xfId="31841" xr:uid="{00000000-0005-0000-0000-0000517C0000}"/>
    <cellStyle name="Normal 5 10 2 2 5 3" xfId="31842" xr:uid="{00000000-0005-0000-0000-0000527C0000}"/>
    <cellStyle name="Normal 5 10 2 2 5 4" xfId="31843" xr:uid="{00000000-0005-0000-0000-0000537C0000}"/>
    <cellStyle name="Normal 5 10 2 2 5 5" xfId="31844" xr:uid="{00000000-0005-0000-0000-0000547C0000}"/>
    <cellStyle name="Normal 5 10 2 2 5 6" xfId="31845" xr:uid="{00000000-0005-0000-0000-0000557C0000}"/>
    <cellStyle name="Normal 5 10 2 2 5 7" xfId="31846" xr:uid="{00000000-0005-0000-0000-0000567C0000}"/>
    <cellStyle name="Normal 5 10 2 2 5 8" xfId="31847" xr:uid="{00000000-0005-0000-0000-0000577C0000}"/>
    <cellStyle name="Normal 5 10 2 2 5 9" xfId="31848" xr:uid="{00000000-0005-0000-0000-0000587C0000}"/>
    <cellStyle name="Normal 5 10 2 2 6" xfId="31849" xr:uid="{00000000-0005-0000-0000-0000597C0000}"/>
    <cellStyle name="Normal 5 10 2 2 7" xfId="31850" xr:uid="{00000000-0005-0000-0000-00005A7C0000}"/>
    <cellStyle name="Normal 5 10 2 2 8" xfId="31851" xr:uid="{00000000-0005-0000-0000-00005B7C0000}"/>
    <cellStyle name="Normal 5 10 2 2 9" xfId="31852" xr:uid="{00000000-0005-0000-0000-00005C7C0000}"/>
    <cellStyle name="Normal 5 10 2 20" xfId="31853" xr:uid="{00000000-0005-0000-0000-00005D7C0000}"/>
    <cellStyle name="Normal 5 10 2 20 10" xfId="31854" xr:uid="{00000000-0005-0000-0000-00005E7C0000}"/>
    <cellStyle name="Normal 5 10 2 20 11" xfId="31855" xr:uid="{00000000-0005-0000-0000-00005F7C0000}"/>
    <cellStyle name="Normal 5 10 2 20 12" xfId="31856" xr:uid="{00000000-0005-0000-0000-0000607C0000}"/>
    <cellStyle name="Normal 5 10 2 20 13" xfId="31857" xr:uid="{00000000-0005-0000-0000-0000617C0000}"/>
    <cellStyle name="Normal 5 10 2 20 14" xfId="31858" xr:uid="{00000000-0005-0000-0000-0000627C0000}"/>
    <cellStyle name="Normal 5 10 2 20 2" xfId="31859" xr:uid="{00000000-0005-0000-0000-0000637C0000}"/>
    <cellStyle name="Normal 5 10 2 20 2 10" xfId="31860" xr:uid="{00000000-0005-0000-0000-0000647C0000}"/>
    <cellStyle name="Normal 5 10 2 20 2 2" xfId="31861" xr:uid="{00000000-0005-0000-0000-0000657C0000}"/>
    <cellStyle name="Normal 5 10 2 20 2 3" xfId="31862" xr:uid="{00000000-0005-0000-0000-0000667C0000}"/>
    <cellStyle name="Normal 5 10 2 20 2 4" xfId="31863" xr:uid="{00000000-0005-0000-0000-0000677C0000}"/>
    <cellStyle name="Normal 5 10 2 20 2 5" xfId="31864" xr:uid="{00000000-0005-0000-0000-0000687C0000}"/>
    <cellStyle name="Normal 5 10 2 20 2 6" xfId="31865" xr:uid="{00000000-0005-0000-0000-0000697C0000}"/>
    <cellStyle name="Normal 5 10 2 20 2 7" xfId="31866" xr:uid="{00000000-0005-0000-0000-00006A7C0000}"/>
    <cellStyle name="Normal 5 10 2 20 2 8" xfId="31867" xr:uid="{00000000-0005-0000-0000-00006B7C0000}"/>
    <cellStyle name="Normal 5 10 2 20 2 9" xfId="31868" xr:uid="{00000000-0005-0000-0000-00006C7C0000}"/>
    <cellStyle name="Normal 5 10 2 20 3" xfId="31869" xr:uid="{00000000-0005-0000-0000-00006D7C0000}"/>
    <cellStyle name="Normal 5 10 2 20 3 10" xfId="31870" xr:uid="{00000000-0005-0000-0000-00006E7C0000}"/>
    <cellStyle name="Normal 5 10 2 20 3 2" xfId="31871" xr:uid="{00000000-0005-0000-0000-00006F7C0000}"/>
    <cellStyle name="Normal 5 10 2 20 3 3" xfId="31872" xr:uid="{00000000-0005-0000-0000-0000707C0000}"/>
    <cellStyle name="Normal 5 10 2 20 3 4" xfId="31873" xr:uid="{00000000-0005-0000-0000-0000717C0000}"/>
    <cellStyle name="Normal 5 10 2 20 3 5" xfId="31874" xr:uid="{00000000-0005-0000-0000-0000727C0000}"/>
    <cellStyle name="Normal 5 10 2 20 3 6" xfId="31875" xr:uid="{00000000-0005-0000-0000-0000737C0000}"/>
    <cellStyle name="Normal 5 10 2 20 3 7" xfId="31876" xr:uid="{00000000-0005-0000-0000-0000747C0000}"/>
    <cellStyle name="Normal 5 10 2 20 3 8" xfId="31877" xr:uid="{00000000-0005-0000-0000-0000757C0000}"/>
    <cellStyle name="Normal 5 10 2 20 3 9" xfId="31878" xr:uid="{00000000-0005-0000-0000-0000767C0000}"/>
    <cellStyle name="Normal 5 10 2 20 4" xfId="31879" xr:uid="{00000000-0005-0000-0000-0000777C0000}"/>
    <cellStyle name="Normal 5 10 2 20 4 10" xfId="31880" xr:uid="{00000000-0005-0000-0000-0000787C0000}"/>
    <cellStyle name="Normal 5 10 2 20 4 2" xfId="31881" xr:uid="{00000000-0005-0000-0000-0000797C0000}"/>
    <cellStyle name="Normal 5 10 2 20 4 3" xfId="31882" xr:uid="{00000000-0005-0000-0000-00007A7C0000}"/>
    <cellStyle name="Normal 5 10 2 20 4 4" xfId="31883" xr:uid="{00000000-0005-0000-0000-00007B7C0000}"/>
    <cellStyle name="Normal 5 10 2 20 4 5" xfId="31884" xr:uid="{00000000-0005-0000-0000-00007C7C0000}"/>
    <cellStyle name="Normal 5 10 2 20 4 6" xfId="31885" xr:uid="{00000000-0005-0000-0000-00007D7C0000}"/>
    <cellStyle name="Normal 5 10 2 20 4 7" xfId="31886" xr:uid="{00000000-0005-0000-0000-00007E7C0000}"/>
    <cellStyle name="Normal 5 10 2 20 4 8" xfId="31887" xr:uid="{00000000-0005-0000-0000-00007F7C0000}"/>
    <cellStyle name="Normal 5 10 2 20 4 9" xfId="31888" xr:uid="{00000000-0005-0000-0000-0000807C0000}"/>
    <cellStyle name="Normal 5 10 2 20 5" xfId="31889" xr:uid="{00000000-0005-0000-0000-0000817C0000}"/>
    <cellStyle name="Normal 5 10 2 20 5 10" xfId="31890" xr:uid="{00000000-0005-0000-0000-0000827C0000}"/>
    <cellStyle name="Normal 5 10 2 20 5 2" xfId="31891" xr:uid="{00000000-0005-0000-0000-0000837C0000}"/>
    <cellStyle name="Normal 5 10 2 20 5 3" xfId="31892" xr:uid="{00000000-0005-0000-0000-0000847C0000}"/>
    <cellStyle name="Normal 5 10 2 20 5 4" xfId="31893" xr:uid="{00000000-0005-0000-0000-0000857C0000}"/>
    <cellStyle name="Normal 5 10 2 20 5 5" xfId="31894" xr:uid="{00000000-0005-0000-0000-0000867C0000}"/>
    <cellStyle name="Normal 5 10 2 20 5 6" xfId="31895" xr:uid="{00000000-0005-0000-0000-0000877C0000}"/>
    <cellStyle name="Normal 5 10 2 20 5 7" xfId="31896" xr:uid="{00000000-0005-0000-0000-0000887C0000}"/>
    <cellStyle name="Normal 5 10 2 20 5 8" xfId="31897" xr:uid="{00000000-0005-0000-0000-0000897C0000}"/>
    <cellStyle name="Normal 5 10 2 20 5 9" xfId="31898" xr:uid="{00000000-0005-0000-0000-00008A7C0000}"/>
    <cellStyle name="Normal 5 10 2 20 6" xfId="31899" xr:uid="{00000000-0005-0000-0000-00008B7C0000}"/>
    <cellStyle name="Normal 5 10 2 20 7" xfId="31900" xr:uid="{00000000-0005-0000-0000-00008C7C0000}"/>
    <cellStyle name="Normal 5 10 2 20 8" xfId="31901" xr:uid="{00000000-0005-0000-0000-00008D7C0000}"/>
    <cellStyle name="Normal 5 10 2 20 9" xfId="31902" xr:uid="{00000000-0005-0000-0000-00008E7C0000}"/>
    <cellStyle name="Normal 5 10 2 21" xfId="31903" xr:uid="{00000000-0005-0000-0000-00008F7C0000}"/>
    <cellStyle name="Normal 5 10 2 21 10" xfId="31904" xr:uid="{00000000-0005-0000-0000-0000907C0000}"/>
    <cellStyle name="Normal 5 10 2 21 11" xfId="31905" xr:uid="{00000000-0005-0000-0000-0000917C0000}"/>
    <cellStyle name="Normal 5 10 2 21 12" xfId="31906" xr:uid="{00000000-0005-0000-0000-0000927C0000}"/>
    <cellStyle name="Normal 5 10 2 21 13" xfId="31907" xr:uid="{00000000-0005-0000-0000-0000937C0000}"/>
    <cellStyle name="Normal 5 10 2 21 14" xfId="31908" xr:uid="{00000000-0005-0000-0000-0000947C0000}"/>
    <cellStyle name="Normal 5 10 2 21 2" xfId="31909" xr:uid="{00000000-0005-0000-0000-0000957C0000}"/>
    <cellStyle name="Normal 5 10 2 21 2 10" xfId="31910" xr:uid="{00000000-0005-0000-0000-0000967C0000}"/>
    <cellStyle name="Normal 5 10 2 21 2 2" xfId="31911" xr:uid="{00000000-0005-0000-0000-0000977C0000}"/>
    <cellStyle name="Normal 5 10 2 21 2 3" xfId="31912" xr:uid="{00000000-0005-0000-0000-0000987C0000}"/>
    <cellStyle name="Normal 5 10 2 21 2 4" xfId="31913" xr:uid="{00000000-0005-0000-0000-0000997C0000}"/>
    <cellStyle name="Normal 5 10 2 21 2 5" xfId="31914" xr:uid="{00000000-0005-0000-0000-00009A7C0000}"/>
    <cellStyle name="Normal 5 10 2 21 2 6" xfId="31915" xr:uid="{00000000-0005-0000-0000-00009B7C0000}"/>
    <cellStyle name="Normal 5 10 2 21 2 7" xfId="31916" xr:uid="{00000000-0005-0000-0000-00009C7C0000}"/>
    <cellStyle name="Normal 5 10 2 21 2 8" xfId="31917" xr:uid="{00000000-0005-0000-0000-00009D7C0000}"/>
    <cellStyle name="Normal 5 10 2 21 2 9" xfId="31918" xr:uid="{00000000-0005-0000-0000-00009E7C0000}"/>
    <cellStyle name="Normal 5 10 2 21 3" xfId="31919" xr:uid="{00000000-0005-0000-0000-00009F7C0000}"/>
    <cellStyle name="Normal 5 10 2 21 3 10" xfId="31920" xr:uid="{00000000-0005-0000-0000-0000A07C0000}"/>
    <cellStyle name="Normal 5 10 2 21 3 2" xfId="31921" xr:uid="{00000000-0005-0000-0000-0000A17C0000}"/>
    <cellStyle name="Normal 5 10 2 21 3 3" xfId="31922" xr:uid="{00000000-0005-0000-0000-0000A27C0000}"/>
    <cellStyle name="Normal 5 10 2 21 3 4" xfId="31923" xr:uid="{00000000-0005-0000-0000-0000A37C0000}"/>
    <cellStyle name="Normal 5 10 2 21 3 5" xfId="31924" xr:uid="{00000000-0005-0000-0000-0000A47C0000}"/>
    <cellStyle name="Normal 5 10 2 21 3 6" xfId="31925" xr:uid="{00000000-0005-0000-0000-0000A57C0000}"/>
    <cellStyle name="Normal 5 10 2 21 3 7" xfId="31926" xr:uid="{00000000-0005-0000-0000-0000A67C0000}"/>
    <cellStyle name="Normal 5 10 2 21 3 8" xfId="31927" xr:uid="{00000000-0005-0000-0000-0000A77C0000}"/>
    <cellStyle name="Normal 5 10 2 21 3 9" xfId="31928" xr:uid="{00000000-0005-0000-0000-0000A87C0000}"/>
    <cellStyle name="Normal 5 10 2 21 4" xfId="31929" xr:uid="{00000000-0005-0000-0000-0000A97C0000}"/>
    <cellStyle name="Normal 5 10 2 21 4 10" xfId="31930" xr:uid="{00000000-0005-0000-0000-0000AA7C0000}"/>
    <cellStyle name="Normal 5 10 2 21 4 2" xfId="31931" xr:uid="{00000000-0005-0000-0000-0000AB7C0000}"/>
    <cellStyle name="Normal 5 10 2 21 4 3" xfId="31932" xr:uid="{00000000-0005-0000-0000-0000AC7C0000}"/>
    <cellStyle name="Normal 5 10 2 21 4 4" xfId="31933" xr:uid="{00000000-0005-0000-0000-0000AD7C0000}"/>
    <cellStyle name="Normal 5 10 2 21 4 5" xfId="31934" xr:uid="{00000000-0005-0000-0000-0000AE7C0000}"/>
    <cellStyle name="Normal 5 10 2 21 4 6" xfId="31935" xr:uid="{00000000-0005-0000-0000-0000AF7C0000}"/>
    <cellStyle name="Normal 5 10 2 21 4 7" xfId="31936" xr:uid="{00000000-0005-0000-0000-0000B07C0000}"/>
    <cellStyle name="Normal 5 10 2 21 4 8" xfId="31937" xr:uid="{00000000-0005-0000-0000-0000B17C0000}"/>
    <cellStyle name="Normal 5 10 2 21 4 9" xfId="31938" xr:uid="{00000000-0005-0000-0000-0000B27C0000}"/>
    <cellStyle name="Normal 5 10 2 21 5" xfId="31939" xr:uid="{00000000-0005-0000-0000-0000B37C0000}"/>
    <cellStyle name="Normal 5 10 2 21 5 10" xfId="31940" xr:uid="{00000000-0005-0000-0000-0000B47C0000}"/>
    <cellStyle name="Normal 5 10 2 21 5 2" xfId="31941" xr:uid="{00000000-0005-0000-0000-0000B57C0000}"/>
    <cellStyle name="Normal 5 10 2 21 5 3" xfId="31942" xr:uid="{00000000-0005-0000-0000-0000B67C0000}"/>
    <cellStyle name="Normal 5 10 2 21 5 4" xfId="31943" xr:uid="{00000000-0005-0000-0000-0000B77C0000}"/>
    <cellStyle name="Normal 5 10 2 21 5 5" xfId="31944" xr:uid="{00000000-0005-0000-0000-0000B87C0000}"/>
    <cellStyle name="Normal 5 10 2 21 5 6" xfId="31945" xr:uid="{00000000-0005-0000-0000-0000B97C0000}"/>
    <cellStyle name="Normal 5 10 2 21 5 7" xfId="31946" xr:uid="{00000000-0005-0000-0000-0000BA7C0000}"/>
    <cellStyle name="Normal 5 10 2 21 5 8" xfId="31947" xr:uid="{00000000-0005-0000-0000-0000BB7C0000}"/>
    <cellStyle name="Normal 5 10 2 21 5 9" xfId="31948" xr:uid="{00000000-0005-0000-0000-0000BC7C0000}"/>
    <cellStyle name="Normal 5 10 2 21 6" xfId="31949" xr:uid="{00000000-0005-0000-0000-0000BD7C0000}"/>
    <cellStyle name="Normal 5 10 2 21 7" xfId="31950" xr:uid="{00000000-0005-0000-0000-0000BE7C0000}"/>
    <cellStyle name="Normal 5 10 2 21 8" xfId="31951" xr:uid="{00000000-0005-0000-0000-0000BF7C0000}"/>
    <cellStyle name="Normal 5 10 2 21 9" xfId="31952" xr:uid="{00000000-0005-0000-0000-0000C07C0000}"/>
    <cellStyle name="Normal 5 10 2 22" xfId="31953" xr:uid="{00000000-0005-0000-0000-0000C17C0000}"/>
    <cellStyle name="Normal 5 10 2 22 10" xfId="31954" xr:uid="{00000000-0005-0000-0000-0000C27C0000}"/>
    <cellStyle name="Normal 5 10 2 22 11" xfId="31955" xr:uid="{00000000-0005-0000-0000-0000C37C0000}"/>
    <cellStyle name="Normal 5 10 2 22 12" xfId="31956" xr:uid="{00000000-0005-0000-0000-0000C47C0000}"/>
    <cellStyle name="Normal 5 10 2 22 13" xfId="31957" xr:uid="{00000000-0005-0000-0000-0000C57C0000}"/>
    <cellStyle name="Normal 5 10 2 22 14" xfId="31958" xr:uid="{00000000-0005-0000-0000-0000C67C0000}"/>
    <cellStyle name="Normal 5 10 2 22 2" xfId="31959" xr:uid="{00000000-0005-0000-0000-0000C77C0000}"/>
    <cellStyle name="Normal 5 10 2 22 2 10" xfId="31960" xr:uid="{00000000-0005-0000-0000-0000C87C0000}"/>
    <cellStyle name="Normal 5 10 2 22 2 2" xfId="31961" xr:uid="{00000000-0005-0000-0000-0000C97C0000}"/>
    <cellStyle name="Normal 5 10 2 22 2 3" xfId="31962" xr:uid="{00000000-0005-0000-0000-0000CA7C0000}"/>
    <cellStyle name="Normal 5 10 2 22 2 4" xfId="31963" xr:uid="{00000000-0005-0000-0000-0000CB7C0000}"/>
    <cellStyle name="Normal 5 10 2 22 2 5" xfId="31964" xr:uid="{00000000-0005-0000-0000-0000CC7C0000}"/>
    <cellStyle name="Normal 5 10 2 22 2 6" xfId="31965" xr:uid="{00000000-0005-0000-0000-0000CD7C0000}"/>
    <cellStyle name="Normal 5 10 2 22 2 7" xfId="31966" xr:uid="{00000000-0005-0000-0000-0000CE7C0000}"/>
    <cellStyle name="Normal 5 10 2 22 2 8" xfId="31967" xr:uid="{00000000-0005-0000-0000-0000CF7C0000}"/>
    <cellStyle name="Normal 5 10 2 22 2 9" xfId="31968" xr:uid="{00000000-0005-0000-0000-0000D07C0000}"/>
    <cellStyle name="Normal 5 10 2 22 3" xfId="31969" xr:uid="{00000000-0005-0000-0000-0000D17C0000}"/>
    <cellStyle name="Normal 5 10 2 22 3 10" xfId="31970" xr:uid="{00000000-0005-0000-0000-0000D27C0000}"/>
    <cellStyle name="Normal 5 10 2 22 3 2" xfId="31971" xr:uid="{00000000-0005-0000-0000-0000D37C0000}"/>
    <cellStyle name="Normal 5 10 2 22 3 3" xfId="31972" xr:uid="{00000000-0005-0000-0000-0000D47C0000}"/>
    <cellStyle name="Normal 5 10 2 22 3 4" xfId="31973" xr:uid="{00000000-0005-0000-0000-0000D57C0000}"/>
    <cellStyle name="Normal 5 10 2 22 3 5" xfId="31974" xr:uid="{00000000-0005-0000-0000-0000D67C0000}"/>
    <cellStyle name="Normal 5 10 2 22 3 6" xfId="31975" xr:uid="{00000000-0005-0000-0000-0000D77C0000}"/>
    <cellStyle name="Normal 5 10 2 22 3 7" xfId="31976" xr:uid="{00000000-0005-0000-0000-0000D87C0000}"/>
    <cellStyle name="Normal 5 10 2 22 3 8" xfId="31977" xr:uid="{00000000-0005-0000-0000-0000D97C0000}"/>
    <cellStyle name="Normal 5 10 2 22 3 9" xfId="31978" xr:uid="{00000000-0005-0000-0000-0000DA7C0000}"/>
    <cellStyle name="Normal 5 10 2 22 4" xfId="31979" xr:uid="{00000000-0005-0000-0000-0000DB7C0000}"/>
    <cellStyle name="Normal 5 10 2 22 4 10" xfId="31980" xr:uid="{00000000-0005-0000-0000-0000DC7C0000}"/>
    <cellStyle name="Normal 5 10 2 22 4 2" xfId="31981" xr:uid="{00000000-0005-0000-0000-0000DD7C0000}"/>
    <cellStyle name="Normal 5 10 2 22 4 3" xfId="31982" xr:uid="{00000000-0005-0000-0000-0000DE7C0000}"/>
    <cellStyle name="Normal 5 10 2 22 4 4" xfId="31983" xr:uid="{00000000-0005-0000-0000-0000DF7C0000}"/>
    <cellStyle name="Normal 5 10 2 22 4 5" xfId="31984" xr:uid="{00000000-0005-0000-0000-0000E07C0000}"/>
    <cellStyle name="Normal 5 10 2 22 4 6" xfId="31985" xr:uid="{00000000-0005-0000-0000-0000E17C0000}"/>
    <cellStyle name="Normal 5 10 2 22 4 7" xfId="31986" xr:uid="{00000000-0005-0000-0000-0000E27C0000}"/>
    <cellStyle name="Normal 5 10 2 22 4 8" xfId="31987" xr:uid="{00000000-0005-0000-0000-0000E37C0000}"/>
    <cellStyle name="Normal 5 10 2 22 4 9" xfId="31988" xr:uid="{00000000-0005-0000-0000-0000E47C0000}"/>
    <cellStyle name="Normal 5 10 2 22 5" xfId="31989" xr:uid="{00000000-0005-0000-0000-0000E57C0000}"/>
    <cellStyle name="Normal 5 10 2 22 5 10" xfId="31990" xr:uid="{00000000-0005-0000-0000-0000E67C0000}"/>
    <cellStyle name="Normal 5 10 2 22 5 2" xfId="31991" xr:uid="{00000000-0005-0000-0000-0000E77C0000}"/>
    <cellStyle name="Normal 5 10 2 22 5 3" xfId="31992" xr:uid="{00000000-0005-0000-0000-0000E87C0000}"/>
    <cellStyle name="Normal 5 10 2 22 5 4" xfId="31993" xr:uid="{00000000-0005-0000-0000-0000E97C0000}"/>
    <cellStyle name="Normal 5 10 2 22 5 5" xfId="31994" xr:uid="{00000000-0005-0000-0000-0000EA7C0000}"/>
    <cellStyle name="Normal 5 10 2 22 5 6" xfId="31995" xr:uid="{00000000-0005-0000-0000-0000EB7C0000}"/>
    <cellStyle name="Normal 5 10 2 22 5 7" xfId="31996" xr:uid="{00000000-0005-0000-0000-0000EC7C0000}"/>
    <cellStyle name="Normal 5 10 2 22 5 8" xfId="31997" xr:uid="{00000000-0005-0000-0000-0000ED7C0000}"/>
    <cellStyle name="Normal 5 10 2 22 5 9" xfId="31998" xr:uid="{00000000-0005-0000-0000-0000EE7C0000}"/>
    <cellStyle name="Normal 5 10 2 22 6" xfId="31999" xr:uid="{00000000-0005-0000-0000-0000EF7C0000}"/>
    <cellStyle name="Normal 5 10 2 22 7" xfId="32000" xr:uid="{00000000-0005-0000-0000-0000F07C0000}"/>
    <cellStyle name="Normal 5 10 2 22 8" xfId="32001" xr:uid="{00000000-0005-0000-0000-0000F17C0000}"/>
    <cellStyle name="Normal 5 10 2 22 9" xfId="32002" xr:uid="{00000000-0005-0000-0000-0000F27C0000}"/>
    <cellStyle name="Normal 5 10 2 23" xfId="32003" xr:uid="{00000000-0005-0000-0000-0000F37C0000}"/>
    <cellStyle name="Normal 5 10 2 23 10" xfId="32004" xr:uid="{00000000-0005-0000-0000-0000F47C0000}"/>
    <cellStyle name="Normal 5 10 2 23 11" xfId="32005" xr:uid="{00000000-0005-0000-0000-0000F57C0000}"/>
    <cellStyle name="Normal 5 10 2 23 12" xfId="32006" xr:uid="{00000000-0005-0000-0000-0000F67C0000}"/>
    <cellStyle name="Normal 5 10 2 23 13" xfId="32007" xr:uid="{00000000-0005-0000-0000-0000F77C0000}"/>
    <cellStyle name="Normal 5 10 2 23 14" xfId="32008" xr:uid="{00000000-0005-0000-0000-0000F87C0000}"/>
    <cellStyle name="Normal 5 10 2 23 2" xfId="32009" xr:uid="{00000000-0005-0000-0000-0000F97C0000}"/>
    <cellStyle name="Normal 5 10 2 23 2 10" xfId="32010" xr:uid="{00000000-0005-0000-0000-0000FA7C0000}"/>
    <cellStyle name="Normal 5 10 2 23 2 2" xfId="32011" xr:uid="{00000000-0005-0000-0000-0000FB7C0000}"/>
    <cellStyle name="Normal 5 10 2 23 2 3" xfId="32012" xr:uid="{00000000-0005-0000-0000-0000FC7C0000}"/>
    <cellStyle name="Normal 5 10 2 23 2 4" xfId="32013" xr:uid="{00000000-0005-0000-0000-0000FD7C0000}"/>
    <cellStyle name="Normal 5 10 2 23 2 5" xfId="32014" xr:uid="{00000000-0005-0000-0000-0000FE7C0000}"/>
    <cellStyle name="Normal 5 10 2 23 2 6" xfId="32015" xr:uid="{00000000-0005-0000-0000-0000FF7C0000}"/>
    <cellStyle name="Normal 5 10 2 23 2 7" xfId="32016" xr:uid="{00000000-0005-0000-0000-0000007D0000}"/>
    <cellStyle name="Normal 5 10 2 23 2 8" xfId="32017" xr:uid="{00000000-0005-0000-0000-0000017D0000}"/>
    <cellStyle name="Normal 5 10 2 23 2 9" xfId="32018" xr:uid="{00000000-0005-0000-0000-0000027D0000}"/>
    <cellStyle name="Normal 5 10 2 23 3" xfId="32019" xr:uid="{00000000-0005-0000-0000-0000037D0000}"/>
    <cellStyle name="Normal 5 10 2 23 3 10" xfId="32020" xr:uid="{00000000-0005-0000-0000-0000047D0000}"/>
    <cellStyle name="Normal 5 10 2 23 3 2" xfId="32021" xr:uid="{00000000-0005-0000-0000-0000057D0000}"/>
    <cellStyle name="Normal 5 10 2 23 3 3" xfId="32022" xr:uid="{00000000-0005-0000-0000-0000067D0000}"/>
    <cellStyle name="Normal 5 10 2 23 3 4" xfId="32023" xr:uid="{00000000-0005-0000-0000-0000077D0000}"/>
    <cellStyle name="Normal 5 10 2 23 3 5" xfId="32024" xr:uid="{00000000-0005-0000-0000-0000087D0000}"/>
    <cellStyle name="Normal 5 10 2 23 3 6" xfId="32025" xr:uid="{00000000-0005-0000-0000-0000097D0000}"/>
    <cellStyle name="Normal 5 10 2 23 3 7" xfId="32026" xr:uid="{00000000-0005-0000-0000-00000A7D0000}"/>
    <cellStyle name="Normal 5 10 2 23 3 8" xfId="32027" xr:uid="{00000000-0005-0000-0000-00000B7D0000}"/>
    <cellStyle name="Normal 5 10 2 23 3 9" xfId="32028" xr:uid="{00000000-0005-0000-0000-00000C7D0000}"/>
    <cellStyle name="Normal 5 10 2 23 4" xfId="32029" xr:uid="{00000000-0005-0000-0000-00000D7D0000}"/>
    <cellStyle name="Normal 5 10 2 23 4 10" xfId="32030" xr:uid="{00000000-0005-0000-0000-00000E7D0000}"/>
    <cellStyle name="Normal 5 10 2 23 4 2" xfId="32031" xr:uid="{00000000-0005-0000-0000-00000F7D0000}"/>
    <cellStyle name="Normal 5 10 2 23 4 3" xfId="32032" xr:uid="{00000000-0005-0000-0000-0000107D0000}"/>
    <cellStyle name="Normal 5 10 2 23 4 4" xfId="32033" xr:uid="{00000000-0005-0000-0000-0000117D0000}"/>
    <cellStyle name="Normal 5 10 2 23 4 5" xfId="32034" xr:uid="{00000000-0005-0000-0000-0000127D0000}"/>
    <cellStyle name="Normal 5 10 2 23 4 6" xfId="32035" xr:uid="{00000000-0005-0000-0000-0000137D0000}"/>
    <cellStyle name="Normal 5 10 2 23 4 7" xfId="32036" xr:uid="{00000000-0005-0000-0000-0000147D0000}"/>
    <cellStyle name="Normal 5 10 2 23 4 8" xfId="32037" xr:uid="{00000000-0005-0000-0000-0000157D0000}"/>
    <cellStyle name="Normal 5 10 2 23 4 9" xfId="32038" xr:uid="{00000000-0005-0000-0000-0000167D0000}"/>
    <cellStyle name="Normal 5 10 2 23 5" xfId="32039" xr:uid="{00000000-0005-0000-0000-0000177D0000}"/>
    <cellStyle name="Normal 5 10 2 23 5 10" xfId="32040" xr:uid="{00000000-0005-0000-0000-0000187D0000}"/>
    <cellStyle name="Normal 5 10 2 23 5 2" xfId="32041" xr:uid="{00000000-0005-0000-0000-0000197D0000}"/>
    <cellStyle name="Normal 5 10 2 23 5 3" xfId="32042" xr:uid="{00000000-0005-0000-0000-00001A7D0000}"/>
    <cellStyle name="Normal 5 10 2 23 5 4" xfId="32043" xr:uid="{00000000-0005-0000-0000-00001B7D0000}"/>
    <cellStyle name="Normal 5 10 2 23 5 5" xfId="32044" xr:uid="{00000000-0005-0000-0000-00001C7D0000}"/>
    <cellStyle name="Normal 5 10 2 23 5 6" xfId="32045" xr:uid="{00000000-0005-0000-0000-00001D7D0000}"/>
    <cellStyle name="Normal 5 10 2 23 5 7" xfId="32046" xr:uid="{00000000-0005-0000-0000-00001E7D0000}"/>
    <cellStyle name="Normal 5 10 2 23 5 8" xfId="32047" xr:uid="{00000000-0005-0000-0000-00001F7D0000}"/>
    <cellStyle name="Normal 5 10 2 23 5 9" xfId="32048" xr:uid="{00000000-0005-0000-0000-0000207D0000}"/>
    <cellStyle name="Normal 5 10 2 23 6" xfId="32049" xr:uid="{00000000-0005-0000-0000-0000217D0000}"/>
    <cellStyle name="Normal 5 10 2 23 7" xfId="32050" xr:uid="{00000000-0005-0000-0000-0000227D0000}"/>
    <cellStyle name="Normal 5 10 2 23 8" xfId="32051" xr:uid="{00000000-0005-0000-0000-0000237D0000}"/>
    <cellStyle name="Normal 5 10 2 23 9" xfId="32052" xr:uid="{00000000-0005-0000-0000-0000247D0000}"/>
    <cellStyle name="Normal 5 10 2 24" xfId="32053" xr:uid="{00000000-0005-0000-0000-0000257D0000}"/>
    <cellStyle name="Normal 5 10 2 24 10" xfId="32054" xr:uid="{00000000-0005-0000-0000-0000267D0000}"/>
    <cellStyle name="Normal 5 10 2 24 11" xfId="32055" xr:uid="{00000000-0005-0000-0000-0000277D0000}"/>
    <cellStyle name="Normal 5 10 2 24 12" xfId="32056" xr:uid="{00000000-0005-0000-0000-0000287D0000}"/>
    <cellStyle name="Normal 5 10 2 24 13" xfId="32057" xr:uid="{00000000-0005-0000-0000-0000297D0000}"/>
    <cellStyle name="Normal 5 10 2 24 14" xfId="32058" xr:uid="{00000000-0005-0000-0000-00002A7D0000}"/>
    <cellStyle name="Normal 5 10 2 24 2" xfId="32059" xr:uid="{00000000-0005-0000-0000-00002B7D0000}"/>
    <cellStyle name="Normal 5 10 2 24 2 10" xfId="32060" xr:uid="{00000000-0005-0000-0000-00002C7D0000}"/>
    <cellStyle name="Normal 5 10 2 24 2 2" xfId="32061" xr:uid="{00000000-0005-0000-0000-00002D7D0000}"/>
    <cellStyle name="Normal 5 10 2 24 2 3" xfId="32062" xr:uid="{00000000-0005-0000-0000-00002E7D0000}"/>
    <cellStyle name="Normal 5 10 2 24 2 4" xfId="32063" xr:uid="{00000000-0005-0000-0000-00002F7D0000}"/>
    <cellStyle name="Normal 5 10 2 24 2 5" xfId="32064" xr:uid="{00000000-0005-0000-0000-0000307D0000}"/>
    <cellStyle name="Normal 5 10 2 24 2 6" xfId="32065" xr:uid="{00000000-0005-0000-0000-0000317D0000}"/>
    <cellStyle name="Normal 5 10 2 24 2 7" xfId="32066" xr:uid="{00000000-0005-0000-0000-0000327D0000}"/>
    <cellStyle name="Normal 5 10 2 24 2 8" xfId="32067" xr:uid="{00000000-0005-0000-0000-0000337D0000}"/>
    <cellStyle name="Normal 5 10 2 24 2 9" xfId="32068" xr:uid="{00000000-0005-0000-0000-0000347D0000}"/>
    <cellStyle name="Normal 5 10 2 24 3" xfId="32069" xr:uid="{00000000-0005-0000-0000-0000357D0000}"/>
    <cellStyle name="Normal 5 10 2 24 3 10" xfId="32070" xr:uid="{00000000-0005-0000-0000-0000367D0000}"/>
    <cellStyle name="Normal 5 10 2 24 3 2" xfId="32071" xr:uid="{00000000-0005-0000-0000-0000377D0000}"/>
    <cellStyle name="Normal 5 10 2 24 3 3" xfId="32072" xr:uid="{00000000-0005-0000-0000-0000387D0000}"/>
    <cellStyle name="Normal 5 10 2 24 3 4" xfId="32073" xr:uid="{00000000-0005-0000-0000-0000397D0000}"/>
    <cellStyle name="Normal 5 10 2 24 3 5" xfId="32074" xr:uid="{00000000-0005-0000-0000-00003A7D0000}"/>
    <cellStyle name="Normal 5 10 2 24 3 6" xfId="32075" xr:uid="{00000000-0005-0000-0000-00003B7D0000}"/>
    <cellStyle name="Normal 5 10 2 24 3 7" xfId="32076" xr:uid="{00000000-0005-0000-0000-00003C7D0000}"/>
    <cellStyle name="Normal 5 10 2 24 3 8" xfId="32077" xr:uid="{00000000-0005-0000-0000-00003D7D0000}"/>
    <cellStyle name="Normal 5 10 2 24 3 9" xfId="32078" xr:uid="{00000000-0005-0000-0000-00003E7D0000}"/>
    <cellStyle name="Normal 5 10 2 24 4" xfId="32079" xr:uid="{00000000-0005-0000-0000-00003F7D0000}"/>
    <cellStyle name="Normal 5 10 2 24 4 10" xfId="32080" xr:uid="{00000000-0005-0000-0000-0000407D0000}"/>
    <cellStyle name="Normal 5 10 2 24 4 2" xfId="32081" xr:uid="{00000000-0005-0000-0000-0000417D0000}"/>
    <cellStyle name="Normal 5 10 2 24 4 3" xfId="32082" xr:uid="{00000000-0005-0000-0000-0000427D0000}"/>
    <cellStyle name="Normal 5 10 2 24 4 4" xfId="32083" xr:uid="{00000000-0005-0000-0000-0000437D0000}"/>
    <cellStyle name="Normal 5 10 2 24 4 5" xfId="32084" xr:uid="{00000000-0005-0000-0000-0000447D0000}"/>
    <cellStyle name="Normal 5 10 2 24 4 6" xfId="32085" xr:uid="{00000000-0005-0000-0000-0000457D0000}"/>
    <cellStyle name="Normal 5 10 2 24 4 7" xfId="32086" xr:uid="{00000000-0005-0000-0000-0000467D0000}"/>
    <cellStyle name="Normal 5 10 2 24 4 8" xfId="32087" xr:uid="{00000000-0005-0000-0000-0000477D0000}"/>
    <cellStyle name="Normal 5 10 2 24 4 9" xfId="32088" xr:uid="{00000000-0005-0000-0000-0000487D0000}"/>
    <cellStyle name="Normal 5 10 2 24 5" xfId="32089" xr:uid="{00000000-0005-0000-0000-0000497D0000}"/>
    <cellStyle name="Normal 5 10 2 24 5 10" xfId="32090" xr:uid="{00000000-0005-0000-0000-00004A7D0000}"/>
    <cellStyle name="Normal 5 10 2 24 5 2" xfId="32091" xr:uid="{00000000-0005-0000-0000-00004B7D0000}"/>
    <cellStyle name="Normal 5 10 2 24 5 3" xfId="32092" xr:uid="{00000000-0005-0000-0000-00004C7D0000}"/>
    <cellStyle name="Normal 5 10 2 24 5 4" xfId="32093" xr:uid="{00000000-0005-0000-0000-00004D7D0000}"/>
    <cellStyle name="Normal 5 10 2 24 5 5" xfId="32094" xr:uid="{00000000-0005-0000-0000-00004E7D0000}"/>
    <cellStyle name="Normal 5 10 2 24 5 6" xfId="32095" xr:uid="{00000000-0005-0000-0000-00004F7D0000}"/>
    <cellStyle name="Normal 5 10 2 24 5 7" xfId="32096" xr:uid="{00000000-0005-0000-0000-0000507D0000}"/>
    <cellStyle name="Normal 5 10 2 24 5 8" xfId="32097" xr:uid="{00000000-0005-0000-0000-0000517D0000}"/>
    <cellStyle name="Normal 5 10 2 24 5 9" xfId="32098" xr:uid="{00000000-0005-0000-0000-0000527D0000}"/>
    <cellStyle name="Normal 5 10 2 24 6" xfId="32099" xr:uid="{00000000-0005-0000-0000-0000537D0000}"/>
    <cellStyle name="Normal 5 10 2 24 7" xfId="32100" xr:uid="{00000000-0005-0000-0000-0000547D0000}"/>
    <cellStyle name="Normal 5 10 2 24 8" xfId="32101" xr:uid="{00000000-0005-0000-0000-0000557D0000}"/>
    <cellStyle name="Normal 5 10 2 24 9" xfId="32102" xr:uid="{00000000-0005-0000-0000-0000567D0000}"/>
    <cellStyle name="Normal 5 10 2 25" xfId="32103" xr:uid="{00000000-0005-0000-0000-0000577D0000}"/>
    <cellStyle name="Normal 5 10 2 25 10" xfId="32104" xr:uid="{00000000-0005-0000-0000-0000587D0000}"/>
    <cellStyle name="Normal 5 10 2 25 11" xfId="32105" xr:uid="{00000000-0005-0000-0000-0000597D0000}"/>
    <cellStyle name="Normal 5 10 2 25 12" xfId="32106" xr:uid="{00000000-0005-0000-0000-00005A7D0000}"/>
    <cellStyle name="Normal 5 10 2 25 13" xfId="32107" xr:uid="{00000000-0005-0000-0000-00005B7D0000}"/>
    <cellStyle name="Normal 5 10 2 25 14" xfId="32108" xr:uid="{00000000-0005-0000-0000-00005C7D0000}"/>
    <cellStyle name="Normal 5 10 2 25 2" xfId="32109" xr:uid="{00000000-0005-0000-0000-00005D7D0000}"/>
    <cellStyle name="Normal 5 10 2 25 2 10" xfId="32110" xr:uid="{00000000-0005-0000-0000-00005E7D0000}"/>
    <cellStyle name="Normal 5 10 2 25 2 2" xfId="32111" xr:uid="{00000000-0005-0000-0000-00005F7D0000}"/>
    <cellStyle name="Normal 5 10 2 25 2 3" xfId="32112" xr:uid="{00000000-0005-0000-0000-0000607D0000}"/>
    <cellStyle name="Normal 5 10 2 25 2 4" xfId="32113" xr:uid="{00000000-0005-0000-0000-0000617D0000}"/>
    <cellStyle name="Normal 5 10 2 25 2 5" xfId="32114" xr:uid="{00000000-0005-0000-0000-0000627D0000}"/>
    <cellStyle name="Normal 5 10 2 25 2 6" xfId="32115" xr:uid="{00000000-0005-0000-0000-0000637D0000}"/>
    <cellStyle name="Normal 5 10 2 25 2 7" xfId="32116" xr:uid="{00000000-0005-0000-0000-0000647D0000}"/>
    <cellStyle name="Normal 5 10 2 25 2 8" xfId="32117" xr:uid="{00000000-0005-0000-0000-0000657D0000}"/>
    <cellStyle name="Normal 5 10 2 25 2 9" xfId="32118" xr:uid="{00000000-0005-0000-0000-0000667D0000}"/>
    <cellStyle name="Normal 5 10 2 25 3" xfId="32119" xr:uid="{00000000-0005-0000-0000-0000677D0000}"/>
    <cellStyle name="Normal 5 10 2 25 3 10" xfId="32120" xr:uid="{00000000-0005-0000-0000-0000687D0000}"/>
    <cellStyle name="Normal 5 10 2 25 3 2" xfId="32121" xr:uid="{00000000-0005-0000-0000-0000697D0000}"/>
    <cellStyle name="Normal 5 10 2 25 3 3" xfId="32122" xr:uid="{00000000-0005-0000-0000-00006A7D0000}"/>
    <cellStyle name="Normal 5 10 2 25 3 4" xfId="32123" xr:uid="{00000000-0005-0000-0000-00006B7D0000}"/>
    <cellStyle name="Normal 5 10 2 25 3 5" xfId="32124" xr:uid="{00000000-0005-0000-0000-00006C7D0000}"/>
    <cellStyle name="Normal 5 10 2 25 3 6" xfId="32125" xr:uid="{00000000-0005-0000-0000-00006D7D0000}"/>
    <cellStyle name="Normal 5 10 2 25 3 7" xfId="32126" xr:uid="{00000000-0005-0000-0000-00006E7D0000}"/>
    <cellStyle name="Normal 5 10 2 25 3 8" xfId="32127" xr:uid="{00000000-0005-0000-0000-00006F7D0000}"/>
    <cellStyle name="Normal 5 10 2 25 3 9" xfId="32128" xr:uid="{00000000-0005-0000-0000-0000707D0000}"/>
    <cellStyle name="Normal 5 10 2 25 4" xfId="32129" xr:uid="{00000000-0005-0000-0000-0000717D0000}"/>
    <cellStyle name="Normal 5 10 2 25 4 10" xfId="32130" xr:uid="{00000000-0005-0000-0000-0000727D0000}"/>
    <cellStyle name="Normal 5 10 2 25 4 2" xfId="32131" xr:uid="{00000000-0005-0000-0000-0000737D0000}"/>
    <cellStyle name="Normal 5 10 2 25 4 3" xfId="32132" xr:uid="{00000000-0005-0000-0000-0000747D0000}"/>
    <cellStyle name="Normal 5 10 2 25 4 4" xfId="32133" xr:uid="{00000000-0005-0000-0000-0000757D0000}"/>
    <cellStyle name="Normal 5 10 2 25 4 5" xfId="32134" xr:uid="{00000000-0005-0000-0000-0000767D0000}"/>
    <cellStyle name="Normal 5 10 2 25 4 6" xfId="32135" xr:uid="{00000000-0005-0000-0000-0000777D0000}"/>
    <cellStyle name="Normal 5 10 2 25 4 7" xfId="32136" xr:uid="{00000000-0005-0000-0000-0000787D0000}"/>
    <cellStyle name="Normal 5 10 2 25 4 8" xfId="32137" xr:uid="{00000000-0005-0000-0000-0000797D0000}"/>
    <cellStyle name="Normal 5 10 2 25 4 9" xfId="32138" xr:uid="{00000000-0005-0000-0000-00007A7D0000}"/>
    <cellStyle name="Normal 5 10 2 25 5" xfId="32139" xr:uid="{00000000-0005-0000-0000-00007B7D0000}"/>
    <cellStyle name="Normal 5 10 2 25 5 10" xfId="32140" xr:uid="{00000000-0005-0000-0000-00007C7D0000}"/>
    <cellStyle name="Normal 5 10 2 25 5 2" xfId="32141" xr:uid="{00000000-0005-0000-0000-00007D7D0000}"/>
    <cellStyle name="Normal 5 10 2 25 5 3" xfId="32142" xr:uid="{00000000-0005-0000-0000-00007E7D0000}"/>
    <cellStyle name="Normal 5 10 2 25 5 4" xfId="32143" xr:uid="{00000000-0005-0000-0000-00007F7D0000}"/>
    <cellStyle name="Normal 5 10 2 25 5 5" xfId="32144" xr:uid="{00000000-0005-0000-0000-0000807D0000}"/>
    <cellStyle name="Normal 5 10 2 25 5 6" xfId="32145" xr:uid="{00000000-0005-0000-0000-0000817D0000}"/>
    <cellStyle name="Normal 5 10 2 25 5 7" xfId="32146" xr:uid="{00000000-0005-0000-0000-0000827D0000}"/>
    <cellStyle name="Normal 5 10 2 25 5 8" xfId="32147" xr:uid="{00000000-0005-0000-0000-0000837D0000}"/>
    <cellStyle name="Normal 5 10 2 25 5 9" xfId="32148" xr:uid="{00000000-0005-0000-0000-0000847D0000}"/>
    <cellStyle name="Normal 5 10 2 25 6" xfId="32149" xr:uid="{00000000-0005-0000-0000-0000857D0000}"/>
    <cellStyle name="Normal 5 10 2 25 7" xfId="32150" xr:uid="{00000000-0005-0000-0000-0000867D0000}"/>
    <cellStyle name="Normal 5 10 2 25 8" xfId="32151" xr:uid="{00000000-0005-0000-0000-0000877D0000}"/>
    <cellStyle name="Normal 5 10 2 25 9" xfId="32152" xr:uid="{00000000-0005-0000-0000-0000887D0000}"/>
    <cellStyle name="Normal 5 10 2 26" xfId="32153" xr:uid="{00000000-0005-0000-0000-0000897D0000}"/>
    <cellStyle name="Normal 5 10 2 26 10" xfId="32154" xr:uid="{00000000-0005-0000-0000-00008A7D0000}"/>
    <cellStyle name="Normal 5 10 2 26 11" xfId="32155" xr:uid="{00000000-0005-0000-0000-00008B7D0000}"/>
    <cellStyle name="Normal 5 10 2 26 12" xfId="32156" xr:uid="{00000000-0005-0000-0000-00008C7D0000}"/>
    <cellStyle name="Normal 5 10 2 26 13" xfId="32157" xr:uid="{00000000-0005-0000-0000-00008D7D0000}"/>
    <cellStyle name="Normal 5 10 2 26 14" xfId="32158" xr:uid="{00000000-0005-0000-0000-00008E7D0000}"/>
    <cellStyle name="Normal 5 10 2 26 2" xfId="32159" xr:uid="{00000000-0005-0000-0000-00008F7D0000}"/>
    <cellStyle name="Normal 5 10 2 26 2 10" xfId="32160" xr:uid="{00000000-0005-0000-0000-0000907D0000}"/>
    <cellStyle name="Normal 5 10 2 26 2 2" xfId="32161" xr:uid="{00000000-0005-0000-0000-0000917D0000}"/>
    <cellStyle name="Normal 5 10 2 26 2 3" xfId="32162" xr:uid="{00000000-0005-0000-0000-0000927D0000}"/>
    <cellStyle name="Normal 5 10 2 26 2 4" xfId="32163" xr:uid="{00000000-0005-0000-0000-0000937D0000}"/>
    <cellStyle name="Normal 5 10 2 26 2 5" xfId="32164" xr:uid="{00000000-0005-0000-0000-0000947D0000}"/>
    <cellStyle name="Normal 5 10 2 26 2 6" xfId="32165" xr:uid="{00000000-0005-0000-0000-0000957D0000}"/>
    <cellStyle name="Normal 5 10 2 26 2 7" xfId="32166" xr:uid="{00000000-0005-0000-0000-0000967D0000}"/>
    <cellStyle name="Normal 5 10 2 26 2 8" xfId="32167" xr:uid="{00000000-0005-0000-0000-0000977D0000}"/>
    <cellStyle name="Normal 5 10 2 26 2 9" xfId="32168" xr:uid="{00000000-0005-0000-0000-0000987D0000}"/>
    <cellStyle name="Normal 5 10 2 26 3" xfId="32169" xr:uid="{00000000-0005-0000-0000-0000997D0000}"/>
    <cellStyle name="Normal 5 10 2 26 3 10" xfId="32170" xr:uid="{00000000-0005-0000-0000-00009A7D0000}"/>
    <cellStyle name="Normal 5 10 2 26 3 2" xfId="32171" xr:uid="{00000000-0005-0000-0000-00009B7D0000}"/>
    <cellStyle name="Normal 5 10 2 26 3 3" xfId="32172" xr:uid="{00000000-0005-0000-0000-00009C7D0000}"/>
    <cellStyle name="Normal 5 10 2 26 3 4" xfId="32173" xr:uid="{00000000-0005-0000-0000-00009D7D0000}"/>
    <cellStyle name="Normal 5 10 2 26 3 5" xfId="32174" xr:uid="{00000000-0005-0000-0000-00009E7D0000}"/>
    <cellStyle name="Normal 5 10 2 26 3 6" xfId="32175" xr:uid="{00000000-0005-0000-0000-00009F7D0000}"/>
    <cellStyle name="Normal 5 10 2 26 3 7" xfId="32176" xr:uid="{00000000-0005-0000-0000-0000A07D0000}"/>
    <cellStyle name="Normal 5 10 2 26 3 8" xfId="32177" xr:uid="{00000000-0005-0000-0000-0000A17D0000}"/>
    <cellStyle name="Normal 5 10 2 26 3 9" xfId="32178" xr:uid="{00000000-0005-0000-0000-0000A27D0000}"/>
    <cellStyle name="Normal 5 10 2 26 4" xfId="32179" xr:uid="{00000000-0005-0000-0000-0000A37D0000}"/>
    <cellStyle name="Normal 5 10 2 26 4 10" xfId="32180" xr:uid="{00000000-0005-0000-0000-0000A47D0000}"/>
    <cellStyle name="Normal 5 10 2 26 4 2" xfId="32181" xr:uid="{00000000-0005-0000-0000-0000A57D0000}"/>
    <cellStyle name="Normal 5 10 2 26 4 3" xfId="32182" xr:uid="{00000000-0005-0000-0000-0000A67D0000}"/>
    <cellStyle name="Normal 5 10 2 26 4 4" xfId="32183" xr:uid="{00000000-0005-0000-0000-0000A77D0000}"/>
    <cellStyle name="Normal 5 10 2 26 4 5" xfId="32184" xr:uid="{00000000-0005-0000-0000-0000A87D0000}"/>
    <cellStyle name="Normal 5 10 2 26 4 6" xfId="32185" xr:uid="{00000000-0005-0000-0000-0000A97D0000}"/>
    <cellStyle name="Normal 5 10 2 26 4 7" xfId="32186" xr:uid="{00000000-0005-0000-0000-0000AA7D0000}"/>
    <cellStyle name="Normal 5 10 2 26 4 8" xfId="32187" xr:uid="{00000000-0005-0000-0000-0000AB7D0000}"/>
    <cellStyle name="Normal 5 10 2 26 4 9" xfId="32188" xr:uid="{00000000-0005-0000-0000-0000AC7D0000}"/>
    <cellStyle name="Normal 5 10 2 26 5" xfId="32189" xr:uid="{00000000-0005-0000-0000-0000AD7D0000}"/>
    <cellStyle name="Normal 5 10 2 26 5 10" xfId="32190" xr:uid="{00000000-0005-0000-0000-0000AE7D0000}"/>
    <cellStyle name="Normal 5 10 2 26 5 2" xfId="32191" xr:uid="{00000000-0005-0000-0000-0000AF7D0000}"/>
    <cellStyle name="Normal 5 10 2 26 5 3" xfId="32192" xr:uid="{00000000-0005-0000-0000-0000B07D0000}"/>
    <cellStyle name="Normal 5 10 2 26 5 4" xfId="32193" xr:uid="{00000000-0005-0000-0000-0000B17D0000}"/>
    <cellStyle name="Normal 5 10 2 26 5 5" xfId="32194" xr:uid="{00000000-0005-0000-0000-0000B27D0000}"/>
    <cellStyle name="Normal 5 10 2 26 5 6" xfId="32195" xr:uid="{00000000-0005-0000-0000-0000B37D0000}"/>
    <cellStyle name="Normal 5 10 2 26 5 7" xfId="32196" xr:uid="{00000000-0005-0000-0000-0000B47D0000}"/>
    <cellStyle name="Normal 5 10 2 26 5 8" xfId="32197" xr:uid="{00000000-0005-0000-0000-0000B57D0000}"/>
    <cellStyle name="Normal 5 10 2 26 5 9" xfId="32198" xr:uid="{00000000-0005-0000-0000-0000B67D0000}"/>
    <cellStyle name="Normal 5 10 2 26 6" xfId="32199" xr:uid="{00000000-0005-0000-0000-0000B77D0000}"/>
    <cellStyle name="Normal 5 10 2 26 7" xfId="32200" xr:uid="{00000000-0005-0000-0000-0000B87D0000}"/>
    <cellStyle name="Normal 5 10 2 26 8" xfId="32201" xr:uid="{00000000-0005-0000-0000-0000B97D0000}"/>
    <cellStyle name="Normal 5 10 2 26 9" xfId="32202" xr:uid="{00000000-0005-0000-0000-0000BA7D0000}"/>
    <cellStyle name="Normal 5 10 2 27" xfId="32203" xr:uid="{00000000-0005-0000-0000-0000BB7D0000}"/>
    <cellStyle name="Normal 5 10 2 27 10" xfId="32204" xr:uid="{00000000-0005-0000-0000-0000BC7D0000}"/>
    <cellStyle name="Normal 5 10 2 27 11" xfId="32205" xr:uid="{00000000-0005-0000-0000-0000BD7D0000}"/>
    <cellStyle name="Normal 5 10 2 27 12" xfId="32206" xr:uid="{00000000-0005-0000-0000-0000BE7D0000}"/>
    <cellStyle name="Normal 5 10 2 27 13" xfId="32207" xr:uid="{00000000-0005-0000-0000-0000BF7D0000}"/>
    <cellStyle name="Normal 5 10 2 27 14" xfId="32208" xr:uid="{00000000-0005-0000-0000-0000C07D0000}"/>
    <cellStyle name="Normal 5 10 2 27 2" xfId="32209" xr:uid="{00000000-0005-0000-0000-0000C17D0000}"/>
    <cellStyle name="Normal 5 10 2 27 2 10" xfId="32210" xr:uid="{00000000-0005-0000-0000-0000C27D0000}"/>
    <cellStyle name="Normal 5 10 2 27 2 2" xfId="32211" xr:uid="{00000000-0005-0000-0000-0000C37D0000}"/>
    <cellStyle name="Normal 5 10 2 27 2 3" xfId="32212" xr:uid="{00000000-0005-0000-0000-0000C47D0000}"/>
    <cellStyle name="Normal 5 10 2 27 2 4" xfId="32213" xr:uid="{00000000-0005-0000-0000-0000C57D0000}"/>
    <cellStyle name="Normal 5 10 2 27 2 5" xfId="32214" xr:uid="{00000000-0005-0000-0000-0000C67D0000}"/>
    <cellStyle name="Normal 5 10 2 27 2 6" xfId="32215" xr:uid="{00000000-0005-0000-0000-0000C77D0000}"/>
    <cellStyle name="Normal 5 10 2 27 2 7" xfId="32216" xr:uid="{00000000-0005-0000-0000-0000C87D0000}"/>
    <cellStyle name="Normal 5 10 2 27 2 8" xfId="32217" xr:uid="{00000000-0005-0000-0000-0000C97D0000}"/>
    <cellStyle name="Normal 5 10 2 27 2 9" xfId="32218" xr:uid="{00000000-0005-0000-0000-0000CA7D0000}"/>
    <cellStyle name="Normal 5 10 2 27 3" xfId="32219" xr:uid="{00000000-0005-0000-0000-0000CB7D0000}"/>
    <cellStyle name="Normal 5 10 2 27 3 10" xfId="32220" xr:uid="{00000000-0005-0000-0000-0000CC7D0000}"/>
    <cellStyle name="Normal 5 10 2 27 3 2" xfId="32221" xr:uid="{00000000-0005-0000-0000-0000CD7D0000}"/>
    <cellStyle name="Normal 5 10 2 27 3 3" xfId="32222" xr:uid="{00000000-0005-0000-0000-0000CE7D0000}"/>
    <cellStyle name="Normal 5 10 2 27 3 4" xfId="32223" xr:uid="{00000000-0005-0000-0000-0000CF7D0000}"/>
    <cellStyle name="Normal 5 10 2 27 3 5" xfId="32224" xr:uid="{00000000-0005-0000-0000-0000D07D0000}"/>
    <cellStyle name="Normal 5 10 2 27 3 6" xfId="32225" xr:uid="{00000000-0005-0000-0000-0000D17D0000}"/>
    <cellStyle name="Normal 5 10 2 27 3 7" xfId="32226" xr:uid="{00000000-0005-0000-0000-0000D27D0000}"/>
    <cellStyle name="Normal 5 10 2 27 3 8" xfId="32227" xr:uid="{00000000-0005-0000-0000-0000D37D0000}"/>
    <cellStyle name="Normal 5 10 2 27 3 9" xfId="32228" xr:uid="{00000000-0005-0000-0000-0000D47D0000}"/>
    <cellStyle name="Normal 5 10 2 27 4" xfId="32229" xr:uid="{00000000-0005-0000-0000-0000D57D0000}"/>
    <cellStyle name="Normal 5 10 2 27 4 10" xfId="32230" xr:uid="{00000000-0005-0000-0000-0000D67D0000}"/>
    <cellStyle name="Normal 5 10 2 27 4 2" xfId="32231" xr:uid="{00000000-0005-0000-0000-0000D77D0000}"/>
    <cellStyle name="Normal 5 10 2 27 4 3" xfId="32232" xr:uid="{00000000-0005-0000-0000-0000D87D0000}"/>
    <cellStyle name="Normal 5 10 2 27 4 4" xfId="32233" xr:uid="{00000000-0005-0000-0000-0000D97D0000}"/>
    <cellStyle name="Normal 5 10 2 27 4 5" xfId="32234" xr:uid="{00000000-0005-0000-0000-0000DA7D0000}"/>
    <cellStyle name="Normal 5 10 2 27 4 6" xfId="32235" xr:uid="{00000000-0005-0000-0000-0000DB7D0000}"/>
    <cellStyle name="Normal 5 10 2 27 4 7" xfId="32236" xr:uid="{00000000-0005-0000-0000-0000DC7D0000}"/>
    <cellStyle name="Normal 5 10 2 27 4 8" xfId="32237" xr:uid="{00000000-0005-0000-0000-0000DD7D0000}"/>
    <cellStyle name="Normal 5 10 2 27 4 9" xfId="32238" xr:uid="{00000000-0005-0000-0000-0000DE7D0000}"/>
    <cellStyle name="Normal 5 10 2 27 5" xfId="32239" xr:uid="{00000000-0005-0000-0000-0000DF7D0000}"/>
    <cellStyle name="Normal 5 10 2 27 5 10" xfId="32240" xr:uid="{00000000-0005-0000-0000-0000E07D0000}"/>
    <cellStyle name="Normal 5 10 2 27 5 2" xfId="32241" xr:uid="{00000000-0005-0000-0000-0000E17D0000}"/>
    <cellStyle name="Normal 5 10 2 27 5 3" xfId="32242" xr:uid="{00000000-0005-0000-0000-0000E27D0000}"/>
    <cellStyle name="Normal 5 10 2 27 5 4" xfId="32243" xr:uid="{00000000-0005-0000-0000-0000E37D0000}"/>
    <cellStyle name="Normal 5 10 2 27 5 5" xfId="32244" xr:uid="{00000000-0005-0000-0000-0000E47D0000}"/>
    <cellStyle name="Normal 5 10 2 27 5 6" xfId="32245" xr:uid="{00000000-0005-0000-0000-0000E57D0000}"/>
    <cellStyle name="Normal 5 10 2 27 5 7" xfId="32246" xr:uid="{00000000-0005-0000-0000-0000E67D0000}"/>
    <cellStyle name="Normal 5 10 2 27 5 8" xfId="32247" xr:uid="{00000000-0005-0000-0000-0000E77D0000}"/>
    <cellStyle name="Normal 5 10 2 27 5 9" xfId="32248" xr:uid="{00000000-0005-0000-0000-0000E87D0000}"/>
    <cellStyle name="Normal 5 10 2 27 6" xfId="32249" xr:uid="{00000000-0005-0000-0000-0000E97D0000}"/>
    <cellStyle name="Normal 5 10 2 27 7" xfId="32250" xr:uid="{00000000-0005-0000-0000-0000EA7D0000}"/>
    <cellStyle name="Normal 5 10 2 27 8" xfId="32251" xr:uid="{00000000-0005-0000-0000-0000EB7D0000}"/>
    <cellStyle name="Normal 5 10 2 27 9" xfId="32252" xr:uid="{00000000-0005-0000-0000-0000EC7D0000}"/>
    <cellStyle name="Normal 5 10 2 28" xfId="32253" xr:uid="{00000000-0005-0000-0000-0000ED7D0000}"/>
    <cellStyle name="Normal 5 10 2 28 10" xfId="32254" xr:uid="{00000000-0005-0000-0000-0000EE7D0000}"/>
    <cellStyle name="Normal 5 10 2 28 11" xfId="32255" xr:uid="{00000000-0005-0000-0000-0000EF7D0000}"/>
    <cellStyle name="Normal 5 10 2 28 12" xfId="32256" xr:uid="{00000000-0005-0000-0000-0000F07D0000}"/>
    <cellStyle name="Normal 5 10 2 28 13" xfId="32257" xr:uid="{00000000-0005-0000-0000-0000F17D0000}"/>
    <cellStyle name="Normal 5 10 2 28 14" xfId="32258" xr:uid="{00000000-0005-0000-0000-0000F27D0000}"/>
    <cellStyle name="Normal 5 10 2 28 2" xfId="32259" xr:uid="{00000000-0005-0000-0000-0000F37D0000}"/>
    <cellStyle name="Normal 5 10 2 28 2 10" xfId="32260" xr:uid="{00000000-0005-0000-0000-0000F47D0000}"/>
    <cellStyle name="Normal 5 10 2 28 2 2" xfId="32261" xr:uid="{00000000-0005-0000-0000-0000F57D0000}"/>
    <cellStyle name="Normal 5 10 2 28 2 3" xfId="32262" xr:uid="{00000000-0005-0000-0000-0000F67D0000}"/>
    <cellStyle name="Normal 5 10 2 28 2 4" xfId="32263" xr:uid="{00000000-0005-0000-0000-0000F77D0000}"/>
    <cellStyle name="Normal 5 10 2 28 2 5" xfId="32264" xr:uid="{00000000-0005-0000-0000-0000F87D0000}"/>
    <cellStyle name="Normal 5 10 2 28 2 6" xfId="32265" xr:uid="{00000000-0005-0000-0000-0000F97D0000}"/>
    <cellStyle name="Normal 5 10 2 28 2 7" xfId="32266" xr:uid="{00000000-0005-0000-0000-0000FA7D0000}"/>
    <cellStyle name="Normal 5 10 2 28 2 8" xfId="32267" xr:uid="{00000000-0005-0000-0000-0000FB7D0000}"/>
    <cellStyle name="Normal 5 10 2 28 2 9" xfId="32268" xr:uid="{00000000-0005-0000-0000-0000FC7D0000}"/>
    <cellStyle name="Normal 5 10 2 28 3" xfId="32269" xr:uid="{00000000-0005-0000-0000-0000FD7D0000}"/>
    <cellStyle name="Normal 5 10 2 28 3 10" xfId="32270" xr:uid="{00000000-0005-0000-0000-0000FE7D0000}"/>
    <cellStyle name="Normal 5 10 2 28 3 2" xfId="32271" xr:uid="{00000000-0005-0000-0000-0000FF7D0000}"/>
    <cellStyle name="Normal 5 10 2 28 3 3" xfId="32272" xr:uid="{00000000-0005-0000-0000-0000007E0000}"/>
    <cellStyle name="Normal 5 10 2 28 3 4" xfId="32273" xr:uid="{00000000-0005-0000-0000-0000017E0000}"/>
    <cellStyle name="Normal 5 10 2 28 3 5" xfId="32274" xr:uid="{00000000-0005-0000-0000-0000027E0000}"/>
    <cellStyle name="Normal 5 10 2 28 3 6" xfId="32275" xr:uid="{00000000-0005-0000-0000-0000037E0000}"/>
    <cellStyle name="Normal 5 10 2 28 3 7" xfId="32276" xr:uid="{00000000-0005-0000-0000-0000047E0000}"/>
    <cellStyle name="Normal 5 10 2 28 3 8" xfId="32277" xr:uid="{00000000-0005-0000-0000-0000057E0000}"/>
    <cellStyle name="Normal 5 10 2 28 3 9" xfId="32278" xr:uid="{00000000-0005-0000-0000-0000067E0000}"/>
    <cellStyle name="Normal 5 10 2 28 4" xfId="32279" xr:uid="{00000000-0005-0000-0000-0000077E0000}"/>
    <cellStyle name="Normal 5 10 2 28 4 10" xfId="32280" xr:uid="{00000000-0005-0000-0000-0000087E0000}"/>
    <cellStyle name="Normal 5 10 2 28 4 2" xfId="32281" xr:uid="{00000000-0005-0000-0000-0000097E0000}"/>
    <cellStyle name="Normal 5 10 2 28 4 3" xfId="32282" xr:uid="{00000000-0005-0000-0000-00000A7E0000}"/>
    <cellStyle name="Normal 5 10 2 28 4 4" xfId="32283" xr:uid="{00000000-0005-0000-0000-00000B7E0000}"/>
    <cellStyle name="Normal 5 10 2 28 4 5" xfId="32284" xr:uid="{00000000-0005-0000-0000-00000C7E0000}"/>
    <cellStyle name="Normal 5 10 2 28 4 6" xfId="32285" xr:uid="{00000000-0005-0000-0000-00000D7E0000}"/>
    <cellStyle name="Normal 5 10 2 28 4 7" xfId="32286" xr:uid="{00000000-0005-0000-0000-00000E7E0000}"/>
    <cellStyle name="Normal 5 10 2 28 4 8" xfId="32287" xr:uid="{00000000-0005-0000-0000-00000F7E0000}"/>
    <cellStyle name="Normal 5 10 2 28 4 9" xfId="32288" xr:uid="{00000000-0005-0000-0000-0000107E0000}"/>
    <cellStyle name="Normal 5 10 2 28 5" xfId="32289" xr:uid="{00000000-0005-0000-0000-0000117E0000}"/>
    <cellStyle name="Normal 5 10 2 28 5 10" xfId="32290" xr:uid="{00000000-0005-0000-0000-0000127E0000}"/>
    <cellStyle name="Normal 5 10 2 28 5 2" xfId="32291" xr:uid="{00000000-0005-0000-0000-0000137E0000}"/>
    <cellStyle name="Normal 5 10 2 28 5 3" xfId="32292" xr:uid="{00000000-0005-0000-0000-0000147E0000}"/>
    <cellStyle name="Normal 5 10 2 28 5 4" xfId="32293" xr:uid="{00000000-0005-0000-0000-0000157E0000}"/>
    <cellStyle name="Normal 5 10 2 28 5 5" xfId="32294" xr:uid="{00000000-0005-0000-0000-0000167E0000}"/>
    <cellStyle name="Normal 5 10 2 28 5 6" xfId="32295" xr:uid="{00000000-0005-0000-0000-0000177E0000}"/>
    <cellStyle name="Normal 5 10 2 28 5 7" xfId="32296" xr:uid="{00000000-0005-0000-0000-0000187E0000}"/>
    <cellStyle name="Normal 5 10 2 28 5 8" xfId="32297" xr:uid="{00000000-0005-0000-0000-0000197E0000}"/>
    <cellStyle name="Normal 5 10 2 28 5 9" xfId="32298" xr:uid="{00000000-0005-0000-0000-00001A7E0000}"/>
    <cellStyle name="Normal 5 10 2 28 6" xfId="32299" xr:uid="{00000000-0005-0000-0000-00001B7E0000}"/>
    <cellStyle name="Normal 5 10 2 28 7" xfId="32300" xr:uid="{00000000-0005-0000-0000-00001C7E0000}"/>
    <cellStyle name="Normal 5 10 2 28 8" xfId="32301" xr:uid="{00000000-0005-0000-0000-00001D7E0000}"/>
    <cellStyle name="Normal 5 10 2 28 9" xfId="32302" xr:uid="{00000000-0005-0000-0000-00001E7E0000}"/>
    <cellStyle name="Normal 5 10 2 29" xfId="32303" xr:uid="{00000000-0005-0000-0000-00001F7E0000}"/>
    <cellStyle name="Normal 5 10 2 29 10" xfId="32304" xr:uid="{00000000-0005-0000-0000-0000207E0000}"/>
    <cellStyle name="Normal 5 10 2 29 11" xfId="32305" xr:uid="{00000000-0005-0000-0000-0000217E0000}"/>
    <cellStyle name="Normal 5 10 2 29 12" xfId="32306" xr:uid="{00000000-0005-0000-0000-0000227E0000}"/>
    <cellStyle name="Normal 5 10 2 29 13" xfId="32307" xr:uid="{00000000-0005-0000-0000-0000237E0000}"/>
    <cellStyle name="Normal 5 10 2 29 14" xfId="32308" xr:uid="{00000000-0005-0000-0000-0000247E0000}"/>
    <cellStyle name="Normal 5 10 2 29 2" xfId="32309" xr:uid="{00000000-0005-0000-0000-0000257E0000}"/>
    <cellStyle name="Normal 5 10 2 29 2 10" xfId="32310" xr:uid="{00000000-0005-0000-0000-0000267E0000}"/>
    <cellStyle name="Normal 5 10 2 29 2 2" xfId="32311" xr:uid="{00000000-0005-0000-0000-0000277E0000}"/>
    <cellStyle name="Normal 5 10 2 29 2 3" xfId="32312" xr:uid="{00000000-0005-0000-0000-0000287E0000}"/>
    <cellStyle name="Normal 5 10 2 29 2 4" xfId="32313" xr:uid="{00000000-0005-0000-0000-0000297E0000}"/>
    <cellStyle name="Normal 5 10 2 29 2 5" xfId="32314" xr:uid="{00000000-0005-0000-0000-00002A7E0000}"/>
    <cellStyle name="Normal 5 10 2 29 2 6" xfId="32315" xr:uid="{00000000-0005-0000-0000-00002B7E0000}"/>
    <cellStyle name="Normal 5 10 2 29 2 7" xfId="32316" xr:uid="{00000000-0005-0000-0000-00002C7E0000}"/>
    <cellStyle name="Normal 5 10 2 29 2 8" xfId="32317" xr:uid="{00000000-0005-0000-0000-00002D7E0000}"/>
    <cellStyle name="Normal 5 10 2 29 2 9" xfId="32318" xr:uid="{00000000-0005-0000-0000-00002E7E0000}"/>
    <cellStyle name="Normal 5 10 2 29 3" xfId="32319" xr:uid="{00000000-0005-0000-0000-00002F7E0000}"/>
    <cellStyle name="Normal 5 10 2 29 3 10" xfId="32320" xr:uid="{00000000-0005-0000-0000-0000307E0000}"/>
    <cellStyle name="Normal 5 10 2 29 3 2" xfId="32321" xr:uid="{00000000-0005-0000-0000-0000317E0000}"/>
    <cellStyle name="Normal 5 10 2 29 3 3" xfId="32322" xr:uid="{00000000-0005-0000-0000-0000327E0000}"/>
    <cellStyle name="Normal 5 10 2 29 3 4" xfId="32323" xr:uid="{00000000-0005-0000-0000-0000337E0000}"/>
    <cellStyle name="Normal 5 10 2 29 3 5" xfId="32324" xr:uid="{00000000-0005-0000-0000-0000347E0000}"/>
    <cellStyle name="Normal 5 10 2 29 3 6" xfId="32325" xr:uid="{00000000-0005-0000-0000-0000357E0000}"/>
    <cellStyle name="Normal 5 10 2 29 3 7" xfId="32326" xr:uid="{00000000-0005-0000-0000-0000367E0000}"/>
    <cellStyle name="Normal 5 10 2 29 3 8" xfId="32327" xr:uid="{00000000-0005-0000-0000-0000377E0000}"/>
    <cellStyle name="Normal 5 10 2 29 3 9" xfId="32328" xr:uid="{00000000-0005-0000-0000-0000387E0000}"/>
    <cellStyle name="Normal 5 10 2 29 4" xfId="32329" xr:uid="{00000000-0005-0000-0000-0000397E0000}"/>
    <cellStyle name="Normal 5 10 2 29 4 10" xfId="32330" xr:uid="{00000000-0005-0000-0000-00003A7E0000}"/>
    <cellStyle name="Normal 5 10 2 29 4 2" xfId="32331" xr:uid="{00000000-0005-0000-0000-00003B7E0000}"/>
    <cellStyle name="Normal 5 10 2 29 4 3" xfId="32332" xr:uid="{00000000-0005-0000-0000-00003C7E0000}"/>
    <cellStyle name="Normal 5 10 2 29 4 4" xfId="32333" xr:uid="{00000000-0005-0000-0000-00003D7E0000}"/>
    <cellStyle name="Normal 5 10 2 29 4 5" xfId="32334" xr:uid="{00000000-0005-0000-0000-00003E7E0000}"/>
    <cellStyle name="Normal 5 10 2 29 4 6" xfId="32335" xr:uid="{00000000-0005-0000-0000-00003F7E0000}"/>
    <cellStyle name="Normal 5 10 2 29 4 7" xfId="32336" xr:uid="{00000000-0005-0000-0000-0000407E0000}"/>
    <cellStyle name="Normal 5 10 2 29 4 8" xfId="32337" xr:uid="{00000000-0005-0000-0000-0000417E0000}"/>
    <cellStyle name="Normal 5 10 2 29 4 9" xfId="32338" xr:uid="{00000000-0005-0000-0000-0000427E0000}"/>
    <cellStyle name="Normal 5 10 2 29 5" xfId="32339" xr:uid="{00000000-0005-0000-0000-0000437E0000}"/>
    <cellStyle name="Normal 5 10 2 29 5 10" xfId="32340" xr:uid="{00000000-0005-0000-0000-0000447E0000}"/>
    <cellStyle name="Normal 5 10 2 29 5 2" xfId="32341" xr:uid="{00000000-0005-0000-0000-0000457E0000}"/>
    <cellStyle name="Normal 5 10 2 29 5 3" xfId="32342" xr:uid="{00000000-0005-0000-0000-0000467E0000}"/>
    <cellStyle name="Normal 5 10 2 29 5 4" xfId="32343" xr:uid="{00000000-0005-0000-0000-0000477E0000}"/>
    <cellStyle name="Normal 5 10 2 29 5 5" xfId="32344" xr:uid="{00000000-0005-0000-0000-0000487E0000}"/>
    <cellStyle name="Normal 5 10 2 29 5 6" xfId="32345" xr:uid="{00000000-0005-0000-0000-0000497E0000}"/>
    <cellStyle name="Normal 5 10 2 29 5 7" xfId="32346" xr:uid="{00000000-0005-0000-0000-00004A7E0000}"/>
    <cellStyle name="Normal 5 10 2 29 5 8" xfId="32347" xr:uid="{00000000-0005-0000-0000-00004B7E0000}"/>
    <cellStyle name="Normal 5 10 2 29 5 9" xfId="32348" xr:uid="{00000000-0005-0000-0000-00004C7E0000}"/>
    <cellStyle name="Normal 5 10 2 29 6" xfId="32349" xr:uid="{00000000-0005-0000-0000-00004D7E0000}"/>
    <cellStyle name="Normal 5 10 2 29 7" xfId="32350" xr:uid="{00000000-0005-0000-0000-00004E7E0000}"/>
    <cellStyle name="Normal 5 10 2 29 8" xfId="32351" xr:uid="{00000000-0005-0000-0000-00004F7E0000}"/>
    <cellStyle name="Normal 5 10 2 29 9" xfId="32352" xr:uid="{00000000-0005-0000-0000-0000507E0000}"/>
    <cellStyle name="Normal 5 10 2 3" xfId="32353" xr:uid="{00000000-0005-0000-0000-0000517E0000}"/>
    <cellStyle name="Normal 5 10 2 3 10" xfId="32354" xr:uid="{00000000-0005-0000-0000-0000527E0000}"/>
    <cellStyle name="Normal 5 10 2 3 11" xfId="32355" xr:uid="{00000000-0005-0000-0000-0000537E0000}"/>
    <cellStyle name="Normal 5 10 2 3 12" xfId="32356" xr:uid="{00000000-0005-0000-0000-0000547E0000}"/>
    <cellStyle name="Normal 5 10 2 3 13" xfId="32357" xr:uid="{00000000-0005-0000-0000-0000557E0000}"/>
    <cellStyle name="Normal 5 10 2 3 14" xfId="32358" xr:uid="{00000000-0005-0000-0000-0000567E0000}"/>
    <cellStyle name="Normal 5 10 2 3 2" xfId="32359" xr:uid="{00000000-0005-0000-0000-0000577E0000}"/>
    <cellStyle name="Normal 5 10 2 3 2 10" xfId="32360" xr:uid="{00000000-0005-0000-0000-0000587E0000}"/>
    <cellStyle name="Normal 5 10 2 3 2 2" xfId="32361" xr:uid="{00000000-0005-0000-0000-0000597E0000}"/>
    <cellStyle name="Normal 5 10 2 3 2 3" xfId="32362" xr:uid="{00000000-0005-0000-0000-00005A7E0000}"/>
    <cellStyle name="Normal 5 10 2 3 2 4" xfId="32363" xr:uid="{00000000-0005-0000-0000-00005B7E0000}"/>
    <cellStyle name="Normal 5 10 2 3 2 5" xfId="32364" xr:uid="{00000000-0005-0000-0000-00005C7E0000}"/>
    <cellStyle name="Normal 5 10 2 3 2 6" xfId="32365" xr:uid="{00000000-0005-0000-0000-00005D7E0000}"/>
    <cellStyle name="Normal 5 10 2 3 2 7" xfId="32366" xr:uid="{00000000-0005-0000-0000-00005E7E0000}"/>
    <cellStyle name="Normal 5 10 2 3 2 8" xfId="32367" xr:uid="{00000000-0005-0000-0000-00005F7E0000}"/>
    <cellStyle name="Normal 5 10 2 3 2 9" xfId="32368" xr:uid="{00000000-0005-0000-0000-0000607E0000}"/>
    <cellStyle name="Normal 5 10 2 3 3" xfId="32369" xr:uid="{00000000-0005-0000-0000-0000617E0000}"/>
    <cellStyle name="Normal 5 10 2 3 3 10" xfId="32370" xr:uid="{00000000-0005-0000-0000-0000627E0000}"/>
    <cellStyle name="Normal 5 10 2 3 3 2" xfId="32371" xr:uid="{00000000-0005-0000-0000-0000637E0000}"/>
    <cellStyle name="Normal 5 10 2 3 3 3" xfId="32372" xr:uid="{00000000-0005-0000-0000-0000647E0000}"/>
    <cellStyle name="Normal 5 10 2 3 3 4" xfId="32373" xr:uid="{00000000-0005-0000-0000-0000657E0000}"/>
    <cellStyle name="Normal 5 10 2 3 3 5" xfId="32374" xr:uid="{00000000-0005-0000-0000-0000667E0000}"/>
    <cellStyle name="Normal 5 10 2 3 3 6" xfId="32375" xr:uid="{00000000-0005-0000-0000-0000677E0000}"/>
    <cellStyle name="Normal 5 10 2 3 3 7" xfId="32376" xr:uid="{00000000-0005-0000-0000-0000687E0000}"/>
    <cellStyle name="Normal 5 10 2 3 3 8" xfId="32377" xr:uid="{00000000-0005-0000-0000-0000697E0000}"/>
    <cellStyle name="Normal 5 10 2 3 3 9" xfId="32378" xr:uid="{00000000-0005-0000-0000-00006A7E0000}"/>
    <cellStyle name="Normal 5 10 2 3 4" xfId="32379" xr:uid="{00000000-0005-0000-0000-00006B7E0000}"/>
    <cellStyle name="Normal 5 10 2 3 4 10" xfId="32380" xr:uid="{00000000-0005-0000-0000-00006C7E0000}"/>
    <cellStyle name="Normal 5 10 2 3 4 2" xfId="32381" xr:uid="{00000000-0005-0000-0000-00006D7E0000}"/>
    <cellStyle name="Normal 5 10 2 3 4 3" xfId="32382" xr:uid="{00000000-0005-0000-0000-00006E7E0000}"/>
    <cellStyle name="Normal 5 10 2 3 4 4" xfId="32383" xr:uid="{00000000-0005-0000-0000-00006F7E0000}"/>
    <cellStyle name="Normal 5 10 2 3 4 5" xfId="32384" xr:uid="{00000000-0005-0000-0000-0000707E0000}"/>
    <cellStyle name="Normal 5 10 2 3 4 6" xfId="32385" xr:uid="{00000000-0005-0000-0000-0000717E0000}"/>
    <cellStyle name="Normal 5 10 2 3 4 7" xfId="32386" xr:uid="{00000000-0005-0000-0000-0000727E0000}"/>
    <cellStyle name="Normal 5 10 2 3 4 8" xfId="32387" xr:uid="{00000000-0005-0000-0000-0000737E0000}"/>
    <cellStyle name="Normal 5 10 2 3 4 9" xfId="32388" xr:uid="{00000000-0005-0000-0000-0000747E0000}"/>
    <cellStyle name="Normal 5 10 2 3 5" xfId="32389" xr:uid="{00000000-0005-0000-0000-0000757E0000}"/>
    <cellStyle name="Normal 5 10 2 3 5 10" xfId="32390" xr:uid="{00000000-0005-0000-0000-0000767E0000}"/>
    <cellStyle name="Normal 5 10 2 3 5 2" xfId="32391" xr:uid="{00000000-0005-0000-0000-0000777E0000}"/>
    <cellStyle name="Normal 5 10 2 3 5 3" xfId="32392" xr:uid="{00000000-0005-0000-0000-0000787E0000}"/>
    <cellStyle name="Normal 5 10 2 3 5 4" xfId="32393" xr:uid="{00000000-0005-0000-0000-0000797E0000}"/>
    <cellStyle name="Normal 5 10 2 3 5 5" xfId="32394" xr:uid="{00000000-0005-0000-0000-00007A7E0000}"/>
    <cellStyle name="Normal 5 10 2 3 5 6" xfId="32395" xr:uid="{00000000-0005-0000-0000-00007B7E0000}"/>
    <cellStyle name="Normal 5 10 2 3 5 7" xfId="32396" xr:uid="{00000000-0005-0000-0000-00007C7E0000}"/>
    <cellStyle name="Normal 5 10 2 3 5 8" xfId="32397" xr:uid="{00000000-0005-0000-0000-00007D7E0000}"/>
    <cellStyle name="Normal 5 10 2 3 5 9" xfId="32398" xr:uid="{00000000-0005-0000-0000-00007E7E0000}"/>
    <cellStyle name="Normal 5 10 2 3 6" xfId="32399" xr:uid="{00000000-0005-0000-0000-00007F7E0000}"/>
    <cellStyle name="Normal 5 10 2 3 7" xfId="32400" xr:uid="{00000000-0005-0000-0000-0000807E0000}"/>
    <cellStyle name="Normal 5 10 2 3 8" xfId="32401" xr:uid="{00000000-0005-0000-0000-0000817E0000}"/>
    <cellStyle name="Normal 5 10 2 3 9" xfId="32402" xr:uid="{00000000-0005-0000-0000-0000827E0000}"/>
    <cellStyle name="Normal 5 10 2 30" xfId="32403" xr:uid="{00000000-0005-0000-0000-0000837E0000}"/>
    <cellStyle name="Normal 5 10 2 30 10" xfId="32404" xr:uid="{00000000-0005-0000-0000-0000847E0000}"/>
    <cellStyle name="Normal 5 10 2 30 11" xfId="32405" xr:uid="{00000000-0005-0000-0000-0000857E0000}"/>
    <cellStyle name="Normal 5 10 2 30 12" xfId="32406" xr:uid="{00000000-0005-0000-0000-0000867E0000}"/>
    <cellStyle name="Normal 5 10 2 30 13" xfId="32407" xr:uid="{00000000-0005-0000-0000-0000877E0000}"/>
    <cellStyle name="Normal 5 10 2 30 14" xfId="32408" xr:uid="{00000000-0005-0000-0000-0000887E0000}"/>
    <cellStyle name="Normal 5 10 2 30 2" xfId="32409" xr:uid="{00000000-0005-0000-0000-0000897E0000}"/>
    <cellStyle name="Normal 5 10 2 30 2 10" xfId="32410" xr:uid="{00000000-0005-0000-0000-00008A7E0000}"/>
    <cellStyle name="Normal 5 10 2 30 2 2" xfId="32411" xr:uid="{00000000-0005-0000-0000-00008B7E0000}"/>
    <cellStyle name="Normal 5 10 2 30 2 3" xfId="32412" xr:uid="{00000000-0005-0000-0000-00008C7E0000}"/>
    <cellStyle name="Normal 5 10 2 30 2 4" xfId="32413" xr:uid="{00000000-0005-0000-0000-00008D7E0000}"/>
    <cellStyle name="Normal 5 10 2 30 2 5" xfId="32414" xr:uid="{00000000-0005-0000-0000-00008E7E0000}"/>
    <cellStyle name="Normal 5 10 2 30 2 6" xfId="32415" xr:uid="{00000000-0005-0000-0000-00008F7E0000}"/>
    <cellStyle name="Normal 5 10 2 30 2 7" xfId="32416" xr:uid="{00000000-0005-0000-0000-0000907E0000}"/>
    <cellStyle name="Normal 5 10 2 30 2 8" xfId="32417" xr:uid="{00000000-0005-0000-0000-0000917E0000}"/>
    <cellStyle name="Normal 5 10 2 30 2 9" xfId="32418" xr:uid="{00000000-0005-0000-0000-0000927E0000}"/>
    <cellStyle name="Normal 5 10 2 30 3" xfId="32419" xr:uid="{00000000-0005-0000-0000-0000937E0000}"/>
    <cellStyle name="Normal 5 10 2 30 3 10" xfId="32420" xr:uid="{00000000-0005-0000-0000-0000947E0000}"/>
    <cellStyle name="Normal 5 10 2 30 3 2" xfId="32421" xr:uid="{00000000-0005-0000-0000-0000957E0000}"/>
    <cellStyle name="Normal 5 10 2 30 3 3" xfId="32422" xr:uid="{00000000-0005-0000-0000-0000967E0000}"/>
    <cellStyle name="Normal 5 10 2 30 3 4" xfId="32423" xr:uid="{00000000-0005-0000-0000-0000977E0000}"/>
    <cellStyle name="Normal 5 10 2 30 3 5" xfId="32424" xr:uid="{00000000-0005-0000-0000-0000987E0000}"/>
    <cellStyle name="Normal 5 10 2 30 3 6" xfId="32425" xr:uid="{00000000-0005-0000-0000-0000997E0000}"/>
    <cellStyle name="Normal 5 10 2 30 3 7" xfId="32426" xr:uid="{00000000-0005-0000-0000-00009A7E0000}"/>
    <cellStyle name="Normal 5 10 2 30 3 8" xfId="32427" xr:uid="{00000000-0005-0000-0000-00009B7E0000}"/>
    <cellStyle name="Normal 5 10 2 30 3 9" xfId="32428" xr:uid="{00000000-0005-0000-0000-00009C7E0000}"/>
    <cellStyle name="Normal 5 10 2 30 4" xfId="32429" xr:uid="{00000000-0005-0000-0000-00009D7E0000}"/>
    <cellStyle name="Normal 5 10 2 30 4 10" xfId="32430" xr:uid="{00000000-0005-0000-0000-00009E7E0000}"/>
    <cellStyle name="Normal 5 10 2 30 4 2" xfId="32431" xr:uid="{00000000-0005-0000-0000-00009F7E0000}"/>
    <cellStyle name="Normal 5 10 2 30 4 3" xfId="32432" xr:uid="{00000000-0005-0000-0000-0000A07E0000}"/>
    <cellStyle name="Normal 5 10 2 30 4 4" xfId="32433" xr:uid="{00000000-0005-0000-0000-0000A17E0000}"/>
    <cellStyle name="Normal 5 10 2 30 4 5" xfId="32434" xr:uid="{00000000-0005-0000-0000-0000A27E0000}"/>
    <cellStyle name="Normal 5 10 2 30 4 6" xfId="32435" xr:uid="{00000000-0005-0000-0000-0000A37E0000}"/>
    <cellStyle name="Normal 5 10 2 30 4 7" xfId="32436" xr:uid="{00000000-0005-0000-0000-0000A47E0000}"/>
    <cellStyle name="Normal 5 10 2 30 4 8" xfId="32437" xr:uid="{00000000-0005-0000-0000-0000A57E0000}"/>
    <cellStyle name="Normal 5 10 2 30 4 9" xfId="32438" xr:uid="{00000000-0005-0000-0000-0000A67E0000}"/>
    <cellStyle name="Normal 5 10 2 30 5" xfId="32439" xr:uid="{00000000-0005-0000-0000-0000A77E0000}"/>
    <cellStyle name="Normal 5 10 2 30 5 10" xfId="32440" xr:uid="{00000000-0005-0000-0000-0000A87E0000}"/>
    <cellStyle name="Normal 5 10 2 30 5 2" xfId="32441" xr:uid="{00000000-0005-0000-0000-0000A97E0000}"/>
    <cellStyle name="Normal 5 10 2 30 5 3" xfId="32442" xr:uid="{00000000-0005-0000-0000-0000AA7E0000}"/>
    <cellStyle name="Normal 5 10 2 30 5 4" xfId="32443" xr:uid="{00000000-0005-0000-0000-0000AB7E0000}"/>
    <cellStyle name="Normal 5 10 2 30 5 5" xfId="32444" xr:uid="{00000000-0005-0000-0000-0000AC7E0000}"/>
    <cellStyle name="Normal 5 10 2 30 5 6" xfId="32445" xr:uid="{00000000-0005-0000-0000-0000AD7E0000}"/>
    <cellStyle name="Normal 5 10 2 30 5 7" xfId="32446" xr:uid="{00000000-0005-0000-0000-0000AE7E0000}"/>
    <cellStyle name="Normal 5 10 2 30 5 8" xfId="32447" xr:uid="{00000000-0005-0000-0000-0000AF7E0000}"/>
    <cellStyle name="Normal 5 10 2 30 5 9" xfId="32448" xr:uid="{00000000-0005-0000-0000-0000B07E0000}"/>
    <cellStyle name="Normal 5 10 2 30 6" xfId="32449" xr:uid="{00000000-0005-0000-0000-0000B17E0000}"/>
    <cellStyle name="Normal 5 10 2 30 7" xfId="32450" xr:uid="{00000000-0005-0000-0000-0000B27E0000}"/>
    <cellStyle name="Normal 5 10 2 30 8" xfId="32451" xr:uid="{00000000-0005-0000-0000-0000B37E0000}"/>
    <cellStyle name="Normal 5 10 2 30 9" xfId="32452" xr:uid="{00000000-0005-0000-0000-0000B47E0000}"/>
    <cellStyle name="Normal 5 10 2 31" xfId="32453" xr:uid="{00000000-0005-0000-0000-0000B57E0000}"/>
    <cellStyle name="Normal 5 10 2 31 10" xfId="32454" xr:uid="{00000000-0005-0000-0000-0000B67E0000}"/>
    <cellStyle name="Normal 5 10 2 31 11" xfId="32455" xr:uid="{00000000-0005-0000-0000-0000B77E0000}"/>
    <cellStyle name="Normal 5 10 2 31 12" xfId="32456" xr:uid="{00000000-0005-0000-0000-0000B87E0000}"/>
    <cellStyle name="Normal 5 10 2 31 13" xfId="32457" xr:uid="{00000000-0005-0000-0000-0000B97E0000}"/>
    <cellStyle name="Normal 5 10 2 31 14" xfId="32458" xr:uid="{00000000-0005-0000-0000-0000BA7E0000}"/>
    <cellStyle name="Normal 5 10 2 31 2" xfId="32459" xr:uid="{00000000-0005-0000-0000-0000BB7E0000}"/>
    <cellStyle name="Normal 5 10 2 31 2 10" xfId="32460" xr:uid="{00000000-0005-0000-0000-0000BC7E0000}"/>
    <cellStyle name="Normal 5 10 2 31 2 2" xfId="32461" xr:uid="{00000000-0005-0000-0000-0000BD7E0000}"/>
    <cellStyle name="Normal 5 10 2 31 2 3" xfId="32462" xr:uid="{00000000-0005-0000-0000-0000BE7E0000}"/>
    <cellStyle name="Normal 5 10 2 31 2 4" xfId="32463" xr:uid="{00000000-0005-0000-0000-0000BF7E0000}"/>
    <cellStyle name="Normal 5 10 2 31 2 5" xfId="32464" xr:uid="{00000000-0005-0000-0000-0000C07E0000}"/>
    <cellStyle name="Normal 5 10 2 31 2 6" xfId="32465" xr:uid="{00000000-0005-0000-0000-0000C17E0000}"/>
    <cellStyle name="Normal 5 10 2 31 2 7" xfId="32466" xr:uid="{00000000-0005-0000-0000-0000C27E0000}"/>
    <cellStyle name="Normal 5 10 2 31 2 8" xfId="32467" xr:uid="{00000000-0005-0000-0000-0000C37E0000}"/>
    <cellStyle name="Normal 5 10 2 31 2 9" xfId="32468" xr:uid="{00000000-0005-0000-0000-0000C47E0000}"/>
    <cellStyle name="Normal 5 10 2 31 3" xfId="32469" xr:uid="{00000000-0005-0000-0000-0000C57E0000}"/>
    <cellStyle name="Normal 5 10 2 31 3 10" xfId="32470" xr:uid="{00000000-0005-0000-0000-0000C67E0000}"/>
    <cellStyle name="Normal 5 10 2 31 3 2" xfId="32471" xr:uid="{00000000-0005-0000-0000-0000C77E0000}"/>
    <cellStyle name="Normal 5 10 2 31 3 3" xfId="32472" xr:uid="{00000000-0005-0000-0000-0000C87E0000}"/>
    <cellStyle name="Normal 5 10 2 31 3 4" xfId="32473" xr:uid="{00000000-0005-0000-0000-0000C97E0000}"/>
    <cellStyle name="Normal 5 10 2 31 3 5" xfId="32474" xr:uid="{00000000-0005-0000-0000-0000CA7E0000}"/>
    <cellStyle name="Normal 5 10 2 31 3 6" xfId="32475" xr:uid="{00000000-0005-0000-0000-0000CB7E0000}"/>
    <cellStyle name="Normal 5 10 2 31 3 7" xfId="32476" xr:uid="{00000000-0005-0000-0000-0000CC7E0000}"/>
    <cellStyle name="Normal 5 10 2 31 3 8" xfId="32477" xr:uid="{00000000-0005-0000-0000-0000CD7E0000}"/>
    <cellStyle name="Normal 5 10 2 31 3 9" xfId="32478" xr:uid="{00000000-0005-0000-0000-0000CE7E0000}"/>
    <cellStyle name="Normal 5 10 2 31 4" xfId="32479" xr:uid="{00000000-0005-0000-0000-0000CF7E0000}"/>
    <cellStyle name="Normal 5 10 2 31 4 10" xfId="32480" xr:uid="{00000000-0005-0000-0000-0000D07E0000}"/>
    <cellStyle name="Normal 5 10 2 31 4 2" xfId="32481" xr:uid="{00000000-0005-0000-0000-0000D17E0000}"/>
    <cellStyle name="Normal 5 10 2 31 4 3" xfId="32482" xr:uid="{00000000-0005-0000-0000-0000D27E0000}"/>
    <cellStyle name="Normal 5 10 2 31 4 4" xfId="32483" xr:uid="{00000000-0005-0000-0000-0000D37E0000}"/>
    <cellStyle name="Normal 5 10 2 31 4 5" xfId="32484" xr:uid="{00000000-0005-0000-0000-0000D47E0000}"/>
    <cellStyle name="Normal 5 10 2 31 4 6" xfId="32485" xr:uid="{00000000-0005-0000-0000-0000D57E0000}"/>
    <cellStyle name="Normal 5 10 2 31 4 7" xfId="32486" xr:uid="{00000000-0005-0000-0000-0000D67E0000}"/>
    <cellStyle name="Normal 5 10 2 31 4 8" xfId="32487" xr:uid="{00000000-0005-0000-0000-0000D77E0000}"/>
    <cellStyle name="Normal 5 10 2 31 4 9" xfId="32488" xr:uid="{00000000-0005-0000-0000-0000D87E0000}"/>
    <cellStyle name="Normal 5 10 2 31 5" xfId="32489" xr:uid="{00000000-0005-0000-0000-0000D97E0000}"/>
    <cellStyle name="Normal 5 10 2 31 5 10" xfId="32490" xr:uid="{00000000-0005-0000-0000-0000DA7E0000}"/>
    <cellStyle name="Normal 5 10 2 31 5 2" xfId="32491" xr:uid="{00000000-0005-0000-0000-0000DB7E0000}"/>
    <cellStyle name="Normal 5 10 2 31 5 3" xfId="32492" xr:uid="{00000000-0005-0000-0000-0000DC7E0000}"/>
    <cellStyle name="Normal 5 10 2 31 5 4" xfId="32493" xr:uid="{00000000-0005-0000-0000-0000DD7E0000}"/>
    <cellStyle name="Normal 5 10 2 31 5 5" xfId="32494" xr:uid="{00000000-0005-0000-0000-0000DE7E0000}"/>
    <cellStyle name="Normal 5 10 2 31 5 6" xfId="32495" xr:uid="{00000000-0005-0000-0000-0000DF7E0000}"/>
    <cellStyle name="Normal 5 10 2 31 5 7" xfId="32496" xr:uid="{00000000-0005-0000-0000-0000E07E0000}"/>
    <cellStyle name="Normal 5 10 2 31 5 8" xfId="32497" xr:uid="{00000000-0005-0000-0000-0000E17E0000}"/>
    <cellStyle name="Normal 5 10 2 31 5 9" xfId="32498" xr:uid="{00000000-0005-0000-0000-0000E27E0000}"/>
    <cellStyle name="Normal 5 10 2 31 6" xfId="32499" xr:uid="{00000000-0005-0000-0000-0000E37E0000}"/>
    <cellStyle name="Normal 5 10 2 31 7" xfId="32500" xr:uid="{00000000-0005-0000-0000-0000E47E0000}"/>
    <cellStyle name="Normal 5 10 2 31 8" xfId="32501" xr:uid="{00000000-0005-0000-0000-0000E57E0000}"/>
    <cellStyle name="Normal 5 10 2 31 9" xfId="32502" xr:uid="{00000000-0005-0000-0000-0000E67E0000}"/>
    <cellStyle name="Normal 5 10 2 32" xfId="32503" xr:uid="{00000000-0005-0000-0000-0000E77E0000}"/>
    <cellStyle name="Normal 5 10 2 32 10" xfId="32504" xr:uid="{00000000-0005-0000-0000-0000E87E0000}"/>
    <cellStyle name="Normal 5 10 2 32 11" xfId="32505" xr:uid="{00000000-0005-0000-0000-0000E97E0000}"/>
    <cellStyle name="Normal 5 10 2 32 12" xfId="32506" xr:uid="{00000000-0005-0000-0000-0000EA7E0000}"/>
    <cellStyle name="Normal 5 10 2 32 13" xfId="32507" xr:uid="{00000000-0005-0000-0000-0000EB7E0000}"/>
    <cellStyle name="Normal 5 10 2 32 14" xfId="32508" xr:uid="{00000000-0005-0000-0000-0000EC7E0000}"/>
    <cellStyle name="Normal 5 10 2 32 2" xfId="32509" xr:uid="{00000000-0005-0000-0000-0000ED7E0000}"/>
    <cellStyle name="Normal 5 10 2 32 2 10" xfId="32510" xr:uid="{00000000-0005-0000-0000-0000EE7E0000}"/>
    <cellStyle name="Normal 5 10 2 32 2 2" xfId="32511" xr:uid="{00000000-0005-0000-0000-0000EF7E0000}"/>
    <cellStyle name="Normal 5 10 2 32 2 3" xfId="32512" xr:uid="{00000000-0005-0000-0000-0000F07E0000}"/>
    <cellStyle name="Normal 5 10 2 32 2 4" xfId="32513" xr:uid="{00000000-0005-0000-0000-0000F17E0000}"/>
    <cellStyle name="Normal 5 10 2 32 2 5" xfId="32514" xr:uid="{00000000-0005-0000-0000-0000F27E0000}"/>
    <cellStyle name="Normal 5 10 2 32 2 6" xfId="32515" xr:uid="{00000000-0005-0000-0000-0000F37E0000}"/>
    <cellStyle name="Normal 5 10 2 32 2 7" xfId="32516" xr:uid="{00000000-0005-0000-0000-0000F47E0000}"/>
    <cellStyle name="Normal 5 10 2 32 2 8" xfId="32517" xr:uid="{00000000-0005-0000-0000-0000F57E0000}"/>
    <cellStyle name="Normal 5 10 2 32 2 9" xfId="32518" xr:uid="{00000000-0005-0000-0000-0000F67E0000}"/>
    <cellStyle name="Normal 5 10 2 32 3" xfId="32519" xr:uid="{00000000-0005-0000-0000-0000F77E0000}"/>
    <cellStyle name="Normal 5 10 2 32 3 10" xfId="32520" xr:uid="{00000000-0005-0000-0000-0000F87E0000}"/>
    <cellStyle name="Normal 5 10 2 32 3 2" xfId="32521" xr:uid="{00000000-0005-0000-0000-0000F97E0000}"/>
    <cellStyle name="Normal 5 10 2 32 3 3" xfId="32522" xr:uid="{00000000-0005-0000-0000-0000FA7E0000}"/>
    <cellStyle name="Normal 5 10 2 32 3 4" xfId="32523" xr:uid="{00000000-0005-0000-0000-0000FB7E0000}"/>
    <cellStyle name="Normal 5 10 2 32 3 5" xfId="32524" xr:uid="{00000000-0005-0000-0000-0000FC7E0000}"/>
    <cellStyle name="Normal 5 10 2 32 3 6" xfId="32525" xr:uid="{00000000-0005-0000-0000-0000FD7E0000}"/>
    <cellStyle name="Normal 5 10 2 32 3 7" xfId="32526" xr:uid="{00000000-0005-0000-0000-0000FE7E0000}"/>
    <cellStyle name="Normal 5 10 2 32 3 8" xfId="32527" xr:uid="{00000000-0005-0000-0000-0000FF7E0000}"/>
    <cellStyle name="Normal 5 10 2 32 3 9" xfId="32528" xr:uid="{00000000-0005-0000-0000-0000007F0000}"/>
    <cellStyle name="Normal 5 10 2 32 4" xfId="32529" xr:uid="{00000000-0005-0000-0000-0000017F0000}"/>
    <cellStyle name="Normal 5 10 2 32 4 10" xfId="32530" xr:uid="{00000000-0005-0000-0000-0000027F0000}"/>
    <cellStyle name="Normal 5 10 2 32 4 2" xfId="32531" xr:uid="{00000000-0005-0000-0000-0000037F0000}"/>
    <cellStyle name="Normal 5 10 2 32 4 3" xfId="32532" xr:uid="{00000000-0005-0000-0000-0000047F0000}"/>
    <cellStyle name="Normal 5 10 2 32 4 4" xfId="32533" xr:uid="{00000000-0005-0000-0000-0000057F0000}"/>
    <cellStyle name="Normal 5 10 2 32 4 5" xfId="32534" xr:uid="{00000000-0005-0000-0000-0000067F0000}"/>
    <cellStyle name="Normal 5 10 2 32 4 6" xfId="32535" xr:uid="{00000000-0005-0000-0000-0000077F0000}"/>
    <cellStyle name="Normal 5 10 2 32 4 7" xfId="32536" xr:uid="{00000000-0005-0000-0000-0000087F0000}"/>
    <cellStyle name="Normal 5 10 2 32 4 8" xfId="32537" xr:uid="{00000000-0005-0000-0000-0000097F0000}"/>
    <cellStyle name="Normal 5 10 2 32 4 9" xfId="32538" xr:uid="{00000000-0005-0000-0000-00000A7F0000}"/>
    <cellStyle name="Normal 5 10 2 32 5" xfId="32539" xr:uid="{00000000-0005-0000-0000-00000B7F0000}"/>
    <cellStyle name="Normal 5 10 2 32 5 10" xfId="32540" xr:uid="{00000000-0005-0000-0000-00000C7F0000}"/>
    <cellStyle name="Normal 5 10 2 32 5 2" xfId="32541" xr:uid="{00000000-0005-0000-0000-00000D7F0000}"/>
    <cellStyle name="Normal 5 10 2 32 5 3" xfId="32542" xr:uid="{00000000-0005-0000-0000-00000E7F0000}"/>
    <cellStyle name="Normal 5 10 2 32 5 4" xfId="32543" xr:uid="{00000000-0005-0000-0000-00000F7F0000}"/>
    <cellStyle name="Normal 5 10 2 32 5 5" xfId="32544" xr:uid="{00000000-0005-0000-0000-0000107F0000}"/>
    <cellStyle name="Normal 5 10 2 32 5 6" xfId="32545" xr:uid="{00000000-0005-0000-0000-0000117F0000}"/>
    <cellStyle name="Normal 5 10 2 32 5 7" xfId="32546" xr:uid="{00000000-0005-0000-0000-0000127F0000}"/>
    <cellStyle name="Normal 5 10 2 32 5 8" xfId="32547" xr:uid="{00000000-0005-0000-0000-0000137F0000}"/>
    <cellStyle name="Normal 5 10 2 32 5 9" xfId="32548" xr:uid="{00000000-0005-0000-0000-0000147F0000}"/>
    <cellStyle name="Normal 5 10 2 32 6" xfId="32549" xr:uid="{00000000-0005-0000-0000-0000157F0000}"/>
    <cellStyle name="Normal 5 10 2 32 7" xfId="32550" xr:uid="{00000000-0005-0000-0000-0000167F0000}"/>
    <cellStyle name="Normal 5 10 2 32 8" xfId="32551" xr:uid="{00000000-0005-0000-0000-0000177F0000}"/>
    <cellStyle name="Normal 5 10 2 32 9" xfId="32552" xr:uid="{00000000-0005-0000-0000-0000187F0000}"/>
    <cellStyle name="Normal 5 10 2 33" xfId="32553" xr:uid="{00000000-0005-0000-0000-0000197F0000}"/>
    <cellStyle name="Normal 5 10 2 33 10" xfId="32554" xr:uid="{00000000-0005-0000-0000-00001A7F0000}"/>
    <cellStyle name="Normal 5 10 2 33 11" xfId="32555" xr:uid="{00000000-0005-0000-0000-00001B7F0000}"/>
    <cellStyle name="Normal 5 10 2 33 12" xfId="32556" xr:uid="{00000000-0005-0000-0000-00001C7F0000}"/>
    <cellStyle name="Normal 5 10 2 33 13" xfId="32557" xr:uid="{00000000-0005-0000-0000-00001D7F0000}"/>
    <cellStyle name="Normal 5 10 2 33 14" xfId="32558" xr:uid="{00000000-0005-0000-0000-00001E7F0000}"/>
    <cellStyle name="Normal 5 10 2 33 2" xfId="32559" xr:uid="{00000000-0005-0000-0000-00001F7F0000}"/>
    <cellStyle name="Normal 5 10 2 33 2 10" xfId="32560" xr:uid="{00000000-0005-0000-0000-0000207F0000}"/>
    <cellStyle name="Normal 5 10 2 33 2 2" xfId="32561" xr:uid="{00000000-0005-0000-0000-0000217F0000}"/>
    <cellStyle name="Normal 5 10 2 33 2 3" xfId="32562" xr:uid="{00000000-0005-0000-0000-0000227F0000}"/>
    <cellStyle name="Normal 5 10 2 33 2 4" xfId="32563" xr:uid="{00000000-0005-0000-0000-0000237F0000}"/>
    <cellStyle name="Normal 5 10 2 33 2 5" xfId="32564" xr:uid="{00000000-0005-0000-0000-0000247F0000}"/>
    <cellStyle name="Normal 5 10 2 33 2 6" xfId="32565" xr:uid="{00000000-0005-0000-0000-0000257F0000}"/>
    <cellStyle name="Normal 5 10 2 33 2 7" xfId="32566" xr:uid="{00000000-0005-0000-0000-0000267F0000}"/>
    <cellStyle name="Normal 5 10 2 33 2 8" xfId="32567" xr:uid="{00000000-0005-0000-0000-0000277F0000}"/>
    <cellStyle name="Normal 5 10 2 33 2 9" xfId="32568" xr:uid="{00000000-0005-0000-0000-0000287F0000}"/>
    <cellStyle name="Normal 5 10 2 33 3" xfId="32569" xr:uid="{00000000-0005-0000-0000-0000297F0000}"/>
    <cellStyle name="Normal 5 10 2 33 3 10" xfId="32570" xr:uid="{00000000-0005-0000-0000-00002A7F0000}"/>
    <cellStyle name="Normal 5 10 2 33 3 2" xfId="32571" xr:uid="{00000000-0005-0000-0000-00002B7F0000}"/>
    <cellStyle name="Normal 5 10 2 33 3 3" xfId="32572" xr:uid="{00000000-0005-0000-0000-00002C7F0000}"/>
    <cellStyle name="Normal 5 10 2 33 3 4" xfId="32573" xr:uid="{00000000-0005-0000-0000-00002D7F0000}"/>
    <cellStyle name="Normal 5 10 2 33 3 5" xfId="32574" xr:uid="{00000000-0005-0000-0000-00002E7F0000}"/>
    <cellStyle name="Normal 5 10 2 33 3 6" xfId="32575" xr:uid="{00000000-0005-0000-0000-00002F7F0000}"/>
    <cellStyle name="Normal 5 10 2 33 3 7" xfId="32576" xr:uid="{00000000-0005-0000-0000-0000307F0000}"/>
    <cellStyle name="Normal 5 10 2 33 3 8" xfId="32577" xr:uid="{00000000-0005-0000-0000-0000317F0000}"/>
    <cellStyle name="Normal 5 10 2 33 3 9" xfId="32578" xr:uid="{00000000-0005-0000-0000-0000327F0000}"/>
    <cellStyle name="Normal 5 10 2 33 4" xfId="32579" xr:uid="{00000000-0005-0000-0000-0000337F0000}"/>
    <cellStyle name="Normal 5 10 2 33 4 10" xfId="32580" xr:uid="{00000000-0005-0000-0000-0000347F0000}"/>
    <cellStyle name="Normal 5 10 2 33 4 2" xfId="32581" xr:uid="{00000000-0005-0000-0000-0000357F0000}"/>
    <cellStyle name="Normal 5 10 2 33 4 3" xfId="32582" xr:uid="{00000000-0005-0000-0000-0000367F0000}"/>
    <cellStyle name="Normal 5 10 2 33 4 4" xfId="32583" xr:uid="{00000000-0005-0000-0000-0000377F0000}"/>
    <cellStyle name="Normal 5 10 2 33 4 5" xfId="32584" xr:uid="{00000000-0005-0000-0000-0000387F0000}"/>
    <cellStyle name="Normal 5 10 2 33 4 6" xfId="32585" xr:uid="{00000000-0005-0000-0000-0000397F0000}"/>
    <cellStyle name="Normal 5 10 2 33 4 7" xfId="32586" xr:uid="{00000000-0005-0000-0000-00003A7F0000}"/>
    <cellStyle name="Normal 5 10 2 33 4 8" xfId="32587" xr:uid="{00000000-0005-0000-0000-00003B7F0000}"/>
    <cellStyle name="Normal 5 10 2 33 4 9" xfId="32588" xr:uid="{00000000-0005-0000-0000-00003C7F0000}"/>
    <cellStyle name="Normal 5 10 2 33 5" xfId="32589" xr:uid="{00000000-0005-0000-0000-00003D7F0000}"/>
    <cellStyle name="Normal 5 10 2 33 5 10" xfId="32590" xr:uid="{00000000-0005-0000-0000-00003E7F0000}"/>
    <cellStyle name="Normal 5 10 2 33 5 2" xfId="32591" xr:uid="{00000000-0005-0000-0000-00003F7F0000}"/>
    <cellStyle name="Normal 5 10 2 33 5 3" xfId="32592" xr:uid="{00000000-0005-0000-0000-0000407F0000}"/>
    <cellStyle name="Normal 5 10 2 33 5 4" xfId="32593" xr:uid="{00000000-0005-0000-0000-0000417F0000}"/>
    <cellStyle name="Normal 5 10 2 33 5 5" xfId="32594" xr:uid="{00000000-0005-0000-0000-0000427F0000}"/>
    <cellStyle name="Normal 5 10 2 33 5 6" xfId="32595" xr:uid="{00000000-0005-0000-0000-0000437F0000}"/>
    <cellStyle name="Normal 5 10 2 33 5 7" xfId="32596" xr:uid="{00000000-0005-0000-0000-0000447F0000}"/>
    <cellStyle name="Normal 5 10 2 33 5 8" xfId="32597" xr:uid="{00000000-0005-0000-0000-0000457F0000}"/>
    <cellStyle name="Normal 5 10 2 33 5 9" xfId="32598" xr:uid="{00000000-0005-0000-0000-0000467F0000}"/>
    <cellStyle name="Normal 5 10 2 33 6" xfId="32599" xr:uid="{00000000-0005-0000-0000-0000477F0000}"/>
    <cellStyle name="Normal 5 10 2 33 7" xfId="32600" xr:uid="{00000000-0005-0000-0000-0000487F0000}"/>
    <cellStyle name="Normal 5 10 2 33 8" xfId="32601" xr:uid="{00000000-0005-0000-0000-0000497F0000}"/>
    <cellStyle name="Normal 5 10 2 33 9" xfId="32602" xr:uid="{00000000-0005-0000-0000-00004A7F0000}"/>
    <cellStyle name="Normal 5 10 2 34" xfId="32603" xr:uid="{00000000-0005-0000-0000-00004B7F0000}"/>
    <cellStyle name="Normal 5 10 2 34 10" xfId="32604" xr:uid="{00000000-0005-0000-0000-00004C7F0000}"/>
    <cellStyle name="Normal 5 10 2 34 2" xfId="32605" xr:uid="{00000000-0005-0000-0000-00004D7F0000}"/>
    <cellStyle name="Normal 5 10 2 34 3" xfId="32606" xr:uid="{00000000-0005-0000-0000-00004E7F0000}"/>
    <cellStyle name="Normal 5 10 2 34 4" xfId="32607" xr:uid="{00000000-0005-0000-0000-00004F7F0000}"/>
    <cellStyle name="Normal 5 10 2 34 5" xfId="32608" xr:uid="{00000000-0005-0000-0000-0000507F0000}"/>
    <cellStyle name="Normal 5 10 2 34 6" xfId="32609" xr:uid="{00000000-0005-0000-0000-0000517F0000}"/>
    <cellStyle name="Normal 5 10 2 34 7" xfId="32610" xr:uid="{00000000-0005-0000-0000-0000527F0000}"/>
    <cellStyle name="Normal 5 10 2 34 8" xfId="32611" xr:uid="{00000000-0005-0000-0000-0000537F0000}"/>
    <cellStyle name="Normal 5 10 2 34 9" xfId="32612" xr:uid="{00000000-0005-0000-0000-0000547F0000}"/>
    <cellStyle name="Normal 5 10 2 35" xfId="32613" xr:uid="{00000000-0005-0000-0000-0000557F0000}"/>
    <cellStyle name="Normal 5 10 2 35 10" xfId="32614" xr:uid="{00000000-0005-0000-0000-0000567F0000}"/>
    <cellStyle name="Normal 5 10 2 35 2" xfId="32615" xr:uid="{00000000-0005-0000-0000-0000577F0000}"/>
    <cellStyle name="Normal 5 10 2 35 3" xfId="32616" xr:uid="{00000000-0005-0000-0000-0000587F0000}"/>
    <cellStyle name="Normal 5 10 2 35 4" xfId="32617" xr:uid="{00000000-0005-0000-0000-0000597F0000}"/>
    <cellStyle name="Normal 5 10 2 35 5" xfId="32618" xr:uid="{00000000-0005-0000-0000-00005A7F0000}"/>
    <cellStyle name="Normal 5 10 2 35 6" xfId="32619" xr:uid="{00000000-0005-0000-0000-00005B7F0000}"/>
    <cellStyle name="Normal 5 10 2 35 7" xfId="32620" xr:uid="{00000000-0005-0000-0000-00005C7F0000}"/>
    <cellStyle name="Normal 5 10 2 35 8" xfId="32621" xr:uid="{00000000-0005-0000-0000-00005D7F0000}"/>
    <cellStyle name="Normal 5 10 2 35 9" xfId="32622" xr:uid="{00000000-0005-0000-0000-00005E7F0000}"/>
    <cellStyle name="Normal 5 10 2 36" xfId="32623" xr:uid="{00000000-0005-0000-0000-00005F7F0000}"/>
    <cellStyle name="Normal 5 10 2 36 10" xfId="32624" xr:uid="{00000000-0005-0000-0000-0000607F0000}"/>
    <cellStyle name="Normal 5 10 2 36 2" xfId="32625" xr:uid="{00000000-0005-0000-0000-0000617F0000}"/>
    <cellStyle name="Normal 5 10 2 36 3" xfId="32626" xr:uid="{00000000-0005-0000-0000-0000627F0000}"/>
    <cellStyle name="Normal 5 10 2 36 4" xfId="32627" xr:uid="{00000000-0005-0000-0000-0000637F0000}"/>
    <cellStyle name="Normal 5 10 2 36 5" xfId="32628" xr:uid="{00000000-0005-0000-0000-0000647F0000}"/>
    <cellStyle name="Normal 5 10 2 36 6" xfId="32629" xr:uid="{00000000-0005-0000-0000-0000657F0000}"/>
    <cellStyle name="Normal 5 10 2 36 7" xfId="32630" xr:uid="{00000000-0005-0000-0000-0000667F0000}"/>
    <cellStyle name="Normal 5 10 2 36 8" xfId="32631" xr:uid="{00000000-0005-0000-0000-0000677F0000}"/>
    <cellStyle name="Normal 5 10 2 36 9" xfId="32632" xr:uid="{00000000-0005-0000-0000-0000687F0000}"/>
    <cellStyle name="Normal 5 10 2 37" xfId="32633" xr:uid="{00000000-0005-0000-0000-0000697F0000}"/>
    <cellStyle name="Normal 5 10 2 37 10" xfId="32634" xr:uid="{00000000-0005-0000-0000-00006A7F0000}"/>
    <cellStyle name="Normal 5 10 2 37 2" xfId="32635" xr:uid="{00000000-0005-0000-0000-00006B7F0000}"/>
    <cellStyle name="Normal 5 10 2 37 3" xfId="32636" xr:uid="{00000000-0005-0000-0000-00006C7F0000}"/>
    <cellStyle name="Normal 5 10 2 37 4" xfId="32637" xr:uid="{00000000-0005-0000-0000-00006D7F0000}"/>
    <cellStyle name="Normal 5 10 2 37 5" xfId="32638" xr:uid="{00000000-0005-0000-0000-00006E7F0000}"/>
    <cellStyle name="Normal 5 10 2 37 6" xfId="32639" xr:uid="{00000000-0005-0000-0000-00006F7F0000}"/>
    <cellStyle name="Normal 5 10 2 37 7" xfId="32640" xr:uid="{00000000-0005-0000-0000-0000707F0000}"/>
    <cellStyle name="Normal 5 10 2 37 8" xfId="32641" xr:uid="{00000000-0005-0000-0000-0000717F0000}"/>
    <cellStyle name="Normal 5 10 2 37 9" xfId="32642" xr:uid="{00000000-0005-0000-0000-0000727F0000}"/>
    <cellStyle name="Normal 5 10 2 38" xfId="32643" xr:uid="{00000000-0005-0000-0000-0000737F0000}"/>
    <cellStyle name="Normal 5 10 2 39" xfId="32644" xr:uid="{00000000-0005-0000-0000-0000747F0000}"/>
    <cellStyle name="Normal 5 10 2 4" xfId="32645" xr:uid="{00000000-0005-0000-0000-0000757F0000}"/>
    <cellStyle name="Normal 5 10 2 4 10" xfId="32646" xr:uid="{00000000-0005-0000-0000-0000767F0000}"/>
    <cellStyle name="Normal 5 10 2 4 11" xfId="32647" xr:uid="{00000000-0005-0000-0000-0000777F0000}"/>
    <cellStyle name="Normal 5 10 2 4 12" xfId="32648" xr:uid="{00000000-0005-0000-0000-0000787F0000}"/>
    <cellStyle name="Normal 5 10 2 4 13" xfId="32649" xr:uid="{00000000-0005-0000-0000-0000797F0000}"/>
    <cellStyle name="Normal 5 10 2 4 14" xfId="32650" xr:uid="{00000000-0005-0000-0000-00007A7F0000}"/>
    <cellStyle name="Normal 5 10 2 4 2" xfId="32651" xr:uid="{00000000-0005-0000-0000-00007B7F0000}"/>
    <cellStyle name="Normal 5 10 2 4 2 10" xfId="32652" xr:uid="{00000000-0005-0000-0000-00007C7F0000}"/>
    <cellStyle name="Normal 5 10 2 4 2 2" xfId="32653" xr:uid="{00000000-0005-0000-0000-00007D7F0000}"/>
    <cellStyle name="Normal 5 10 2 4 2 3" xfId="32654" xr:uid="{00000000-0005-0000-0000-00007E7F0000}"/>
    <cellStyle name="Normal 5 10 2 4 2 4" xfId="32655" xr:uid="{00000000-0005-0000-0000-00007F7F0000}"/>
    <cellStyle name="Normal 5 10 2 4 2 5" xfId="32656" xr:uid="{00000000-0005-0000-0000-0000807F0000}"/>
    <cellStyle name="Normal 5 10 2 4 2 6" xfId="32657" xr:uid="{00000000-0005-0000-0000-0000817F0000}"/>
    <cellStyle name="Normal 5 10 2 4 2 7" xfId="32658" xr:uid="{00000000-0005-0000-0000-0000827F0000}"/>
    <cellStyle name="Normal 5 10 2 4 2 8" xfId="32659" xr:uid="{00000000-0005-0000-0000-0000837F0000}"/>
    <cellStyle name="Normal 5 10 2 4 2 9" xfId="32660" xr:uid="{00000000-0005-0000-0000-0000847F0000}"/>
    <cellStyle name="Normal 5 10 2 4 3" xfId="32661" xr:uid="{00000000-0005-0000-0000-0000857F0000}"/>
    <cellStyle name="Normal 5 10 2 4 3 10" xfId="32662" xr:uid="{00000000-0005-0000-0000-0000867F0000}"/>
    <cellStyle name="Normal 5 10 2 4 3 2" xfId="32663" xr:uid="{00000000-0005-0000-0000-0000877F0000}"/>
    <cellStyle name="Normal 5 10 2 4 3 3" xfId="32664" xr:uid="{00000000-0005-0000-0000-0000887F0000}"/>
    <cellStyle name="Normal 5 10 2 4 3 4" xfId="32665" xr:uid="{00000000-0005-0000-0000-0000897F0000}"/>
    <cellStyle name="Normal 5 10 2 4 3 5" xfId="32666" xr:uid="{00000000-0005-0000-0000-00008A7F0000}"/>
    <cellStyle name="Normal 5 10 2 4 3 6" xfId="32667" xr:uid="{00000000-0005-0000-0000-00008B7F0000}"/>
    <cellStyle name="Normal 5 10 2 4 3 7" xfId="32668" xr:uid="{00000000-0005-0000-0000-00008C7F0000}"/>
    <cellStyle name="Normal 5 10 2 4 3 8" xfId="32669" xr:uid="{00000000-0005-0000-0000-00008D7F0000}"/>
    <cellStyle name="Normal 5 10 2 4 3 9" xfId="32670" xr:uid="{00000000-0005-0000-0000-00008E7F0000}"/>
    <cellStyle name="Normal 5 10 2 4 4" xfId="32671" xr:uid="{00000000-0005-0000-0000-00008F7F0000}"/>
    <cellStyle name="Normal 5 10 2 4 4 10" xfId="32672" xr:uid="{00000000-0005-0000-0000-0000907F0000}"/>
    <cellStyle name="Normal 5 10 2 4 4 2" xfId="32673" xr:uid="{00000000-0005-0000-0000-0000917F0000}"/>
    <cellStyle name="Normal 5 10 2 4 4 3" xfId="32674" xr:uid="{00000000-0005-0000-0000-0000927F0000}"/>
    <cellStyle name="Normal 5 10 2 4 4 4" xfId="32675" xr:uid="{00000000-0005-0000-0000-0000937F0000}"/>
    <cellStyle name="Normal 5 10 2 4 4 5" xfId="32676" xr:uid="{00000000-0005-0000-0000-0000947F0000}"/>
    <cellStyle name="Normal 5 10 2 4 4 6" xfId="32677" xr:uid="{00000000-0005-0000-0000-0000957F0000}"/>
    <cellStyle name="Normal 5 10 2 4 4 7" xfId="32678" xr:uid="{00000000-0005-0000-0000-0000967F0000}"/>
    <cellStyle name="Normal 5 10 2 4 4 8" xfId="32679" xr:uid="{00000000-0005-0000-0000-0000977F0000}"/>
    <cellStyle name="Normal 5 10 2 4 4 9" xfId="32680" xr:uid="{00000000-0005-0000-0000-0000987F0000}"/>
    <cellStyle name="Normal 5 10 2 4 5" xfId="32681" xr:uid="{00000000-0005-0000-0000-0000997F0000}"/>
    <cellStyle name="Normal 5 10 2 4 5 10" xfId="32682" xr:uid="{00000000-0005-0000-0000-00009A7F0000}"/>
    <cellStyle name="Normal 5 10 2 4 5 2" xfId="32683" xr:uid="{00000000-0005-0000-0000-00009B7F0000}"/>
    <cellStyle name="Normal 5 10 2 4 5 3" xfId="32684" xr:uid="{00000000-0005-0000-0000-00009C7F0000}"/>
    <cellStyle name="Normal 5 10 2 4 5 4" xfId="32685" xr:uid="{00000000-0005-0000-0000-00009D7F0000}"/>
    <cellStyle name="Normal 5 10 2 4 5 5" xfId="32686" xr:uid="{00000000-0005-0000-0000-00009E7F0000}"/>
    <cellStyle name="Normal 5 10 2 4 5 6" xfId="32687" xr:uid="{00000000-0005-0000-0000-00009F7F0000}"/>
    <cellStyle name="Normal 5 10 2 4 5 7" xfId="32688" xr:uid="{00000000-0005-0000-0000-0000A07F0000}"/>
    <cellStyle name="Normal 5 10 2 4 5 8" xfId="32689" xr:uid="{00000000-0005-0000-0000-0000A17F0000}"/>
    <cellStyle name="Normal 5 10 2 4 5 9" xfId="32690" xr:uid="{00000000-0005-0000-0000-0000A27F0000}"/>
    <cellStyle name="Normal 5 10 2 4 6" xfId="32691" xr:uid="{00000000-0005-0000-0000-0000A37F0000}"/>
    <cellStyle name="Normal 5 10 2 4 7" xfId="32692" xr:uid="{00000000-0005-0000-0000-0000A47F0000}"/>
    <cellStyle name="Normal 5 10 2 4 8" xfId="32693" xr:uid="{00000000-0005-0000-0000-0000A57F0000}"/>
    <cellStyle name="Normal 5 10 2 4 9" xfId="32694" xr:uid="{00000000-0005-0000-0000-0000A67F0000}"/>
    <cellStyle name="Normal 5 10 2 40" xfId="32695" xr:uid="{00000000-0005-0000-0000-0000A77F0000}"/>
    <cellStyle name="Normal 5 10 2 41" xfId="32696" xr:uid="{00000000-0005-0000-0000-0000A87F0000}"/>
    <cellStyle name="Normal 5 10 2 42" xfId="32697" xr:uid="{00000000-0005-0000-0000-0000A97F0000}"/>
    <cellStyle name="Normal 5 10 2 43" xfId="32698" xr:uid="{00000000-0005-0000-0000-0000AA7F0000}"/>
    <cellStyle name="Normal 5 10 2 44" xfId="32699" xr:uid="{00000000-0005-0000-0000-0000AB7F0000}"/>
    <cellStyle name="Normal 5 10 2 45" xfId="32700" xr:uid="{00000000-0005-0000-0000-0000AC7F0000}"/>
    <cellStyle name="Normal 5 10 2 46" xfId="32701" xr:uid="{00000000-0005-0000-0000-0000AD7F0000}"/>
    <cellStyle name="Normal 5 10 2 47" xfId="32702" xr:uid="{00000000-0005-0000-0000-0000AE7F0000}"/>
    <cellStyle name="Normal 5 10 2 48" xfId="32703" xr:uid="{00000000-0005-0000-0000-0000AF7F0000}"/>
    <cellStyle name="Normal 5 10 2 49" xfId="31300" xr:uid="{00000000-0005-0000-0000-0000B07F0000}"/>
    <cellStyle name="Normal 5 10 2 5" xfId="32704" xr:uid="{00000000-0005-0000-0000-0000B17F0000}"/>
    <cellStyle name="Normal 5 10 2 5 10" xfId="32705" xr:uid="{00000000-0005-0000-0000-0000B27F0000}"/>
    <cellStyle name="Normal 5 10 2 5 11" xfId="32706" xr:uid="{00000000-0005-0000-0000-0000B37F0000}"/>
    <cellStyle name="Normal 5 10 2 5 12" xfId="32707" xr:uid="{00000000-0005-0000-0000-0000B47F0000}"/>
    <cellStyle name="Normal 5 10 2 5 13" xfId="32708" xr:uid="{00000000-0005-0000-0000-0000B57F0000}"/>
    <cellStyle name="Normal 5 10 2 5 14" xfId="32709" xr:uid="{00000000-0005-0000-0000-0000B67F0000}"/>
    <cellStyle name="Normal 5 10 2 5 2" xfId="32710" xr:uid="{00000000-0005-0000-0000-0000B77F0000}"/>
    <cellStyle name="Normal 5 10 2 5 2 10" xfId="32711" xr:uid="{00000000-0005-0000-0000-0000B87F0000}"/>
    <cellStyle name="Normal 5 10 2 5 2 2" xfId="32712" xr:uid="{00000000-0005-0000-0000-0000B97F0000}"/>
    <cellStyle name="Normal 5 10 2 5 2 3" xfId="32713" xr:uid="{00000000-0005-0000-0000-0000BA7F0000}"/>
    <cellStyle name="Normal 5 10 2 5 2 4" xfId="32714" xr:uid="{00000000-0005-0000-0000-0000BB7F0000}"/>
    <cellStyle name="Normal 5 10 2 5 2 5" xfId="32715" xr:uid="{00000000-0005-0000-0000-0000BC7F0000}"/>
    <cellStyle name="Normal 5 10 2 5 2 6" xfId="32716" xr:uid="{00000000-0005-0000-0000-0000BD7F0000}"/>
    <cellStyle name="Normal 5 10 2 5 2 7" xfId="32717" xr:uid="{00000000-0005-0000-0000-0000BE7F0000}"/>
    <cellStyle name="Normal 5 10 2 5 2 8" xfId="32718" xr:uid="{00000000-0005-0000-0000-0000BF7F0000}"/>
    <cellStyle name="Normal 5 10 2 5 2 9" xfId="32719" xr:uid="{00000000-0005-0000-0000-0000C07F0000}"/>
    <cellStyle name="Normal 5 10 2 5 3" xfId="32720" xr:uid="{00000000-0005-0000-0000-0000C17F0000}"/>
    <cellStyle name="Normal 5 10 2 5 3 10" xfId="32721" xr:uid="{00000000-0005-0000-0000-0000C27F0000}"/>
    <cellStyle name="Normal 5 10 2 5 3 2" xfId="32722" xr:uid="{00000000-0005-0000-0000-0000C37F0000}"/>
    <cellStyle name="Normal 5 10 2 5 3 3" xfId="32723" xr:uid="{00000000-0005-0000-0000-0000C47F0000}"/>
    <cellStyle name="Normal 5 10 2 5 3 4" xfId="32724" xr:uid="{00000000-0005-0000-0000-0000C57F0000}"/>
    <cellStyle name="Normal 5 10 2 5 3 5" xfId="32725" xr:uid="{00000000-0005-0000-0000-0000C67F0000}"/>
    <cellStyle name="Normal 5 10 2 5 3 6" xfId="32726" xr:uid="{00000000-0005-0000-0000-0000C77F0000}"/>
    <cellStyle name="Normal 5 10 2 5 3 7" xfId="32727" xr:uid="{00000000-0005-0000-0000-0000C87F0000}"/>
    <cellStyle name="Normal 5 10 2 5 3 8" xfId="32728" xr:uid="{00000000-0005-0000-0000-0000C97F0000}"/>
    <cellStyle name="Normal 5 10 2 5 3 9" xfId="32729" xr:uid="{00000000-0005-0000-0000-0000CA7F0000}"/>
    <cellStyle name="Normal 5 10 2 5 4" xfId="32730" xr:uid="{00000000-0005-0000-0000-0000CB7F0000}"/>
    <cellStyle name="Normal 5 10 2 5 4 10" xfId="32731" xr:uid="{00000000-0005-0000-0000-0000CC7F0000}"/>
    <cellStyle name="Normal 5 10 2 5 4 2" xfId="32732" xr:uid="{00000000-0005-0000-0000-0000CD7F0000}"/>
    <cellStyle name="Normal 5 10 2 5 4 3" xfId="32733" xr:uid="{00000000-0005-0000-0000-0000CE7F0000}"/>
    <cellStyle name="Normal 5 10 2 5 4 4" xfId="32734" xr:uid="{00000000-0005-0000-0000-0000CF7F0000}"/>
    <cellStyle name="Normal 5 10 2 5 4 5" xfId="32735" xr:uid="{00000000-0005-0000-0000-0000D07F0000}"/>
    <cellStyle name="Normal 5 10 2 5 4 6" xfId="32736" xr:uid="{00000000-0005-0000-0000-0000D17F0000}"/>
    <cellStyle name="Normal 5 10 2 5 4 7" xfId="32737" xr:uid="{00000000-0005-0000-0000-0000D27F0000}"/>
    <cellStyle name="Normal 5 10 2 5 4 8" xfId="32738" xr:uid="{00000000-0005-0000-0000-0000D37F0000}"/>
    <cellStyle name="Normal 5 10 2 5 4 9" xfId="32739" xr:uid="{00000000-0005-0000-0000-0000D47F0000}"/>
    <cellStyle name="Normal 5 10 2 5 5" xfId="32740" xr:uid="{00000000-0005-0000-0000-0000D57F0000}"/>
    <cellStyle name="Normal 5 10 2 5 5 10" xfId="32741" xr:uid="{00000000-0005-0000-0000-0000D67F0000}"/>
    <cellStyle name="Normal 5 10 2 5 5 2" xfId="32742" xr:uid="{00000000-0005-0000-0000-0000D77F0000}"/>
    <cellStyle name="Normal 5 10 2 5 5 3" xfId="32743" xr:uid="{00000000-0005-0000-0000-0000D87F0000}"/>
    <cellStyle name="Normal 5 10 2 5 5 4" xfId="32744" xr:uid="{00000000-0005-0000-0000-0000D97F0000}"/>
    <cellStyle name="Normal 5 10 2 5 5 5" xfId="32745" xr:uid="{00000000-0005-0000-0000-0000DA7F0000}"/>
    <cellStyle name="Normal 5 10 2 5 5 6" xfId="32746" xr:uid="{00000000-0005-0000-0000-0000DB7F0000}"/>
    <cellStyle name="Normal 5 10 2 5 5 7" xfId="32747" xr:uid="{00000000-0005-0000-0000-0000DC7F0000}"/>
    <cellStyle name="Normal 5 10 2 5 5 8" xfId="32748" xr:uid="{00000000-0005-0000-0000-0000DD7F0000}"/>
    <cellStyle name="Normal 5 10 2 5 5 9" xfId="32749" xr:uid="{00000000-0005-0000-0000-0000DE7F0000}"/>
    <cellStyle name="Normal 5 10 2 5 6" xfId="32750" xr:uid="{00000000-0005-0000-0000-0000DF7F0000}"/>
    <cellStyle name="Normal 5 10 2 5 7" xfId="32751" xr:uid="{00000000-0005-0000-0000-0000E07F0000}"/>
    <cellStyle name="Normal 5 10 2 5 8" xfId="32752" xr:uid="{00000000-0005-0000-0000-0000E17F0000}"/>
    <cellStyle name="Normal 5 10 2 5 9" xfId="32753" xr:uid="{00000000-0005-0000-0000-0000E27F0000}"/>
    <cellStyle name="Normal 5 10 2 6" xfId="32754" xr:uid="{00000000-0005-0000-0000-0000E37F0000}"/>
    <cellStyle name="Normal 5 10 2 6 10" xfId="32755" xr:uid="{00000000-0005-0000-0000-0000E47F0000}"/>
    <cellStyle name="Normal 5 10 2 6 11" xfId="32756" xr:uid="{00000000-0005-0000-0000-0000E57F0000}"/>
    <cellStyle name="Normal 5 10 2 6 12" xfId="32757" xr:uid="{00000000-0005-0000-0000-0000E67F0000}"/>
    <cellStyle name="Normal 5 10 2 6 13" xfId="32758" xr:uid="{00000000-0005-0000-0000-0000E77F0000}"/>
    <cellStyle name="Normal 5 10 2 6 14" xfId="32759" xr:uid="{00000000-0005-0000-0000-0000E87F0000}"/>
    <cellStyle name="Normal 5 10 2 6 2" xfId="32760" xr:uid="{00000000-0005-0000-0000-0000E97F0000}"/>
    <cellStyle name="Normal 5 10 2 6 2 10" xfId="32761" xr:uid="{00000000-0005-0000-0000-0000EA7F0000}"/>
    <cellStyle name="Normal 5 10 2 6 2 2" xfId="32762" xr:uid="{00000000-0005-0000-0000-0000EB7F0000}"/>
    <cellStyle name="Normal 5 10 2 6 2 3" xfId="32763" xr:uid="{00000000-0005-0000-0000-0000EC7F0000}"/>
    <cellStyle name="Normal 5 10 2 6 2 4" xfId="32764" xr:uid="{00000000-0005-0000-0000-0000ED7F0000}"/>
    <cellStyle name="Normal 5 10 2 6 2 5" xfId="32765" xr:uid="{00000000-0005-0000-0000-0000EE7F0000}"/>
    <cellStyle name="Normal 5 10 2 6 2 6" xfId="32766" xr:uid="{00000000-0005-0000-0000-0000EF7F0000}"/>
    <cellStyle name="Normal 5 10 2 6 2 7" xfId="32767" xr:uid="{00000000-0005-0000-0000-0000F07F0000}"/>
    <cellStyle name="Normal 5 10 2 6 2 8" xfId="32768" xr:uid="{00000000-0005-0000-0000-0000F17F0000}"/>
    <cellStyle name="Normal 5 10 2 6 2 9" xfId="32769" xr:uid="{00000000-0005-0000-0000-0000F27F0000}"/>
    <cellStyle name="Normal 5 10 2 6 3" xfId="32770" xr:uid="{00000000-0005-0000-0000-0000F37F0000}"/>
    <cellStyle name="Normal 5 10 2 6 3 10" xfId="32771" xr:uid="{00000000-0005-0000-0000-0000F47F0000}"/>
    <cellStyle name="Normal 5 10 2 6 3 2" xfId="32772" xr:uid="{00000000-0005-0000-0000-0000F57F0000}"/>
    <cellStyle name="Normal 5 10 2 6 3 3" xfId="32773" xr:uid="{00000000-0005-0000-0000-0000F67F0000}"/>
    <cellStyle name="Normal 5 10 2 6 3 4" xfId="32774" xr:uid="{00000000-0005-0000-0000-0000F77F0000}"/>
    <cellStyle name="Normal 5 10 2 6 3 5" xfId="32775" xr:uid="{00000000-0005-0000-0000-0000F87F0000}"/>
    <cellStyle name="Normal 5 10 2 6 3 6" xfId="32776" xr:uid="{00000000-0005-0000-0000-0000F97F0000}"/>
    <cellStyle name="Normal 5 10 2 6 3 7" xfId="32777" xr:uid="{00000000-0005-0000-0000-0000FA7F0000}"/>
    <cellStyle name="Normal 5 10 2 6 3 8" xfId="32778" xr:uid="{00000000-0005-0000-0000-0000FB7F0000}"/>
    <cellStyle name="Normal 5 10 2 6 3 9" xfId="32779" xr:uid="{00000000-0005-0000-0000-0000FC7F0000}"/>
    <cellStyle name="Normal 5 10 2 6 4" xfId="32780" xr:uid="{00000000-0005-0000-0000-0000FD7F0000}"/>
    <cellStyle name="Normal 5 10 2 6 4 10" xfId="32781" xr:uid="{00000000-0005-0000-0000-0000FE7F0000}"/>
    <cellStyle name="Normal 5 10 2 6 4 2" xfId="32782" xr:uid="{00000000-0005-0000-0000-0000FF7F0000}"/>
    <cellStyle name="Normal 5 10 2 6 4 3" xfId="32783" xr:uid="{00000000-0005-0000-0000-000000800000}"/>
    <cellStyle name="Normal 5 10 2 6 4 4" xfId="32784" xr:uid="{00000000-0005-0000-0000-000001800000}"/>
    <cellStyle name="Normal 5 10 2 6 4 5" xfId="32785" xr:uid="{00000000-0005-0000-0000-000002800000}"/>
    <cellStyle name="Normal 5 10 2 6 4 6" xfId="32786" xr:uid="{00000000-0005-0000-0000-000003800000}"/>
    <cellStyle name="Normal 5 10 2 6 4 7" xfId="32787" xr:uid="{00000000-0005-0000-0000-000004800000}"/>
    <cellStyle name="Normal 5 10 2 6 4 8" xfId="32788" xr:uid="{00000000-0005-0000-0000-000005800000}"/>
    <cellStyle name="Normal 5 10 2 6 4 9" xfId="32789" xr:uid="{00000000-0005-0000-0000-000006800000}"/>
    <cellStyle name="Normal 5 10 2 6 5" xfId="32790" xr:uid="{00000000-0005-0000-0000-000007800000}"/>
    <cellStyle name="Normal 5 10 2 6 5 10" xfId="32791" xr:uid="{00000000-0005-0000-0000-000008800000}"/>
    <cellStyle name="Normal 5 10 2 6 5 2" xfId="32792" xr:uid="{00000000-0005-0000-0000-000009800000}"/>
    <cellStyle name="Normal 5 10 2 6 5 3" xfId="32793" xr:uid="{00000000-0005-0000-0000-00000A800000}"/>
    <cellStyle name="Normal 5 10 2 6 5 4" xfId="32794" xr:uid="{00000000-0005-0000-0000-00000B800000}"/>
    <cellStyle name="Normal 5 10 2 6 5 5" xfId="32795" xr:uid="{00000000-0005-0000-0000-00000C800000}"/>
    <cellStyle name="Normal 5 10 2 6 5 6" xfId="32796" xr:uid="{00000000-0005-0000-0000-00000D800000}"/>
    <cellStyle name="Normal 5 10 2 6 5 7" xfId="32797" xr:uid="{00000000-0005-0000-0000-00000E800000}"/>
    <cellStyle name="Normal 5 10 2 6 5 8" xfId="32798" xr:uid="{00000000-0005-0000-0000-00000F800000}"/>
    <cellStyle name="Normal 5 10 2 6 5 9" xfId="32799" xr:uid="{00000000-0005-0000-0000-000010800000}"/>
    <cellStyle name="Normal 5 10 2 6 6" xfId="32800" xr:uid="{00000000-0005-0000-0000-000011800000}"/>
    <cellStyle name="Normal 5 10 2 6 7" xfId="32801" xr:uid="{00000000-0005-0000-0000-000012800000}"/>
    <cellStyle name="Normal 5 10 2 6 8" xfId="32802" xr:uid="{00000000-0005-0000-0000-000013800000}"/>
    <cellStyle name="Normal 5 10 2 6 9" xfId="32803" xr:uid="{00000000-0005-0000-0000-000014800000}"/>
    <cellStyle name="Normal 5 10 2 7" xfId="32804" xr:uid="{00000000-0005-0000-0000-000015800000}"/>
    <cellStyle name="Normal 5 10 2 7 10" xfId="32805" xr:uid="{00000000-0005-0000-0000-000016800000}"/>
    <cellStyle name="Normal 5 10 2 7 11" xfId="32806" xr:uid="{00000000-0005-0000-0000-000017800000}"/>
    <cellStyle name="Normal 5 10 2 7 12" xfId="32807" xr:uid="{00000000-0005-0000-0000-000018800000}"/>
    <cellStyle name="Normal 5 10 2 7 13" xfId="32808" xr:uid="{00000000-0005-0000-0000-000019800000}"/>
    <cellStyle name="Normal 5 10 2 7 14" xfId="32809" xr:uid="{00000000-0005-0000-0000-00001A800000}"/>
    <cellStyle name="Normal 5 10 2 7 2" xfId="32810" xr:uid="{00000000-0005-0000-0000-00001B800000}"/>
    <cellStyle name="Normal 5 10 2 7 2 10" xfId="32811" xr:uid="{00000000-0005-0000-0000-00001C800000}"/>
    <cellStyle name="Normal 5 10 2 7 2 2" xfId="32812" xr:uid="{00000000-0005-0000-0000-00001D800000}"/>
    <cellStyle name="Normal 5 10 2 7 2 3" xfId="32813" xr:uid="{00000000-0005-0000-0000-00001E800000}"/>
    <cellStyle name="Normal 5 10 2 7 2 4" xfId="32814" xr:uid="{00000000-0005-0000-0000-00001F800000}"/>
    <cellStyle name="Normal 5 10 2 7 2 5" xfId="32815" xr:uid="{00000000-0005-0000-0000-000020800000}"/>
    <cellStyle name="Normal 5 10 2 7 2 6" xfId="32816" xr:uid="{00000000-0005-0000-0000-000021800000}"/>
    <cellStyle name="Normal 5 10 2 7 2 7" xfId="32817" xr:uid="{00000000-0005-0000-0000-000022800000}"/>
    <cellStyle name="Normal 5 10 2 7 2 8" xfId="32818" xr:uid="{00000000-0005-0000-0000-000023800000}"/>
    <cellStyle name="Normal 5 10 2 7 2 9" xfId="32819" xr:uid="{00000000-0005-0000-0000-000024800000}"/>
    <cellStyle name="Normal 5 10 2 7 3" xfId="32820" xr:uid="{00000000-0005-0000-0000-000025800000}"/>
    <cellStyle name="Normal 5 10 2 7 3 10" xfId="32821" xr:uid="{00000000-0005-0000-0000-000026800000}"/>
    <cellStyle name="Normal 5 10 2 7 3 2" xfId="32822" xr:uid="{00000000-0005-0000-0000-000027800000}"/>
    <cellStyle name="Normal 5 10 2 7 3 3" xfId="32823" xr:uid="{00000000-0005-0000-0000-000028800000}"/>
    <cellStyle name="Normal 5 10 2 7 3 4" xfId="32824" xr:uid="{00000000-0005-0000-0000-000029800000}"/>
    <cellStyle name="Normal 5 10 2 7 3 5" xfId="32825" xr:uid="{00000000-0005-0000-0000-00002A800000}"/>
    <cellStyle name="Normal 5 10 2 7 3 6" xfId="32826" xr:uid="{00000000-0005-0000-0000-00002B800000}"/>
    <cellStyle name="Normal 5 10 2 7 3 7" xfId="32827" xr:uid="{00000000-0005-0000-0000-00002C800000}"/>
    <cellStyle name="Normal 5 10 2 7 3 8" xfId="32828" xr:uid="{00000000-0005-0000-0000-00002D800000}"/>
    <cellStyle name="Normal 5 10 2 7 3 9" xfId="32829" xr:uid="{00000000-0005-0000-0000-00002E800000}"/>
    <cellStyle name="Normal 5 10 2 7 4" xfId="32830" xr:uid="{00000000-0005-0000-0000-00002F800000}"/>
    <cellStyle name="Normal 5 10 2 7 4 10" xfId="32831" xr:uid="{00000000-0005-0000-0000-000030800000}"/>
    <cellStyle name="Normal 5 10 2 7 4 2" xfId="32832" xr:uid="{00000000-0005-0000-0000-000031800000}"/>
    <cellStyle name="Normal 5 10 2 7 4 3" xfId="32833" xr:uid="{00000000-0005-0000-0000-000032800000}"/>
    <cellStyle name="Normal 5 10 2 7 4 4" xfId="32834" xr:uid="{00000000-0005-0000-0000-000033800000}"/>
    <cellStyle name="Normal 5 10 2 7 4 5" xfId="32835" xr:uid="{00000000-0005-0000-0000-000034800000}"/>
    <cellStyle name="Normal 5 10 2 7 4 6" xfId="32836" xr:uid="{00000000-0005-0000-0000-000035800000}"/>
    <cellStyle name="Normal 5 10 2 7 4 7" xfId="32837" xr:uid="{00000000-0005-0000-0000-000036800000}"/>
    <cellStyle name="Normal 5 10 2 7 4 8" xfId="32838" xr:uid="{00000000-0005-0000-0000-000037800000}"/>
    <cellStyle name="Normal 5 10 2 7 4 9" xfId="32839" xr:uid="{00000000-0005-0000-0000-000038800000}"/>
    <cellStyle name="Normal 5 10 2 7 5" xfId="32840" xr:uid="{00000000-0005-0000-0000-000039800000}"/>
    <cellStyle name="Normal 5 10 2 7 5 10" xfId="32841" xr:uid="{00000000-0005-0000-0000-00003A800000}"/>
    <cellStyle name="Normal 5 10 2 7 5 2" xfId="32842" xr:uid="{00000000-0005-0000-0000-00003B800000}"/>
    <cellStyle name="Normal 5 10 2 7 5 3" xfId="32843" xr:uid="{00000000-0005-0000-0000-00003C800000}"/>
    <cellStyle name="Normal 5 10 2 7 5 4" xfId="32844" xr:uid="{00000000-0005-0000-0000-00003D800000}"/>
    <cellStyle name="Normal 5 10 2 7 5 5" xfId="32845" xr:uid="{00000000-0005-0000-0000-00003E800000}"/>
    <cellStyle name="Normal 5 10 2 7 5 6" xfId="32846" xr:uid="{00000000-0005-0000-0000-00003F800000}"/>
    <cellStyle name="Normal 5 10 2 7 5 7" xfId="32847" xr:uid="{00000000-0005-0000-0000-000040800000}"/>
    <cellStyle name="Normal 5 10 2 7 5 8" xfId="32848" xr:uid="{00000000-0005-0000-0000-000041800000}"/>
    <cellStyle name="Normal 5 10 2 7 5 9" xfId="32849" xr:uid="{00000000-0005-0000-0000-000042800000}"/>
    <cellStyle name="Normal 5 10 2 7 6" xfId="32850" xr:uid="{00000000-0005-0000-0000-000043800000}"/>
    <cellStyle name="Normal 5 10 2 7 7" xfId="32851" xr:uid="{00000000-0005-0000-0000-000044800000}"/>
    <cellStyle name="Normal 5 10 2 7 8" xfId="32852" xr:uid="{00000000-0005-0000-0000-000045800000}"/>
    <cellStyle name="Normal 5 10 2 7 9" xfId="32853" xr:uid="{00000000-0005-0000-0000-000046800000}"/>
    <cellStyle name="Normal 5 10 2 8" xfId="32854" xr:uid="{00000000-0005-0000-0000-000047800000}"/>
    <cellStyle name="Normal 5 10 2 8 10" xfId="32855" xr:uid="{00000000-0005-0000-0000-000048800000}"/>
    <cellStyle name="Normal 5 10 2 8 11" xfId="32856" xr:uid="{00000000-0005-0000-0000-000049800000}"/>
    <cellStyle name="Normal 5 10 2 8 12" xfId="32857" xr:uid="{00000000-0005-0000-0000-00004A800000}"/>
    <cellStyle name="Normal 5 10 2 8 13" xfId="32858" xr:uid="{00000000-0005-0000-0000-00004B800000}"/>
    <cellStyle name="Normal 5 10 2 8 14" xfId="32859" xr:uid="{00000000-0005-0000-0000-00004C800000}"/>
    <cellStyle name="Normal 5 10 2 8 2" xfId="32860" xr:uid="{00000000-0005-0000-0000-00004D800000}"/>
    <cellStyle name="Normal 5 10 2 8 2 10" xfId="32861" xr:uid="{00000000-0005-0000-0000-00004E800000}"/>
    <cellStyle name="Normal 5 10 2 8 2 2" xfId="32862" xr:uid="{00000000-0005-0000-0000-00004F800000}"/>
    <cellStyle name="Normal 5 10 2 8 2 3" xfId="32863" xr:uid="{00000000-0005-0000-0000-000050800000}"/>
    <cellStyle name="Normal 5 10 2 8 2 4" xfId="32864" xr:uid="{00000000-0005-0000-0000-000051800000}"/>
    <cellStyle name="Normal 5 10 2 8 2 5" xfId="32865" xr:uid="{00000000-0005-0000-0000-000052800000}"/>
    <cellStyle name="Normal 5 10 2 8 2 6" xfId="32866" xr:uid="{00000000-0005-0000-0000-000053800000}"/>
    <cellStyle name="Normal 5 10 2 8 2 7" xfId="32867" xr:uid="{00000000-0005-0000-0000-000054800000}"/>
    <cellStyle name="Normal 5 10 2 8 2 8" xfId="32868" xr:uid="{00000000-0005-0000-0000-000055800000}"/>
    <cellStyle name="Normal 5 10 2 8 2 9" xfId="32869" xr:uid="{00000000-0005-0000-0000-000056800000}"/>
    <cellStyle name="Normal 5 10 2 8 3" xfId="32870" xr:uid="{00000000-0005-0000-0000-000057800000}"/>
    <cellStyle name="Normal 5 10 2 8 3 10" xfId="32871" xr:uid="{00000000-0005-0000-0000-000058800000}"/>
    <cellStyle name="Normal 5 10 2 8 3 2" xfId="32872" xr:uid="{00000000-0005-0000-0000-000059800000}"/>
    <cellStyle name="Normal 5 10 2 8 3 3" xfId="32873" xr:uid="{00000000-0005-0000-0000-00005A800000}"/>
    <cellStyle name="Normal 5 10 2 8 3 4" xfId="32874" xr:uid="{00000000-0005-0000-0000-00005B800000}"/>
    <cellStyle name="Normal 5 10 2 8 3 5" xfId="32875" xr:uid="{00000000-0005-0000-0000-00005C800000}"/>
    <cellStyle name="Normal 5 10 2 8 3 6" xfId="32876" xr:uid="{00000000-0005-0000-0000-00005D800000}"/>
    <cellStyle name="Normal 5 10 2 8 3 7" xfId="32877" xr:uid="{00000000-0005-0000-0000-00005E800000}"/>
    <cellStyle name="Normal 5 10 2 8 3 8" xfId="32878" xr:uid="{00000000-0005-0000-0000-00005F800000}"/>
    <cellStyle name="Normal 5 10 2 8 3 9" xfId="32879" xr:uid="{00000000-0005-0000-0000-000060800000}"/>
    <cellStyle name="Normal 5 10 2 8 4" xfId="32880" xr:uid="{00000000-0005-0000-0000-000061800000}"/>
    <cellStyle name="Normal 5 10 2 8 4 10" xfId="32881" xr:uid="{00000000-0005-0000-0000-000062800000}"/>
    <cellStyle name="Normal 5 10 2 8 4 2" xfId="32882" xr:uid="{00000000-0005-0000-0000-000063800000}"/>
    <cellStyle name="Normal 5 10 2 8 4 3" xfId="32883" xr:uid="{00000000-0005-0000-0000-000064800000}"/>
    <cellStyle name="Normal 5 10 2 8 4 4" xfId="32884" xr:uid="{00000000-0005-0000-0000-000065800000}"/>
    <cellStyle name="Normal 5 10 2 8 4 5" xfId="32885" xr:uid="{00000000-0005-0000-0000-000066800000}"/>
    <cellStyle name="Normal 5 10 2 8 4 6" xfId="32886" xr:uid="{00000000-0005-0000-0000-000067800000}"/>
    <cellStyle name="Normal 5 10 2 8 4 7" xfId="32887" xr:uid="{00000000-0005-0000-0000-000068800000}"/>
    <cellStyle name="Normal 5 10 2 8 4 8" xfId="32888" xr:uid="{00000000-0005-0000-0000-000069800000}"/>
    <cellStyle name="Normal 5 10 2 8 4 9" xfId="32889" xr:uid="{00000000-0005-0000-0000-00006A800000}"/>
    <cellStyle name="Normal 5 10 2 8 5" xfId="32890" xr:uid="{00000000-0005-0000-0000-00006B800000}"/>
    <cellStyle name="Normal 5 10 2 8 5 10" xfId="32891" xr:uid="{00000000-0005-0000-0000-00006C800000}"/>
    <cellStyle name="Normal 5 10 2 8 5 2" xfId="32892" xr:uid="{00000000-0005-0000-0000-00006D800000}"/>
    <cellStyle name="Normal 5 10 2 8 5 3" xfId="32893" xr:uid="{00000000-0005-0000-0000-00006E800000}"/>
    <cellStyle name="Normal 5 10 2 8 5 4" xfId="32894" xr:uid="{00000000-0005-0000-0000-00006F800000}"/>
    <cellStyle name="Normal 5 10 2 8 5 5" xfId="32895" xr:uid="{00000000-0005-0000-0000-000070800000}"/>
    <cellStyle name="Normal 5 10 2 8 5 6" xfId="32896" xr:uid="{00000000-0005-0000-0000-000071800000}"/>
    <cellStyle name="Normal 5 10 2 8 5 7" xfId="32897" xr:uid="{00000000-0005-0000-0000-000072800000}"/>
    <cellStyle name="Normal 5 10 2 8 5 8" xfId="32898" xr:uid="{00000000-0005-0000-0000-000073800000}"/>
    <cellStyle name="Normal 5 10 2 8 5 9" xfId="32899" xr:uid="{00000000-0005-0000-0000-000074800000}"/>
    <cellStyle name="Normal 5 10 2 8 6" xfId="32900" xr:uid="{00000000-0005-0000-0000-000075800000}"/>
    <cellStyle name="Normal 5 10 2 8 7" xfId="32901" xr:uid="{00000000-0005-0000-0000-000076800000}"/>
    <cellStyle name="Normal 5 10 2 8 8" xfId="32902" xr:uid="{00000000-0005-0000-0000-000077800000}"/>
    <cellStyle name="Normal 5 10 2 8 9" xfId="32903" xr:uid="{00000000-0005-0000-0000-000078800000}"/>
    <cellStyle name="Normal 5 10 2 9" xfId="32904" xr:uid="{00000000-0005-0000-0000-000079800000}"/>
    <cellStyle name="Normal 5 10 2 9 10" xfId="32905" xr:uid="{00000000-0005-0000-0000-00007A800000}"/>
    <cellStyle name="Normal 5 10 2 9 11" xfId="32906" xr:uid="{00000000-0005-0000-0000-00007B800000}"/>
    <cellStyle name="Normal 5 10 2 9 12" xfId="32907" xr:uid="{00000000-0005-0000-0000-00007C800000}"/>
    <cellStyle name="Normal 5 10 2 9 13" xfId="32908" xr:uid="{00000000-0005-0000-0000-00007D800000}"/>
    <cellStyle name="Normal 5 10 2 9 14" xfId="32909" xr:uid="{00000000-0005-0000-0000-00007E800000}"/>
    <cellStyle name="Normal 5 10 2 9 2" xfId="32910" xr:uid="{00000000-0005-0000-0000-00007F800000}"/>
    <cellStyle name="Normal 5 10 2 9 2 10" xfId="32911" xr:uid="{00000000-0005-0000-0000-000080800000}"/>
    <cellStyle name="Normal 5 10 2 9 2 2" xfId="32912" xr:uid="{00000000-0005-0000-0000-000081800000}"/>
    <cellStyle name="Normal 5 10 2 9 2 3" xfId="32913" xr:uid="{00000000-0005-0000-0000-000082800000}"/>
    <cellStyle name="Normal 5 10 2 9 2 4" xfId="32914" xr:uid="{00000000-0005-0000-0000-000083800000}"/>
    <cellStyle name="Normal 5 10 2 9 2 5" xfId="32915" xr:uid="{00000000-0005-0000-0000-000084800000}"/>
    <cellStyle name="Normal 5 10 2 9 2 6" xfId="32916" xr:uid="{00000000-0005-0000-0000-000085800000}"/>
    <cellStyle name="Normal 5 10 2 9 2 7" xfId="32917" xr:uid="{00000000-0005-0000-0000-000086800000}"/>
    <cellStyle name="Normal 5 10 2 9 2 8" xfId="32918" xr:uid="{00000000-0005-0000-0000-000087800000}"/>
    <cellStyle name="Normal 5 10 2 9 2 9" xfId="32919" xr:uid="{00000000-0005-0000-0000-000088800000}"/>
    <cellStyle name="Normal 5 10 2 9 3" xfId="32920" xr:uid="{00000000-0005-0000-0000-000089800000}"/>
    <cellStyle name="Normal 5 10 2 9 3 10" xfId="32921" xr:uid="{00000000-0005-0000-0000-00008A800000}"/>
    <cellStyle name="Normal 5 10 2 9 3 2" xfId="32922" xr:uid="{00000000-0005-0000-0000-00008B800000}"/>
    <cellStyle name="Normal 5 10 2 9 3 3" xfId="32923" xr:uid="{00000000-0005-0000-0000-00008C800000}"/>
    <cellStyle name="Normal 5 10 2 9 3 4" xfId="32924" xr:uid="{00000000-0005-0000-0000-00008D800000}"/>
    <cellStyle name="Normal 5 10 2 9 3 5" xfId="32925" xr:uid="{00000000-0005-0000-0000-00008E800000}"/>
    <cellStyle name="Normal 5 10 2 9 3 6" xfId="32926" xr:uid="{00000000-0005-0000-0000-00008F800000}"/>
    <cellStyle name="Normal 5 10 2 9 3 7" xfId="32927" xr:uid="{00000000-0005-0000-0000-000090800000}"/>
    <cellStyle name="Normal 5 10 2 9 3 8" xfId="32928" xr:uid="{00000000-0005-0000-0000-000091800000}"/>
    <cellStyle name="Normal 5 10 2 9 3 9" xfId="32929" xr:uid="{00000000-0005-0000-0000-000092800000}"/>
    <cellStyle name="Normal 5 10 2 9 4" xfId="32930" xr:uid="{00000000-0005-0000-0000-000093800000}"/>
    <cellStyle name="Normal 5 10 2 9 4 10" xfId="32931" xr:uid="{00000000-0005-0000-0000-000094800000}"/>
    <cellStyle name="Normal 5 10 2 9 4 2" xfId="32932" xr:uid="{00000000-0005-0000-0000-000095800000}"/>
    <cellStyle name="Normal 5 10 2 9 4 3" xfId="32933" xr:uid="{00000000-0005-0000-0000-000096800000}"/>
    <cellStyle name="Normal 5 10 2 9 4 4" xfId="32934" xr:uid="{00000000-0005-0000-0000-000097800000}"/>
    <cellStyle name="Normal 5 10 2 9 4 5" xfId="32935" xr:uid="{00000000-0005-0000-0000-000098800000}"/>
    <cellStyle name="Normal 5 10 2 9 4 6" xfId="32936" xr:uid="{00000000-0005-0000-0000-000099800000}"/>
    <cellStyle name="Normal 5 10 2 9 4 7" xfId="32937" xr:uid="{00000000-0005-0000-0000-00009A800000}"/>
    <cellStyle name="Normal 5 10 2 9 4 8" xfId="32938" xr:uid="{00000000-0005-0000-0000-00009B800000}"/>
    <cellStyle name="Normal 5 10 2 9 4 9" xfId="32939" xr:uid="{00000000-0005-0000-0000-00009C800000}"/>
    <cellStyle name="Normal 5 10 2 9 5" xfId="32940" xr:uid="{00000000-0005-0000-0000-00009D800000}"/>
    <cellStyle name="Normal 5 10 2 9 5 10" xfId="32941" xr:uid="{00000000-0005-0000-0000-00009E800000}"/>
    <cellStyle name="Normal 5 10 2 9 5 2" xfId="32942" xr:uid="{00000000-0005-0000-0000-00009F800000}"/>
    <cellStyle name="Normal 5 10 2 9 5 3" xfId="32943" xr:uid="{00000000-0005-0000-0000-0000A0800000}"/>
    <cellStyle name="Normal 5 10 2 9 5 4" xfId="32944" xr:uid="{00000000-0005-0000-0000-0000A1800000}"/>
    <cellStyle name="Normal 5 10 2 9 5 5" xfId="32945" xr:uid="{00000000-0005-0000-0000-0000A2800000}"/>
    <cellStyle name="Normal 5 10 2 9 5 6" xfId="32946" xr:uid="{00000000-0005-0000-0000-0000A3800000}"/>
    <cellStyle name="Normal 5 10 2 9 5 7" xfId="32947" xr:uid="{00000000-0005-0000-0000-0000A4800000}"/>
    <cellStyle name="Normal 5 10 2 9 5 8" xfId="32948" xr:uid="{00000000-0005-0000-0000-0000A5800000}"/>
    <cellStyle name="Normal 5 10 2 9 5 9" xfId="32949" xr:uid="{00000000-0005-0000-0000-0000A6800000}"/>
    <cellStyle name="Normal 5 10 2 9 6" xfId="32950" xr:uid="{00000000-0005-0000-0000-0000A7800000}"/>
    <cellStyle name="Normal 5 10 2 9 7" xfId="32951" xr:uid="{00000000-0005-0000-0000-0000A8800000}"/>
    <cellStyle name="Normal 5 10 2 9 8" xfId="32952" xr:uid="{00000000-0005-0000-0000-0000A9800000}"/>
    <cellStyle name="Normal 5 10 2 9 9" xfId="32953" xr:uid="{00000000-0005-0000-0000-0000AA800000}"/>
    <cellStyle name="Normal 5 10 20" xfId="32954" xr:uid="{00000000-0005-0000-0000-0000AB800000}"/>
    <cellStyle name="Normal 5 10 20 10" xfId="32955" xr:uid="{00000000-0005-0000-0000-0000AC800000}"/>
    <cellStyle name="Normal 5 10 20 11" xfId="32956" xr:uid="{00000000-0005-0000-0000-0000AD800000}"/>
    <cellStyle name="Normal 5 10 20 12" xfId="32957" xr:uid="{00000000-0005-0000-0000-0000AE800000}"/>
    <cellStyle name="Normal 5 10 20 13" xfId="32958" xr:uid="{00000000-0005-0000-0000-0000AF800000}"/>
    <cellStyle name="Normal 5 10 20 14" xfId="32959" xr:uid="{00000000-0005-0000-0000-0000B0800000}"/>
    <cellStyle name="Normal 5 10 20 2" xfId="32960" xr:uid="{00000000-0005-0000-0000-0000B1800000}"/>
    <cellStyle name="Normal 5 10 20 2 10" xfId="32961" xr:uid="{00000000-0005-0000-0000-0000B2800000}"/>
    <cellStyle name="Normal 5 10 20 2 2" xfId="32962" xr:uid="{00000000-0005-0000-0000-0000B3800000}"/>
    <cellStyle name="Normal 5 10 20 2 3" xfId="32963" xr:uid="{00000000-0005-0000-0000-0000B4800000}"/>
    <cellStyle name="Normal 5 10 20 2 4" xfId="32964" xr:uid="{00000000-0005-0000-0000-0000B5800000}"/>
    <cellStyle name="Normal 5 10 20 2 5" xfId="32965" xr:uid="{00000000-0005-0000-0000-0000B6800000}"/>
    <cellStyle name="Normal 5 10 20 2 6" xfId="32966" xr:uid="{00000000-0005-0000-0000-0000B7800000}"/>
    <cellStyle name="Normal 5 10 20 2 7" xfId="32967" xr:uid="{00000000-0005-0000-0000-0000B8800000}"/>
    <cellStyle name="Normal 5 10 20 2 8" xfId="32968" xr:uid="{00000000-0005-0000-0000-0000B9800000}"/>
    <cellStyle name="Normal 5 10 20 2 9" xfId="32969" xr:uid="{00000000-0005-0000-0000-0000BA800000}"/>
    <cellStyle name="Normal 5 10 20 3" xfId="32970" xr:uid="{00000000-0005-0000-0000-0000BB800000}"/>
    <cellStyle name="Normal 5 10 20 3 10" xfId="32971" xr:uid="{00000000-0005-0000-0000-0000BC800000}"/>
    <cellStyle name="Normal 5 10 20 3 2" xfId="32972" xr:uid="{00000000-0005-0000-0000-0000BD800000}"/>
    <cellStyle name="Normal 5 10 20 3 3" xfId="32973" xr:uid="{00000000-0005-0000-0000-0000BE800000}"/>
    <cellStyle name="Normal 5 10 20 3 4" xfId="32974" xr:uid="{00000000-0005-0000-0000-0000BF800000}"/>
    <cellStyle name="Normal 5 10 20 3 5" xfId="32975" xr:uid="{00000000-0005-0000-0000-0000C0800000}"/>
    <cellStyle name="Normal 5 10 20 3 6" xfId="32976" xr:uid="{00000000-0005-0000-0000-0000C1800000}"/>
    <cellStyle name="Normal 5 10 20 3 7" xfId="32977" xr:uid="{00000000-0005-0000-0000-0000C2800000}"/>
    <cellStyle name="Normal 5 10 20 3 8" xfId="32978" xr:uid="{00000000-0005-0000-0000-0000C3800000}"/>
    <cellStyle name="Normal 5 10 20 3 9" xfId="32979" xr:uid="{00000000-0005-0000-0000-0000C4800000}"/>
    <cellStyle name="Normal 5 10 20 4" xfId="32980" xr:uid="{00000000-0005-0000-0000-0000C5800000}"/>
    <cellStyle name="Normal 5 10 20 4 10" xfId="32981" xr:uid="{00000000-0005-0000-0000-0000C6800000}"/>
    <cellStyle name="Normal 5 10 20 4 2" xfId="32982" xr:uid="{00000000-0005-0000-0000-0000C7800000}"/>
    <cellStyle name="Normal 5 10 20 4 3" xfId="32983" xr:uid="{00000000-0005-0000-0000-0000C8800000}"/>
    <cellStyle name="Normal 5 10 20 4 4" xfId="32984" xr:uid="{00000000-0005-0000-0000-0000C9800000}"/>
    <cellStyle name="Normal 5 10 20 4 5" xfId="32985" xr:uid="{00000000-0005-0000-0000-0000CA800000}"/>
    <cellStyle name="Normal 5 10 20 4 6" xfId="32986" xr:uid="{00000000-0005-0000-0000-0000CB800000}"/>
    <cellStyle name="Normal 5 10 20 4 7" xfId="32987" xr:uid="{00000000-0005-0000-0000-0000CC800000}"/>
    <cellStyle name="Normal 5 10 20 4 8" xfId="32988" xr:uid="{00000000-0005-0000-0000-0000CD800000}"/>
    <cellStyle name="Normal 5 10 20 4 9" xfId="32989" xr:uid="{00000000-0005-0000-0000-0000CE800000}"/>
    <cellStyle name="Normal 5 10 20 5" xfId="32990" xr:uid="{00000000-0005-0000-0000-0000CF800000}"/>
    <cellStyle name="Normal 5 10 20 5 10" xfId="32991" xr:uid="{00000000-0005-0000-0000-0000D0800000}"/>
    <cellStyle name="Normal 5 10 20 5 2" xfId="32992" xr:uid="{00000000-0005-0000-0000-0000D1800000}"/>
    <cellStyle name="Normal 5 10 20 5 3" xfId="32993" xr:uid="{00000000-0005-0000-0000-0000D2800000}"/>
    <cellStyle name="Normal 5 10 20 5 4" xfId="32994" xr:uid="{00000000-0005-0000-0000-0000D3800000}"/>
    <cellStyle name="Normal 5 10 20 5 5" xfId="32995" xr:uid="{00000000-0005-0000-0000-0000D4800000}"/>
    <cellStyle name="Normal 5 10 20 5 6" xfId="32996" xr:uid="{00000000-0005-0000-0000-0000D5800000}"/>
    <cellStyle name="Normal 5 10 20 5 7" xfId="32997" xr:uid="{00000000-0005-0000-0000-0000D6800000}"/>
    <cellStyle name="Normal 5 10 20 5 8" xfId="32998" xr:uid="{00000000-0005-0000-0000-0000D7800000}"/>
    <cellStyle name="Normal 5 10 20 5 9" xfId="32999" xr:uid="{00000000-0005-0000-0000-0000D8800000}"/>
    <cellStyle name="Normal 5 10 20 6" xfId="33000" xr:uid="{00000000-0005-0000-0000-0000D9800000}"/>
    <cellStyle name="Normal 5 10 20 7" xfId="33001" xr:uid="{00000000-0005-0000-0000-0000DA800000}"/>
    <cellStyle name="Normal 5 10 20 8" xfId="33002" xr:uid="{00000000-0005-0000-0000-0000DB800000}"/>
    <cellStyle name="Normal 5 10 20 9" xfId="33003" xr:uid="{00000000-0005-0000-0000-0000DC800000}"/>
    <cellStyle name="Normal 5 10 21" xfId="33004" xr:uid="{00000000-0005-0000-0000-0000DD800000}"/>
    <cellStyle name="Normal 5 10 21 10" xfId="33005" xr:uid="{00000000-0005-0000-0000-0000DE800000}"/>
    <cellStyle name="Normal 5 10 21 11" xfId="33006" xr:uid="{00000000-0005-0000-0000-0000DF800000}"/>
    <cellStyle name="Normal 5 10 21 12" xfId="33007" xr:uid="{00000000-0005-0000-0000-0000E0800000}"/>
    <cellStyle name="Normal 5 10 21 13" xfId="33008" xr:uid="{00000000-0005-0000-0000-0000E1800000}"/>
    <cellStyle name="Normal 5 10 21 14" xfId="33009" xr:uid="{00000000-0005-0000-0000-0000E2800000}"/>
    <cellStyle name="Normal 5 10 21 2" xfId="33010" xr:uid="{00000000-0005-0000-0000-0000E3800000}"/>
    <cellStyle name="Normal 5 10 21 2 10" xfId="33011" xr:uid="{00000000-0005-0000-0000-0000E4800000}"/>
    <cellStyle name="Normal 5 10 21 2 2" xfId="33012" xr:uid="{00000000-0005-0000-0000-0000E5800000}"/>
    <cellStyle name="Normal 5 10 21 2 3" xfId="33013" xr:uid="{00000000-0005-0000-0000-0000E6800000}"/>
    <cellStyle name="Normal 5 10 21 2 4" xfId="33014" xr:uid="{00000000-0005-0000-0000-0000E7800000}"/>
    <cellStyle name="Normal 5 10 21 2 5" xfId="33015" xr:uid="{00000000-0005-0000-0000-0000E8800000}"/>
    <cellStyle name="Normal 5 10 21 2 6" xfId="33016" xr:uid="{00000000-0005-0000-0000-0000E9800000}"/>
    <cellStyle name="Normal 5 10 21 2 7" xfId="33017" xr:uid="{00000000-0005-0000-0000-0000EA800000}"/>
    <cellStyle name="Normal 5 10 21 2 8" xfId="33018" xr:uid="{00000000-0005-0000-0000-0000EB800000}"/>
    <cellStyle name="Normal 5 10 21 2 9" xfId="33019" xr:uid="{00000000-0005-0000-0000-0000EC800000}"/>
    <cellStyle name="Normal 5 10 21 3" xfId="33020" xr:uid="{00000000-0005-0000-0000-0000ED800000}"/>
    <cellStyle name="Normal 5 10 21 3 10" xfId="33021" xr:uid="{00000000-0005-0000-0000-0000EE800000}"/>
    <cellStyle name="Normal 5 10 21 3 2" xfId="33022" xr:uid="{00000000-0005-0000-0000-0000EF800000}"/>
    <cellStyle name="Normal 5 10 21 3 3" xfId="33023" xr:uid="{00000000-0005-0000-0000-0000F0800000}"/>
    <cellStyle name="Normal 5 10 21 3 4" xfId="33024" xr:uid="{00000000-0005-0000-0000-0000F1800000}"/>
    <cellStyle name="Normal 5 10 21 3 5" xfId="33025" xr:uid="{00000000-0005-0000-0000-0000F2800000}"/>
    <cellStyle name="Normal 5 10 21 3 6" xfId="33026" xr:uid="{00000000-0005-0000-0000-0000F3800000}"/>
    <cellStyle name="Normal 5 10 21 3 7" xfId="33027" xr:uid="{00000000-0005-0000-0000-0000F4800000}"/>
    <cellStyle name="Normal 5 10 21 3 8" xfId="33028" xr:uid="{00000000-0005-0000-0000-0000F5800000}"/>
    <cellStyle name="Normal 5 10 21 3 9" xfId="33029" xr:uid="{00000000-0005-0000-0000-0000F6800000}"/>
    <cellStyle name="Normal 5 10 21 4" xfId="33030" xr:uid="{00000000-0005-0000-0000-0000F7800000}"/>
    <cellStyle name="Normal 5 10 21 4 10" xfId="33031" xr:uid="{00000000-0005-0000-0000-0000F8800000}"/>
    <cellStyle name="Normal 5 10 21 4 2" xfId="33032" xr:uid="{00000000-0005-0000-0000-0000F9800000}"/>
    <cellStyle name="Normal 5 10 21 4 3" xfId="33033" xr:uid="{00000000-0005-0000-0000-0000FA800000}"/>
    <cellStyle name="Normal 5 10 21 4 4" xfId="33034" xr:uid="{00000000-0005-0000-0000-0000FB800000}"/>
    <cellStyle name="Normal 5 10 21 4 5" xfId="33035" xr:uid="{00000000-0005-0000-0000-0000FC800000}"/>
    <cellStyle name="Normal 5 10 21 4 6" xfId="33036" xr:uid="{00000000-0005-0000-0000-0000FD800000}"/>
    <cellStyle name="Normal 5 10 21 4 7" xfId="33037" xr:uid="{00000000-0005-0000-0000-0000FE800000}"/>
    <cellStyle name="Normal 5 10 21 4 8" xfId="33038" xr:uid="{00000000-0005-0000-0000-0000FF800000}"/>
    <cellStyle name="Normal 5 10 21 4 9" xfId="33039" xr:uid="{00000000-0005-0000-0000-000000810000}"/>
    <cellStyle name="Normal 5 10 21 5" xfId="33040" xr:uid="{00000000-0005-0000-0000-000001810000}"/>
    <cellStyle name="Normal 5 10 21 5 10" xfId="33041" xr:uid="{00000000-0005-0000-0000-000002810000}"/>
    <cellStyle name="Normal 5 10 21 5 2" xfId="33042" xr:uid="{00000000-0005-0000-0000-000003810000}"/>
    <cellStyle name="Normal 5 10 21 5 3" xfId="33043" xr:uid="{00000000-0005-0000-0000-000004810000}"/>
    <cellStyle name="Normal 5 10 21 5 4" xfId="33044" xr:uid="{00000000-0005-0000-0000-000005810000}"/>
    <cellStyle name="Normal 5 10 21 5 5" xfId="33045" xr:uid="{00000000-0005-0000-0000-000006810000}"/>
    <cellStyle name="Normal 5 10 21 5 6" xfId="33046" xr:uid="{00000000-0005-0000-0000-000007810000}"/>
    <cellStyle name="Normal 5 10 21 5 7" xfId="33047" xr:uid="{00000000-0005-0000-0000-000008810000}"/>
    <cellStyle name="Normal 5 10 21 5 8" xfId="33048" xr:uid="{00000000-0005-0000-0000-000009810000}"/>
    <cellStyle name="Normal 5 10 21 5 9" xfId="33049" xr:uid="{00000000-0005-0000-0000-00000A810000}"/>
    <cellStyle name="Normal 5 10 21 6" xfId="33050" xr:uid="{00000000-0005-0000-0000-00000B810000}"/>
    <cellStyle name="Normal 5 10 21 7" xfId="33051" xr:uid="{00000000-0005-0000-0000-00000C810000}"/>
    <cellStyle name="Normal 5 10 21 8" xfId="33052" xr:uid="{00000000-0005-0000-0000-00000D810000}"/>
    <cellStyle name="Normal 5 10 21 9" xfId="33053" xr:uid="{00000000-0005-0000-0000-00000E810000}"/>
    <cellStyle name="Normal 5 10 22" xfId="33054" xr:uid="{00000000-0005-0000-0000-00000F810000}"/>
    <cellStyle name="Normal 5 10 22 10" xfId="33055" xr:uid="{00000000-0005-0000-0000-000010810000}"/>
    <cellStyle name="Normal 5 10 22 11" xfId="33056" xr:uid="{00000000-0005-0000-0000-000011810000}"/>
    <cellStyle name="Normal 5 10 22 12" xfId="33057" xr:uid="{00000000-0005-0000-0000-000012810000}"/>
    <cellStyle name="Normal 5 10 22 13" xfId="33058" xr:uid="{00000000-0005-0000-0000-000013810000}"/>
    <cellStyle name="Normal 5 10 22 14" xfId="33059" xr:uid="{00000000-0005-0000-0000-000014810000}"/>
    <cellStyle name="Normal 5 10 22 2" xfId="33060" xr:uid="{00000000-0005-0000-0000-000015810000}"/>
    <cellStyle name="Normal 5 10 22 2 10" xfId="33061" xr:uid="{00000000-0005-0000-0000-000016810000}"/>
    <cellStyle name="Normal 5 10 22 2 2" xfId="33062" xr:uid="{00000000-0005-0000-0000-000017810000}"/>
    <cellStyle name="Normal 5 10 22 2 3" xfId="33063" xr:uid="{00000000-0005-0000-0000-000018810000}"/>
    <cellStyle name="Normal 5 10 22 2 4" xfId="33064" xr:uid="{00000000-0005-0000-0000-000019810000}"/>
    <cellStyle name="Normal 5 10 22 2 5" xfId="33065" xr:uid="{00000000-0005-0000-0000-00001A810000}"/>
    <cellStyle name="Normal 5 10 22 2 6" xfId="33066" xr:uid="{00000000-0005-0000-0000-00001B810000}"/>
    <cellStyle name="Normal 5 10 22 2 7" xfId="33067" xr:uid="{00000000-0005-0000-0000-00001C810000}"/>
    <cellStyle name="Normal 5 10 22 2 8" xfId="33068" xr:uid="{00000000-0005-0000-0000-00001D810000}"/>
    <cellStyle name="Normal 5 10 22 2 9" xfId="33069" xr:uid="{00000000-0005-0000-0000-00001E810000}"/>
    <cellStyle name="Normal 5 10 22 3" xfId="33070" xr:uid="{00000000-0005-0000-0000-00001F810000}"/>
    <cellStyle name="Normal 5 10 22 3 10" xfId="33071" xr:uid="{00000000-0005-0000-0000-000020810000}"/>
    <cellStyle name="Normal 5 10 22 3 2" xfId="33072" xr:uid="{00000000-0005-0000-0000-000021810000}"/>
    <cellStyle name="Normal 5 10 22 3 3" xfId="33073" xr:uid="{00000000-0005-0000-0000-000022810000}"/>
    <cellStyle name="Normal 5 10 22 3 4" xfId="33074" xr:uid="{00000000-0005-0000-0000-000023810000}"/>
    <cellStyle name="Normal 5 10 22 3 5" xfId="33075" xr:uid="{00000000-0005-0000-0000-000024810000}"/>
    <cellStyle name="Normal 5 10 22 3 6" xfId="33076" xr:uid="{00000000-0005-0000-0000-000025810000}"/>
    <cellStyle name="Normal 5 10 22 3 7" xfId="33077" xr:uid="{00000000-0005-0000-0000-000026810000}"/>
    <cellStyle name="Normal 5 10 22 3 8" xfId="33078" xr:uid="{00000000-0005-0000-0000-000027810000}"/>
    <cellStyle name="Normal 5 10 22 3 9" xfId="33079" xr:uid="{00000000-0005-0000-0000-000028810000}"/>
    <cellStyle name="Normal 5 10 22 4" xfId="33080" xr:uid="{00000000-0005-0000-0000-000029810000}"/>
    <cellStyle name="Normal 5 10 22 4 10" xfId="33081" xr:uid="{00000000-0005-0000-0000-00002A810000}"/>
    <cellStyle name="Normal 5 10 22 4 2" xfId="33082" xr:uid="{00000000-0005-0000-0000-00002B810000}"/>
    <cellStyle name="Normal 5 10 22 4 3" xfId="33083" xr:uid="{00000000-0005-0000-0000-00002C810000}"/>
    <cellStyle name="Normal 5 10 22 4 4" xfId="33084" xr:uid="{00000000-0005-0000-0000-00002D810000}"/>
    <cellStyle name="Normal 5 10 22 4 5" xfId="33085" xr:uid="{00000000-0005-0000-0000-00002E810000}"/>
    <cellStyle name="Normal 5 10 22 4 6" xfId="33086" xr:uid="{00000000-0005-0000-0000-00002F810000}"/>
    <cellStyle name="Normal 5 10 22 4 7" xfId="33087" xr:uid="{00000000-0005-0000-0000-000030810000}"/>
    <cellStyle name="Normal 5 10 22 4 8" xfId="33088" xr:uid="{00000000-0005-0000-0000-000031810000}"/>
    <cellStyle name="Normal 5 10 22 4 9" xfId="33089" xr:uid="{00000000-0005-0000-0000-000032810000}"/>
    <cellStyle name="Normal 5 10 22 5" xfId="33090" xr:uid="{00000000-0005-0000-0000-000033810000}"/>
    <cellStyle name="Normal 5 10 22 5 10" xfId="33091" xr:uid="{00000000-0005-0000-0000-000034810000}"/>
    <cellStyle name="Normal 5 10 22 5 2" xfId="33092" xr:uid="{00000000-0005-0000-0000-000035810000}"/>
    <cellStyle name="Normal 5 10 22 5 3" xfId="33093" xr:uid="{00000000-0005-0000-0000-000036810000}"/>
    <cellStyle name="Normal 5 10 22 5 4" xfId="33094" xr:uid="{00000000-0005-0000-0000-000037810000}"/>
    <cellStyle name="Normal 5 10 22 5 5" xfId="33095" xr:uid="{00000000-0005-0000-0000-000038810000}"/>
    <cellStyle name="Normal 5 10 22 5 6" xfId="33096" xr:uid="{00000000-0005-0000-0000-000039810000}"/>
    <cellStyle name="Normal 5 10 22 5 7" xfId="33097" xr:uid="{00000000-0005-0000-0000-00003A810000}"/>
    <cellStyle name="Normal 5 10 22 5 8" xfId="33098" xr:uid="{00000000-0005-0000-0000-00003B810000}"/>
    <cellStyle name="Normal 5 10 22 5 9" xfId="33099" xr:uid="{00000000-0005-0000-0000-00003C810000}"/>
    <cellStyle name="Normal 5 10 22 6" xfId="33100" xr:uid="{00000000-0005-0000-0000-00003D810000}"/>
    <cellStyle name="Normal 5 10 22 7" xfId="33101" xr:uid="{00000000-0005-0000-0000-00003E810000}"/>
    <cellStyle name="Normal 5 10 22 8" xfId="33102" xr:uid="{00000000-0005-0000-0000-00003F810000}"/>
    <cellStyle name="Normal 5 10 22 9" xfId="33103" xr:uid="{00000000-0005-0000-0000-000040810000}"/>
    <cellStyle name="Normal 5 10 23" xfId="33104" xr:uid="{00000000-0005-0000-0000-000041810000}"/>
    <cellStyle name="Normal 5 10 23 10" xfId="33105" xr:uid="{00000000-0005-0000-0000-000042810000}"/>
    <cellStyle name="Normal 5 10 23 11" xfId="33106" xr:uid="{00000000-0005-0000-0000-000043810000}"/>
    <cellStyle name="Normal 5 10 23 12" xfId="33107" xr:uid="{00000000-0005-0000-0000-000044810000}"/>
    <cellStyle name="Normal 5 10 23 13" xfId="33108" xr:uid="{00000000-0005-0000-0000-000045810000}"/>
    <cellStyle name="Normal 5 10 23 14" xfId="33109" xr:uid="{00000000-0005-0000-0000-000046810000}"/>
    <cellStyle name="Normal 5 10 23 2" xfId="33110" xr:uid="{00000000-0005-0000-0000-000047810000}"/>
    <cellStyle name="Normal 5 10 23 2 10" xfId="33111" xr:uid="{00000000-0005-0000-0000-000048810000}"/>
    <cellStyle name="Normal 5 10 23 2 2" xfId="33112" xr:uid="{00000000-0005-0000-0000-000049810000}"/>
    <cellStyle name="Normal 5 10 23 2 3" xfId="33113" xr:uid="{00000000-0005-0000-0000-00004A810000}"/>
    <cellStyle name="Normal 5 10 23 2 4" xfId="33114" xr:uid="{00000000-0005-0000-0000-00004B810000}"/>
    <cellStyle name="Normal 5 10 23 2 5" xfId="33115" xr:uid="{00000000-0005-0000-0000-00004C810000}"/>
    <cellStyle name="Normal 5 10 23 2 6" xfId="33116" xr:uid="{00000000-0005-0000-0000-00004D810000}"/>
    <cellStyle name="Normal 5 10 23 2 7" xfId="33117" xr:uid="{00000000-0005-0000-0000-00004E810000}"/>
    <cellStyle name="Normal 5 10 23 2 8" xfId="33118" xr:uid="{00000000-0005-0000-0000-00004F810000}"/>
    <cellStyle name="Normal 5 10 23 2 9" xfId="33119" xr:uid="{00000000-0005-0000-0000-000050810000}"/>
    <cellStyle name="Normal 5 10 23 3" xfId="33120" xr:uid="{00000000-0005-0000-0000-000051810000}"/>
    <cellStyle name="Normal 5 10 23 3 10" xfId="33121" xr:uid="{00000000-0005-0000-0000-000052810000}"/>
    <cellStyle name="Normal 5 10 23 3 2" xfId="33122" xr:uid="{00000000-0005-0000-0000-000053810000}"/>
    <cellStyle name="Normal 5 10 23 3 3" xfId="33123" xr:uid="{00000000-0005-0000-0000-000054810000}"/>
    <cellStyle name="Normal 5 10 23 3 4" xfId="33124" xr:uid="{00000000-0005-0000-0000-000055810000}"/>
    <cellStyle name="Normal 5 10 23 3 5" xfId="33125" xr:uid="{00000000-0005-0000-0000-000056810000}"/>
    <cellStyle name="Normal 5 10 23 3 6" xfId="33126" xr:uid="{00000000-0005-0000-0000-000057810000}"/>
    <cellStyle name="Normal 5 10 23 3 7" xfId="33127" xr:uid="{00000000-0005-0000-0000-000058810000}"/>
    <cellStyle name="Normal 5 10 23 3 8" xfId="33128" xr:uid="{00000000-0005-0000-0000-000059810000}"/>
    <cellStyle name="Normal 5 10 23 3 9" xfId="33129" xr:uid="{00000000-0005-0000-0000-00005A810000}"/>
    <cellStyle name="Normal 5 10 23 4" xfId="33130" xr:uid="{00000000-0005-0000-0000-00005B810000}"/>
    <cellStyle name="Normal 5 10 23 4 10" xfId="33131" xr:uid="{00000000-0005-0000-0000-00005C810000}"/>
    <cellStyle name="Normal 5 10 23 4 2" xfId="33132" xr:uid="{00000000-0005-0000-0000-00005D810000}"/>
    <cellStyle name="Normal 5 10 23 4 3" xfId="33133" xr:uid="{00000000-0005-0000-0000-00005E810000}"/>
    <cellStyle name="Normal 5 10 23 4 4" xfId="33134" xr:uid="{00000000-0005-0000-0000-00005F810000}"/>
    <cellStyle name="Normal 5 10 23 4 5" xfId="33135" xr:uid="{00000000-0005-0000-0000-000060810000}"/>
    <cellStyle name="Normal 5 10 23 4 6" xfId="33136" xr:uid="{00000000-0005-0000-0000-000061810000}"/>
    <cellStyle name="Normal 5 10 23 4 7" xfId="33137" xr:uid="{00000000-0005-0000-0000-000062810000}"/>
    <cellStyle name="Normal 5 10 23 4 8" xfId="33138" xr:uid="{00000000-0005-0000-0000-000063810000}"/>
    <cellStyle name="Normal 5 10 23 4 9" xfId="33139" xr:uid="{00000000-0005-0000-0000-000064810000}"/>
    <cellStyle name="Normal 5 10 23 5" xfId="33140" xr:uid="{00000000-0005-0000-0000-000065810000}"/>
    <cellStyle name="Normal 5 10 23 5 10" xfId="33141" xr:uid="{00000000-0005-0000-0000-000066810000}"/>
    <cellStyle name="Normal 5 10 23 5 2" xfId="33142" xr:uid="{00000000-0005-0000-0000-000067810000}"/>
    <cellStyle name="Normal 5 10 23 5 3" xfId="33143" xr:uid="{00000000-0005-0000-0000-000068810000}"/>
    <cellStyle name="Normal 5 10 23 5 4" xfId="33144" xr:uid="{00000000-0005-0000-0000-000069810000}"/>
    <cellStyle name="Normal 5 10 23 5 5" xfId="33145" xr:uid="{00000000-0005-0000-0000-00006A810000}"/>
    <cellStyle name="Normal 5 10 23 5 6" xfId="33146" xr:uid="{00000000-0005-0000-0000-00006B810000}"/>
    <cellStyle name="Normal 5 10 23 5 7" xfId="33147" xr:uid="{00000000-0005-0000-0000-00006C810000}"/>
    <cellStyle name="Normal 5 10 23 5 8" xfId="33148" xr:uid="{00000000-0005-0000-0000-00006D810000}"/>
    <cellStyle name="Normal 5 10 23 5 9" xfId="33149" xr:uid="{00000000-0005-0000-0000-00006E810000}"/>
    <cellStyle name="Normal 5 10 23 6" xfId="33150" xr:uid="{00000000-0005-0000-0000-00006F810000}"/>
    <cellStyle name="Normal 5 10 23 7" xfId="33151" xr:uid="{00000000-0005-0000-0000-000070810000}"/>
    <cellStyle name="Normal 5 10 23 8" xfId="33152" xr:uid="{00000000-0005-0000-0000-000071810000}"/>
    <cellStyle name="Normal 5 10 23 9" xfId="33153" xr:uid="{00000000-0005-0000-0000-000072810000}"/>
    <cellStyle name="Normal 5 10 24" xfId="33154" xr:uid="{00000000-0005-0000-0000-000073810000}"/>
    <cellStyle name="Normal 5 10 24 10" xfId="33155" xr:uid="{00000000-0005-0000-0000-000074810000}"/>
    <cellStyle name="Normal 5 10 24 11" xfId="33156" xr:uid="{00000000-0005-0000-0000-000075810000}"/>
    <cellStyle name="Normal 5 10 24 12" xfId="33157" xr:uid="{00000000-0005-0000-0000-000076810000}"/>
    <cellStyle name="Normal 5 10 24 13" xfId="33158" xr:uid="{00000000-0005-0000-0000-000077810000}"/>
    <cellStyle name="Normal 5 10 24 14" xfId="33159" xr:uid="{00000000-0005-0000-0000-000078810000}"/>
    <cellStyle name="Normal 5 10 24 2" xfId="33160" xr:uid="{00000000-0005-0000-0000-000079810000}"/>
    <cellStyle name="Normal 5 10 24 2 10" xfId="33161" xr:uid="{00000000-0005-0000-0000-00007A810000}"/>
    <cellStyle name="Normal 5 10 24 2 2" xfId="33162" xr:uid="{00000000-0005-0000-0000-00007B810000}"/>
    <cellStyle name="Normal 5 10 24 2 3" xfId="33163" xr:uid="{00000000-0005-0000-0000-00007C810000}"/>
    <cellStyle name="Normal 5 10 24 2 4" xfId="33164" xr:uid="{00000000-0005-0000-0000-00007D810000}"/>
    <cellStyle name="Normal 5 10 24 2 5" xfId="33165" xr:uid="{00000000-0005-0000-0000-00007E810000}"/>
    <cellStyle name="Normal 5 10 24 2 6" xfId="33166" xr:uid="{00000000-0005-0000-0000-00007F810000}"/>
    <cellStyle name="Normal 5 10 24 2 7" xfId="33167" xr:uid="{00000000-0005-0000-0000-000080810000}"/>
    <cellStyle name="Normal 5 10 24 2 8" xfId="33168" xr:uid="{00000000-0005-0000-0000-000081810000}"/>
    <cellStyle name="Normal 5 10 24 2 9" xfId="33169" xr:uid="{00000000-0005-0000-0000-000082810000}"/>
    <cellStyle name="Normal 5 10 24 3" xfId="33170" xr:uid="{00000000-0005-0000-0000-000083810000}"/>
    <cellStyle name="Normal 5 10 24 3 10" xfId="33171" xr:uid="{00000000-0005-0000-0000-000084810000}"/>
    <cellStyle name="Normal 5 10 24 3 2" xfId="33172" xr:uid="{00000000-0005-0000-0000-000085810000}"/>
    <cellStyle name="Normal 5 10 24 3 3" xfId="33173" xr:uid="{00000000-0005-0000-0000-000086810000}"/>
    <cellStyle name="Normal 5 10 24 3 4" xfId="33174" xr:uid="{00000000-0005-0000-0000-000087810000}"/>
    <cellStyle name="Normal 5 10 24 3 5" xfId="33175" xr:uid="{00000000-0005-0000-0000-000088810000}"/>
    <cellStyle name="Normal 5 10 24 3 6" xfId="33176" xr:uid="{00000000-0005-0000-0000-000089810000}"/>
    <cellStyle name="Normal 5 10 24 3 7" xfId="33177" xr:uid="{00000000-0005-0000-0000-00008A810000}"/>
    <cellStyle name="Normal 5 10 24 3 8" xfId="33178" xr:uid="{00000000-0005-0000-0000-00008B810000}"/>
    <cellStyle name="Normal 5 10 24 3 9" xfId="33179" xr:uid="{00000000-0005-0000-0000-00008C810000}"/>
    <cellStyle name="Normal 5 10 24 4" xfId="33180" xr:uid="{00000000-0005-0000-0000-00008D810000}"/>
    <cellStyle name="Normal 5 10 24 4 10" xfId="33181" xr:uid="{00000000-0005-0000-0000-00008E810000}"/>
    <cellStyle name="Normal 5 10 24 4 2" xfId="33182" xr:uid="{00000000-0005-0000-0000-00008F810000}"/>
    <cellStyle name="Normal 5 10 24 4 3" xfId="33183" xr:uid="{00000000-0005-0000-0000-000090810000}"/>
    <cellStyle name="Normal 5 10 24 4 4" xfId="33184" xr:uid="{00000000-0005-0000-0000-000091810000}"/>
    <cellStyle name="Normal 5 10 24 4 5" xfId="33185" xr:uid="{00000000-0005-0000-0000-000092810000}"/>
    <cellStyle name="Normal 5 10 24 4 6" xfId="33186" xr:uid="{00000000-0005-0000-0000-000093810000}"/>
    <cellStyle name="Normal 5 10 24 4 7" xfId="33187" xr:uid="{00000000-0005-0000-0000-000094810000}"/>
    <cellStyle name="Normal 5 10 24 4 8" xfId="33188" xr:uid="{00000000-0005-0000-0000-000095810000}"/>
    <cellStyle name="Normal 5 10 24 4 9" xfId="33189" xr:uid="{00000000-0005-0000-0000-000096810000}"/>
    <cellStyle name="Normal 5 10 24 5" xfId="33190" xr:uid="{00000000-0005-0000-0000-000097810000}"/>
    <cellStyle name="Normal 5 10 24 5 10" xfId="33191" xr:uid="{00000000-0005-0000-0000-000098810000}"/>
    <cellStyle name="Normal 5 10 24 5 2" xfId="33192" xr:uid="{00000000-0005-0000-0000-000099810000}"/>
    <cellStyle name="Normal 5 10 24 5 3" xfId="33193" xr:uid="{00000000-0005-0000-0000-00009A810000}"/>
    <cellStyle name="Normal 5 10 24 5 4" xfId="33194" xr:uid="{00000000-0005-0000-0000-00009B810000}"/>
    <cellStyle name="Normal 5 10 24 5 5" xfId="33195" xr:uid="{00000000-0005-0000-0000-00009C810000}"/>
    <cellStyle name="Normal 5 10 24 5 6" xfId="33196" xr:uid="{00000000-0005-0000-0000-00009D810000}"/>
    <cellStyle name="Normal 5 10 24 5 7" xfId="33197" xr:uid="{00000000-0005-0000-0000-00009E810000}"/>
    <cellStyle name="Normal 5 10 24 5 8" xfId="33198" xr:uid="{00000000-0005-0000-0000-00009F810000}"/>
    <cellStyle name="Normal 5 10 24 5 9" xfId="33199" xr:uid="{00000000-0005-0000-0000-0000A0810000}"/>
    <cellStyle name="Normal 5 10 24 6" xfId="33200" xr:uid="{00000000-0005-0000-0000-0000A1810000}"/>
    <cellStyle name="Normal 5 10 24 7" xfId="33201" xr:uid="{00000000-0005-0000-0000-0000A2810000}"/>
    <cellStyle name="Normal 5 10 24 8" xfId="33202" xr:uid="{00000000-0005-0000-0000-0000A3810000}"/>
    <cellStyle name="Normal 5 10 24 9" xfId="33203" xr:uid="{00000000-0005-0000-0000-0000A4810000}"/>
    <cellStyle name="Normal 5 10 25" xfId="33204" xr:uid="{00000000-0005-0000-0000-0000A5810000}"/>
    <cellStyle name="Normal 5 10 25 10" xfId="33205" xr:uid="{00000000-0005-0000-0000-0000A6810000}"/>
    <cellStyle name="Normal 5 10 25 11" xfId="33206" xr:uid="{00000000-0005-0000-0000-0000A7810000}"/>
    <cellStyle name="Normal 5 10 25 12" xfId="33207" xr:uid="{00000000-0005-0000-0000-0000A8810000}"/>
    <cellStyle name="Normal 5 10 25 13" xfId="33208" xr:uid="{00000000-0005-0000-0000-0000A9810000}"/>
    <cellStyle name="Normal 5 10 25 14" xfId="33209" xr:uid="{00000000-0005-0000-0000-0000AA810000}"/>
    <cellStyle name="Normal 5 10 25 2" xfId="33210" xr:uid="{00000000-0005-0000-0000-0000AB810000}"/>
    <cellStyle name="Normal 5 10 25 2 10" xfId="33211" xr:uid="{00000000-0005-0000-0000-0000AC810000}"/>
    <cellStyle name="Normal 5 10 25 2 2" xfId="33212" xr:uid="{00000000-0005-0000-0000-0000AD810000}"/>
    <cellStyle name="Normal 5 10 25 2 3" xfId="33213" xr:uid="{00000000-0005-0000-0000-0000AE810000}"/>
    <cellStyle name="Normal 5 10 25 2 4" xfId="33214" xr:uid="{00000000-0005-0000-0000-0000AF810000}"/>
    <cellStyle name="Normal 5 10 25 2 5" xfId="33215" xr:uid="{00000000-0005-0000-0000-0000B0810000}"/>
    <cellStyle name="Normal 5 10 25 2 6" xfId="33216" xr:uid="{00000000-0005-0000-0000-0000B1810000}"/>
    <cellStyle name="Normal 5 10 25 2 7" xfId="33217" xr:uid="{00000000-0005-0000-0000-0000B2810000}"/>
    <cellStyle name="Normal 5 10 25 2 8" xfId="33218" xr:uid="{00000000-0005-0000-0000-0000B3810000}"/>
    <cellStyle name="Normal 5 10 25 2 9" xfId="33219" xr:uid="{00000000-0005-0000-0000-0000B4810000}"/>
    <cellStyle name="Normal 5 10 25 3" xfId="33220" xr:uid="{00000000-0005-0000-0000-0000B5810000}"/>
    <cellStyle name="Normal 5 10 25 3 10" xfId="33221" xr:uid="{00000000-0005-0000-0000-0000B6810000}"/>
    <cellStyle name="Normal 5 10 25 3 2" xfId="33222" xr:uid="{00000000-0005-0000-0000-0000B7810000}"/>
    <cellStyle name="Normal 5 10 25 3 3" xfId="33223" xr:uid="{00000000-0005-0000-0000-0000B8810000}"/>
    <cellStyle name="Normal 5 10 25 3 4" xfId="33224" xr:uid="{00000000-0005-0000-0000-0000B9810000}"/>
    <cellStyle name="Normal 5 10 25 3 5" xfId="33225" xr:uid="{00000000-0005-0000-0000-0000BA810000}"/>
    <cellStyle name="Normal 5 10 25 3 6" xfId="33226" xr:uid="{00000000-0005-0000-0000-0000BB810000}"/>
    <cellStyle name="Normal 5 10 25 3 7" xfId="33227" xr:uid="{00000000-0005-0000-0000-0000BC810000}"/>
    <cellStyle name="Normal 5 10 25 3 8" xfId="33228" xr:uid="{00000000-0005-0000-0000-0000BD810000}"/>
    <cellStyle name="Normal 5 10 25 3 9" xfId="33229" xr:uid="{00000000-0005-0000-0000-0000BE810000}"/>
    <cellStyle name="Normal 5 10 25 4" xfId="33230" xr:uid="{00000000-0005-0000-0000-0000BF810000}"/>
    <cellStyle name="Normal 5 10 25 4 10" xfId="33231" xr:uid="{00000000-0005-0000-0000-0000C0810000}"/>
    <cellStyle name="Normal 5 10 25 4 2" xfId="33232" xr:uid="{00000000-0005-0000-0000-0000C1810000}"/>
    <cellStyle name="Normal 5 10 25 4 3" xfId="33233" xr:uid="{00000000-0005-0000-0000-0000C2810000}"/>
    <cellStyle name="Normal 5 10 25 4 4" xfId="33234" xr:uid="{00000000-0005-0000-0000-0000C3810000}"/>
    <cellStyle name="Normal 5 10 25 4 5" xfId="33235" xr:uid="{00000000-0005-0000-0000-0000C4810000}"/>
    <cellStyle name="Normal 5 10 25 4 6" xfId="33236" xr:uid="{00000000-0005-0000-0000-0000C5810000}"/>
    <cellStyle name="Normal 5 10 25 4 7" xfId="33237" xr:uid="{00000000-0005-0000-0000-0000C6810000}"/>
    <cellStyle name="Normal 5 10 25 4 8" xfId="33238" xr:uid="{00000000-0005-0000-0000-0000C7810000}"/>
    <cellStyle name="Normal 5 10 25 4 9" xfId="33239" xr:uid="{00000000-0005-0000-0000-0000C8810000}"/>
    <cellStyle name="Normal 5 10 25 5" xfId="33240" xr:uid="{00000000-0005-0000-0000-0000C9810000}"/>
    <cellStyle name="Normal 5 10 25 5 10" xfId="33241" xr:uid="{00000000-0005-0000-0000-0000CA810000}"/>
    <cellStyle name="Normal 5 10 25 5 2" xfId="33242" xr:uid="{00000000-0005-0000-0000-0000CB810000}"/>
    <cellStyle name="Normal 5 10 25 5 3" xfId="33243" xr:uid="{00000000-0005-0000-0000-0000CC810000}"/>
    <cellStyle name="Normal 5 10 25 5 4" xfId="33244" xr:uid="{00000000-0005-0000-0000-0000CD810000}"/>
    <cellStyle name="Normal 5 10 25 5 5" xfId="33245" xr:uid="{00000000-0005-0000-0000-0000CE810000}"/>
    <cellStyle name="Normal 5 10 25 5 6" xfId="33246" xr:uid="{00000000-0005-0000-0000-0000CF810000}"/>
    <cellStyle name="Normal 5 10 25 5 7" xfId="33247" xr:uid="{00000000-0005-0000-0000-0000D0810000}"/>
    <cellStyle name="Normal 5 10 25 5 8" xfId="33248" xr:uid="{00000000-0005-0000-0000-0000D1810000}"/>
    <cellStyle name="Normal 5 10 25 5 9" xfId="33249" xr:uid="{00000000-0005-0000-0000-0000D2810000}"/>
    <cellStyle name="Normal 5 10 25 6" xfId="33250" xr:uid="{00000000-0005-0000-0000-0000D3810000}"/>
    <cellStyle name="Normal 5 10 25 7" xfId="33251" xr:uid="{00000000-0005-0000-0000-0000D4810000}"/>
    <cellStyle name="Normal 5 10 25 8" xfId="33252" xr:uid="{00000000-0005-0000-0000-0000D5810000}"/>
    <cellStyle name="Normal 5 10 25 9" xfId="33253" xr:uid="{00000000-0005-0000-0000-0000D6810000}"/>
    <cellStyle name="Normal 5 10 26" xfId="33254" xr:uid="{00000000-0005-0000-0000-0000D7810000}"/>
    <cellStyle name="Normal 5 10 26 10" xfId="33255" xr:uid="{00000000-0005-0000-0000-0000D8810000}"/>
    <cellStyle name="Normal 5 10 26 11" xfId="33256" xr:uid="{00000000-0005-0000-0000-0000D9810000}"/>
    <cellStyle name="Normal 5 10 26 12" xfId="33257" xr:uid="{00000000-0005-0000-0000-0000DA810000}"/>
    <cellStyle name="Normal 5 10 26 13" xfId="33258" xr:uid="{00000000-0005-0000-0000-0000DB810000}"/>
    <cellStyle name="Normal 5 10 26 14" xfId="33259" xr:uid="{00000000-0005-0000-0000-0000DC810000}"/>
    <cellStyle name="Normal 5 10 26 2" xfId="33260" xr:uid="{00000000-0005-0000-0000-0000DD810000}"/>
    <cellStyle name="Normal 5 10 26 2 10" xfId="33261" xr:uid="{00000000-0005-0000-0000-0000DE810000}"/>
    <cellStyle name="Normal 5 10 26 2 2" xfId="33262" xr:uid="{00000000-0005-0000-0000-0000DF810000}"/>
    <cellStyle name="Normal 5 10 26 2 3" xfId="33263" xr:uid="{00000000-0005-0000-0000-0000E0810000}"/>
    <cellStyle name="Normal 5 10 26 2 4" xfId="33264" xr:uid="{00000000-0005-0000-0000-0000E1810000}"/>
    <cellStyle name="Normal 5 10 26 2 5" xfId="33265" xr:uid="{00000000-0005-0000-0000-0000E2810000}"/>
    <cellStyle name="Normal 5 10 26 2 6" xfId="33266" xr:uid="{00000000-0005-0000-0000-0000E3810000}"/>
    <cellStyle name="Normal 5 10 26 2 7" xfId="33267" xr:uid="{00000000-0005-0000-0000-0000E4810000}"/>
    <cellStyle name="Normal 5 10 26 2 8" xfId="33268" xr:uid="{00000000-0005-0000-0000-0000E5810000}"/>
    <cellStyle name="Normal 5 10 26 2 9" xfId="33269" xr:uid="{00000000-0005-0000-0000-0000E6810000}"/>
    <cellStyle name="Normal 5 10 26 3" xfId="33270" xr:uid="{00000000-0005-0000-0000-0000E7810000}"/>
    <cellStyle name="Normal 5 10 26 3 10" xfId="33271" xr:uid="{00000000-0005-0000-0000-0000E8810000}"/>
    <cellStyle name="Normal 5 10 26 3 2" xfId="33272" xr:uid="{00000000-0005-0000-0000-0000E9810000}"/>
    <cellStyle name="Normal 5 10 26 3 3" xfId="33273" xr:uid="{00000000-0005-0000-0000-0000EA810000}"/>
    <cellStyle name="Normal 5 10 26 3 4" xfId="33274" xr:uid="{00000000-0005-0000-0000-0000EB810000}"/>
    <cellStyle name="Normal 5 10 26 3 5" xfId="33275" xr:uid="{00000000-0005-0000-0000-0000EC810000}"/>
    <cellStyle name="Normal 5 10 26 3 6" xfId="33276" xr:uid="{00000000-0005-0000-0000-0000ED810000}"/>
    <cellStyle name="Normal 5 10 26 3 7" xfId="33277" xr:uid="{00000000-0005-0000-0000-0000EE810000}"/>
    <cellStyle name="Normal 5 10 26 3 8" xfId="33278" xr:uid="{00000000-0005-0000-0000-0000EF810000}"/>
    <cellStyle name="Normal 5 10 26 3 9" xfId="33279" xr:uid="{00000000-0005-0000-0000-0000F0810000}"/>
    <cellStyle name="Normal 5 10 26 4" xfId="33280" xr:uid="{00000000-0005-0000-0000-0000F1810000}"/>
    <cellStyle name="Normal 5 10 26 4 10" xfId="33281" xr:uid="{00000000-0005-0000-0000-0000F2810000}"/>
    <cellStyle name="Normal 5 10 26 4 2" xfId="33282" xr:uid="{00000000-0005-0000-0000-0000F3810000}"/>
    <cellStyle name="Normal 5 10 26 4 3" xfId="33283" xr:uid="{00000000-0005-0000-0000-0000F4810000}"/>
    <cellStyle name="Normal 5 10 26 4 4" xfId="33284" xr:uid="{00000000-0005-0000-0000-0000F5810000}"/>
    <cellStyle name="Normal 5 10 26 4 5" xfId="33285" xr:uid="{00000000-0005-0000-0000-0000F6810000}"/>
    <cellStyle name="Normal 5 10 26 4 6" xfId="33286" xr:uid="{00000000-0005-0000-0000-0000F7810000}"/>
    <cellStyle name="Normal 5 10 26 4 7" xfId="33287" xr:uid="{00000000-0005-0000-0000-0000F8810000}"/>
    <cellStyle name="Normal 5 10 26 4 8" xfId="33288" xr:uid="{00000000-0005-0000-0000-0000F9810000}"/>
    <cellStyle name="Normal 5 10 26 4 9" xfId="33289" xr:uid="{00000000-0005-0000-0000-0000FA810000}"/>
    <cellStyle name="Normal 5 10 26 5" xfId="33290" xr:uid="{00000000-0005-0000-0000-0000FB810000}"/>
    <cellStyle name="Normal 5 10 26 5 10" xfId="33291" xr:uid="{00000000-0005-0000-0000-0000FC810000}"/>
    <cellStyle name="Normal 5 10 26 5 2" xfId="33292" xr:uid="{00000000-0005-0000-0000-0000FD810000}"/>
    <cellStyle name="Normal 5 10 26 5 3" xfId="33293" xr:uid="{00000000-0005-0000-0000-0000FE810000}"/>
    <cellStyle name="Normal 5 10 26 5 4" xfId="33294" xr:uid="{00000000-0005-0000-0000-0000FF810000}"/>
    <cellStyle name="Normal 5 10 26 5 5" xfId="33295" xr:uid="{00000000-0005-0000-0000-000000820000}"/>
    <cellStyle name="Normal 5 10 26 5 6" xfId="33296" xr:uid="{00000000-0005-0000-0000-000001820000}"/>
    <cellStyle name="Normal 5 10 26 5 7" xfId="33297" xr:uid="{00000000-0005-0000-0000-000002820000}"/>
    <cellStyle name="Normal 5 10 26 5 8" xfId="33298" xr:uid="{00000000-0005-0000-0000-000003820000}"/>
    <cellStyle name="Normal 5 10 26 5 9" xfId="33299" xr:uid="{00000000-0005-0000-0000-000004820000}"/>
    <cellStyle name="Normal 5 10 26 6" xfId="33300" xr:uid="{00000000-0005-0000-0000-000005820000}"/>
    <cellStyle name="Normal 5 10 26 7" xfId="33301" xr:uid="{00000000-0005-0000-0000-000006820000}"/>
    <cellStyle name="Normal 5 10 26 8" xfId="33302" xr:uid="{00000000-0005-0000-0000-000007820000}"/>
    <cellStyle name="Normal 5 10 26 9" xfId="33303" xr:uid="{00000000-0005-0000-0000-000008820000}"/>
    <cellStyle name="Normal 5 10 27" xfId="33304" xr:uid="{00000000-0005-0000-0000-000009820000}"/>
    <cellStyle name="Normal 5 10 27 10" xfId="33305" xr:uid="{00000000-0005-0000-0000-00000A820000}"/>
    <cellStyle name="Normal 5 10 27 11" xfId="33306" xr:uid="{00000000-0005-0000-0000-00000B820000}"/>
    <cellStyle name="Normal 5 10 27 12" xfId="33307" xr:uid="{00000000-0005-0000-0000-00000C820000}"/>
    <cellStyle name="Normal 5 10 27 13" xfId="33308" xr:uid="{00000000-0005-0000-0000-00000D820000}"/>
    <cellStyle name="Normal 5 10 27 14" xfId="33309" xr:uid="{00000000-0005-0000-0000-00000E820000}"/>
    <cellStyle name="Normal 5 10 27 2" xfId="33310" xr:uid="{00000000-0005-0000-0000-00000F820000}"/>
    <cellStyle name="Normal 5 10 27 2 10" xfId="33311" xr:uid="{00000000-0005-0000-0000-000010820000}"/>
    <cellStyle name="Normal 5 10 27 2 2" xfId="33312" xr:uid="{00000000-0005-0000-0000-000011820000}"/>
    <cellStyle name="Normal 5 10 27 2 3" xfId="33313" xr:uid="{00000000-0005-0000-0000-000012820000}"/>
    <cellStyle name="Normal 5 10 27 2 4" xfId="33314" xr:uid="{00000000-0005-0000-0000-000013820000}"/>
    <cellStyle name="Normal 5 10 27 2 5" xfId="33315" xr:uid="{00000000-0005-0000-0000-000014820000}"/>
    <cellStyle name="Normal 5 10 27 2 6" xfId="33316" xr:uid="{00000000-0005-0000-0000-000015820000}"/>
    <cellStyle name="Normal 5 10 27 2 7" xfId="33317" xr:uid="{00000000-0005-0000-0000-000016820000}"/>
    <cellStyle name="Normal 5 10 27 2 8" xfId="33318" xr:uid="{00000000-0005-0000-0000-000017820000}"/>
    <cellStyle name="Normal 5 10 27 2 9" xfId="33319" xr:uid="{00000000-0005-0000-0000-000018820000}"/>
    <cellStyle name="Normal 5 10 27 3" xfId="33320" xr:uid="{00000000-0005-0000-0000-000019820000}"/>
    <cellStyle name="Normal 5 10 27 3 10" xfId="33321" xr:uid="{00000000-0005-0000-0000-00001A820000}"/>
    <cellStyle name="Normal 5 10 27 3 2" xfId="33322" xr:uid="{00000000-0005-0000-0000-00001B820000}"/>
    <cellStyle name="Normal 5 10 27 3 3" xfId="33323" xr:uid="{00000000-0005-0000-0000-00001C820000}"/>
    <cellStyle name="Normal 5 10 27 3 4" xfId="33324" xr:uid="{00000000-0005-0000-0000-00001D820000}"/>
    <cellStyle name="Normal 5 10 27 3 5" xfId="33325" xr:uid="{00000000-0005-0000-0000-00001E820000}"/>
    <cellStyle name="Normal 5 10 27 3 6" xfId="33326" xr:uid="{00000000-0005-0000-0000-00001F820000}"/>
    <cellStyle name="Normal 5 10 27 3 7" xfId="33327" xr:uid="{00000000-0005-0000-0000-000020820000}"/>
    <cellStyle name="Normal 5 10 27 3 8" xfId="33328" xr:uid="{00000000-0005-0000-0000-000021820000}"/>
    <cellStyle name="Normal 5 10 27 3 9" xfId="33329" xr:uid="{00000000-0005-0000-0000-000022820000}"/>
    <cellStyle name="Normal 5 10 27 4" xfId="33330" xr:uid="{00000000-0005-0000-0000-000023820000}"/>
    <cellStyle name="Normal 5 10 27 4 10" xfId="33331" xr:uid="{00000000-0005-0000-0000-000024820000}"/>
    <cellStyle name="Normal 5 10 27 4 2" xfId="33332" xr:uid="{00000000-0005-0000-0000-000025820000}"/>
    <cellStyle name="Normal 5 10 27 4 3" xfId="33333" xr:uid="{00000000-0005-0000-0000-000026820000}"/>
    <cellStyle name="Normal 5 10 27 4 4" xfId="33334" xr:uid="{00000000-0005-0000-0000-000027820000}"/>
    <cellStyle name="Normal 5 10 27 4 5" xfId="33335" xr:uid="{00000000-0005-0000-0000-000028820000}"/>
    <cellStyle name="Normal 5 10 27 4 6" xfId="33336" xr:uid="{00000000-0005-0000-0000-000029820000}"/>
    <cellStyle name="Normal 5 10 27 4 7" xfId="33337" xr:uid="{00000000-0005-0000-0000-00002A820000}"/>
    <cellStyle name="Normal 5 10 27 4 8" xfId="33338" xr:uid="{00000000-0005-0000-0000-00002B820000}"/>
    <cellStyle name="Normal 5 10 27 4 9" xfId="33339" xr:uid="{00000000-0005-0000-0000-00002C820000}"/>
    <cellStyle name="Normal 5 10 27 5" xfId="33340" xr:uid="{00000000-0005-0000-0000-00002D820000}"/>
    <cellStyle name="Normal 5 10 27 5 10" xfId="33341" xr:uid="{00000000-0005-0000-0000-00002E820000}"/>
    <cellStyle name="Normal 5 10 27 5 2" xfId="33342" xr:uid="{00000000-0005-0000-0000-00002F820000}"/>
    <cellStyle name="Normal 5 10 27 5 3" xfId="33343" xr:uid="{00000000-0005-0000-0000-000030820000}"/>
    <cellStyle name="Normal 5 10 27 5 4" xfId="33344" xr:uid="{00000000-0005-0000-0000-000031820000}"/>
    <cellStyle name="Normal 5 10 27 5 5" xfId="33345" xr:uid="{00000000-0005-0000-0000-000032820000}"/>
    <cellStyle name="Normal 5 10 27 5 6" xfId="33346" xr:uid="{00000000-0005-0000-0000-000033820000}"/>
    <cellStyle name="Normal 5 10 27 5 7" xfId="33347" xr:uid="{00000000-0005-0000-0000-000034820000}"/>
    <cellStyle name="Normal 5 10 27 5 8" xfId="33348" xr:uid="{00000000-0005-0000-0000-000035820000}"/>
    <cellStyle name="Normal 5 10 27 5 9" xfId="33349" xr:uid="{00000000-0005-0000-0000-000036820000}"/>
    <cellStyle name="Normal 5 10 27 6" xfId="33350" xr:uid="{00000000-0005-0000-0000-000037820000}"/>
    <cellStyle name="Normal 5 10 27 7" xfId="33351" xr:uid="{00000000-0005-0000-0000-000038820000}"/>
    <cellStyle name="Normal 5 10 27 8" xfId="33352" xr:uid="{00000000-0005-0000-0000-000039820000}"/>
    <cellStyle name="Normal 5 10 27 9" xfId="33353" xr:uid="{00000000-0005-0000-0000-00003A820000}"/>
    <cellStyle name="Normal 5 10 28" xfId="33354" xr:uid="{00000000-0005-0000-0000-00003B820000}"/>
    <cellStyle name="Normal 5 10 28 10" xfId="33355" xr:uid="{00000000-0005-0000-0000-00003C820000}"/>
    <cellStyle name="Normal 5 10 28 11" xfId="33356" xr:uid="{00000000-0005-0000-0000-00003D820000}"/>
    <cellStyle name="Normal 5 10 28 12" xfId="33357" xr:uid="{00000000-0005-0000-0000-00003E820000}"/>
    <cellStyle name="Normal 5 10 28 13" xfId="33358" xr:uid="{00000000-0005-0000-0000-00003F820000}"/>
    <cellStyle name="Normal 5 10 28 14" xfId="33359" xr:uid="{00000000-0005-0000-0000-000040820000}"/>
    <cellStyle name="Normal 5 10 28 2" xfId="33360" xr:uid="{00000000-0005-0000-0000-000041820000}"/>
    <cellStyle name="Normal 5 10 28 2 10" xfId="33361" xr:uid="{00000000-0005-0000-0000-000042820000}"/>
    <cellStyle name="Normal 5 10 28 2 2" xfId="33362" xr:uid="{00000000-0005-0000-0000-000043820000}"/>
    <cellStyle name="Normal 5 10 28 2 3" xfId="33363" xr:uid="{00000000-0005-0000-0000-000044820000}"/>
    <cellStyle name="Normal 5 10 28 2 4" xfId="33364" xr:uid="{00000000-0005-0000-0000-000045820000}"/>
    <cellStyle name="Normal 5 10 28 2 5" xfId="33365" xr:uid="{00000000-0005-0000-0000-000046820000}"/>
    <cellStyle name="Normal 5 10 28 2 6" xfId="33366" xr:uid="{00000000-0005-0000-0000-000047820000}"/>
    <cellStyle name="Normal 5 10 28 2 7" xfId="33367" xr:uid="{00000000-0005-0000-0000-000048820000}"/>
    <cellStyle name="Normal 5 10 28 2 8" xfId="33368" xr:uid="{00000000-0005-0000-0000-000049820000}"/>
    <cellStyle name="Normal 5 10 28 2 9" xfId="33369" xr:uid="{00000000-0005-0000-0000-00004A820000}"/>
    <cellStyle name="Normal 5 10 28 3" xfId="33370" xr:uid="{00000000-0005-0000-0000-00004B820000}"/>
    <cellStyle name="Normal 5 10 28 3 10" xfId="33371" xr:uid="{00000000-0005-0000-0000-00004C820000}"/>
    <cellStyle name="Normal 5 10 28 3 2" xfId="33372" xr:uid="{00000000-0005-0000-0000-00004D820000}"/>
    <cellStyle name="Normal 5 10 28 3 3" xfId="33373" xr:uid="{00000000-0005-0000-0000-00004E820000}"/>
    <cellStyle name="Normal 5 10 28 3 4" xfId="33374" xr:uid="{00000000-0005-0000-0000-00004F820000}"/>
    <cellStyle name="Normal 5 10 28 3 5" xfId="33375" xr:uid="{00000000-0005-0000-0000-000050820000}"/>
    <cellStyle name="Normal 5 10 28 3 6" xfId="33376" xr:uid="{00000000-0005-0000-0000-000051820000}"/>
    <cellStyle name="Normal 5 10 28 3 7" xfId="33377" xr:uid="{00000000-0005-0000-0000-000052820000}"/>
    <cellStyle name="Normal 5 10 28 3 8" xfId="33378" xr:uid="{00000000-0005-0000-0000-000053820000}"/>
    <cellStyle name="Normal 5 10 28 3 9" xfId="33379" xr:uid="{00000000-0005-0000-0000-000054820000}"/>
    <cellStyle name="Normal 5 10 28 4" xfId="33380" xr:uid="{00000000-0005-0000-0000-000055820000}"/>
    <cellStyle name="Normal 5 10 28 4 10" xfId="33381" xr:uid="{00000000-0005-0000-0000-000056820000}"/>
    <cellStyle name="Normal 5 10 28 4 2" xfId="33382" xr:uid="{00000000-0005-0000-0000-000057820000}"/>
    <cellStyle name="Normal 5 10 28 4 3" xfId="33383" xr:uid="{00000000-0005-0000-0000-000058820000}"/>
    <cellStyle name="Normal 5 10 28 4 4" xfId="33384" xr:uid="{00000000-0005-0000-0000-000059820000}"/>
    <cellStyle name="Normal 5 10 28 4 5" xfId="33385" xr:uid="{00000000-0005-0000-0000-00005A820000}"/>
    <cellStyle name="Normal 5 10 28 4 6" xfId="33386" xr:uid="{00000000-0005-0000-0000-00005B820000}"/>
    <cellStyle name="Normal 5 10 28 4 7" xfId="33387" xr:uid="{00000000-0005-0000-0000-00005C820000}"/>
    <cellStyle name="Normal 5 10 28 4 8" xfId="33388" xr:uid="{00000000-0005-0000-0000-00005D820000}"/>
    <cellStyle name="Normal 5 10 28 4 9" xfId="33389" xr:uid="{00000000-0005-0000-0000-00005E820000}"/>
    <cellStyle name="Normal 5 10 28 5" xfId="33390" xr:uid="{00000000-0005-0000-0000-00005F820000}"/>
    <cellStyle name="Normal 5 10 28 5 10" xfId="33391" xr:uid="{00000000-0005-0000-0000-000060820000}"/>
    <cellStyle name="Normal 5 10 28 5 2" xfId="33392" xr:uid="{00000000-0005-0000-0000-000061820000}"/>
    <cellStyle name="Normal 5 10 28 5 3" xfId="33393" xr:uid="{00000000-0005-0000-0000-000062820000}"/>
    <cellStyle name="Normal 5 10 28 5 4" xfId="33394" xr:uid="{00000000-0005-0000-0000-000063820000}"/>
    <cellStyle name="Normal 5 10 28 5 5" xfId="33395" xr:uid="{00000000-0005-0000-0000-000064820000}"/>
    <cellStyle name="Normal 5 10 28 5 6" xfId="33396" xr:uid="{00000000-0005-0000-0000-000065820000}"/>
    <cellStyle name="Normal 5 10 28 5 7" xfId="33397" xr:uid="{00000000-0005-0000-0000-000066820000}"/>
    <cellStyle name="Normal 5 10 28 5 8" xfId="33398" xr:uid="{00000000-0005-0000-0000-000067820000}"/>
    <cellStyle name="Normal 5 10 28 5 9" xfId="33399" xr:uid="{00000000-0005-0000-0000-000068820000}"/>
    <cellStyle name="Normal 5 10 28 6" xfId="33400" xr:uid="{00000000-0005-0000-0000-000069820000}"/>
    <cellStyle name="Normal 5 10 28 7" xfId="33401" xr:uid="{00000000-0005-0000-0000-00006A820000}"/>
    <cellStyle name="Normal 5 10 28 8" xfId="33402" xr:uid="{00000000-0005-0000-0000-00006B820000}"/>
    <cellStyle name="Normal 5 10 28 9" xfId="33403" xr:uid="{00000000-0005-0000-0000-00006C820000}"/>
    <cellStyle name="Normal 5 10 29" xfId="33404" xr:uid="{00000000-0005-0000-0000-00006D820000}"/>
    <cellStyle name="Normal 5 10 29 10" xfId="33405" xr:uid="{00000000-0005-0000-0000-00006E820000}"/>
    <cellStyle name="Normal 5 10 29 11" xfId="33406" xr:uid="{00000000-0005-0000-0000-00006F820000}"/>
    <cellStyle name="Normal 5 10 29 12" xfId="33407" xr:uid="{00000000-0005-0000-0000-000070820000}"/>
    <cellStyle name="Normal 5 10 29 13" xfId="33408" xr:uid="{00000000-0005-0000-0000-000071820000}"/>
    <cellStyle name="Normal 5 10 29 14" xfId="33409" xr:uid="{00000000-0005-0000-0000-000072820000}"/>
    <cellStyle name="Normal 5 10 29 2" xfId="33410" xr:uid="{00000000-0005-0000-0000-000073820000}"/>
    <cellStyle name="Normal 5 10 29 2 10" xfId="33411" xr:uid="{00000000-0005-0000-0000-000074820000}"/>
    <cellStyle name="Normal 5 10 29 2 2" xfId="33412" xr:uid="{00000000-0005-0000-0000-000075820000}"/>
    <cellStyle name="Normal 5 10 29 2 3" xfId="33413" xr:uid="{00000000-0005-0000-0000-000076820000}"/>
    <cellStyle name="Normal 5 10 29 2 4" xfId="33414" xr:uid="{00000000-0005-0000-0000-000077820000}"/>
    <cellStyle name="Normal 5 10 29 2 5" xfId="33415" xr:uid="{00000000-0005-0000-0000-000078820000}"/>
    <cellStyle name="Normal 5 10 29 2 6" xfId="33416" xr:uid="{00000000-0005-0000-0000-000079820000}"/>
    <cellStyle name="Normal 5 10 29 2 7" xfId="33417" xr:uid="{00000000-0005-0000-0000-00007A820000}"/>
    <cellStyle name="Normal 5 10 29 2 8" xfId="33418" xr:uid="{00000000-0005-0000-0000-00007B820000}"/>
    <cellStyle name="Normal 5 10 29 2 9" xfId="33419" xr:uid="{00000000-0005-0000-0000-00007C820000}"/>
    <cellStyle name="Normal 5 10 29 3" xfId="33420" xr:uid="{00000000-0005-0000-0000-00007D820000}"/>
    <cellStyle name="Normal 5 10 29 3 10" xfId="33421" xr:uid="{00000000-0005-0000-0000-00007E820000}"/>
    <cellStyle name="Normal 5 10 29 3 2" xfId="33422" xr:uid="{00000000-0005-0000-0000-00007F820000}"/>
    <cellStyle name="Normal 5 10 29 3 3" xfId="33423" xr:uid="{00000000-0005-0000-0000-000080820000}"/>
    <cellStyle name="Normal 5 10 29 3 4" xfId="33424" xr:uid="{00000000-0005-0000-0000-000081820000}"/>
    <cellStyle name="Normal 5 10 29 3 5" xfId="33425" xr:uid="{00000000-0005-0000-0000-000082820000}"/>
    <cellStyle name="Normal 5 10 29 3 6" xfId="33426" xr:uid="{00000000-0005-0000-0000-000083820000}"/>
    <cellStyle name="Normal 5 10 29 3 7" xfId="33427" xr:uid="{00000000-0005-0000-0000-000084820000}"/>
    <cellStyle name="Normal 5 10 29 3 8" xfId="33428" xr:uid="{00000000-0005-0000-0000-000085820000}"/>
    <cellStyle name="Normal 5 10 29 3 9" xfId="33429" xr:uid="{00000000-0005-0000-0000-000086820000}"/>
    <cellStyle name="Normal 5 10 29 4" xfId="33430" xr:uid="{00000000-0005-0000-0000-000087820000}"/>
    <cellStyle name="Normal 5 10 29 4 10" xfId="33431" xr:uid="{00000000-0005-0000-0000-000088820000}"/>
    <cellStyle name="Normal 5 10 29 4 2" xfId="33432" xr:uid="{00000000-0005-0000-0000-000089820000}"/>
    <cellStyle name="Normal 5 10 29 4 3" xfId="33433" xr:uid="{00000000-0005-0000-0000-00008A820000}"/>
    <cellStyle name="Normal 5 10 29 4 4" xfId="33434" xr:uid="{00000000-0005-0000-0000-00008B820000}"/>
    <cellStyle name="Normal 5 10 29 4 5" xfId="33435" xr:uid="{00000000-0005-0000-0000-00008C820000}"/>
    <cellStyle name="Normal 5 10 29 4 6" xfId="33436" xr:uid="{00000000-0005-0000-0000-00008D820000}"/>
    <cellStyle name="Normal 5 10 29 4 7" xfId="33437" xr:uid="{00000000-0005-0000-0000-00008E820000}"/>
    <cellStyle name="Normal 5 10 29 4 8" xfId="33438" xr:uid="{00000000-0005-0000-0000-00008F820000}"/>
    <cellStyle name="Normal 5 10 29 4 9" xfId="33439" xr:uid="{00000000-0005-0000-0000-000090820000}"/>
    <cellStyle name="Normal 5 10 29 5" xfId="33440" xr:uid="{00000000-0005-0000-0000-000091820000}"/>
    <cellStyle name="Normal 5 10 29 5 10" xfId="33441" xr:uid="{00000000-0005-0000-0000-000092820000}"/>
    <cellStyle name="Normal 5 10 29 5 2" xfId="33442" xr:uid="{00000000-0005-0000-0000-000093820000}"/>
    <cellStyle name="Normal 5 10 29 5 3" xfId="33443" xr:uid="{00000000-0005-0000-0000-000094820000}"/>
    <cellStyle name="Normal 5 10 29 5 4" xfId="33444" xr:uid="{00000000-0005-0000-0000-000095820000}"/>
    <cellStyle name="Normal 5 10 29 5 5" xfId="33445" xr:uid="{00000000-0005-0000-0000-000096820000}"/>
    <cellStyle name="Normal 5 10 29 5 6" xfId="33446" xr:uid="{00000000-0005-0000-0000-000097820000}"/>
    <cellStyle name="Normal 5 10 29 5 7" xfId="33447" xr:uid="{00000000-0005-0000-0000-000098820000}"/>
    <cellStyle name="Normal 5 10 29 5 8" xfId="33448" xr:uid="{00000000-0005-0000-0000-000099820000}"/>
    <cellStyle name="Normal 5 10 29 5 9" xfId="33449" xr:uid="{00000000-0005-0000-0000-00009A820000}"/>
    <cellStyle name="Normal 5 10 29 6" xfId="33450" xr:uid="{00000000-0005-0000-0000-00009B820000}"/>
    <cellStyle name="Normal 5 10 29 7" xfId="33451" xr:uid="{00000000-0005-0000-0000-00009C820000}"/>
    <cellStyle name="Normal 5 10 29 8" xfId="33452" xr:uid="{00000000-0005-0000-0000-00009D820000}"/>
    <cellStyle name="Normal 5 10 29 9" xfId="33453" xr:uid="{00000000-0005-0000-0000-00009E820000}"/>
    <cellStyle name="Normal 5 10 3" xfId="33454" xr:uid="{00000000-0005-0000-0000-00009F820000}"/>
    <cellStyle name="Normal 5 10 3 10" xfId="33455" xr:uid="{00000000-0005-0000-0000-0000A0820000}"/>
    <cellStyle name="Normal 5 10 3 11" xfId="33456" xr:uid="{00000000-0005-0000-0000-0000A1820000}"/>
    <cellStyle name="Normal 5 10 3 12" xfId="33457" xr:uid="{00000000-0005-0000-0000-0000A2820000}"/>
    <cellStyle name="Normal 5 10 3 13" xfId="33458" xr:uid="{00000000-0005-0000-0000-0000A3820000}"/>
    <cellStyle name="Normal 5 10 3 14" xfId="33459" xr:uid="{00000000-0005-0000-0000-0000A4820000}"/>
    <cellStyle name="Normal 5 10 3 2" xfId="33460" xr:uid="{00000000-0005-0000-0000-0000A5820000}"/>
    <cellStyle name="Normal 5 10 3 2 10" xfId="33461" xr:uid="{00000000-0005-0000-0000-0000A6820000}"/>
    <cellStyle name="Normal 5 10 3 2 2" xfId="33462" xr:uid="{00000000-0005-0000-0000-0000A7820000}"/>
    <cellStyle name="Normal 5 10 3 2 3" xfId="33463" xr:uid="{00000000-0005-0000-0000-0000A8820000}"/>
    <cellStyle name="Normal 5 10 3 2 4" xfId="33464" xr:uid="{00000000-0005-0000-0000-0000A9820000}"/>
    <cellStyle name="Normal 5 10 3 2 5" xfId="33465" xr:uid="{00000000-0005-0000-0000-0000AA820000}"/>
    <cellStyle name="Normal 5 10 3 2 6" xfId="33466" xr:uid="{00000000-0005-0000-0000-0000AB820000}"/>
    <cellStyle name="Normal 5 10 3 2 7" xfId="33467" xr:uid="{00000000-0005-0000-0000-0000AC820000}"/>
    <cellStyle name="Normal 5 10 3 2 8" xfId="33468" xr:uid="{00000000-0005-0000-0000-0000AD820000}"/>
    <cellStyle name="Normal 5 10 3 2 9" xfId="33469" xr:uid="{00000000-0005-0000-0000-0000AE820000}"/>
    <cellStyle name="Normal 5 10 3 3" xfId="33470" xr:uid="{00000000-0005-0000-0000-0000AF820000}"/>
    <cellStyle name="Normal 5 10 3 3 10" xfId="33471" xr:uid="{00000000-0005-0000-0000-0000B0820000}"/>
    <cellStyle name="Normal 5 10 3 3 2" xfId="33472" xr:uid="{00000000-0005-0000-0000-0000B1820000}"/>
    <cellStyle name="Normal 5 10 3 3 3" xfId="33473" xr:uid="{00000000-0005-0000-0000-0000B2820000}"/>
    <cellStyle name="Normal 5 10 3 3 4" xfId="33474" xr:uid="{00000000-0005-0000-0000-0000B3820000}"/>
    <cellStyle name="Normal 5 10 3 3 5" xfId="33475" xr:uid="{00000000-0005-0000-0000-0000B4820000}"/>
    <cellStyle name="Normal 5 10 3 3 6" xfId="33476" xr:uid="{00000000-0005-0000-0000-0000B5820000}"/>
    <cellStyle name="Normal 5 10 3 3 7" xfId="33477" xr:uid="{00000000-0005-0000-0000-0000B6820000}"/>
    <cellStyle name="Normal 5 10 3 3 8" xfId="33478" xr:uid="{00000000-0005-0000-0000-0000B7820000}"/>
    <cellStyle name="Normal 5 10 3 3 9" xfId="33479" xr:uid="{00000000-0005-0000-0000-0000B8820000}"/>
    <cellStyle name="Normal 5 10 3 4" xfId="33480" xr:uid="{00000000-0005-0000-0000-0000B9820000}"/>
    <cellStyle name="Normal 5 10 3 4 10" xfId="33481" xr:uid="{00000000-0005-0000-0000-0000BA820000}"/>
    <cellStyle name="Normal 5 10 3 4 2" xfId="33482" xr:uid="{00000000-0005-0000-0000-0000BB820000}"/>
    <cellStyle name="Normal 5 10 3 4 3" xfId="33483" xr:uid="{00000000-0005-0000-0000-0000BC820000}"/>
    <cellStyle name="Normal 5 10 3 4 4" xfId="33484" xr:uid="{00000000-0005-0000-0000-0000BD820000}"/>
    <cellStyle name="Normal 5 10 3 4 5" xfId="33485" xr:uid="{00000000-0005-0000-0000-0000BE820000}"/>
    <cellStyle name="Normal 5 10 3 4 6" xfId="33486" xr:uid="{00000000-0005-0000-0000-0000BF820000}"/>
    <cellStyle name="Normal 5 10 3 4 7" xfId="33487" xr:uid="{00000000-0005-0000-0000-0000C0820000}"/>
    <cellStyle name="Normal 5 10 3 4 8" xfId="33488" xr:uid="{00000000-0005-0000-0000-0000C1820000}"/>
    <cellStyle name="Normal 5 10 3 4 9" xfId="33489" xr:uid="{00000000-0005-0000-0000-0000C2820000}"/>
    <cellStyle name="Normal 5 10 3 5" xfId="33490" xr:uid="{00000000-0005-0000-0000-0000C3820000}"/>
    <cellStyle name="Normal 5 10 3 5 10" xfId="33491" xr:uid="{00000000-0005-0000-0000-0000C4820000}"/>
    <cellStyle name="Normal 5 10 3 5 2" xfId="33492" xr:uid="{00000000-0005-0000-0000-0000C5820000}"/>
    <cellStyle name="Normal 5 10 3 5 3" xfId="33493" xr:uid="{00000000-0005-0000-0000-0000C6820000}"/>
    <cellStyle name="Normal 5 10 3 5 4" xfId="33494" xr:uid="{00000000-0005-0000-0000-0000C7820000}"/>
    <cellStyle name="Normal 5 10 3 5 5" xfId="33495" xr:uid="{00000000-0005-0000-0000-0000C8820000}"/>
    <cellStyle name="Normal 5 10 3 5 6" xfId="33496" xr:uid="{00000000-0005-0000-0000-0000C9820000}"/>
    <cellStyle name="Normal 5 10 3 5 7" xfId="33497" xr:uid="{00000000-0005-0000-0000-0000CA820000}"/>
    <cellStyle name="Normal 5 10 3 5 8" xfId="33498" xr:uid="{00000000-0005-0000-0000-0000CB820000}"/>
    <cellStyle name="Normal 5 10 3 5 9" xfId="33499" xr:uid="{00000000-0005-0000-0000-0000CC820000}"/>
    <cellStyle name="Normal 5 10 3 6" xfId="33500" xr:uid="{00000000-0005-0000-0000-0000CD820000}"/>
    <cellStyle name="Normal 5 10 3 7" xfId="33501" xr:uid="{00000000-0005-0000-0000-0000CE820000}"/>
    <cellStyle name="Normal 5 10 3 8" xfId="33502" xr:uid="{00000000-0005-0000-0000-0000CF820000}"/>
    <cellStyle name="Normal 5 10 3 9" xfId="33503" xr:uid="{00000000-0005-0000-0000-0000D0820000}"/>
    <cellStyle name="Normal 5 10 30" xfId="33504" xr:uid="{00000000-0005-0000-0000-0000D1820000}"/>
    <cellStyle name="Normal 5 10 30 10" xfId="33505" xr:uid="{00000000-0005-0000-0000-0000D2820000}"/>
    <cellStyle name="Normal 5 10 30 11" xfId="33506" xr:uid="{00000000-0005-0000-0000-0000D3820000}"/>
    <cellStyle name="Normal 5 10 30 12" xfId="33507" xr:uid="{00000000-0005-0000-0000-0000D4820000}"/>
    <cellStyle name="Normal 5 10 30 13" xfId="33508" xr:uid="{00000000-0005-0000-0000-0000D5820000}"/>
    <cellStyle name="Normal 5 10 30 14" xfId="33509" xr:uid="{00000000-0005-0000-0000-0000D6820000}"/>
    <cellStyle name="Normal 5 10 30 2" xfId="33510" xr:uid="{00000000-0005-0000-0000-0000D7820000}"/>
    <cellStyle name="Normal 5 10 30 2 10" xfId="33511" xr:uid="{00000000-0005-0000-0000-0000D8820000}"/>
    <cellStyle name="Normal 5 10 30 2 2" xfId="33512" xr:uid="{00000000-0005-0000-0000-0000D9820000}"/>
    <cellStyle name="Normal 5 10 30 2 3" xfId="33513" xr:uid="{00000000-0005-0000-0000-0000DA820000}"/>
    <cellStyle name="Normal 5 10 30 2 4" xfId="33514" xr:uid="{00000000-0005-0000-0000-0000DB820000}"/>
    <cellStyle name="Normal 5 10 30 2 5" xfId="33515" xr:uid="{00000000-0005-0000-0000-0000DC820000}"/>
    <cellStyle name="Normal 5 10 30 2 6" xfId="33516" xr:uid="{00000000-0005-0000-0000-0000DD820000}"/>
    <cellStyle name="Normal 5 10 30 2 7" xfId="33517" xr:uid="{00000000-0005-0000-0000-0000DE820000}"/>
    <cellStyle name="Normal 5 10 30 2 8" xfId="33518" xr:uid="{00000000-0005-0000-0000-0000DF820000}"/>
    <cellStyle name="Normal 5 10 30 2 9" xfId="33519" xr:uid="{00000000-0005-0000-0000-0000E0820000}"/>
    <cellStyle name="Normal 5 10 30 3" xfId="33520" xr:uid="{00000000-0005-0000-0000-0000E1820000}"/>
    <cellStyle name="Normal 5 10 30 3 10" xfId="33521" xr:uid="{00000000-0005-0000-0000-0000E2820000}"/>
    <cellStyle name="Normal 5 10 30 3 2" xfId="33522" xr:uid="{00000000-0005-0000-0000-0000E3820000}"/>
    <cellStyle name="Normal 5 10 30 3 3" xfId="33523" xr:uid="{00000000-0005-0000-0000-0000E4820000}"/>
    <cellStyle name="Normal 5 10 30 3 4" xfId="33524" xr:uid="{00000000-0005-0000-0000-0000E5820000}"/>
    <cellStyle name="Normal 5 10 30 3 5" xfId="33525" xr:uid="{00000000-0005-0000-0000-0000E6820000}"/>
    <cellStyle name="Normal 5 10 30 3 6" xfId="33526" xr:uid="{00000000-0005-0000-0000-0000E7820000}"/>
    <cellStyle name="Normal 5 10 30 3 7" xfId="33527" xr:uid="{00000000-0005-0000-0000-0000E8820000}"/>
    <cellStyle name="Normal 5 10 30 3 8" xfId="33528" xr:uid="{00000000-0005-0000-0000-0000E9820000}"/>
    <cellStyle name="Normal 5 10 30 3 9" xfId="33529" xr:uid="{00000000-0005-0000-0000-0000EA820000}"/>
    <cellStyle name="Normal 5 10 30 4" xfId="33530" xr:uid="{00000000-0005-0000-0000-0000EB820000}"/>
    <cellStyle name="Normal 5 10 30 4 10" xfId="33531" xr:uid="{00000000-0005-0000-0000-0000EC820000}"/>
    <cellStyle name="Normal 5 10 30 4 2" xfId="33532" xr:uid="{00000000-0005-0000-0000-0000ED820000}"/>
    <cellStyle name="Normal 5 10 30 4 3" xfId="33533" xr:uid="{00000000-0005-0000-0000-0000EE820000}"/>
    <cellStyle name="Normal 5 10 30 4 4" xfId="33534" xr:uid="{00000000-0005-0000-0000-0000EF820000}"/>
    <cellStyle name="Normal 5 10 30 4 5" xfId="33535" xr:uid="{00000000-0005-0000-0000-0000F0820000}"/>
    <cellStyle name="Normal 5 10 30 4 6" xfId="33536" xr:uid="{00000000-0005-0000-0000-0000F1820000}"/>
    <cellStyle name="Normal 5 10 30 4 7" xfId="33537" xr:uid="{00000000-0005-0000-0000-0000F2820000}"/>
    <cellStyle name="Normal 5 10 30 4 8" xfId="33538" xr:uid="{00000000-0005-0000-0000-0000F3820000}"/>
    <cellStyle name="Normal 5 10 30 4 9" xfId="33539" xr:uid="{00000000-0005-0000-0000-0000F4820000}"/>
    <cellStyle name="Normal 5 10 30 5" xfId="33540" xr:uid="{00000000-0005-0000-0000-0000F5820000}"/>
    <cellStyle name="Normal 5 10 30 5 10" xfId="33541" xr:uid="{00000000-0005-0000-0000-0000F6820000}"/>
    <cellStyle name="Normal 5 10 30 5 2" xfId="33542" xr:uid="{00000000-0005-0000-0000-0000F7820000}"/>
    <cellStyle name="Normal 5 10 30 5 3" xfId="33543" xr:uid="{00000000-0005-0000-0000-0000F8820000}"/>
    <cellStyle name="Normal 5 10 30 5 4" xfId="33544" xr:uid="{00000000-0005-0000-0000-0000F9820000}"/>
    <cellStyle name="Normal 5 10 30 5 5" xfId="33545" xr:uid="{00000000-0005-0000-0000-0000FA820000}"/>
    <cellStyle name="Normal 5 10 30 5 6" xfId="33546" xr:uid="{00000000-0005-0000-0000-0000FB820000}"/>
    <cellStyle name="Normal 5 10 30 5 7" xfId="33547" xr:uid="{00000000-0005-0000-0000-0000FC820000}"/>
    <cellStyle name="Normal 5 10 30 5 8" xfId="33548" xr:uid="{00000000-0005-0000-0000-0000FD820000}"/>
    <cellStyle name="Normal 5 10 30 5 9" xfId="33549" xr:uid="{00000000-0005-0000-0000-0000FE820000}"/>
    <cellStyle name="Normal 5 10 30 6" xfId="33550" xr:uid="{00000000-0005-0000-0000-0000FF820000}"/>
    <cellStyle name="Normal 5 10 30 7" xfId="33551" xr:uid="{00000000-0005-0000-0000-000000830000}"/>
    <cellStyle name="Normal 5 10 30 8" xfId="33552" xr:uid="{00000000-0005-0000-0000-000001830000}"/>
    <cellStyle name="Normal 5 10 30 9" xfId="33553" xr:uid="{00000000-0005-0000-0000-000002830000}"/>
    <cellStyle name="Normal 5 10 31" xfId="33554" xr:uid="{00000000-0005-0000-0000-000003830000}"/>
    <cellStyle name="Normal 5 10 31 10" xfId="33555" xr:uid="{00000000-0005-0000-0000-000004830000}"/>
    <cellStyle name="Normal 5 10 31 11" xfId="33556" xr:uid="{00000000-0005-0000-0000-000005830000}"/>
    <cellStyle name="Normal 5 10 31 12" xfId="33557" xr:uid="{00000000-0005-0000-0000-000006830000}"/>
    <cellStyle name="Normal 5 10 31 13" xfId="33558" xr:uid="{00000000-0005-0000-0000-000007830000}"/>
    <cellStyle name="Normal 5 10 31 14" xfId="33559" xr:uid="{00000000-0005-0000-0000-000008830000}"/>
    <cellStyle name="Normal 5 10 31 2" xfId="33560" xr:uid="{00000000-0005-0000-0000-000009830000}"/>
    <cellStyle name="Normal 5 10 31 2 10" xfId="33561" xr:uid="{00000000-0005-0000-0000-00000A830000}"/>
    <cellStyle name="Normal 5 10 31 2 2" xfId="33562" xr:uid="{00000000-0005-0000-0000-00000B830000}"/>
    <cellStyle name="Normal 5 10 31 2 3" xfId="33563" xr:uid="{00000000-0005-0000-0000-00000C830000}"/>
    <cellStyle name="Normal 5 10 31 2 4" xfId="33564" xr:uid="{00000000-0005-0000-0000-00000D830000}"/>
    <cellStyle name="Normal 5 10 31 2 5" xfId="33565" xr:uid="{00000000-0005-0000-0000-00000E830000}"/>
    <cellStyle name="Normal 5 10 31 2 6" xfId="33566" xr:uid="{00000000-0005-0000-0000-00000F830000}"/>
    <cellStyle name="Normal 5 10 31 2 7" xfId="33567" xr:uid="{00000000-0005-0000-0000-000010830000}"/>
    <cellStyle name="Normal 5 10 31 2 8" xfId="33568" xr:uid="{00000000-0005-0000-0000-000011830000}"/>
    <cellStyle name="Normal 5 10 31 2 9" xfId="33569" xr:uid="{00000000-0005-0000-0000-000012830000}"/>
    <cellStyle name="Normal 5 10 31 3" xfId="33570" xr:uid="{00000000-0005-0000-0000-000013830000}"/>
    <cellStyle name="Normal 5 10 31 3 10" xfId="33571" xr:uid="{00000000-0005-0000-0000-000014830000}"/>
    <cellStyle name="Normal 5 10 31 3 2" xfId="33572" xr:uid="{00000000-0005-0000-0000-000015830000}"/>
    <cellStyle name="Normal 5 10 31 3 3" xfId="33573" xr:uid="{00000000-0005-0000-0000-000016830000}"/>
    <cellStyle name="Normal 5 10 31 3 4" xfId="33574" xr:uid="{00000000-0005-0000-0000-000017830000}"/>
    <cellStyle name="Normal 5 10 31 3 5" xfId="33575" xr:uid="{00000000-0005-0000-0000-000018830000}"/>
    <cellStyle name="Normal 5 10 31 3 6" xfId="33576" xr:uid="{00000000-0005-0000-0000-000019830000}"/>
    <cellStyle name="Normal 5 10 31 3 7" xfId="33577" xr:uid="{00000000-0005-0000-0000-00001A830000}"/>
    <cellStyle name="Normal 5 10 31 3 8" xfId="33578" xr:uid="{00000000-0005-0000-0000-00001B830000}"/>
    <cellStyle name="Normal 5 10 31 3 9" xfId="33579" xr:uid="{00000000-0005-0000-0000-00001C830000}"/>
    <cellStyle name="Normal 5 10 31 4" xfId="33580" xr:uid="{00000000-0005-0000-0000-00001D830000}"/>
    <cellStyle name="Normal 5 10 31 4 10" xfId="33581" xr:uid="{00000000-0005-0000-0000-00001E830000}"/>
    <cellStyle name="Normal 5 10 31 4 2" xfId="33582" xr:uid="{00000000-0005-0000-0000-00001F830000}"/>
    <cellStyle name="Normal 5 10 31 4 3" xfId="33583" xr:uid="{00000000-0005-0000-0000-000020830000}"/>
    <cellStyle name="Normal 5 10 31 4 4" xfId="33584" xr:uid="{00000000-0005-0000-0000-000021830000}"/>
    <cellStyle name="Normal 5 10 31 4 5" xfId="33585" xr:uid="{00000000-0005-0000-0000-000022830000}"/>
    <cellStyle name="Normal 5 10 31 4 6" xfId="33586" xr:uid="{00000000-0005-0000-0000-000023830000}"/>
    <cellStyle name="Normal 5 10 31 4 7" xfId="33587" xr:uid="{00000000-0005-0000-0000-000024830000}"/>
    <cellStyle name="Normal 5 10 31 4 8" xfId="33588" xr:uid="{00000000-0005-0000-0000-000025830000}"/>
    <cellStyle name="Normal 5 10 31 4 9" xfId="33589" xr:uid="{00000000-0005-0000-0000-000026830000}"/>
    <cellStyle name="Normal 5 10 31 5" xfId="33590" xr:uid="{00000000-0005-0000-0000-000027830000}"/>
    <cellStyle name="Normal 5 10 31 5 10" xfId="33591" xr:uid="{00000000-0005-0000-0000-000028830000}"/>
    <cellStyle name="Normal 5 10 31 5 2" xfId="33592" xr:uid="{00000000-0005-0000-0000-000029830000}"/>
    <cellStyle name="Normal 5 10 31 5 3" xfId="33593" xr:uid="{00000000-0005-0000-0000-00002A830000}"/>
    <cellStyle name="Normal 5 10 31 5 4" xfId="33594" xr:uid="{00000000-0005-0000-0000-00002B830000}"/>
    <cellStyle name="Normal 5 10 31 5 5" xfId="33595" xr:uid="{00000000-0005-0000-0000-00002C830000}"/>
    <cellStyle name="Normal 5 10 31 5 6" xfId="33596" xr:uid="{00000000-0005-0000-0000-00002D830000}"/>
    <cellStyle name="Normal 5 10 31 5 7" xfId="33597" xr:uid="{00000000-0005-0000-0000-00002E830000}"/>
    <cellStyle name="Normal 5 10 31 5 8" xfId="33598" xr:uid="{00000000-0005-0000-0000-00002F830000}"/>
    <cellStyle name="Normal 5 10 31 5 9" xfId="33599" xr:uid="{00000000-0005-0000-0000-000030830000}"/>
    <cellStyle name="Normal 5 10 31 6" xfId="33600" xr:uid="{00000000-0005-0000-0000-000031830000}"/>
    <cellStyle name="Normal 5 10 31 7" xfId="33601" xr:uid="{00000000-0005-0000-0000-000032830000}"/>
    <cellStyle name="Normal 5 10 31 8" xfId="33602" xr:uid="{00000000-0005-0000-0000-000033830000}"/>
    <cellStyle name="Normal 5 10 31 9" xfId="33603" xr:uid="{00000000-0005-0000-0000-000034830000}"/>
    <cellStyle name="Normal 5 10 32" xfId="33604" xr:uid="{00000000-0005-0000-0000-000035830000}"/>
    <cellStyle name="Normal 5 10 32 10" xfId="33605" xr:uid="{00000000-0005-0000-0000-000036830000}"/>
    <cellStyle name="Normal 5 10 32 11" xfId="33606" xr:uid="{00000000-0005-0000-0000-000037830000}"/>
    <cellStyle name="Normal 5 10 32 12" xfId="33607" xr:uid="{00000000-0005-0000-0000-000038830000}"/>
    <cellStyle name="Normal 5 10 32 13" xfId="33608" xr:uid="{00000000-0005-0000-0000-000039830000}"/>
    <cellStyle name="Normal 5 10 32 14" xfId="33609" xr:uid="{00000000-0005-0000-0000-00003A830000}"/>
    <cellStyle name="Normal 5 10 32 2" xfId="33610" xr:uid="{00000000-0005-0000-0000-00003B830000}"/>
    <cellStyle name="Normal 5 10 32 2 10" xfId="33611" xr:uid="{00000000-0005-0000-0000-00003C830000}"/>
    <cellStyle name="Normal 5 10 32 2 2" xfId="33612" xr:uid="{00000000-0005-0000-0000-00003D830000}"/>
    <cellStyle name="Normal 5 10 32 2 3" xfId="33613" xr:uid="{00000000-0005-0000-0000-00003E830000}"/>
    <cellStyle name="Normal 5 10 32 2 4" xfId="33614" xr:uid="{00000000-0005-0000-0000-00003F830000}"/>
    <cellStyle name="Normal 5 10 32 2 5" xfId="33615" xr:uid="{00000000-0005-0000-0000-000040830000}"/>
    <cellStyle name="Normal 5 10 32 2 6" xfId="33616" xr:uid="{00000000-0005-0000-0000-000041830000}"/>
    <cellStyle name="Normal 5 10 32 2 7" xfId="33617" xr:uid="{00000000-0005-0000-0000-000042830000}"/>
    <cellStyle name="Normal 5 10 32 2 8" xfId="33618" xr:uid="{00000000-0005-0000-0000-000043830000}"/>
    <cellStyle name="Normal 5 10 32 2 9" xfId="33619" xr:uid="{00000000-0005-0000-0000-000044830000}"/>
    <cellStyle name="Normal 5 10 32 3" xfId="33620" xr:uid="{00000000-0005-0000-0000-000045830000}"/>
    <cellStyle name="Normal 5 10 32 3 10" xfId="33621" xr:uid="{00000000-0005-0000-0000-000046830000}"/>
    <cellStyle name="Normal 5 10 32 3 2" xfId="33622" xr:uid="{00000000-0005-0000-0000-000047830000}"/>
    <cellStyle name="Normal 5 10 32 3 3" xfId="33623" xr:uid="{00000000-0005-0000-0000-000048830000}"/>
    <cellStyle name="Normal 5 10 32 3 4" xfId="33624" xr:uid="{00000000-0005-0000-0000-000049830000}"/>
    <cellStyle name="Normal 5 10 32 3 5" xfId="33625" xr:uid="{00000000-0005-0000-0000-00004A830000}"/>
    <cellStyle name="Normal 5 10 32 3 6" xfId="33626" xr:uid="{00000000-0005-0000-0000-00004B830000}"/>
    <cellStyle name="Normal 5 10 32 3 7" xfId="33627" xr:uid="{00000000-0005-0000-0000-00004C830000}"/>
    <cellStyle name="Normal 5 10 32 3 8" xfId="33628" xr:uid="{00000000-0005-0000-0000-00004D830000}"/>
    <cellStyle name="Normal 5 10 32 3 9" xfId="33629" xr:uid="{00000000-0005-0000-0000-00004E830000}"/>
    <cellStyle name="Normal 5 10 32 4" xfId="33630" xr:uid="{00000000-0005-0000-0000-00004F830000}"/>
    <cellStyle name="Normal 5 10 32 4 10" xfId="33631" xr:uid="{00000000-0005-0000-0000-000050830000}"/>
    <cellStyle name="Normal 5 10 32 4 2" xfId="33632" xr:uid="{00000000-0005-0000-0000-000051830000}"/>
    <cellStyle name="Normal 5 10 32 4 3" xfId="33633" xr:uid="{00000000-0005-0000-0000-000052830000}"/>
    <cellStyle name="Normal 5 10 32 4 4" xfId="33634" xr:uid="{00000000-0005-0000-0000-000053830000}"/>
    <cellStyle name="Normal 5 10 32 4 5" xfId="33635" xr:uid="{00000000-0005-0000-0000-000054830000}"/>
    <cellStyle name="Normal 5 10 32 4 6" xfId="33636" xr:uid="{00000000-0005-0000-0000-000055830000}"/>
    <cellStyle name="Normal 5 10 32 4 7" xfId="33637" xr:uid="{00000000-0005-0000-0000-000056830000}"/>
    <cellStyle name="Normal 5 10 32 4 8" xfId="33638" xr:uid="{00000000-0005-0000-0000-000057830000}"/>
    <cellStyle name="Normal 5 10 32 4 9" xfId="33639" xr:uid="{00000000-0005-0000-0000-000058830000}"/>
    <cellStyle name="Normal 5 10 32 5" xfId="33640" xr:uid="{00000000-0005-0000-0000-000059830000}"/>
    <cellStyle name="Normal 5 10 32 5 10" xfId="33641" xr:uid="{00000000-0005-0000-0000-00005A830000}"/>
    <cellStyle name="Normal 5 10 32 5 2" xfId="33642" xr:uid="{00000000-0005-0000-0000-00005B830000}"/>
    <cellStyle name="Normal 5 10 32 5 3" xfId="33643" xr:uid="{00000000-0005-0000-0000-00005C830000}"/>
    <cellStyle name="Normal 5 10 32 5 4" xfId="33644" xr:uid="{00000000-0005-0000-0000-00005D830000}"/>
    <cellStyle name="Normal 5 10 32 5 5" xfId="33645" xr:uid="{00000000-0005-0000-0000-00005E830000}"/>
    <cellStyle name="Normal 5 10 32 5 6" xfId="33646" xr:uid="{00000000-0005-0000-0000-00005F830000}"/>
    <cellStyle name="Normal 5 10 32 5 7" xfId="33647" xr:uid="{00000000-0005-0000-0000-000060830000}"/>
    <cellStyle name="Normal 5 10 32 5 8" xfId="33648" xr:uid="{00000000-0005-0000-0000-000061830000}"/>
    <cellStyle name="Normal 5 10 32 5 9" xfId="33649" xr:uid="{00000000-0005-0000-0000-000062830000}"/>
    <cellStyle name="Normal 5 10 32 6" xfId="33650" xr:uid="{00000000-0005-0000-0000-000063830000}"/>
    <cellStyle name="Normal 5 10 32 7" xfId="33651" xr:uid="{00000000-0005-0000-0000-000064830000}"/>
    <cellStyle name="Normal 5 10 32 8" xfId="33652" xr:uid="{00000000-0005-0000-0000-000065830000}"/>
    <cellStyle name="Normal 5 10 32 9" xfId="33653" xr:uid="{00000000-0005-0000-0000-000066830000}"/>
    <cellStyle name="Normal 5 10 33" xfId="33654" xr:uid="{00000000-0005-0000-0000-000067830000}"/>
    <cellStyle name="Normal 5 10 33 10" xfId="33655" xr:uid="{00000000-0005-0000-0000-000068830000}"/>
    <cellStyle name="Normal 5 10 33 11" xfId="33656" xr:uid="{00000000-0005-0000-0000-000069830000}"/>
    <cellStyle name="Normal 5 10 33 12" xfId="33657" xr:uid="{00000000-0005-0000-0000-00006A830000}"/>
    <cellStyle name="Normal 5 10 33 13" xfId="33658" xr:uid="{00000000-0005-0000-0000-00006B830000}"/>
    <cellStyle name="Normal 5 10 33 14" xfId="33659" xr:uid="{00000000-0005-0000-0000-00006C830000}"/>
    <cellStyle name="Normal 5 10 33 2" xfId="33660" xr:uid="{00000000-0005-0000-0000-00006D830000}"/>
    <cellStyle name="Normal 5 10 33 2 10" xfId="33661" xr:uid="{00000000-0005-0000-0000-00006E830000}"/>
    <cellStyle name="Normal 5 10 33 2 2" xfId="33662" xr:uid="{00000000-0005-0000-0000-00006F830000}"/>
    <cellStyle name="Normal 5 10 33 2 3" xfId="33663" xr:uid="{00000000-0005-0000-0000-000070830000}"/>
    <cellStyle name="Normal 5 10 33 2 4" xfId="33664" xr:uid="{00000000-0005-0000-0000-000071830000}"/>
    <cellStyle name="Normal 5 10 33 2 5" xfId="33665" xr:uid="{00000000-0005-0000-0000-000072830000}"/>
    <cellStyle name="Normal 5 10 33 2 6" xfId="33666" xr:uid="{00000000-0005-0000-0000-000073830000}"/>
    <cellStyle name="Normal 5 10 33 2 7" xfId="33667" xr:uid="{00000000-0005-0000-0000-000074830000}"/>
    <cellStyle name="Normal 5 10 33 2 8" xfId="33668" xr:uid="{00000000-0005-0000-0000-000075830000}"/>
    <cellStyle name="Normal 5 10 33 2 9" xfId="33669" xr:uid="{00000000-0005-0000-0000-000076830000}"/>
    <cellStyle name="Normal 5 10 33 3" xfId="33670" xr:uid="{00000000-0005-0000-0000-000077830000}"/>
    <cellStyle name="Normal 5 10 33 3 10" xfId="33671" xr:uid="{00000000-0005-0000-0000-000078830000}"/>
    <cellStyle name="Normal 5 10 33 3 2" xfId="33672" xr:uid="{00000000-0005-0000-0000-000079830000}"/>
    <cellStyle name="Normal 5 10 33 3 3" xfId="33673" xr:uid="{00000000-0005-0000-0000-00007A830000}"/>
    <cellStyle name="Normal 5 10 33 3 4" xfId="33674" xr:uid="{00000000-0005-0000-0000-00007B830000}"/>
    <cellStyle name="Normal 5 10 33 3 5" xfId="33675" xr:uid="{00000000-0005-0000-0000-00007C830000}"/>
    <cellStyle name="Normal 5 10 33 3 6" xfId="33676" xr:uid="{00000000-0005-0000-0000-00007D830000}"/>
    <cellStyle name="Normal 5 10 33 3 7" xfId="33677" xr:uid="{00000000-0005-0000-0000-00007E830000}"/>
    <cellStyle name="Normal 5 10 33 3 8" xfId="33678" xr:uid="{00000000-0005-0000-0000-00007F830000}"/>
    <cellStyle name="Normal 5 10 33 3 9" xfId="33679" xr:uid="{00000000-0005-0000-0000-000080830000}"/>
    <cellStyle name="Normal 5 10 33 4" xfId="33680" xr:uid="{00000000-0005-0000-0000-000081830000}"/>
    <cellStyle name="Normal 5 10 33 4 10" xfId="33681" xr:uid="{00000000-0005-0000-0000-000082830000}"/>
    <cellStyle name="Normal 5 10 33 4 2" xfId="33682" xr:uid="{00000000-0005-0000-0000-000083830000}"/>
    <cellStyle name="Normal 5 10 33 4 3" xfId="33683" xr:uid="{00000000-0005-0000-0000-000084830000}"/>
    <cellStyle name="Normal 5 10 33 4 4" xfId="33684" xr:uid="{00000000-0005-0000-0000-000085830000}"/>
    <cellStyle name="Normal 5 10 33 4 5" xfId="33685" xr:uid="{00000000-0005-0000-0000-000086830000}"/>
    <cellStyle name="Normal 5 10 33 4 6" xfId="33686" xr:uid="{00000000-0005-0000-0000-000087830000}"/>
    <cellStyle name="Normal 5 10 33 4 7" xfId="33687" xr:uid="{00000000-0005-0000-0000-000088830000}"/>
    <cellStyle name="Normal 5 10 33 4 8" xfId="33688" xr:uid="{00000000-0005-0000-0000-000089830000}"/>
    <cellStyle name="Normal 5 10 33 4 9" xfId="33689" xr:uid="{00000000-0005-0000-0000-00008A830000}"/>
    <cellStyle name="Normal 5 10 33 5" xfId="33690" xr:uid="{00000000-0005-0000-0000-00008B830000}"/>
    <cellStyle name="Normal 5 10 33 5 10" xfId="33691" xr:uid="{00000000-0005-0000-0000-00008C830000}"/>
    <cellStyle name="Normal 5 10 33 5 2" xfId="33692" xr:uid="{00000000-0005-0000-0000-00008D830000}"/>
    <cellStyle name="Normal 5 10 33 5 3" xfId="33693" xr:uid="{00000000-0005-0000-0000-00008E830000}"/>
    <cellStyle name="Normal 5 10 33 5 4" xfId="33694" xr:uid="{00000000-0005-0000-0000-00008F830000}"/>
    <cellStyle name="Normal 5 10 33 5 5" xfId="33695" xr:uid="{00000000-0005-0000-0000-000090830000}"/>
    <cellStyle name="Normal 5 10 33 5 6" xfId="33696" xr:uid="{00000000-0005-0000-0000-000091830000}"/>
    <cellStyle name="Normal 5 10 33 5 7" xfId="33697" xr:uid="{00000000-0005-0000-0000-000092830000}"/>
    <cellStyle name="Normal 5 10 33 5 8" xfId="33698" xr:uid="{00000000-0005-0000-0000-000093830000}"/>
    <cellStyle name="Normal 5 10 33 5 9" xfId="33699" xr:uid="{00000000-0005-0000-0000-000094830000}"/>
    <cellStyle name="Normal 5 10 33 6" xfId="33700" xr:uid="{00000000-0005-0000-0000-000095830000}"/>
    <cellStyle name="Normal 5 10 33 7" xfId="33701" xr:uid="{00000000-0005-0000-0000-000096830000}"/>
    <cellStyle name="Normal 5 10 33 8" xfId="33702" xr:uid="{00000000-0005-0000-0000-000097830000}"/>
    <cellStyle name="Normal 5 10 33 9" xfId="33703" xr:uid="{00000000-0005-0000-0000-000098830000}"/>
    <cellStyle name="Normal 5 10 34" xfId="33704" xr:uid="{00000000-0005-0000-0000-000099830000}"/>
    <cellStyle name="Normal 5 10 34 10" xfId="33705" xr:uid="{00000000-0005-0000-0000-00009A830000}"/>
    <cellStyle name="Normal 5 10 34 11" xfId="33706" xr:uid="{00000000-0005-0000-0000-00009B830000}"/>
    <cellStyle name="Normal 5 10 34 12" xfId="33707" xr:uid="{00000000-0005-0000-0000-00009C830000}"/>
    <cellStyle name="Normal 5 10 34 13" xfId="33708" xr:uid="{00000000-0005-0000-0000-00009D830000}"/>
    <cellStyle name="Normal 5 10 34 14" xfId="33709" xr:uid="{00000000-0005-0000-0000-00009E830000}"/>
    <cellStyle name="Normal 5 10 34 2" xfId="33710" xr:uid="{00000000-0005-0000-0000-00009F830000}"/>
    <cellStyle name="Normal 5 10 34 2 10" xfId="33711" xr:uid="{00000000-0005-0000-0000-0000A0830000}"/>
    <cellStyle name="Normal 5 10 34 2 2" xfId="33712" xr:uid="{00000000-0005-0000-0000-0000A1830000}"/>
    <cellStyle name="Normal 5 10 34 2 3" xfId="33713" xr:uid="{00000000-0005-0000-0000-0000A2830000}"/>
    <cellStyle name="Normal 5 10 34 2 4" xfId="33714" xr:uid="{00000000-0005-0000-0000-0000A3830000}"/>
    <cellStyle name="Normal 5 10 34 2 5" xfId="33715" xr:uid="{00000000-0005-0000-0000-0000A4830000}"/>
    <cellStyle name="Normal 5 10 34 2 6" xfId="33716" xr:uid="{00000000-0005-0000-0000-0000A5830000}"/>
    <cellStyle name="Normal 5 10 34 2 7" xfId="33717" xr:uid="{00000000-0005-0000-0000-0000A6830000}"/>
    <cellStyle name="Normal 5 10 34 2 8" xfId="33718" xr:uid="{00000000-0005-0000-0000-0000A7830000}"/>
    <cellStyle name="Normal 5 10 34 2 9" xfId="33719" xr:uid="{00000000-0005-0000-0000-0000A8830000}"/>
    <cellStyle name="Normal 5 10 34 3" xfId="33720" xr:uid="{00000000-0005-0000-0000-0000A9830000}"/>
    <cellStyle name="Normal 5 10 34 3 10" xfId="33721" xr:uid="{00000000-0005-0000-0000-0000AA830000}"/>
    <cellStyle name="Normal 5 10 34 3 2" xfId="33722" xr:uid="{00000000-0005-0000-0000-0000AB830000}"/>
    <cellStyle name="Normal 5 10 34 3 3" xfId="33723" xr:uid="{00000000-0005-0000-0000-0000AC830000}"/>
    <cellStyle name="Normal 5 10 34 3 4" xfId="33724" xr:uid="{00000000-0005-0000-0000-0000AD830000}"/>
    <cellStyle name="Normal 5 10 34 3 5" xfId="33725" xr:uid="{00000000-0005-0000-0000-0000AE830000}"/>
    <cellStyle name="Normal 5 10 34 3 6" xfId="33726" xr:uid="{00000000-0005-0000-0000-0000AF830000}"/>
    <cellStyle name="Normal 5 10 34 3 7" xfId="33727" xr:uid="{00000000-0005-0000-0000-0000B0830000}"/>
    <cellStyle name="Normal 5 10 34 3 8" xfId="33728" xr:uid="{00000000-0005-0000-0000-0000B1830000}"/>
    <cellStyle name="Normal 5 10 34 3 9" xfId="33729" xr:uid="{00000000-0005-0000-0000-0000B2830000}"/>
    <cellStyle name="Normal 5 10 34 4" xfId="33730" xr:uid="{00000000-0005-0000-0000-0000B3830000}"/>
    <cellStyle name="Normal 5 10 34 4 10" xfId="33731" xr:uid="{00000000-0005-0000-0000-0000B4830000}"/>
    <cellStyle name="Normal 5 10 34 4 2" xfId="33732" xr:uid="{00000000-0005-0000-0000-0000B5830000}"/>
    <cellStyle name="Normal 5 10 34 4 3" xfId="33733" xr:uid="{00000000-0005-0000-0000-0000B6830000}"/>
    <cellStyle name="Normal 5 10 34 4 4" xfId="33734" xr:uid="{00000000-0005-0000-0000-0000B7830000}"/>
    <cellStyle name="Normal 5 10 34 4 5" xfId="33735" xr:uid="{00000000-0005-0000-0000-0000B8830000}"/>
    <cellStyle name="Normal 5 10 34 4 6" xfId="33736" xr:uid="{00000000-0005-0000-0000-0000B9830000}"/>
    <cellStyle name="Normal 5 10 34 4 7" xfId="33737" xr:uid="{00000000-0005-0000-0000-0000BA830000}"/>
    <cellStyle name="Normal 5 10 34 4 8" xfId="33738" xr:uid="{00000000-0005-0000-0000-0000BB830000}"/>
    <cellStyle name="Normal 5 10 34 4 9" xfId="33739" xr:uid="{00000000-0005-0000-0000-0000BC830000}"/>
    <cellStyle name="Normal 5 10 34 5" xfId="33740" xr:uid="{00000000-0005-0000-0000-0000BD830000}"/>
    <cellStyle name="Normal 5 10 34 5 10" xfId="33741" xr:uid="{00000000-0005-0000-0000-0000BE830000}"/>
    <cellStyle name="Normal 5 10 34 5 2" xfId="33742" xr:uid="{00000000-0005-0000-0000-0000BF830000}"/>
    <cellStyle name="Normal 5 10 34 5 3" xfId="33743" xr:uid="{00000000-0005-0000-0000-0000C0830000}"/>
    <cellStyle name="Normal 5 10 34 5 4" xfId="33744" xr:uid="{00000000-0005-0000-0000-0000C1830000}"/>
    <cellStyle name="Normal 5 10 34 5 5" xfId="33745" xr:uid="{00000000-0005-0000-0000-0000C2830000}"/>
    <cellStyle name="Normal 5 10 34 5 6" xfId="33746" xr:uid="{00000000-0005-0000-0000-0000C3830000}"/>
    <cellStyle name="Normal 5 10 34 5 7" xfId="33747" xr:uid="{00000000-0005-0000-0000-0000C4830000}"/>
    <cellStyle name="Normal 5 10 34 5 8" xfId="33748" xr:uid="{00000000-0005-0000-0000-0000C5830000}"/>
    <cellStyle name="Normal 5 10 34 5 9" xfId="33749" xr:uid="{00000000-0005-0000-0000-0000C6830000}"/>
    <cellStyle name="Normal 5 10 34 6" xfId="33750" xr:uid="{00000000-0005-0000-0000-0000C7830000}"/>
    <cellStyle name="Normal 5 10 34 7" xfId="33751" xr:uid="{00000000-0005-0000-0000-0000C8830000}"/>
    <cellStyle name="Normal 5 10 34 8" xfId="33752" xr:uid="{00000000-0005-0000-0000-0000C9830000}"/>
    <cellStyle name="Normal 5 10 34 9" xfId="33753" xr:uid="{00000000-0005-0000-0000-0000CA830000}"/>
    <cellStyle name="Normal 5 10 35" xfId="33754" xr:uid="{00000000-0005-0000-0000-0000CB830000}"/>
    <cellStyle name="Normal 5 10 35 10" xfId="33755" xr:uid="{00000000-0005-0000-0000-0000CC830000}"/>
    <cellStyle name="Normal 5 10 35 2" xfId="33756" xr:uid="{00000000-0005-0000-0000-0000CD830000}"/>
    <cellStyle name="Normal 5 10 35 3" xfId="33757" xr:uid="{00000000-0005-0000-0000-0000CE830000}"/>
    <cellStyle name="Normal 5 10 35 4" xfId="33758" xr:uid="{00000000-0005-0000-0000-0000CF830000}"/>
    <cellStyle name="Normal 5 10 35 5" xfId="33759" xr:uid="{00000000-0005-0000-0000-0000D0830000}"/>
    <cellStyle name="Normal 5 10 35 6" xfId="33760" xr:uid="{00000000-0005-0000-0000-0000D1830000}"/>
    <cellStyle name="Normal 5 10 35 7" xfId="33761" xr:uid="{00000000-0005-0000-0000-0000D2830000}"/>
    <cellStyle name="Normal 5 10 35 8" xfId="33762" xr:uid="{00000000-0005-0000-0000-0000D3830000}"/>
    <cellStyle name="Normal 5 10 35 9" xfId="33763" xr:uid="{00000000-0005-0000-0000-0000D4830000}"/>
    <cellStyle name="Normal 5 10 36" xfId="33764" xr:uid="{00000000-0005-0000-0000-0000D5830000}"/>
    <cellStyle name="Normal 5 10 36 10" xfId="33765" xr:uid="{00000000-0005-0000-0000-0000D6830000}"/>
    <cellStyle name="Normal 5 10 36 2" xfId="33766" xr:uid="{00000000-0005-0000-0000-0000D7830000}"/>
    <cellStyle name="Normal 5 10 36 3" xfId="33767" xr:uid="{00000000-0005-0000-0000-0000D8830000}"/>
    <cellStyle name="Normal 5 10 36 4" xfId="33768" xr:uid="{00000000-0005-0000-0000-0000D9830000}"/>
    <cellStyle name="Normal 5 10 36 5" xfId="33769" xr:uid="{00000000-0005-0000-0000-0000DA830000}"/>
    <cellStyle name="Normal 5 10 36 6" xfId="33770" xr:uid="{00000000-0005-0000-0000-0000DB830000}"/>
    <cellStyle name="Normal 5 10 36 7" xfId="33771" xr:uid="{00000000-0005-0000-0000-0000DC830000}"/>
    <cellStyle name="Normal 5 10 36 8" xfId="33772" xr:uid="{00000000-0005-0000-0000-0000DD830000}"/>
    <cellStyle name="Normal 5 10 36 9" xfId="33773" xr:uid="{00000000-0005-0000-0000-0000DE830000}"/>
    <cellStyle name="Normal 5 10 37" xfId="33774" xr:uid="{00000000-0005-0000-0000-0000DF830000}"/>
    <cellStyle name="Normal 5 10 37 10" xfId="33775" xr:uid="{00000000-0005-0000-0000-0000E0830000}"/>
    <cellStyle name="Normal 5 10 37 2" xfId="33776" xr:uid="{00000000-0005-0000-0000-0000E1830000}"/>
    <cellStyle name="Normal 5 10 37 3" xfId="33777" xr:uid="{00000000-0005-0000-0000-0000E2830000}"/>
    <cellStyle name="Normal 5 10 37 4" xfId="33778" xr:uid="{00000000-0005-0000-0000-0000E3830000}"/>
    <cellStyle name="Normal 5 10 37 5" xfId="33779" xr:uid="{00000000-0005-0000-0000-0000E4830000}"/>
    <cellStyle name="Normal 5 10 37 6" xfId="33780" xr:uid="{00000000-0005-0000-0000-0000E5830000}"/>
    <cellStyle name="Normal 5 10 37 7" xfId="33781" xr:uid="{00000000-0005-0000-0000-0000E6830000}"/>
    <cellStyle name="Normal 5 10 37 8" xfId="33782" xr:uid="{00000000-0005-0000-0000-0000E7830000}"/>
    <cellStyle name="Normal 5 10 37 9" xfId="33783" xr:uid="{00000000-0005-0000-0000-0000E8830000}"/>
    <cellStyle name="Normal 5 10 38" xfId="33784" xr:uid="{00000000-0005-0000-0000-0000E9830000}"/>
    <cellStyle name="Normal 5 10 38 10" xfId="33785" xr:uid="{00000000-0005-0000-0000-0000EA830000}"/>
    <cellStyle name="Normal 5 10 38 2" xfId="33786" xr:uid="{00000000-0005-0000-0000-0000EB830000}"/>
    <cellStyle name="Normal 5 10 38 3" xfId="33787" xr:uid="{00000000-0005-0000-0000-0000EC830000}"/>
    <cellStyle name="Normal 5 10 38 4" xfId="33788" xr:uid="{00000000-0005-0000-0000-0000ED830000}"/>
    <cellStyle name="Normal 5 10 38 5" xfId="33789" xr:uid="{00000000-0005-0000-0000-0000EE830000}"/>
    <cellStyle name="Normal 5 10 38 6" xfId="33790" xr:uid="{00000000-0005-0000-0000-0000EF830000}"/>
    <cellStyle name="Normal 5 10 38 7" xfId="33791" xr:uid="{00000000-0005-0000-0000-0000F0830000}"/>
    <cellStyle name="Normal 5 10 38 8" xfId="33792" xr:uid="{00000000-0005-0000-0000-0000F1830000}"/>
    <cellStyle name="Normal 5 10 38 9" xfId="33793" xr:uid="{00000000-0005-0000-0000-0000F2830000}"/>
    <cellStyle name="Normal 5 10 39" xfId="33794" xr:uid="{00000000-0005-0000-0000-0000F3830000}"/>
    <cellStyle name="Normal 5 10 4" xfId="33795" xr:uid="{00000000-0005-0000-0000-0000F4830000}"/>
    <cellStyle name="Normal 5 10 4 10" xfId="33796" xr:uid="{00000000-0005-0000-0000-0000F5830000}"/>
    <cellStyle name="Normal 5 10 4 11" xfId="33797" xr:uid="{00000000-0005-0000-0000-0000F6830000}"/>
    <cellStyle name="Normal 5 10 4 12" xfId="33798" xr:uid="{00000000-0005-0000-0000-0000F7830000}"/>
    <cellStyle name="Normal 5 10 4 13" xfId="33799" xr:uid="{00000000-0005-0000-0000-0000F8830000}"/>
    <cellStyle name="Normal 5 10 4 14" xfId="33800" xr:uid="{00000000-0005-0000-0000-0000F9830000}"/>
    <cellStyle name="Normal 5 10 4 2" xfId="33801" xr:uid="{00000000-0005-0000-0000-0000FA830000}"/>
    <cellStyle name="Normal 5 10 4 2 10" xfId="33802" xr:uid="{00000000-0005-0000-0000-0000FB830000}"/>
    <cellStyle name="Normal 5 10 4 2 2" xfId="33803" xr:uid="{00000000-0005-0000-0000-0000FC830000}"/>
    <cellStyle name="Normal 5 10 4 2 3" xfId="33804" xr:uid="{00000000-0005-0000-0000-0000FD830000}"/>
    <cellStyle name="Normal 5 10 4 2 4" xfId="33805" xr:uid="{00000000-0005-0000-0000-0000FE830000}"/>
    <cellStyle name="Normal 5 10 4 2 5" xfId="33806" xr:uid="{00000000-0005-0000-0000-0000FF830000}"/>
    <cellStyle name="Normal 5 10 4 2 6" xfId="33807" xr:uid="{00000000-0005-0000-0000-000000840000}"/>
    <cellStyle name="Normal 5 10 4 2 7" xfId="33808" xr:uid="{00000000-0005-0000-0000-000001840000}"/>
    <cellStyle name="Normal 5 10 4 2 8" xfId="33809" xr:uid="{00000000-0005-0000-0000-000002840000}"/>
    <cellStyle name="Normal 5 10 4 2 9" xfId="33810" xr:uid="{00000000-0005-0000-0000-000003840000}"/>
    <cellStyle name="Normal 5 10 4 3" xfId="33811" xr:uid="{00000000-0005-0000-0000-000004840000}"/>
    <cellStyle name="Normal 5 10 4 3 10" xfId="33812" xr:uid="{00000000-0005-0000-0000-000005840000}"/>
    <cellStyle name="Normal 5 10 4 3 2" xfId="33813" xr:uid="{00000000-0005-0000-0000-000006840000}"/>
    <cellStyle name="Normal 5 10 4 3 3" xfId="33814" xr:uid="{00000000-0005-0000-0000-000007840000}"/>
    <cellStyle name="Normal 5 10 4 3 4" xfId="33815" xr:uid="{00000000-0005-0000-0000-000008840000}"/>
    <cellStyle name="Normal 5 10 4 3 5" xfId="33816" xr:uid="{00000000-0005-0000-0000-000009840000}"/>
    <cellStyle name="Normal 5 10 4 3 6" xfId="33817" xr:uid="{00000000-0005-0000-0000-00000A840000}"/>
    <cellStyle name="Normal 5 10 4 3 7" xfId="33818" xr:uid="{00000000-0005-0000-0000-00000B840000}"/>
    <cellStyle name="Normal 5 10 4 3 8" xfId="33819" xr:uid="{00000000-0005-0000-0000-00000C840000}"/>
    <cellStyle name="Normal 5 10 4 3 9" xfId="33820" xr:uid="{00000000-0005-0000-0000-00000D840000}"/>
    <cellStyle name="Normal 5 10 4 4" xfId="33821" xr:uid="{00000000-0005-0000-0000-00000E840000}"/>
    <cellStyle name="Normal 5 10 4 4 10" xfId="33822" xr:uid="{00000000-0005-0000-0000-00000F840000}"/>
    <cellStyle name="Normal 5 10 4 4 2" xfId="33823" xr:uid="{00000000-0005-0000-0000-000010840000}"/>
    <cellStyle name="Normal 5 10 4 4 3" xfId="33824" xr:uid="{00000000-0005-0000-0000-000011840000}"/>
    <cellStyle name="Normal 5 10 4 4 4" xfId="33825" xr:uid="{00000000-0005-0000-0000-000012840000}"/>
    <cellStyle name="Normal 5 10 4 4 5" xfId="33826" xr:uid="{00000000-0005-0000-0000-000013840000}"/>
    <cellStyle name="Normal 5 10 4 4 6" xfId="33827" xr:uid="{00000000-0005-0000-0000-000014840000}"/>
    <cellStyle name="Normal 5 10 4 4 7" xfId="33828" xr:uid="{00000000-0005-0000-0000-000015840000}"/>
    <cellStyle name="Normal 5 10 4 4 8" xfId="33829" xr:uid="{00000000-0005-0000-0000-000016840000}"/>
    <cellStyle name="Normal 5 10 4 4 9" xfId="33830" xr:uid="{00000000-0005-0000-0000-000017840000}"/>
    <cellStyle name="Normal 5 10 4 5" xfId="33831" xr:uid="{00000000-0005-0000-0000-000018840000}"/>
    <cellStyle name="Normal 5 10 4 5 10" xfId="33832" xr:uid="{00000000-0005-0000-0000-000019840000}"/>
    <cellStyle name="Normal 5 10 4 5 2" xfId="33833" xr:uid="{00000000-0005-0000-0000-00001A840000}"/>
    <cellStyle name="Normal 5 10 4 5 3" xfId="33834" xr:uid="{00000000-0005-0000-0000-00001B840000}"/>
    <cellStyle name="Normal 5 10 4 5 4" xfId="33835" xr:uid="{00000000-0005-0000-0000-00001C840000}"/>
    <cellStyle name="Normal 5 10 4 5 5" xfId="33836" xr:uid="{00000000-0005-0000-0000-00001D840000}"/>
    <cellStyle name="Normal 5 10 4 5 6" xfId="33837" xr:uid="{00000000-0005-0000-0000-00001E840000}"/>
    <cellStyle name="Normal 5 10 4 5 7" xfId="33838" xr:uid="{00000000-0005-0000-0000-00001F840000}"/>
    <cellStyle name="Normal 5 10 4 5 8" xfId="33839" xr:uid="{00000000-0005-0000-0000-000020840000}"/>
    <cellStyle name="Normal 5 10 4 5 9" xfId="33840" xr:uid="{00000000-0005-0000-0000-000021840000}"/>
    <cellStyle name="Normal 5 10 4 6" xfId="33841" xr:uid="{00000000-0005-0000-0000-000022840000}"/>
    <cellStyle name="Normal 5 10 4 7" xfId="33842" xr:uid="{00000000-0005-0000-0000-000023840000}"/>
    <cellStyle name="Normal 5 10 4 8" xfId="33843" xr:uid="{00000000-0005-0000-0000-000024840000}"/>
    <cellStyle name="Normal 5 10 4 9" xfId="33844" xr:uid="{00000000-0005-0000-0000-000025840000}"/>
    <cellStyle name="Normal 5 10 40" xfId="33845" xr:uid="{00000000-0005-0000-0000-000026840000}"/>
    <cellStyle name="Normal 5 10 41" xfId="33846" xr:uid="{00000000-0005-0000-0000-000027840000}"/>
    <cellStyle name="Normal 5 10 42" xfId="33847" xr:uid="{00000000-0005-0000-0000-000028840000}"/>
    <cellStyle name="Normal 5 10 43" xfId="33848" xr:uid="{00000000-0005-0000-0000-000029840000}"/>
    <cellStyle name="Normal 5 10 44" xfId="33849" xr:uid="{00000000-0005-0000-0000-00002A840000}"/>
    <cellStyle name="Normal 5 10 45" xfId="33850" xr:uid="{00000000-0005-0000-0000-00002B840000}"/>
    <cellStyle name="Normal 5 10 46" xfId="33851" xr:uid="{00000000-0005-0000-0000-00002C840000}"/>
    <cellStyle name="Normal 5 10 47" xfId="33852" xr:uid="{00000000-0005-0000-0000-00002D840000}"/>
    <cellStyle name="Normal 5 10 48" xfId="33853" xr:uid="{00000000-0005-0000-0000-00002E840000}"/>
    <cellStyle name="Normal 5 10 49" xfId="33854" xr:uid="{00000000-0005-0000-0000-00002F840000}"/>
    <cellStyle name="Normal 5 10 5" xfId="33855" xr:uid="{00000000-0005-0000-0000-000030840000}"/>
    <cellStyle name="Normal 5 10 5 10" xfId="33856" xr:uid="{00000000-0005-0000-0000-000031840000}"/>
    <cellStyle name="Normal 5 10 5 11" xfId="33857" xr:uid="{00000000-0005-0000-0000-000032840000}"/>
    <cellStyle name="Normal 5 10 5 12" xfId="33858" xr:uid="{00000000-0005-0000-0000-000033840000}"/>
    <cellStyle name="Normal 5 10 5 13" xfId="33859" xr:uid="{00000000-0005-0000-0000-000034840000}"/>
    <cellStyle name="Normal 5 10 5 14" xfId="33860" xr:uid="{00000000-0005-0000-0000-000035840000}"/>
    <cellStyle name="Normal 5 10 5 2" xfId="33861" xr:uid="{00000000-0005-0000-0000-000036840000}"/>
    <cellStyle name="Normal 5 10 5 2 10" xfId="33862" xr:uid="{00000000-0005-0000-0000-000037840000}"/>
    <cellStyle name="Normal 5 10 5 2 2" xfId="33863" xr:uid="{00000000-0005-0000-0000-000038840000}"/>
    <cellStyle name="Normal 5 10 5 2 3" xfId="33864" xr:uid="{00000000-0005-0000-0000-000039840000}"/>
    <cellStyle name="Normal 5 10 5 2 4" xfId="33865" xr:uid="{00000000-0005-0000-0000-00003A840000}"/>
    <cellStyle name="Normal 5 10 5 2 5" xfId="33866" xr:uid="{00000000-0005-0000-0000-00003B840000}"/>
    <cellStyle name="Normal 5 10 5 2 6" xfId="33867" xr:uid="{00000000-0005-0000-0000-00003C840000}"/>
    <cellStyle name="Normal 5 10 5 2 7" xfId="33868" xr:uid="{00000000-0005-0000-0000-00003D840000}"/>
    <cellStyle name="Normal 5 10 5 2 8" xfId="33869" xr:uid="{00000000-0005-0000-0000-00003E840000}"/>
    <cellStyle name="Normal 5 10 5 2 9" xfId="33870" xr:uid="{00000000-0005-0000-0000-00003F840000}"/>
    <cellStyle name="Normal 5 10 5 3" xfId="33871" xr:uid="{00000000-0005-0000-0000-000040840000}"/>
    <cellStyle name="Normal 5 10 5 3 10" xfId="33872" xr:uid="{00000000-0005-0000-0000-000041840000}"/>
    <cellStyle name="Normal 5 10 5 3 2" xfId="33873" xr:uid="{00000000-0005-0000-0000-000042840000}"/>
    <cellStyle name="Normal 5 10 5 3 3" xfId="33874" xr:uid="{00000000-0005-0000-0000-000043840000}"/>
    <cellStyle name="Normal 5 10 5 3 4" xfId="33875" xr:uid="{00000000-0005-0000-0000-000044840000}"/>
    <cellStyle name="Normal 5 10 5 3 5" xfId="33876" xr:uid="{00000000-0005-0000-0000-000045840000}"/>
    <cellStyle name="Normal 5 10 5 3 6" xfId="33877" xr:uid="{00000000-0005-0000-0000-000046840000}"/>
    <cellStyle name="Normal 5 10 5 3 7" xfId="33878" xr:uid="{00000000-0005-0000-0000-000047840000}"/>
    <cellStyle name="Normal 5 10 5 3 8" xfId="33879" xr:uid="{00000000-0005-0000-0000-000048840000}"/>
    <cellStyle name="Normal 5 10 5 3 9" xfId="33880" xr:uid="{00000000-0005-0000-0000-000049840000}"/>
    <cellStyle name="Normal 5 10 5 4" xfId="33881" xr:uid="{00000000-0005-0000-0000-00004A840000}"/>
    <cellStyle name="Normal 5 10 5 4 10" xfId="33882" xr:uid="{00000000-0005-0000-0000-00004B840000}"/>
    <cellStyle name="Normal 5 10 5 4 2" xfId="33883" xr:uid="{00000000-0005-0000-0000-00004C840000}"/>
    <cellStyle name="Normal 5 10 5 4 3" xfId="33884" xr:uid="{00000000-0005-0000-0000-00004D840000}"/>
    <cellStyle name="Normal 5 10 5 4 4" xfId="33885" xr:uid="{00000000-0005-0000-0000-00004E840000}"/>
    <cellStyle name="Normal 5 10 5 4 5" xfId="33886" xr:uid="{00000000-0005-0000-0000-00004F840000}"/>
    <cellStyle name="Normal 5 10 5 4 6" xfId="33887" xr:uid="{00000000-0005-0000-0000-000050840000}"/>
    <cellStyle name="Normal 5 10 5 4 7" xfId="33888" xr:uid="{00000000-0005-0000-0000-000051840000}"/>
    <cellStyle name="Normal 5 10 5 4 8" xfId="33889" xr:uid="{00000000-0005-0000-0000-000052840000}"/>
    <cellStyle name="Normal 5 10 5 4 9" xfId="33890" xr:uid="{00000000-0005-0000-0000-000053840000}"/>
    <cellStyle name="Normal 5 10 5 5" xfId="33891" xr:uid="{00000000-0005-0000-0000-000054840000}"/>
    <cellStyle name="Normal 5 10 5 5 10" xfId="33892" xr:uid="{00000000-0005-0000-0000-000055840000}"/>
    <cellStyle name="Normal 5 10 5 5 2" xfId="33893" xr:uid="{00000000-0005-0000-0000-000056840000}"/>
    <cellStyle name="Normal 5 10 5 5 3" xfId="33894" xr:uid="{00000000-0005-0000-0000-000057840000}"/>
    <cellStyle name="Normal 5 10 5 5 4" xfId="33895" xr:uid="{00000000-0005-0000-0000-000058840000}"/>
    <cellStyle name="Normal 5 10 5 5 5" xfId="33896" xr:uid="{00000000-0005-0000-0000-000059840000}"/>
    <cellStyle name="Normal 5 10 5 5 6" xfId="33897" xr:uid="{00000000-0005-0000-0000-00005A840000}"/>
    <cellStyle name="Normal 5 10 5 5 7" xfId="33898" xr:uid="{00000000-0005-0000-0000-00005B840000}"/>
    <cellStyle name="Normal 5 10 5 5 8" xfId="33899" xr:uid="{00000000-0005-0000-0000-00005C840000}"/>
    <cellStyle name="Normal 5 10 5 5 9" xfId="33900" xr:uid="{00000000-0005-0000-0000-00005D840000}"/>
    <cellStyle name="Normal 5 10 5 6" xfId="33901" xr:uid="{00000000-0005-0000-0000-00005E840000}"/>
    <cellStyle name="Normal 5 10 5 7" xfId="33902" xr:uid="{00000000-0005-0000-0000-00005F840000}"/>
    <cellStyle name="Normal 5 10 5 8" xfId="33903" xr:uid="{00000000-0005-0000-0000-000060840000}"/>
    <cellStyle name="Normal 5 10 5 9" xfId="33904" xr:uid="{00000000-0005-0000-0000-000061840000}"/>
    <cellStyle name="Normal 5 10 50" xfId="30799" xr:uid="{00000000-0005-0000-0000-000062840000}"/>
    <cellStyle name="Normal 5 10 6" xfId="33905" xr:uid="{00000000-0005-0000-0000-000063840000}"/>
    <cellStyle name="Normal 5 10 6 10" xfId="33906" xr:uid="{00000000-0005-0000-0000-000064840000}"/>
    <cellStyle name="Normal 5 10 6 11" xfId="33907" xr:uid="{00000000-0005-0000-0000-000065840000}"/>
    <cellStyle name="Normal 5 10 6 12" xfId="33908" xr:uid="{00000000-0005-0000-0000-000066840000}"/>
    <cellStyle name="Normal 5 10 6 13" xfId="33909" xr:uid="{00000000-0005-0000-0000-000067840000}"/>
    <cellStyle name="Normal 5 10 6 14" xfId="33910" xr:uid="{00000000-0005-0000-0000-000068840000}"/>
    <cellStyle name="Normal 5 10 6 2" xfId="33911" xr:uid="{00000000-0005-0000-0000-000069840000}"/>
    <cellStyle name="Normal 5 10 6 2 10" xfId="33912" xr:uid="{00000000-0005-0000-0000-00006A840000}"/>
    <cellStyle name="Normal 5 10 6 2 2" xfId="33913" xr:uid="{00000000-0005-0000-0000-00006B840000}"/>
    <cellStyle name="Normal 5 10 6 2 3" xfId="33914" xr:uid="{00000000-0005-0000-0000-00006C840000}"/>
    <cellStyle name="Normal 5 10 6 2 4" xfId="33915" xr:uid="{00000000-0005-0000-0000-00006D840000}"/>
    <cellStyle name="Normal 5 10 6 2 5" xfId="33916" xr:uid="{00000000-0005-0000-0000-00006E840000}"/>
    <cellStyle name="Normal 5 10 6 2 6" xfId="33917" xr:uid="{00000000-0005-0000-0000-00006F840000}"/>
    <cellStyle name="Normal 5 10 6 2 7" xfId="33918" xr:uid="{00000000-0005-0000-0000-000070840000}"/>
    <cellStyle name="Normal 5 10 6 2 8" xfId="33919" xr:uid="{00000000-0005-0000-0000-000071840000}"/>
    <cellStyle name="Normal 5 10 6 2 9" xfId="33920" xr:uid="{00000000-0005-0000-0000-000072840000}"/>
    <cellStyle name="Normal 5 10 6 3" xfId="33921" xr:uid="{00000000-0005-0000-0000-000073840000}"/>
    <cellStyle name="Normal 5 10 6 3 10" xfId="33922" xr:uid="{00000000-0005-0000-0000-000074840000}"/>
    <cellStyle name="Normal 5 10 6 3 2" xfId="33923" xr:uid="{00000000-0005-0000-0000-000075840000}"/>
    <cellStyle name="Normal 5 10 6 3 3" xfId="33924" xr:uid="{00000000-0005-0000-0000-000076840000}"/>
    <cellStyle name="Normal 5 10 6 3 4" xfId="33925" xr:uid="{00000000-0005-0000-0000-000077840000}"/>
    <cellStyle name="Normal 5 10 6 3 5" xfId="33926" xr:uid="{00000000-0005-0000-0000-000078840000}"/>
    <cellStyle name="Normal 5 10 6 3 6" xfId="33927" xr:uid="{00000000-0005-0000-0000-000079840000}"/>
    <cellStyle name="Normal 5 10 6 3 7" xfId="33928" xr:uid="{00000000-0005-0000-0000-00007A840000}"/>
    <cellStyle name="Normal 5 10 6 3 8" xfId="33929" xr:uid="{00000000-0005-0000-0000-00007B840000}"/>
    <cellStyle name="Normal 5 10 6 3 9" xfId="33930" xr:uid="{00000000-0005-0000-0000-00007C840000}"/>
    <cellStyle name="Normal 5 10 6 4" xfId="33931" xr:uid="{00000000-0005-0000-0000-00007D840000}"/>
    <cellStyle name="Normal 5 10 6 4 10" xfId="33932" xr:uid="{00000000-0005-0000-0000-00007E840000}"/>
    <cellStyle name="Normal 5 10 6 4 2" xfId="33933" xr:uid="{00000000-0005-0000-0000-00007F840000}"/>
    <cellStyle name="Normal 5 10 6 4 3" xfId="33934" xr:uid="{00000000-0005-0000-0000-000080840000}"/>
    <cellStyle name="Normal 5 10 6 4 4" xfId="33935" xr:uid="{00000000-0005-0000-0000-000081840000}"/>
    <cellStyle name="Normal 5 10 6 4 5" xfId="33936" xr:uid="{00000000-0005-0000-0000-000082840000}"/>
    <cellStyle name="Normal 5 10 6 4 6" xfId="33937" xr:uid="{00000000-0005-0000-0000-000083840000}"/>
    <cellStyle name="Normal 5 10 6 4 7" xfId="33938" xr:uid="{00000000-0005-0000-0000-000084840000}"/>
    <cellStyle name="Normal 5 10 6 4 8" xfId="33939" xr:uid="{00000000-0005-0000-0000-000085840000}"/>
    <cellStyle name="Normal 5 10 6 4 9" xfId="33940" xr:uid="{00000000-0005-0000-0000-000086840000}"/>
    <cellStyle name="Normal 5 10 6 5" xfId="33941" xr:uid="{00000000-0005-0000-0000-000087840000}"/>
    <cellStyle name="Normal 5 10 6 5 10" xfId="33942" xr:uid="{00000000-0005-0000-0000-000088840000}"/>
    <cellStyle name="Normal 5 10 6 5 2" xfId="33943" xr:uid="{00000000-0005-0000-0000-000089840000}"/>
    <cellStyle name="Normal 5 10 6 5 3" xfId="33944" xr:uid="{00000000-0005-0000-0000-00008A840000}"/>
    <cellStyle name="Normal 5 10 6 5 4" xfId="33945" xr:uid="{00000000-0005-0000-0000-00008B840000}"/>
    <cellStyle name="Normal 5 10 6 5 5" xfId="33946" xr:uid="{00000000-0005-0000-0000-00008C840000}"/>
    <cellStyle name="Normal 5 10 6 5 6" xfId="33947" xr:uid="{00000000-0005-0000-0000-00008D840000}"/>
    <cellStyle name="Normal 5 10 6 5 7" xfId="33948" xr:uid="{00000000-0005-0000-0000-00008E840000}"/>
    <cellStyle name="Normal 5 10 6 5 8" xfId="33949" xr:uid="{00000000-0005-0000-0000-00008F840000}"/>
    <cellStyle name="Normal 5 10 6 5 9" xfId="33950" xr:uid="{00000000-0005-0000-0000-000090840000}"/>
    <cellStyle name="Normal 5 10 6 6" xfId="33951" xr:uid="{00000000-0005-0000-0000-000091840000}"/>
    <cellStyle name="Normal 5 10 6 7" xfId="33952" xr:uid="{00000000-0005-0000-0000-000092840000}"/>
    <cellStyle name="Normal 5 10 6 8" xfId="33953" xr:uid="{00000000-0005-0000-0000-000093840000}"/>
    <cellStyle name="Normal 5 10 6 9" xfId="33954" xr:uid="{00000000-0005-0000-0000-000094840000}"/>
    <cellStyle name="Normal 5 10 7" xfId="33955" xr:uid="{00000000-0005-0000-0000-000095840000}"/>
    <cellStyle name="Normal 5 10 7 10" xfId="33956" xr:uid="{00000000-0005-0000-0000-000096840000}"/>
    <cellStyle name="Normal 5 10 7 11" xfId="33957" xr:uid="{00000000-0005-0000-0000-000097840000}"/>
    <cellStyle name="Normal 5 10 7 12" xfId="33958" xr:uid="{00000000-0005-0000-0000-000098840000}"/>
    <cellStyle name="Normal 5 10 7 13" xfId="33959" xr:uid="{00000000-0005-0000-0000-000099840000}"/>
    <cellStyle name="Normal 5 10 7 14" xfId="33960" xr:uid="{00000000-0005-0000-0000-00009A840000}"/>
    <cellStyle name="Normal 5 10 7 2" xfId="33961" xr:uid="{00000000-0005-0000-0000-00009B840000}"/>
    <cellStyle name="Normal 5 10 7 2 10" xfId="33962" xr:uid="{00000000-0005-0000-0000-00009C840000}"/>
    <cellStyle name="Normal 5 10 7 2 2" xfId="33963" xr:uid="{00000000-0005-0000-0000-00009D840000}"/>
    <cellStyle name="Normal 5 10 7 2 3" xfId="33964" xr:uid="{00000000-0005-0000-0000-00009E840000}"/>
    <cellStyle name="Normal 5 10 7 2 4" xfId="33965" xr:uid="{00000000-0005-0000-0000-00009F840000}"/>
    <cellStyle name="Normal 5 10 7 2 5" xfId="33966" xr:uid="{00000000-0005-0000-0000-0000A0840000}"/>
    <cellStyle name="Normal 5 10 7 2 6" xfId="33967" xr:uid="{00000000-0005-0000-0000-0000A1840000}"/>
    <cellStyle name="Normal 5 10 7 2 7" xfId="33968" xr:uid="{00000000-0005-0000-0000-0000A2840000}"/>
    <cellStyle name="Normal 5 10 7 2 8" xfId="33969" xr:uid="{00000000-0005-0000-0000-0000A3840000}"/>
    <cellStyle name="Normal 5 10 7 2 9" xfId="33970" xr:uid="{00000000-0005-0000-0000-0000A4840000}"/>
    <cellStyle name="Normal 5 10 7 3" xfId="33971" xr:uid="{00000000-0005-0000-0000-0000A5840000}"/>
    <cellStyle name="Normal 5 10 7 3 10" xfId="33972" xr:uid="{00000000-0005-0000-0000-0000A6840000}"/>
    <cellStyle name="Normal 5 10 7 3 2" xfId="33973" xr:uid="{00000000-0005-0000-0000-0000A7840000}"/>
    <cellStyle name="Normal 5 10 7 3 3" xfId="33974" xr:uid="{00000000-0005-0000-0000-0000A8840000}"/>
    <cellStyle name="Normal 5 10 7 3 4" xfId="33975" xr:uid="{00000000-0005-0000-0000-0000A9840000}"/>
    <cellStyle name="Normal 5 10 7 3 5" xfId="33976" xr:uid="{00000000-0005-0000-0000-0000AA840000}"/>
    <cellStyle name="Normal 5 10 7 3 6" xfId="33977" xr:uid="{00000000-0005-0000-0000-0000AB840000}"/>
    <cellStyle name="Normal 5 10 7 3 7" xfId="33978" xr:uid="{00000000-0005-0000-0000-0000AC840000}"/>
    <cellStyle name="Normal 5 10 7 3 8" xfId="33979" xr:uid="{00000000-0005-0000-0000-0000AD840000}"/>
    <cellStyle name="Normal 5 10 7 3 9" xfId="33980" xr:uid="{00000000-0005-0000-0000-0000AE840000}"/>
    <cellStyle name="Normal 5 10 7 4" xfId="33981" xr:uid="{00000000-0005-0000-0000-0000AF840000}"/>
    <cellStyle name="Normal 5 10 7 4 10" xfId="33982" xr:uid="{00000000-0005-0000-0000-0000B0840000}"/>
    <cellStyle name="Normal 5 10 7 4 2" xfId="33983" xr:uid="{00000000-0005-0000-0000-0000B1840000}"/>
    <cellStyle name="Normal 5 10 7 4 3" xfId="33984" xr:uid="{00000000-0005-0000-0000-0000B2840000}"/>
    <cellStyle name="Normal 5 10 7 4 4" xfId="33985" xr:uid="{00000000-0005-0000-0000-0000B3840000}"/>
    <cellStyle name="Normal 5 10 7 4 5" xfId="33986" xr:uid="{00000000-0005-0000-0000-0000B4840000}"/>
    <cellStyle name="Normal 5 10 7 4 6" xfId="33987" xr:uid="{00000000-0005-0000-0000-0000B5840000}"/>
    <cellStyle name="Normal 5 10 7 4 7" xfId="33988" xr:uid="{00000000-0005-0000-0000-0000B6840000}"/>
    <cellStyle name="Normal 5 10 7 4 8" xfId="33989" xr:uid="{00000000-0005-0000-0000-0000B7840000}"/>
    <cellStyle name="Normal 5 10 7 4 9" xfId="33990" xr:uid="{00000000-0005-0000-0000-0000B8840000}"/>
    <cellStyle name="Normal 5 10 7 5" xfId="33991" xr:uid="{00000000-0005-0000-0000-0000B9840000}"/>
    <cellStyle name="Normal 5 10 7 5 10" xfId="33992" xr:uid="{00000000-0005-0000-0000-0000BA840000}"/>
    <cellStyle name="Normal 5 10 7 5 2" xfId="33993" xr:uid="{00000000-0005-0000-0000-0000BB840000}"/>
    <cellStyle name="Normal 5 10 7 5 3" xfId="33994" xr:uid="{00000000-0005-0000-0000-0000BC840000}"/>
    <cellStyle name="Normal 5 10 7 5 4" xfId="33995" xr:uid="{00000000-0005-0000-0000-0000BD840000}"/>
    <cellStyle name="Normal 5 10 7 5 5" xfId="33996" xr:uid="{00000000-0005-0000-0000-0000BE840000}"/>
    <cellStyle name="Normal 5 10 7 5 6" xfId="33997" xr:uid="{00000000-0005-0000-0000-0000BF840000}"/>
    <cellStyle name="Normal 5 10 7 5 7" xfId="33998" xr:uid="{00000000-0005-0000-0000-0000C0840000}"/>
    <cellStyle name="Normal 5 10 7 5 8" xfId="33999" xr:uid="{00000000-0005-0000-0000-0000C1840000}"/>
    <cellStyle name="Normal 5 10 7 5 9" xfId="34000" xr:uid="{00000000-0005-0000-0000-0000C2840000}"/>
    <cellStyle name="Normal 5 10 7 6" xfId="34001" xr:uid="{00000000-0005-0000-0000-0000C3840000}"/>
    <cellStyle name="Normal 5 10 7 7" xfId="34002" xr:uid="{00000000-0005-0000-0000-0000C4840000}"/>
    <cellStyle name="Normal 5 10 7 8" xfId="34003" xr:uid="{00000000-0005-0000-0000-0000C5840000}"/>
    <cellStyle name="Normal 5 10 7 9" xfId="34004" xr:uid="{00000000-0005-0000-0000-0000C6840000}"/>
    <cellStyle name="Normal 5 10 8" xfId="34005" xr:uid="{00000000-0005-0000-0000-0000C7840000}"/>
    <cellStyle name="Normal 5 10 8 10" xfId="34006" xr:uid="{00000000-0005-0000-0000-0000C8840000}"/>
    <cellStyle name="Normal 5 10 8 11" xfId="34007" xr:uid="{00000000-0005-0000-0000-0000C9840000}"/>
    <cellStyle name="Normal 5 10 8 12" xfId="34008" xr:uid="{00000000-0005-0000-0000-0000CA840000}"/>
    <cellStyle name="Normal 5 10 8 13" xfId="34009" xr:uid="{00000000-0005-0000-0000-0000CB840000}"/>
    <cellStyle name="Normal 5 10 8 14" xfId="34010" xr:uid="{00000000-0005-0000-0000-0000CC840000}"/>
    <cellStyle name="Normal 5 10 8 2" xfId="34011" xr:uid="{00000000-0005-0000-0000-0000CD840000}"/>
    <cellStyle name="Normal 5 10 8 2 10" xfId="34012" xr:uid="{00000000-0005-0000-0000-0000CE840000}"/>
    <cellStyle name="Normal 5 10 8 2 2" xfId="34013" xr:uid="{00000000-0005-0000-0000-0000CF840000}"/>
    <cellStyle name="Normal 5 10 8 2 3" xfId="34014" xr:uid="{00000000-0005-0000-0000-0000D0840000}"/>
    <cellStyle name="Normal 5 10 8 2 4" xfId="34015" xr:uid="{00000000-0005-0000-0000-0000D1840000}"/>
    <cellStyle name="Normal 5 10 8 2 5" xfId="34016" xr:uid="{00000000-0005-0000-0000-0000D2840000}"/>
    <cellStyle name="Normal 5 10 8 2 6" xfId="34017" xr:uid="{00000000-0005-0000-0000-0000D3840000}"/>
    <cellStyle name="Normal 5 10 8 2 7" xfId="34018" xr:uid="{00000000-0005-0000-0000-0000D4840000}"/>
    <cellStyle name="Normal 5 10 8 2 8" xfId="34019" xr:uid="{00000000-0005-0000-0000-0000D5840000}"/>
    <cellStyle name="Normal 5 10 8 2 9" xfId="34020" xr:uid="{00000000-0005-0000-0000-0000D6840000}"/>
    <cellStyle name="Normal 5 10 8 3" xfId="34021" xr:uid="{00000000-0005-0000-0000-0000D7840000}"/>
    <cellStyle name="Normal 5 10 8 3 10" xfId="34022" xr:uid="{00000000-0005-0000-0000-0000D8840000}"/>
    <cellStyle name="Normal 5 10 8 3 2" xfId="34023" xr:uid="{00000000-0005-0000-0000-0000D9840000}"/>
    <cellStyle name="Normal 5 10 8 3 3" xfId="34024" xr:uid="{00000000-0005-0000-0000-0000DA840000}"/>
    <cellStyle name="Normal 5 10 8 3 4" xfId="34025" xr:uid="{00000000-0005-0000-0000-0000DB840000}"/>
    <cellStyle name="Normal 5 10 8 3 5" xfId="34026" xr:uid="{00000000-0005-0000-0000-0000DC840000}"/>
    <cellStyle name="Normal 5 10 8 3 6" xfId="34027" xr:uid="{00000000-0005-0000-0000-0000DD840000}"/>
    <cellStyle name="Normal 5 10 8 3 7" xfId="34028" xr:uid="{00000000-0005-0000-0000-0000DE840000}"/>
    <cellStyle name="Normal 5 10 8 3 8" xfId="34029" xr:uid="{00000000-0005-0000-0000-0000DF840000}"/>
    <cellStyle name="Normal 5 10 8 3 9" xfId="34030" xr:uid="{00000000-0005-0000-0000-0000E0840000}"/>
    <cellStyle name="Normal 5 10 8 4" xfId="34031" xr:uid="{00000000-0005-0000-0000-0000E1840000}"/>
    <cellStyle name="Normal 5 10 8 4 10" xfId="34032" xr:uid="{00000000-0005-0000-0000-0000E2840000}"/>
    <cellStyle name="Normal 5 10 8 4 2" xfId="34033" xr:uid="{00000000-0005-0000-0000-0000E3840000}"/>
    <cellStyle name="Normal 5 10 8 4 3" xfId="34034" xr:uid="{00000000-0005-0000-0000-0000E4840000}"/>
    <cellStyle name="Normal 5 10 8 4 4" xfId="34035" xr:uid="{00000000-0005-0000-0000-0000E5840000}"/>
    <cellStyle name="Normal 5 10 8 4 5" xfId="34036" xr:uid="{00000000-0005-0000-0000-0000E6840000}"/>
    <cellStyle name="Normal 5 10 8 4 6" xfId="34037" xr:uid="{00000000-0005-0000-0000-0000E7840000}"/>
    <cellStyle name="Normal 5 10 8 4 7" xfId="34038" xr:uid="{00000000-0005-0000-0000-0000E8840000}"/>
    <cellStyle name="Normal 5 10 8 4 8" xfId="34039" xr:uid="{00000000-0005-0000-0000-0000E9840000}"/>
    <cellStyle name="Normal 5 10 8 4 9" xfId="34040" xr:uid="{00000000-0005-0000-0000-0000EA840000}"/>
    <cellStyle name="Normal 5 10 8 5" xfId="34041" xr:uid="{00000000-0005-0000-0000-0000EB840000}"/>
    <cellStyle name="Normal 5 10 8 5 10" xfId="34042" xr:uid="{00000000-0005-0000-0000-0000EC840000}"/>
    <cellStyle name="Normal 5 10 8 5 2" xfId="34043" xr:uid="{00000000-0005-0000-0000-0000ED840000}"/>
    <cellStyle name="Normal 5 10 8 5 3" xfId="34044" xr:uid="{00000000-0005-0000-0000-0000EE840000}"/>
    <cellStyle name="Normal 5 10 8 5 4" xfId="34045" xr:uid="{00000000-0005-0000-0000-0000EF840000}"/>
    <cellStyle name="Normal 5 10 8 5 5" xfId="34046" xr:uid="{00000000-0005-0000-0000-0000F0840000}"/>
    <cellStyle name="Normal 5 10 8 5 6" xfId="34047" xr:uid="{00000000-0005-0000-0000-0000F1840000}"/>
    <cellStyle name="Normal 5 10 8 5 7" xfId="34048" xr:uid="{00000000-0005-0000-0000-0000F2840000}"/>
    <cellStyle name="Normal 5 10 8 5 8" xfId="34049" xr:uid="{00000000-0005-0000-0000-0000F3840000}"/>
    <cellStyle name="Normal 5 10 8 5 9" xfId="34050" xr:uid="{00000000-0005-0000-0000-0000F4840000}"/>
    <cellStyle name="Normal 5 10 8 6" xfId="34051" xr:uid="{00000000-0005-0000-0000-0000F5840000}"/>
    <cellStyle name="Normal 5 10 8 7" xfId="34052" xr:uid="{00000000-0005-0000-0000-0000F6840000}"/>
    <cellStyle name="Normal 5 10 8 8" xfId="34053" xr:uid="{00000000-0005-0000-0000-0000F7840000}"/>
    <cellStyle name="Normal 5 10 8 9" xfId="34054" xr:uid="{00000000-0005-0000-0000-0000F8840000}"/>
    <cellStyle name="Normal 5 10 9" xfId="34055" xr:uid="{00000000-0005-0000-0000-0000F9840000}"/>
    <cellStyle name="Normal 5 10 9 10" xfId="34056" xr:uid="{00000000-0005-0000-0000-0000FA840000}"/>
    <cellStyle name="Normal 5 10 9 11" xfId="34057" xr:uid="{00000000-0005-0000-0000-0000FB840000}"/>
    <cellStyle name="Normal 5 10 9 12" xfId="34058" xr:uid="{00000000-0005-0000-0000-0000FC840000}"/>
    <cellStyle name="Normal 5 10 9 13" xfId="34059" xr:uid="{00000000-0005-0000-0000-0000FD840000}"/>
    <cellStyle name="Normal 5 10 9 14" xfId="34060" xr:uid="{00000000-0005-0000-0000-0000FE840000}"/>
    <cellStyle name="Normal 5 10 9 2" xfId="34061" xr:uid="{00000000-0005-0000-0000-0000FF840000}"/>
    <cellStyle name="Normal 5 10 9 2 10" xfId="34062" xr:uid="{00000000-0005-0000-0000-000000850000}"/>
    <cellStyle name="Normal 5 10 9 2 2" xfId="34063" xr:uid="{00000000-0005-0000-0000-000001850000}"/>
    <cellStyle name="Normal 5 10 9 2 3" xfId="34064" xr:uid="{00000000-0005-0000-0000-000002850000}"/>
    <cellStyle name="Normal 5 10 9 2 4" xfId="34065" xr:uid="{00000000-0005-0000-0000-000003850000}"/>
    <cellStyle name="Normal 5 10 9 2 5" xfId="34066" xr:uid="{00000000-0005-0000-0000-000004850000}"/>
    <cellStyle name="Normal 5 10 9 2 6" xfId="34067" xr:uid="{00000000-0005-0000-0000-000005850000}"/>
    <cellStyle name="Normal 5 10 9 2 7" xfId="34068" xr:uid="{00000000-0005-0000-0000-000006850000}"/>
    <cellStyle name="Normal 5 10 9 2 8" xfId="34069" xr:uid="{00000000-0005-0000-0000-000007850000}"/>
    <cellStyle name="Normal 5 10 9 2 9" xfId="34070" xr:uid="{00000000-0005-0000-0000-000008850000}"/>
    <cellStyle name="Normal 5 10 9 3" xfId="34071" xr:uid="{00000000-0005-0000-0000-000009850000}"/>
    <cellStyle name="Normal 5 10 9 3 10" xfId="34072" xr:uid="{00000000-0005-0000-0000-00000A850000}"/>
    <cellStyle name="Normal 5 10 9 3 2" xfId="34073" xr:uid="{00000000-0005-0000-0000-00000B850000}"/>
    <cellStyle name="Normal 5 10 9 3 3" xfId="34074" xr:uid="{00000000-0005-0000-0000-00000C850000}"/>
    <cellStyle name="Normal 5 10 9 3 4" xfId="34075" xr:uid="{00000000-0005-0000-0000-00000D850000}"/>
    <cellStyle name="Normal 5 10 9 3 5" xfId="34076" xr:uid="{00000000-0005-0000-0000-00000E850000}"/>
    <cellStyle name="Normal 5 10 9 3 6" xfId="34077" xr:uid="{00000000-0005-0000-0000-00000F850000}"/>
    <cellStyle name="Normal 5 10 9 3 7" xfId="34078" xr:uid="{00000000-0005-0000-0000-000010850000}"/>
    <cellStyle name="Normal 5 10 9 3 8" xfId="34079" xr:uid="{00000000-0005-0000-0000-000011850000}"/>
    <cellStyle name="Normal 5 10 9 3 9" xfId="34080" xr:uid="{00000000-0005-0000-0000-000012850000}"/>
    <cellStyle name="Normal 5 10 9 4" xfId="34081" xr:uid="{00000000-0005-0000-0000-000013850000}"/>
    <cellStyle name="Normal 5 10 9 4 10" xfId="34082" xr:uid="{00000000-0005-0000-0000-000014850000}"/>
    <cellStyle name="Normal 5 10 9 4 2" xfId="34083" xr:uid="{00000000-0005-0000-0000-000015850000}"/>
    <cellStyle name="Normal 5 10 9 4 3" xfId="34084" xr:uid="{00000000-0005-0000-0000-000016850000}"/>
    <cellStyle name="Normal 5 10 9 4 4" xfId="34085" xr:uid="{00000000-0005-0000-0000-000017850000}"/>
    <cellStyle name="Normal 5 10 9 4 5" xfId="34086" xr:uid="{00000000-0005-0000-0000-000018850000}"/>
    <cellStyle name="Normal 5 10 9 4 6" xfId="34087" xr:uid="{00000000-0005-0000-0000-000019850000}"/>
    <cellStyle name="Normal 5 10 9 4 7" xfId="34088" xr:uid="{00000000-0005-0000-0000-00001A850000}"/>
    <cellStyle name="Normal 5 10 9 4 8" xfId="34089" xr:uid="{00000000-0005-0000-0000-00001B850000}"/>
    <cellStyle name="Normal 5 10 9 4 9" xfId="34090" xr:uid="{00000000-0005-0000-0000-00001C850000}"/>
    <cellStyle name="Normal 5 10 9 5" xfId="34091" xr:uid="{00000000-0005-0000-0000-00001D850000}"/>
    <cellStyle name="Normal 5 10 9 5 10" xfId="34092" xr:uid="{00000000-0005-0000-0000-00001E850000}"/>
    <cellStyle name="Normal 5 10 9 5 2" xfId="34093" xr:uid="{00000000-0005-0000-0000-00001F850000}"/>
    <cellStyle name="Normal 5 10 9 5 3" xfId="34094" xr:uid="{00000000-0005-0000-0000-000020850000}"/>
    <cellStyle name="Normal 5 10 9 5 4" xfId="34095" xr:uid="{00000000-0005-0000-0000-000021850000}"/>
    <cellStyle name="Normal 5 10 9 5 5" xfId="34096" xr:uid="{00000000-0005-0000-0000-000022850000}"/>
    <cellStyle name="Normal 5 10 9 5 6" xfId="34097" xr:uid="{00000000-0005-0000-0000-000023850000}"/>
    <cellStyle name="Normal 5 10 9 5 7" xfId="34098" xr:uid="{00000000-0005-0000-0000-000024850000}"/>
    <cellStyle name="Normal 5 10 9 5 8" xfId="34099" xr:uid="{00000000-0005-0000-0000-000025850000}"/>
    <cellStyle name="Normal 5 10 9 5 9" xfId="34100" xr:uid="{00000000-0005-0000-0000-000026850000}"/>
    <cellStyle name="Normal 5 10 9 6" xfId="34101" xr:uid="{00000000-0005-0000-0000-000027850000}"/>
    <cellStyle name="Normal 5 10 9 7" xfId="34102" xr:uid="{00000000-0005-0000-0000-000028850000}"/>
    <cellStyle name="Normal 5 10 9 8" xfId="34103" xr:uid="{00000000-0005-0000-0000-000029850000}"/>
    <cellStyle name="Normal 5 10 9 9" xfId="34104" xr:uid="{00000000-0005-0000-0000-00002A850000}"/>
    <cellStyle name="Normal 5 11" xfId="34105" xr:uid="{00000000-0005-0000-0000-00002B850000}"/>
    <cellStyle name="Normal 5 11 2" xfId="34106" xr:uid="{00000000-0005-0000-0000-00002C850000}"/>
    <cellStyle name="Normal 5 11 2 2" xfId="34107" xr:uid="{00000000-0005-0000-0000-00002D850000}"/>
    <cellStyle name="Normal 5 11 3" xfId="34108" xr:uid="{00000000-0005-0000-0000-00002E850000}"/>
    <cellStyle name="Normal 5 11 4" xfId="34109" xr:uid="{00000000-0005-0000-0000-00002F850000}"/>
    <cellStyle name="Normal 5 12" xfId="34110" xr:uid="{00000000-0005-0000-0000-000030850000}"/>
    <cellStyle name="Normal 5 12 2" xfId="34111" xr:uid="{00000000-0005-0000-0000-000031850000}"/>
    <cellStyle name="Normal 5 12 2 2" xfId="34112" xr:uid="{00000000-0005-0000-0000-000032850000}"/>
    <cellStyle name="Normal 5 12 3" xfId="34113" xr:uid="{00000000-0005-0000-0000-000033850000}"/>
    <cellStyle name="Normal 5 12 4" xfId="34114" xr:uid="{00000000-0005-0000-0000-000034850000}"/>
    <cellStyle name="Normal 5 13" xfId="34115" xr:uid="{00000000-0005-0000-0000-000035850000}"/>
    <cellStyle name="Normal 5 13 2" xfId="34116" xr:uid="{00000000-0005-0000-0000-000036850000}"/>
    <cellStyle name="Normal 5 13 2 2" xfId="34117" xr:uid="{00000000-0005-0000-0000-000037850000}"/>
    <cellStyle name="Normal 5 13 3" xfId="34118" xr:uid="{00000000-0005-0000-0000-000038850000}"/>
    <cellStyle name="Normal 5 13 4" xfId="34119" xr:uid="{00000000-0005-0000-0000-000039850000}"/>
    <cellStyle name="Normal 5 14" xfId="34120" xr:uid="{00000000-0005-0000-0000-00003A850000}"/>
    <cellStyle name="Normal 5 14 2" xfId="34121" xr:uid="{00000000-0005-0000-0000-00003B850000}"/>
    <cellStyle name="Normal 5 14 2 2" xfId="34122" xr:uid="{00000000-0005-0000-0000-00003C850000}"/>
    <cellStyle name="Normal 5 14 3" xfId="34123" xr:uid="{00000000-0005-0000-0000-00003D850000}"/>
    <cellStyle name="Normal 5 14 4" xfId="34124" xr:uid="{00000000-0005-0000-0000-00003E850000}"/>
    <cellStyle name="Normal 5 15" xfId="34125" xr:uid="{00000000-0005-0000-0000-00003F850000}"/>
    <cellStyle name="Normal 5 15 2" xfId="34126" xr:uid="{00000000-0005-0000-0000-000040850000}"/>
    <cellStyle name="Normal 5 15 2 2" xfId="34127" xr:uid="{00000000-0005-0000-0000-000041850000}"/>
    <cellStyle name="Normal 5 15 3" xfId="34128" xr:uid="{00000000-0005-0000-0000-000042850000}"/>
    <cellStyle name="Normal 5 15 4" xfId="34129" xr:uid="{00000000-0005-0000-0000-000043850000}"/>
    <cellStyle name="Normal 5 16" xfId="34130" xr:uid="{00000000-0005-0000-0000-000044850000}"/>
    <cellStyle name="Normal 5 16 2" xfId="34131" xr:uid="{00000000-0005-0000-0000-000045850000}"/>
    <cellStyle name="Normal 5 16 2 2" xfId="34132" xr:uid="{00000000-0005-0000-0000-000046850000}"/>
    <cellStyle name="Normal 5 16 3" xfId="34133" xr:uid="{00000000-0005-0000-0000-000047850000}"/>
    <cellStyle name="Normal 5 16 4" xfId="34134" xr:uid="{00000000-0005-0000-0000-000048850000}"/>
    <cellStyle name="Normal 5 17" xfId="34135" xr:uid="{00000000-0005-0000-0000-000049850000}"/>
    <cellStyle name="Normal 5 17 10" xfId="34136" xr:uid="{00000000-0005-0000-0000-00004A850000}"/>
    <cellStyle name="Normal 5 17 10 10" xfId="34137" xr:uid="{00000000-0005-0000-0000-00004B850000}"/>
    <cellStyle name="Normal 5 17 10 11" xfId="34138" xr:uid="{00000000-0005-0000-0000-00004C850000}"/>
    <cellStyle name="Normal 5 17 10 12" xfId="34139" xr:uid="{00000000-0005-0000-0000-00004D850000}"/>
    <cellStyle name="Normal 5 17 10 13" xfId="34140" xr:uid="{00000000-0005-0000-0000-00004E850000}"/>
    <cellStyle name="Normal 5 17 10 14" xfId="34141" xr:uid="{00000000-0005-0000-0000-00004F850000}"/>
    <cellStyle name="Normal 5 17 10 2" xfId="34142" xr:uid="{00000000-0005-0000-0000-000050850000}"/>
    <cellStyle name="Normal 5 17 10 2 10" xfId="34143" xr:uid="{00000000-0005-0000-0000-000051850000}"/>
    <cellStyle name="Normal 5 17 10 2 2" xfId="34144" xr:uid="{00000000-0005-0000-0000-000052850000}"/>
    <cellStyle name="Normal 5 17 10 2 3" xfId="34145" xr:uid="{00000000-0005-0000-0000-000053850000}"/>
    <cellStyle name="Normal 5 17 10 2 4" xfId="34146" xr:uid="{00000000-0005-0000-0000-000054850000}"/>
    <cellStyle name="Normal 5 17 10 2 5" xfId="34147" xr:uid="{00000000-0005-0000-0000-000055850000}"/>
    <cellStyle name="Normal 5 17 10 2 6" xfId="34148" xr:uid="{00000000-0005-0000-0000-000056850000}"/>
    <cellStyle name="Normal 5 17 10 2 7" xfId="34149" xr:uid="{00000000-0005-0000-0000-000057850000}"/>
    <cellStyle name="Normal 5 17 10 2 8" xfId="34150" xr:uid="{00000000-0005-0000-0000-000058850000}"/>
    <cellStyle name="Normal 5 17 10 2 9" xfId="34151" xr:uid="{00000000-0005-0000-0000-000059850000}"/>
    <cellStyle name="Normal 5 17 10 3" xfId="34152" xr:uid="{00000000-0005-0000-0000-00005A850000}"/>
    <cellStyle name="Normal 5 17 10 3 10" xfId="34153" xr:uid="{00000000-0005-0000-0000-00005B850000}"/>
    <cellStyle name="Normal 5 17 10 3 2" xfId="34154" xr:uid="{00000000-0005-0000-0000-00005C850000}"/>
    <cellStyle name="Normal 5 17 10 3 3" xfId="34155" xr:uid="{00000000-0005-0000-0000-00005D850000}"/>
    <cellStyle name="Normal 5 17 10 3 4" xfId="34156" xr:uid="{00000000-0005-0000-0000-00005E850000}"/>
    <cellStyle name="Normal 5 17 10 3 5" xfId="34157" xr:uid="{00000000-0005-0000-0000-00005F850000}"/>
    <cellStyle name="Normal 5 17 10 3 6" xfId="34158" xr:uid="{00000000-0005-0000-0000-000060850000}"/>
    <cellStyle name="Normal 5 17 10 3 7" xfId="34159" xr:uid="{00000000-0005-0000-0000-000061850000}"/>
    <cellStyle name="Normal 5 17 10 3 8" xfId="34160" xr:uid="{00000000-0005-0000-0000-000062850000}"/>
    <cellStyle name="Normal 5 17 10 3 9" xfId="34161" xr:uid="{00000000-0005-0000-0000-000063850000}"/>
    <cellStyle name="Normal 5 17 10 4" xfId="34162" xr:uid="{00000000-0005-0000-0000-000064850000}"/>
    <cellStyle name="Normal 5 17 10 4 10" xfId="34163" xr:uid="{00000000-0005-0000-0000-000065850000}"/>
    <cellStyle name="Normal 5 17 10 4 2" xfId="34164" xr:uid="{00000000-0005-0000-0000-000066850000}"/>
    <cellStyle name="Normal 5 17 10 4 3" xfId="34165" xr:uid="{00000000-0005-0000-0000-000067850000}"/>
    <cellStyle name="Normal 5 17 10 4 4" xfId="34166" xr:uid="{00000000-0005-0000-0000-000068850000}"/>
    <cellStyle name="Normal 5 17 10 4 5" xfId="34167" xr:uid="{00000000-0005-0000-0000-000069850000}"/>
    <cellStyle name="Normal 5 17 10 4 6" xfId="34168" xr:uid="{00000000-0005-0000-0000-00006A850000}"/>
    <cellStyle name="Normal 5 17 10 4 7" xfId="34169" xr:uid="{00000000-0005-0000-0000-00006B850000}"/>
    <cellStyle name="Normal 5 17 10 4 8" xfId="34170" xr:uid="{00000000-0005-0000-0000-00006C850000}"/>
    <cellStyle name="Normal 5 17 10 4 9" xfId="34171" xr:uid="{00000000-0005-0000-0000-00006D850000}"/>
    <cellStyle name="Normal 5 17 10 5" xfId="34172" xr:uid="{00000000-0005-0000-0000-00006E850000}"/>
    <cellStyle name="Normal 5 17 10 5 10" xfId="34173" xr:uid="{00000000-0005-0000-0000-00006F850000}"/>
    <cellStyle name="Normal 5 17 10 5 2" xfId="34174" xr:uid="{00000000-0005-0000-0000-000070850000}"/>
    <cellStyle name="Normal 5 17 10 5 3" xfId="34175" xr:uid="{00000000-0005-0000-0000-000071850000}"/>
    <cellStyle name="Normal 5 17 10 5 4" xfId="34176" xr:uid="{00000000-0005-0000-0000-000072850000}"/>
    <cellStyle name="Normal 5 17 10 5 5" xfId="34177" xr:uid="{00000000-0005-0000-0000-000073850000}"/>
    <cellStyle name="Normal 5 17 10 5 6" xfId="34178" xr:uid="{00000000-0005-0000-0000-000074850000}"/>
    <cellStyle name="Normal 5 17 10 5 7" xfId="34179" xr:uid="{00000000-0005-0000-0000-000075850000}"/>
    <cellStyle name="Normal 5 17 10 5 8" xfId="34180" xr:uid="{00000000-0005-0000-0000-000076850000}"/>
    <cellStyle name="Normal 5 17 10 5 9" xfId="34181" xr:uid="{00000000-0005-0000-0000-000077850000}"/>
    <cellStyle name="Normal 5 17 10 6" xfId="34182" xr:uid="{00000000-0005-0000-0000-000078850000}"/>
    <cellStyle name="Normal 5 17 10 7" xfId="34183" xr:uid="{00000000-0005-0000-0000-000079850000}"/>
    <cellStyle name="Normal 5 17 10 8" xfId="34184" xr:uid="{00000000-0005-0000-0000-00007A850000}"/>
    <cellStyle name="Normal 5 17 10 9" xfId="34185" xr:uid="{00000000-0005-0000-0000-00007B850000}"/>
    <cellStyle name="Normal 5 17 11" xfId="34186" xr:uid="{00000000-0005-0000-0000-00007C850000}"/>
    <cellStyle name="Normal 5 17 11 10" xfId="34187" xr:uid="{00000000-0005-0000-0000-00007D850000}"/>
    <cellStyle name="Normal 5 17 11 11" xfId="34188" xr:uid="{00000000-0005-0000-0000-00007E850000}"/>
    <cellStyle name="Normal 5 17 11 12" xfId="34189" xr:uid="{00000000-0005-0000-0000-00007F850000}"/>
    <cellStyle name="Normal 5 17 11 13" xfId="34190" xr:uid="{00000000-0005-0000-0000-000080850000}"/>
    <cellStyle name="Normal 5 17 11 14" xfId="34191" xr:uid="{00000000-0005-0000-0000-000081850000}"/>
    <cellStyle name="Normal 5 17 11 2" xfId="34192" xr:uid="{00000000-0005-0000-0000-000082850000}"/>
    <cellStyle name="Normal 5 17 11 2 10" xfId="34193" xr:uid="{00000000-0005-0000-0000-000083850000}"/>
    <cellStyle name="Normal 5 17 11 2 2" xfId="34194" xr:uid="{00000000-0005-0000-0000-000084850000}"/>
    <cellStyle name="Normal 5 17 11 2 3" xfId="34195" xr:uid="{00000000-0005-0000-0000-000085850000}"/>
    <cellStyle name="Normal 5 17 11 2 4" xfId="34196" xr:uid="{00000000-0005-0000-0000-000086850000}"/>
    <cellStyle name="Normal 5 17 11 2 5" xfId="34197" xr:uid="{00000000-0005-0000-0000-000087850000}"/>
    <cellStyle name="Normal 5 17 11 2 6" xfId="34198" xr:uid="{00000000-0005-0000-0000-000088850000}"/>
    <cellStyle name="Normal 5 17 11 2 7" xfId="34199" xr:uid="{00000000-0005-0000-0000-000089850000}"/>
    <cellStyle name="Normal 5 17 11 2 8" xfId="34200" xr:uid="{00000000-0005-0000-0000-00008A850000}"/>
    <cellStyle name="Normal 5 17 11 2 9" xfId="34201" xr:uid="{00000000-0005-0000-0000-00008B850000}"/>
    <cellStyle name="Normal 5 17 11 3" xfId="34202" xr:uid="{00000000-0005-0000-0000-00008C850000}"/>
    <cellStyle name="Normal 5 17 11 3 10" xfId="34203" xr:uid="{00000000-0005-0000-0000-00008D850000}"/>
    <cellStyle name="Normal 5 17 11 3 2" xfId="34204" xr:uid="{00000000-0005-0000-0000-00008E850000}"/>
    <cellStyle name="Normal 5 17 11 3 3" xfId="34205" xr:uid="{00000000-0005-0000-0000-00008F850000}"/>
    <cellStyle name="Normal 5 17 11 3 4" xfId="34206" xr:uid="{00000000-0005-0000-0000-000090850000}"/>
    <cellStyle name="Normal 5 17 11 3 5" xfId="34207" xr:uid="{00000000-0005-0000-0000-000091850000}"/>
    <cellStyle name="Normal 5 17 11 3 6" xfId="34208" xr:uid="{00000000-0005-0000-0000-000092850000}"/>
    <cellStyle name="Normal 5 17 11 3 7" xfId="34209" xr:uid="{00000000-0005-0000-0000-000093850000}"/>
    <cellStyle name="Normal 5 17 11 3 8" xfId="34210" xr:uid="{00000000-0005-0000-0000-000094850000}"/>
    <cellStyle name="Normal 5 17 11 3 9" xfId="34211" xr:uid="{00000000-0005-0000-0000-000095850000}"/>
    <cellStyle name="Normal 5 17 11 4" xfId="34212" xr:uid="{00000000-0005-0000-0000-000096850000}"/>
    <cellStyle name="Normal 5 17 11 4 10" xfId="34213" xr:uid="{00000000-0005-0000-0000-000097850000}"/>
    <cellStyle name="Normal 5 17 11 4 2" xfId="34214" xr:uid="{00000000-0005-0000-0000-000098850000}"/>
    <cellStyle name="Normal 5 17 11 4 3" xfId="34215" xr:uid="{00000000-0005-0000-0000-000099850000}"/>
    <cellStyle name="Normal 5 17 11 4 4" xfId="34216" xr:uid="{00000000-0005-0000-0000-00009A850000}"/>
    <cellStyle name="Normal 5 17 11 4 5" xfId="34217" xr:uid="{00000000-0005-0000-0000-00009B850000}"/>
    <cellStyle name="Normal 5 17 11 4 6" xfId="34218" xr:uid="{00000000-0005-0000-0000-00009C850000}"/>
    <cellStyle name="Normal 5 17 11 4 7" xfId="34219" xr:uid="{00000000-0005-0000-0000-00009D850000}"/>
    <cellStyle name="Normal 5 17 11 4 8" xfId="34220" xr:uid="{00000000-0005-0000-0000-00009E850000}"/>
    <cellStyle name="Normal 5 17 11 4 9" xfId="34221" xr:uid="{00000000-0005-0000-0000-00009F850000}"/>
    <cellStyle name="Normal 5 17 11 5" xfId="34222" xr:uid="{00000000-0005-0000-0000-0000A0850000}"/>
    <cellStyle name="Normal 5 17 11 5 10" xfId="34223" xr:uid="{00000000-0005-0000-0000-0000A1850000}"/>
    <cellStyle name="Normal 5 17 11 5 2" xfId="34224" xr:uid="{00000000-0005-0000-0000-0000A2850000}"/>
    <cellStyle name="Normal 5 17 11 5 3" xfId="34225" xr:uid="{00000000-0005-0000-0000-0000A3850000}"/>
    <cellStyle name="Normal 5 17 11 5 4" xfId="34226" xr:uid="{00000000-0005-0000-0000-0000A4850000}"/>
    <cellStyle name="Normal 5 17 11 5 5" xfId="34227" xr:uid="{00000000-0005-0000-0000-0000A5850000}"/>
    <cellStyle name="Normal 5 17 11 5 6" xfId="34228" xr:uid="{00000000-0005-0000-0000-0000A6850000}"/>
    <cellStyle name="Normal 5 17 11 5 7" xfId="34229" xr:uid="{00000000-0005-0000-0000-0000A7850000}"/>
    <cellStyle name="Normal 5 17 11 5 8" xfId="34230" xr:uid="{00000000-0005-0000-0000-0000A8850000}"/>
    <cellStyle name="Normal 5 17 11 5 9" xfId="34231" xr:uid="{00000000-0005-0000-0000-0000A9850000}"/>
    <cellStyle name="Normal 5 17 11 6" xfId="34232" xr:uid="{00000000-0005-0000-0000-0000AA850000}"/>
    <cellStyle name="Normal 5 17 11 7" xfId="34233" xr:uid="{00000000-0005-0000-0000-0000AB850000}"/>
    <cellStyle name="Normal 5 17 11 8" xfId="34234" xr:uid="{00000000-0005-0000-0000-0000AC850000}"/>
    <cellStyle name="Normal 5 17 11 9" xfId="34235" xr:uid="{00000000-0005-0000-0000-0000AD850000}"/>
    <cellStyle name="Normal 5 17 12" xfId="34236" xr:uid="{00000000-0005-0000-0000-0000AE850000}"/>
    <cellStyle name="Normal 5 17 12 10" xfId="34237" xr:uid="{00000000-0005-0000-0000-0000AF850000}"/>
    <cellStyle name="Normal 5 17 12 11" xfId="34238" xr:uid="{00000000-0005-0000-0000-0000B0850000}"/>
    <cellStyle name="Normal 5 17 12 12" xfId="34239" xr:uid="{00000000-0005-0000-0000-0000B1850000}"/>
    <cellStyle name="Normal 5 17 12 13" xfId="34240" xr:uid="{00000000-0005-0000-0000-0000B2850000}"/>
    <cellStyle name="Normal 5 17 12 14" xfId="34241" xr:uid="{00000000-0005-0000-0000-0000B3850000}"/>
    <cellStyle name="Normal 5 17 12 2" xfId="34242" xr:uid="{00000000-0005-0000-0000-0000B4850000}"/>
    <cellStyle name="Normal 5 17 12 2 10" xfId="34243" xr:uid="{00000000-0005-0000-0000-0000B5850000}"/>
    <cellStyle name="Normal 5 17 12 2 2" xfId="34244" xr:uid="{00000000-0005-0000-0000-0000B6850000}"/>
    <cellStyle name="Normal 5 17 12 2 3" xfId="34245" xr:uid="{00000000-0005-0000-0000-0000B7850000}"/>
    <cellStyle name="Normal 5 17 12 2 4" xfId="34246" xr:uid="{00000000-0005-0000-0000-0000B8850000}"/>
    <cellStyle name="Normal 5 17 12 2 5" xfId="34247" xr:uid="{00000000-0005-0000-0000-0000B9850000}"/>
    <cellStyle name="Normal 5 17 12 2 6" xfId="34248" xr:uid="{00000000-0005-0000-0000-0000BA850000}"/>
    <cellStyle name="Normal 5 17 12 2 7" xfId="34249" xr:uid="{00000000-0005-0000-0000-0000BB850000}"/>
    <cellStyle name="Normal 5 17 12 2 8" xfId="34250" xr:uid="{00000000-0005-0000-0000-0000BC850000}"/>
    <cellStyle name="Normal 5 17 12 2 9" xfId="34251" xr:uid="{00000000-0005-0000-0000-0000BD850000}"/>
    <cellStyle name="Normal 5 17 12 3" xfId="34252" xr:uid="{00000000-0005-0000-0000-0000BE850000}"/>
    <cellStyle name="Normal 5 17 12 3 10" xfId="34253" xr:uid="{00000000-0005-0000-0000-0000BF850000}"/>
    <cellStyle name="Normal 5 17 12 3 2" xfId="34254" xr:uid="{00000000-0005-0000-0000-0000C0850000}"/>
    <cellStyle name="Normal 5 17 12 3 3" xfId="34255" xr:uid="{00000000-0005-0000-0000-0000C1850000}"/>
    <cellStyle name="Normal 5 17 12 3 4" xfId="34256" xr:uid="{00000000-0005-0000-0000-0000C2850000}"/>
    <cellStyle name="Normal 5 17 12 3 5" xfId="34257" xr:uid="{00000000-0005-0000-0000-0000C3850000}"/>
    <cellStyle name="Normal 5 17 12 3 6" xfId="34258" xr:uid="{00000000-0005-0000-0000-0000C4850000}"/>
    <cellStyle name="Normal 5 17 12 3 7" xfId="34259" xr:uid="{00000000-0005-0000-0000-0000C5850000}"/>
    <cellStyle name="Normal 5 17 12 3 8" xfId="34260" xr:uid="{00000000-0005-0000-0000-0000C6850000}"/>
    <cellStyle name="Normal 5 17 12 3 9" xfId="34261" xr:uid="{00000000-0005-0000-0000-0000C7850000}"/>
    <cellStyle name="Normal 5 17 12 4" xfId="34262" xr:uid="{00000000-0005-0000-0000-0000C8850000}"/>
    <cellStyle name="Normal 5 17 12 4 10" xfId="34263" xr:uid="{00000000-0005-0000-0000-0000C9850000}"/>
    <cellStyle name="Normal 5 17 12 4 2" xfId="34264" xr:uid="{00000000-0005-0000-0000-0000CA850000}"/>
    <cellStyle name="Normal 5 17 12 4 3" xfId="34265" xr:uid="{00000000-0005-0000-0000-0000CB850000}"/>
    <cellStyle name="Normal 5 17 12 4 4" xfId="34266" xr:uid="{00000000-0005-0000-0000-0000CC850000}"/>
    <cellStyle name="Normal 5 17 12 4 5" xfId="34267" xr:uid="{00000000-0005-0000-0000-0000CD850000}"/>
    <cellStyle name="Normal 5 17 12 4 6" xfId="34268" xr:uid="{00000000-0005-0000-0000-0000CE850000}"/>
    <cellStyle name="Normal 5 17 12 4 7" xfId="34269" xr:uid="{00000000-0005-0000-0000-0000CF850000}"/>
    <cellStyle name="Normal 5 17 12 4 8" xfId="34270" xr:uid="{00000000-0005-0000-0000-0000D0850000}"/>
    <cellStyle name="Normal 5 17 12 4 9" xfId="34271" xr:uid="{00000000-0005-0000-0000-0000D1850000}"/>
    <cellStyle name="Normal 5 17 12 5" xfId="34272" xr:uid="{00000000-0005-0000-0000-0000D2850000}"/>
    <cellStyle name="Normal 5 17 12 5 10" xfId="34273" xr:uid="{00000000-0005-0000-0000-0000D3850000}"/>
    <cellStyle name="Normal 5 17 12 5 2" xfId="34274" xr:uid="{00000000-0005-0000-0000-0000D4850000}"/>
    <cellStyle name="Normal 5 17 12 5 3" xfId="34275" xr:uid="{00000000-0005-0000-0000-0000D5850000}"/>
    <cellStyle name="Normal 5 17 12 5 4" xfId="34276" xr:uid="{00000000-0005-0000-0000-0000D6850000}"/>
    <cellStyle name="Normal 5 17 12 5 5" xfId="34277" xr:uid="{00000000-0005-0000-0000-0000D7850000}"/>
    <cellStyle name="Normal 5 17 12 5 6" xfId="34278" xr:uid="{00000000-0005-0000-0000-0000D8850000}"/>
    <cellStyle name="Normal 5 17 12 5 7" xfId="34279" xr:uid="{00000000-0005-0000-0000-0000D9850000}"/>
    <cellStyle name="Normal 5 17 12 5 8" xfId="34280" xr:uid="{00000000-0005-0000-0000-0000DA850000}"/>
    <cellStyle name="Normal 5 17 12 5 9" xfId="34281" xr:uid="{00000000-0005-0000-0000-0000DB850000}"/>
    <cellStyle name="Normal 5 17 12 6" xfId="34282" xr:uid="{00000000-0005-0000-0000-0000DC850000}"/>
    <cellStyle name="Normal 5 17 12 7" xfId="34283" xr:uid="{00000000-0005-0000-0000-0000DD850000}"/>
    <cellStyle name="Normal 5 17 12 8" xfId="34284" xr:uid="{00000000-0005-0000-0000-0000DE850000}"/>
    <cellStyle name="Normal 5 17 12 9" xfId="34285" xr:uid="{00000000-0005-0000-0000-0000DF850000}"/>
    <cellStyle name="Normal 5 17 13" xfId="34286" xr:uid="{00000000-0005-0000-0000-0000E0850000}"/>
    <cellStyle name="Normal 5 17 13 10" xfId="34287" xr:uid="{00000000-0005-0000-0000-0000E1850000}"/>
    <cellStyle name="Normal 5 17 13 11" xfId="34288" xr:uid="{00000000-0005-0000-0000-0000E2850000}"/>
    <cellStyle name="Normal 5 17 13 12" xfId="34289" xr:uid="{00000000-0005-0000-0000-0000E3850000}"/>
    <cellStyle name="Normal 5 17 13 13" xfId="34290" xr:uid="{00000000-0005-0000-0000-0000E4850000}"/>
    <cellStyle name="Normal 5 17 13 14" xfId="34291" xr:uid="{00000000-0005-0000-0000-0000E5850000}"/>
    <cellStyle name="Normal 5 17 13 2" xfId="34292" xr:uid="{00000000-0005-0000-0000-0000E6850000}"/>
    <cellStyle name="Normal 5 17 13 2 10" xfId="34293" xr:uid="{00000000-0005-0000-0000-0000E7850000}"/>
    <cellStyle name="Normal 5 17 13 2 2" xfId="34294" xr:uid="{00000000-0005-0000-0000-0000E8850000}"/>
    <cellStyle name="Normal 5 17 13 2 3" xfId="34295" xr:uid="{00000000-0005-0000-0000-0000E9850000}"/>
    <cellStyle name="Normal 5 17 13 2 4" xfId="34296" xr:uid="{00000000-0005-0000-0000-0000EA850000}"/>
    <cellStyle name="Normal 5 17 13 2 5" xfId="34297" xr:uid="{00000000-0005-0000-0000-0000EB850000}"/>
    <cellStyle name="Normal 5 17 13 2 6" xfId="34298" xr:uid="{00000000-0005-0000-0000-0000EC850000}"/>
    <cellStyle name="Normal 5 17 13 2 7" xfId="34299" xr:uid="{00000000-0005-0000-0000-0000ED850000}"/>
    <cellStyle name="Normal 5 17 13 2 8" xfId="34300" xr:uid="{00000000-0005-0000-0000-0000EE850000}"/>
    <cellStyle name="Normal 5 17 13 2 9" xfId="34301" xr:uid="{00000000-0005-0000-0000-0000EF850000}"/>
    <cellStyle name="Normal 5 17 13 3" xfId="34302" xr:uid="{00000000-0005-0000-0000-0000F0850000}"/>
    <cellStyle name="Normal 5 17 13 3 10" xfId="34303" xr:uid="{00000000-0005-0000-0000-0000F1850000}"/>
    <cellStyle name="Normal 5 17 13 3 2" xfId="34304" xr:uid="{00000000-0005-0000-0000-0000F2850000}"/>
    <cellStyle name="Normal 5 17 13 3 3" xfId="34305" xr:uid="{00000000-0005-0000-0000-0000F3850000}"/>
    <cellStyle name="Normal 5 17 13 3 4" xfId="34306" xr:uid="{00000000-0005-0000-0000-0000F4850000}"/>
    <cellStyle name="Normal 5 17 13 3 5" xfId="34307" xr:uid="{00000000-0005-0000-0000-0000F5850000}"/>
    <cellStyle name="Normal 5 17 13 3 6" xfId="34308" xr:uid="{00000000-0005-0000-0000-0000F6850000}"/>
    <cellStyle name="Normal 5 17 13 3 7" xfId="34309" xr:uid="{00000000-0005-0000-0000-0000F7850000}"/>
    <cellStyle name="Normal 5 17 13 3 8" xfId="34310" xr:uid="{00000000-0005-0000-0000-0000F8850000}"/>
    <cellStyle name="Normal 5 17 13 3 9" xfId="34311" xr:uid="{00000000-0005-0000-0000-0000F9850000}"/>
    <cellStyle name="Normal 5 17 13 4" xfId="34312" xr:uid="{00000000-0005-0000-0000-0000FA850000}"/>
    <cellStyle name="Normal 5 17 13 4 10" xfId="34313" xr:uid="{00000000-0005-0000-0000-0000FB850000}"/>
    <cellStyle name="Normal 5 17 13 4 2" xfId="34314" xr:uid="{00000000-0005-0000-0000-0000FC850000}"/>
    <cellStyle name="Normal 5 17 13 4 3" xfId="34315" xr:uid="{00000000-0005-0000-0000-0000FD850000}"/>
    <cellStyle name="Normal 5 17 13 4 4" xfId="34316" xr:uid="{00000000-0005-0000-0000-0000FE850000}"/>
    <cellStyle name="Normal 5 17 13 4 5" xfId="34317" xr:uid="{00000000-0005-0000-0000-0000FF850000}"/>
    <cellStyle name="Normal 5 17 13 4 6" xfId="34318" xr:uid="{00000000-0005-0000-0000-000000860000}"/>
    <cellStyle name="Normal 5 17 13 4 7" xfId="34319" xr:uid="{00000000-0005-0000-0000-000001860000}"/>
    <cellStyle name="Normal 5 17 13 4 8" xfId="34320" xr:uid="{00000000-0005-0000-0000-000002860000}"/>
    <cellStyle name="Normal 5 17 13 4 9" xfId="34321" xr:uid="{00000000-0005-0000-0000-000003860000}"/>
    <cellStyle name="Normal 5 17 13 5" xfId="34322" xr:uid="{00000000-0005-0000-0000-000004860000}"/>
    <cellStyle name="Normal 5 17 13 5 10" xfId="34323" xr:uid="{00000000-0005-0000-0000-000005860000}"/>
    <cellStyle name="Normal 5 17 13 5 2" xfId="34324" xr:uid="{00000000-0005-0000-0000-000006860000}"/>
    <cellStyle name="Normal 5 17 13 5 3" xfId="34325" xr:uid="{00000000-0005-0000-0000-000007860000}"/>
    <cellStyle name="Normal 5 17 13 5 4" xfId="34326" xr:uid="{00000000-0005-0000-0000-000008860000}"/>
    <cellStyle name="Normal 5 17 13 5 5" xfId="34327" xr:uid="{00000000-0005-0000-0000-000009860000}"/>
    <cellStyle name="Normal 5 17 13 5 6" xfId="34328" xr:uid="{00000000-0005-0000-0000-00000A860000}"/>
    <cellStyle name="Normal 5 17 13 5 7" xfId="34329" xr:uid="{00000000-0005-0000-0000-00000B860000}"/>
    <cellStyle name="Normal 5 17 13 5 8" xfId="34330" xr:uid="{00000000-0005-0000-0000-00000C860000}"/>
    <cellStyle name="Normal 5 17 13 5 9" xfId="34331" xr:uid="{00000000-0005-0000-0000-00000D860000}"/>
    <cellStyle name="Normal 5 17 13 6" xfId="34332" xr:uid="{00000000-0005-0000-0000-00000E860000}"/>
    <cellStyle name="Normal 5 17 13 7" xfId="34333" xr:uid="{00000000-0005-0000-0000-00000F860000}"/>
    <cellStyle name="Normal 5 17 13 8" xfId="34334" xr:uid="{00000000-0005-0000-0000-000010860000}"/>
    <cellStyle name="Normal 5 17 13 9" xfId="34335" xr:uid="{00000000-0005-0000-0000-000011860000}"/>
    <cellStyle name="Normal 5 17 14" xfId="34336" xr:uid="{00000000-0005-0000-0000-000012860000}"/>
    <cellStyle name="Normal 5 17 14 10" xfId="34337" xr:uid="{00000000-0005-0000-0000-000013860000}"/>
    <cellStyle name="Normal 5 17 14 11" xfId="34338" xr:uid="{00000000-0005-0000-0000-000014860000}"/>
    <cellStyle name="Normal 5 17 14 12" xfId="34339" xr:uid="{00000000-0005-0000-0000-000015860000}"/>
    <cellStyle name="Normal 5 17 14 13" xfId="34340" xr:uid="{00000000-0005-0000-0000-000016860000}"/>
    <cellStyle name="Normal 5 17 14 14" xfId="34341" xr:uid="{00000000-0005-0000-0000-000017860000}"/>
    <cellStyle name="Normal 5 17 14 2" xfId="34342" xr:uid="{00000000-0005-0000-0000-000018860000}"/>
    <cellStyle name="Normal 5 17 14 2 10" xfId="34343" xr:uid="{00000000-0005-0000-0000-000019860000}"/>
    <cellStyle name="Normal 5 17 14 2 2" xfId="34344" xr:uid="{00000000-0005-0000-0000-00001A860000}"/>
    <cellStyle name="Normal 5 17 14 2 3" xfId="34345" xr:uid="{00000000-0005-0000-0000-00001B860000}"/>
    <cellStyle name="Normal 5 17 14 2 4" xfId="34346" xr:uid="{00000000-0005-0000-0000-00001C860000}"/>
    <cellStyle name="Normal 5 17 14 2 5" xfId="34347" xr:uid="{00000000-0005-0000-0000-00001D860000}"/>
    <cellStyle name="Normal 5 17 14 2 6" xfId="34348" xr:uid="{00000000-0005-0000-0000-00001E860000}"/>
    <cellStyle name="Normal 5 17 14 2 7" xfId="34349" xr:uid="{00000000-0005-0000-0000-00001F860000}"/>
    <cellStyle name="Normal 5 17 14 2 8" xfId="34350" xr:uid="{00000000-0005-0000-0000-000020860000}"/>
    <cellStyle name="Normal 5 17 14 2 9" xfId="34351" xr:uid="{00000000-0005-0000-0000-000021860000}"/>
    <cellStyle name="Normal 5 17 14 3" xfId="34352" xr:uid="{00000000-0005-0000-0000-000022860000}"/>
    <cellStyle name="Normal 5 17 14 3 10" xfId="34353" xr:uid="{00000000-0005-0000-0000-000023860000}"/>
    <cellStyle name="Normal 5 17 14 3 2" xfId="34354" xr:uid="{00000000-0005-0000-0000-000024860000}"/>
    <cellStyle name="Normal 5 17 14 3 3" xfId="34355" xr:uid="{00000000-0005-0000-0000-000025860000}"/>
    <cellStyle name="Normal 5 17 14 3 4" xfId="34356" xr:uid="{00000000-0005-0000-0000-000026860000}"/>
    <cellStyle name="Normal 5 17 14 3 5" xfId="34357" xr:uid="{00000000-0005-0000-0000-000027860000}"/>
    <cellStyle name="Normal 5 17 14 3 6" xfId="34358" xr:uid="{00000000-0005-0000-0000-000028860000}"/>
    <cellStyle name="Normal 5 17 14 3 7" xfId="34359" xr:uid="{00000000-0005-0000-0000-000029860000}"/>
    <cellStyle name="Normal 5 17 14 3 8" xfId="34360" xr:uid="{00000000-0005-0000-0000-00002A860000}"/>
    <cellStyle name="Normal 5 17 14 3 9" xfId="34361" xr:uid="{00000000-0005-0000-0000-00002B860000}"/>
    <cellStyle name="Normal 5 17 14 4" xfId="34362" xr:uid="{00000000-0005-0000-0000-00002C860000}"/>
    <cellStyle name="Normal 5 17 14 4 10" xfId="34363" xr:uid="{00000000-0005-0000-0000-00002D860000}"/>
    <cellStyle name="Normal 5 17 14 4 2" xfId="34364" xr:uid="{00000000-0005-0000-0000-00002E860000}"/>
    <cellStyle name="Normal 5 17 14 4 3" xfId="34365" xr:uid="{00000000-0005-0000-0000-00002F860000}"/>
    <cellStyle name="Normal 5 17 14 4 4" xfId="34366" xr:uid="{00000000-0005-0000-0000-000030860000}"/>
    <cellStyle name="Normal 5 17 14 4 5" xfId="34367" xr:uid="{00000000-0005-0000-0000-000031860000}"/>
    <cellStyle name="Normal 5 17 14 4 6" xfId="34368" xr:uid="{00000000-0005-0000-0000-000032860000}"/>
    <cellStyle name="Normal 5 17 14 4 7" xfId="34369" xr:uid="{00000000-0005-0000-0000-000033860000}"/>
    <cellStyle name="Normal 5 17 14 4 8" xfId="34370" xr:uid="{00000000-0005-0000-0000-000034860000}"/>
    <cellStyle name="Normal 5 17 14 4 9" xfId="34371" xr:uid="{00000000-0005-0000-0000-000035860000}"/>
    <cellStyle name="Normal 5 17 14 5" xfId="34372" xr:uid="{00000000-0005-0000-0000-000036860000}"/>
    <cellStyle name="Normal 5 17 14 5 10" xfId="34373" xr:uid="{00000000-0005-0000-0000-000037860000}"/>
    <cellStyle name="Normal 5 17 14 5 2" xfId="34374" xr:uid="{00000000-0005-0000-0000-000038860000}"/>
    <cellStyle name="Normal 5 17 14 5 3" xfId="34375" xr:uid="{00000000-0005-0000-0000-000039860000}"/>
    <cellStyle name="Normal 5 17 14 5 4" xfId="34376" xr:uid="{00000000-0005-0000-0000-00003A860000}"/>
    <cellStyle name="Normal 5 17 14 5 5" xfId="34377" xr:uid="{00000000-0005-0000-0000-00003B860000}"/>
    <cellStyle name="Normal 5 17 14 5 6" xfId="34378" xr:uid="{00000000-0005-0000-0000-00003C860000}"/>
    <cellStyle name="Normal 5 17 14 5 7" xfId="34379" xr:uid="{00000000-0005-0000-0000-00003D860000}"/>
    <cellStyle name="Normal 5 17 14 5 8" xfId="34380" xr:uid="{00000000-0005-0000-0000-00003E860000}"/>
    <cellStyle name="Normal 5 17 14 5 9" xfId="34381" xr:uid="{00000000-0005-0000-0000-00003F860000}"/>
    <cellStyle name="Normal 5 17 14 6" xfId="34382" xr:uid="{00000000-0005-0000-0000-000040860000}"/>
    <cellStyle name="Normal 5 17 14 7" xfId="34383" xr:uid="{00000000-0005-0000-0000-000041860000}"/>
    <cellStyle name="Normal 5 17 14 8" xfId="34384" xr:uid="{00000000-0005-0000-0000-000042860000}"/>
    <cellStyle name="Normal 5 17 14 9" xfId="34385" xr:uid="{00000000-0005-0000-0000-000043860000}"/>
    <cellStyle name="Normal 5 17 15" xfId="34386" xr:uid="{00000000-0005-0000-0000-000044860000}"/>
    <cellStyle name="Normal 5 17 15 10" xfId="34387" xr:uid="{00000000-0005-0000-0000-000045860000}"/>
    <cellStyle name="Normal 5 17 15 11" xfId="34388" xr:uid="{00000000-0005-0000-0000-000046860000}"/>
    <cellStyle name="Normal 5 17 15 12" xfId="34389" xr:uid="{00000000-0005-0000-0000-000047860000}"/>
    <cellStyle name="Normal 5 17 15 13" xfId="34390" xr:uid="{00000000-0005-0000-0000-000048860000}"/>
    <cellStyle name="Normal 5 17 15 14" xfId="34391" xr:uid="{00000000-0005-0000-0000-000049860000}"/>
    <cellStyle name="Normal 5 17 15 2" xfId="34392" xr:uid="{00000000-0005-0000-0000-00004A860000}"/>
    <cellStyle name="Normal 5 17 15 2 10" xfId="34393" xr:uid="{00000000-0005-0000-0000-00004B860000}"/>
    <cellStyle name="Normal 5 17 15 2 2" xfId="34394" xr:uid="{00000000-0005-0000-0000-00004C860000}"/>
    <cellStyle name="Normal 5 17 15 2 3" xfId="34395" xr:uid="{00000000-0005-0000-0000-00004D860000}"/>
    <cellStyle name="Normal 5 17 15 2 4" xfId="34396" xr:uid="{00000000-0005-0000-0000-00004E860000}"/>
    <cellStyle name="Normal 5 17 15 2 5" xfId="34397" xr:uid="{00000000-0005-0000-0000-00004F860000}"/>
    <cellStyle name="Normal 5 17 15 2 6" xfId="34398" xr:uid="{00000000-0005-0000-0000-000050860000}"/>
    <cellStyle name="Normal 5 17 15 2 7" xfId="34399" xr:uid="{00000000-0005-0000-0000-000051860000}"/>
    <cellStyle name="Normal 5 17 15 2 8" xfId="34400" xr:uid="{00000000-0005-0000-0000-000052860000}"/>
    <cellStyle name="Normal 5 17 15 2 9" xfId="34401" xr:uid="{00000000-0005-0000-0000-000053860000}"/>
    <cellStyle name="Normal 5 17 15 3" xfId="34402" xr:uid="{00000000-0005-0000-0000-000054860000}"/>
    <cellStyle name="Normal 5 17 15 3 10" xfId="34403" xr:uid="{00000000-0005-0000-0000-000055860000}"/>
    <cellStyle name="Normal 5 17 15 3 2" xfId="34404" xr:uid="{00000000-0005-0000-0000-000056860000}"/>
    <cellStyle name="Normal 5 17 15 3 3" xfId="34405" xr:uid="{00000000-0005-0000-0000-000057860000}"/>
    <cellStyle name="Normal 5 17 15 3 4" xfId="34406" xr:uid="{00000000-0005-0000-0000-000058860000}"/>
    <cellStyle name="Normal 5 17 15 3 5" xfId="34407" xr:uid="{00000000-0005-0000-0000-000059860000}"/>
    <cellStyle name="Normal 5 17 15 3 6" xfId="34408" xr:uid="{00000000-0005-0000-0000-00005A860000}"/>
    <cellStyle name="Normal 5 17 15 3 7" xfId="34409" xr:uid="{00000000-0005-0000-0000-00005B860000}"/>
    <cellStyle name="Normal 5 17 15 3 8" xfId="34410" xr:uid="{00000000-0005-0000-0000-00005C860000}"/>
    <cellStyle name="Normal 5 17 15 3 9" xfId="34411" xr:uid="{00000000-0005-0000-0000-00005D860000}"/>
    <cellStyle name="Normal 5 17 15 4" xfId="34412" xr:uid="{00000000-0005-0000-0000-00005E860000}"/>
    <cellStyle name="Normal 5 17 15 4 10" xfId="34413" xr:uid="{00000000-0005-0000-0000-00005F860000}"/>
    <cellStyle name="Normal 5 17 15 4 2" xfId="34414" xr:uid="{00000000-0005-0000-0000-000060860000}"/>
    <cellStyle name="Normal 5 17 15 4 3" xfId="34415" xr:uid="{00000000-0005-0000-0000-000061860000}"/>
    <cellStyle name="Normal 5 17 15 4 4" xfId="34416" xr:uid="{00000000-0005-0000-0000-000062860000}"/>
    <cellStyle name="Normal 5 17 15 4 5" xfId="34417" xr:uid="{00000000-0005-0000-0000-000063860000}"/>
    <cellStyle name="Normal 5 17 15 4 6" xfId="34418" xr:uid="{00000000-0005-0000-0000-000064860000}"/>
    <cellStyle name="Normal 5 17 15 4 7" xfId="34419" xr:uid="{00000000-0005-0000-0000-000065860000}"/>
    <cellStyle name="Normal 5 17 15 4 8" xfId="34420" xr:uid="{00000000-0005-0000-0000-000066860000}"/>
    <cellStyle name="Normal 5 17 15 4 9" xfId="34421" xr:uid="{00000000-0005-0000-0000-000067860000}"/>
    <cellStyle name="Normal 5 17 15 5" xfId="34422" xr:uid="{00000000-0005-0000-0000-000068860000}"/>
    <cellStyle name="Normal 5 17 15 5 10" xfId="34423" xr:uid="{00000000-0005-0000-0000-000069860000}"/>
    <cellStyle name="Normal 5 17 15 5 2" xfId="34424" xr:uid="{00000000-0005-0000-0000-00006A860000}"/>
    <cellStyle name="Normal 5 17 15 5 3" xfId="34425" xr:uid="{00000000-0005-0000-0000-00006B860000}"/>
    <cellStyle name="Normal 5 17 15 5 4" xfId="34426" xr:uid="{00000000-0005-0000-0000-00006C860000}"/>
    <cellStyle name="Normal 5 17 15 5 5" xfId="34427" xr:uid="{00000000-0005-0000-0000-00006D860000}"/>
    <cellStyle name="Normal 5 17 15 5 6" xfId="34428" xr:uid="{00000000-0005-0000-0000-00006E860000}"/>
    <cellStyle name="Normal 5 17 15 5 7" xfId="34429" xr:uid="{00000000-0005-0000-0000-00006F860000}"/>
    <cellStyle name="Normal 5 17 15 5 8" xfId="34430" xr:uid="{00000000-0005-0000-0000-000070860000}"/>
    <cellStyle name="Normal 5 17 15 5 9" xfId="34431" xr:uid="{00000000-0005-0000-0000-000071860000}"/>
    <cellStyle name="Normal 5 17 15 6" xfId="34432" xr:uid="{00000000-0005-0000-0000-000072860000}"/>
    <cellStyle name="Normal 5 17 15 7" xfId="34433" xr:uid="{00000000-0005-0000-0000-000073860000}"/>
    <cellStyle name="Normal 5 17 15 8" xfId="34434" xr:uid="{00000000-0005-0000-0000-000074860000}"/>
    <cellStyle name="Normal 5 17 15 9" xfId="34435" xr:uid="{00000000-0005-0000-0000-000075860000}"/>
    <cellStyle name="Normal 5 17 16" xfId="34436" xr:uid="{00000000-0005-0000-0000-000076860000}"/>
    <cellStyle name="Normal 5 17 16 10" xfId="34437" xr:uid="{00000000-0005-0000-0000-000077860000}"/>
    <cellStyle name="Normal 5 17 16 11" xfId="34438" xr:uid="{00000000-0005-0000-0000-000078860000}"/>
    <cellStyle name="Normal 5 17 16 12" xfId="34439" xr:uid="{00000000-0005-0000-0000-000079860000}"/>
    <cellStyle name="Normal 5 17 16 13" xfId="34440" xr:uid="{00000000-0005-0000-0000-00007A860000}"/>
    <cellStyle name="Normal 5 17 16 14" xfId="34441" xr:uid="{00000000-0005-0000-0000-00007B860000}"/>
    <cellStyle name="Normal 5 17 16 2" xfId="34442" xr:uid="{00000000-0005-0000-0000-00007C860000}"/>
    <cellStyle name="Normal 5 17 16 2 10" xfId="34443" xr:uid="{00000000-0005-0000-0000-00007D860000}"/>
    <cellStyle name="Normal 5 17 16 2 2" xfId="34444" xr:uid="{00000000-0005-0000-0000-00007E860000}"/>
    <cellStyle name="Normal 5 17 16 2 3" xfId="34445" xr:uid="{00000000-0005-0000-0000-00007F860000}"/>
    <cellStyle name="Normal 5 17 16 2 4" xfId="34446" xr:uid="{00000000-0005-0000-0000-000080860000}"/>
    <cellStyle name="Normal 5 17 16 2 5" xfId="34447" xr:uid="{00000000-0005-0000-0000-000081860000}"/>
    <cellStyle name="Normal 5 17 16 2 6" xfId="34448" xr:uid="{00000000-0005-0000-0000-000082860000}"/>
    <cellStyle name="Normal 5 17 16 2 7" xfId="34449" xr:uid="{00000000-0005-0000-0000-000083860000}"/>
    <cellStyle name="Normal 5 17 16 2 8" xfId="34450" xr:uid="{00000000-0005-0000-0000-000084860000}"/>
    <cellStyle name="Normal 5 17 16 2 9" xfId="34451" xr:uid="{00000000-0005-0000-0000-000085860000}"/>
    <cellStyle name="Normal 5 17 16 3" xfId="34452" xr:uid="{00000000-0005-0000-0000-000086860000}"/>
    <cellStyle name="Normal 5 17 16 3 10" xfId="34453" xr:uid="{00000000-0005-0000-0000-000087860000}"/>
    <cellStyle name="Normal 5 17 16 3 2" xfId="34454" xr:uid="{00000000-0005-0000-0000-000088860000}"/>
    <cellStyle name="Normal 5 17 16 3 3" xfId="34455" xr:uid="{00000000-0005-0000-0000-000089860000}"/>
    <cellStyle name="Normal 5 17 16 3 4" xfId="34456" xr:uid="{00000000-0005-0000-0000-00008A860000}"/>
    <cellStyle name="Normal 5 17 16 3 5" xfId="34457" xr:uid="{00000000-0005-0000-0000-00008B860000}"/>
    <cellStyle name="Normal 5 17 16 3 6" xfId="34458" xr:uid="{00000000-0005-0000-0000-00008C860000}"/>
    <cellStyle name="Normal 5 17 16 3 7" xfId="34459" xr:uid="{00000000-0005-0000-0000-00008D860000}"/>
    <cellStyle name="Normal 5 17 16 3 8" xfId="34460" xr:uid="{00000000-0005-0000-0000-00008E860000}"/>
    <cellStyle name="Normal 5 17 16 3 9" xfId="34461" xr:uid="{00000000-0005-0000-0000-00008F860000}"/>
    <cellStyle name="Normal 5 17 16 4" xfId="34462" xr:uid="{00000000-0005-0000-0000-000090860000}"/>
    <cellStyle name="Normal 5 17 16 4 10" xfId="34463" xr:uid="{00000000-0005-0000-0000-000091860000}"/>
    <cellStyle name="Normal 5 17 16 4 2" xfId="34464" xr:uid="{00000000-0005-0000-0000-000092860000}"/>
    <cellStyle name="Normal 5 17 16 4 3" xfId="34465" xr:uid="{00000000-0005-0000-0000-000093860000}"/>
    <cellStyle name="Normal 5 17 16 4 4" xfId="34466" xr:uid="{00000000-0005-0000-0000-000094860000}"/>
    <cellStyle name="Normal 5 17 16 4 5" xfId="34467" xr:uid="{00000000-0005-0000-0000-000095860000}"/>
    <cellStyle name="Normal 5 17 16 4 6" xfId="34468" xr:uid="{00000000-0005-0000-0000-000096860000}"/>
    <cellStyle name="Normal 5 17 16 4 7" xfId="34469" xr:uid="{00000000-0005-0000-0000-000097860000}"/>
    <cellStyle name="Normal 5 17 16 4 8" xfId="34470" xr:uid="{00000000-0005-0000-0000-000098860000}"/>
    <cellStyle name="Normal 5 17 16 4 9" xfId="34471" xr:uid="{00000000-0005-0000-0000-000099860000}"/>
    <cellStyle name="Normal 5 17 16 5" xfId="34472" xr:uid="{00000000-0005-0000-0000-00009A860000}"/>
    <cellStyle name="Normal 5 17 16 5 10" xfId="34473" xr:uid="{00000000-0005-0000-0000-00009B860000}"/>
    <cellStyle name="Normal 5 17 16 5 2" xfId="34474" xr:uid="{00000000-0005-0000-0000-00009C860000}"/>
    <cellStyle name="Normal 5 17 16 5 3" xfId="34475" xr:uid="{00000000-0005-0000-0000-00009D860000}"/>
    <cellStyle name="Normal 5 17 16 5 4" xfId="34476" xr:uid="{00000000-0005-0000-0000-00009E860000}"/>
    <cellStyle name="Normal 5 17 16 5 5" xfId="34477" xr:uid="{00000000-0005-0000-0000-00009F860000}"/>
    <cellStyle name="Normal 5 17 16 5 6" xfId="34478" xr:uid="{00000000-0005-0000-0000-0000A0860000}"/>
    <cellStyle name="Normal 5 17 16 5 7" xfId="34479" xr:uid="{00000000-0005-0000-0000-0000A1860000}"/>
    <cellStyle name="Normal 5 17 16 5 8" xfId="34480" xr:uid="{00000000-0005-0000-0000-0000A2860000}"/>
    <cellStyle name="Normal 5 17 16 5 9" xfId="34481" xr:uid="{00000000-0005-0000-0000-0000A3860000}"/>
    <cellStyle name="Normal 5 17 16 6" xfId="34482" xr:uid="{00000000-0005-0000-0000-0000A4860000}"/>
    <cellStyle name="Normal 5 17 16 7" xfId="34483" xr:uid="{00000000-0005-0000-0000-0000A5860000}"/>
    <cellStyle name="Normal 5 17 16 8" xfId="34484" xr:uid="{00000000-0005-0000-0000-0000A6860000}"/>
    <cellStyle name="Normal 5 17 16 9" xfId="34485" xr:uid="{00000000-0005-0000-0000-0000A7860000}"/>
    <cellStyle name="Normal 5 17 17" xfId="34486" xr:uid="{00000000-0005-0000-0000-0000A8860000}"/>
    <cellStyle name="Normal 5 17 17 10" xfId="34487" xr:uid="{00000000-0005-0000-0000-0000A9860000}"/>
    <cellStyle name="Normal 5 17 17 11" xfId="34488" xr:uid="{00000000-0005-0000-0000-0000AA860000}"/>
    <cellStyle name="Normal 5 17 17 12" xfId="34489" xr:uid="{00000000-0005-0000-0000-0000AB860000}"/>
    <cellStyle name="Normal 5 17 17 13" xfId="34490" xr:uid="{00000000-0005-0000-0000-0000AC860000}"/>
    <cellStyle name="Normal 5 17 17 14" xfId="34491" xr:uid="{00000000-0005-0000-0000-0000AD860000}"/>
    <cellStyle name="Normal 5 17 17 2" xfId="34492" xr:uid="{00000000-0005-0000-0000-0000AE860000}"/>
    <cellStyle name="Normal 5 17 17 2 10" xfId="34493" xr:uid="{00000000-0005-0000-0000-0000AF860000}"/>
    <cellStyle name="Normal 5 17 17 2 2" xfId="34494" xr:uid="{00000000-0005-0000-0000-0000B0860000}"/>
    <cellStyle name="Normal 5 17 17 2 3" xfId="34495" xr:uid="{00000000-0005-0000-0000-0000B1860000}"/>
    <cellStyle name="Normal 5 17 17 2 4" xfId="34496" xr:uid="{00000000-0005-0000-0000-0000B2860000}"/>
    <cellStyle name="Normal 5 17 17 2 5" xfId="34497" xr:uid="{00000000-0005-0000-0000-0000B3860000}"/>
    <cellStyle name="Normal 5 17 17 2 6" xfId="34498" xr:uid="{00000000-0005-0000-0000-0000B4860000}"/>
    <cellStyle name="Normal 5 17 17 2 7" xfId="34499" xr:uid="{00000000-0005-0000-0000-0000B5860000}"/>
    <cellStyle name="Normal 5 17 17 2 8" xfId="34500" xr:uid="{00000000-0005-0000-0000-0000B6860000}"/>
    <cellStyle name="Normal 5 17 17 2 9" xfId="34501" xr:uid="{00000000-0005-0000-0000-0000B7860000}"/>
    <cellStyle name="Normal 5 17 17 3" xfId="34502" xr:uid="{00000000-0005-0000-0000-0000B8860000}"/>
    <cellStyle name="Normal 5 17 17 3 10" xfId="34503" xr:uid="{00000000-0005-0000-0000-0000B9860000}"/>
    <cellStyle name="Normal 5 17 17 3 2" xfId="34504" xr:uid="{00000000-0005-0000-0000-0000BA860000}"/>
    <cellStyle name="Normal 5 17 17 3 3" xfId="34505" xr:uid="{00000000-0005-0000-0000-0000BB860000}"/>
    <cellStyle name="Normal 5 17 17 3 4" xfId="34506" xr:uid="{00000000-0005-0000-0000-0000BC860000}"/>
    <cellStyle name="Normal 5 17 17 3 5" xfId="34507" xr:uid="{00000000-0005-0000-0000-0000BD860000}"/>
    <cellStyle name="Normal 5 17 17 3 6" xfId="34508" xr:uid="{00000000-0005-0000-0000-0000BE860000}"/>
    <cellStyle name="Normal 5 17 17 3 7" xfId="34509" xr:uid="{00000000-0005-0000-0000-0000BF860000}"/>
    <cellStyle name="Normal 5 17 17 3 8" xfId="34510" xr:uid="{00000000-0005-0000-0000-0000C0860000}"/>
    <cellStyle name="Normal 5 17 17 3 9" xfId="34511" xr:uid="{00000000-0005-0000-0000-0000C1860000}"/>
    <cellStyle name="Normal 5 17 17 4" xfId="34512" xr:uid="{00000000-0005-0000-0000-0000C2860000}"/>
    <cellStyle name="Normal 5 17 17 4 10" xfId="34513" xr:uid="{00000000-0005-0000-0000-0000C3860000}"/>
    <cellStyle name="Normal 5 17 17 4 2" xfId="34514" xr:uid="{00000000-0005-0000-0000-0000C4860000}"/>
    <cellStyle name="Normal 5 17 17 4 3" xfId="34515" xr:uid="{00000000-0005-0000-0000-0000C5860000}"/>
    <cellStyle name="Normal 5 17 17 4 4" xfId="34516" xr:uid="{00000000-0005-0000-0000-0000C6860000}"/>
    <cellStyle name="Normal 5 17 17 4 5" xfId="34517" xr:uid="{00000000-0005-0000-0000-0000C7860000}"/>
    <cellStyle name="Normal 5 17 17 4 6" xfId="34518" xr:uid="{00000000-0005-0000-0000-0000C8860000}"/>
    <cellStyle name="Normal 5 17 17 4 7" xfId="34519" xr:uid="{00000000-0005-0000-0000-0000C9860000}"/>
    <cellStyle name="Normal 5 17 17 4 8" xfId="34520" xr:uid="{00000000-0005-0000-0000-0000CA860000}"/>
    <cellStyle name="Normal 5 17 17 4 9" xfId="34521" xr:uid="{00000000-0005-0000-0000-0000CB860000}"/>
    <cellStyle name="Normal 5 17 17 5" xfId="34522" xr:uid="{00000000-0005-0000-0000-0000CC860000}"/>
    <cellStyle name="Normal 5 17 17 5 10" xfId="34523" xr:uid="{00000000-0005-0000-0000-0000CD860000}"/>
    <cellStyle name="Normal 5 17 17 5 2" xfId="34524" xr:uid="{00000000-0005-0000-0000-0000CE860000}"/>
    <cellStyle name="Normal 5 17 17 5 3" xfId="34525" xr:uid="{00000000-0005-0000-0000-0000CF860000}"/>
    <cellStyle name="Normal 5 17 17 5 4" xfId="34526" xr:uid="{00000000-0005-0000-0000-0000D0860000}"/>
    <cellStyle name="Normal 5 17 17 5 5" xfId="34527" xr:uid="{00000000-0005-0000-0000-0000D1860000}"/>
    <cellStyle name="Normal 5 17 17 5 6" xfId="34528" xr:uid="{00000000-0005-0000-0000-0000D2860000}"/>
    <cellStyle name="Normal 5 17 17 5 7" xfId="34529" xr:uid="{00000000-0005-0000-0000-0000D3860000}"/>
    <cellStyle name="Normal 5 17 17 5 8" xfId="34530" xr:uid="{00000000-0005-0000-0000-0000D4860000}"/>
    <cellStyle name="Normal 5 17 17 5 9" xfId="34531" xr:uid="{00000000-0005-0000-0000-0000D5860000}"/>
    <cellStyle name="Normal 5 17 17 6" xfId="34532" xr:uid="{00000000-0005-0000-0000-0000D6860000}"/>
    <cellStyle name="Normal 5 17 17 7" xfId="34533" xr:uid="{00000000-0005-0000-0000-0000D7860000}"/>
    <cellStyle name="Normal 5 17 17 8" xfId="34534" xr:uid="{00000000-0005-0000-0000-0000D8860000}"/>
    <cellStyle name="Normal 5 17 17 9" xfId="34535" xr:uid="{00000000-0005-0000-0000-0000D9860000}"/>
    <cellStyle name="Normal 5 17 18" xfId="34536" xr:uid="{00000000-0005-0000-0000-0000DA860000}"/>
    <cellStyle name="Normal 5 17 18 10" xfId="34537" xr:uid="{00000000-0005-0000-0000-0000DB860000}"/>
    <cellStyle name="Normal 5 17 18 11" xfId="34538" xr:uid="{00000000-0005-0000-0000-0000DC860000}"/>
    <cellStyle name="Normal 5 17 18 12" xfId="34539" xr:uid="{00000000-0005-0000-0000-0000DD860000}"/>
    <cellStyle name="Normal 5 17 18 13" xfId="34540" xr:uid="{00000000-0005-0000-0000-0000DE860000}"/>
    <cellStyle name="Normal 5 17 18 14" xfId="34541" xr:uid="{00000000-0005-0000-0000-0000DF860000}"/>
    <cellStyle name="Normal 5 17 18 2" xfId="34542" xr:uid="{00000000-0005-0000-0000-0000E0860000}"/>
    <cellStyle name="Normal 5 17 18 2 10" xfId="34543" xr:uid="{00000000-0005-0000-0000-0000E1860000}"/>
    <cellStyle name="Normal 5 17 18 2 2" xfId="34544" xr:uid="{00000000-0005-0000-0000-0000E2860000}"/>
    <cellStyle name="Normal 5 17 18 2 3" xfId="34545" xr:uid="{00000000-0005-0000-0000-0000E3860000}"/>
    <cellStyle name="Normal 5 17 18 2 4" xfId="34546" xr:uid="{00000000-0005-0000-0000-0000E4860000}"/>
    <cellStyle name="Normal 5 17 18 2 5" xfId="34547" xr:uid="{00000000-0005-0000-0000-0000E5860000}"/>
    <cellStyle name="Normal 5 17 18 2 6" xfId="34548" xr:uid="{00000000-0005-0000-0000-0000E6860000}"/>
    <cellStyle name="Normal 5 17 18 2 7" xfId="34549" xr:uid="{00000000-0005-0000-0000-0000E7860000}"/>
    <cellStyle name="Normal 5 17 18 2 8" xfId="34550" xr:uid="{00000000-0005-0000-0000-0000E8860000}"/>
    <cellStyle name="Normal 5 17 18 2 9" xfId="34551" xr:uid="{00000000-0005-0000-0000-0000E9860000}"/>
    <cellStyle name="Normal 5 17 18 3" xfId="34552" xr:uid="{00000000-0005-0000-0000-0000EA860000}"/>
    <cellStyle name="Normal 5 17 18 3 10" xfId="34553" xr:uid="{00000000-0005-0000-0000-0000EB860000}"/>
    <cellStyle name="Normal 5 17 18 3 2" xfId="34554" xr:uid="{00000000-0005-0000-0000-0000EC860000}"/>
    <cellStyle name="Normal 5 17 18 3 3" xfId="34555" xr:uid="{00000000-0005-0000-0000-0000ED860000}"/>
    <cellStyle name="Normal 5 17 18 3 4" xfId="34556" xr:uid="{00000000-0005-0000-0000-0000EE860000}"/>
    <cellStyle name="Normal 5 17 18 3 5" xfId="34557" xr:uid="{00000000-0005-0000-0000-0000EF860000}"/>
    <cellStyle name="Normal 5 17 18 3 6" xfId="34558" xr:uid="{00000000-0005-0000-0000-0000F0860000}"/>
    <cellStyle name="Normal 5 17 18 3 7" xfId="34559" xr:uid="{00000000-0005-0000-0000-0000F1860000}"/>
    <cellStyle name="Normal 5 17 18 3 8" xfId="34560" xr:uid="{00000000-0005-0000-0000-0000F2860000}"/>
    <cellStyle name="Normal 5 17 18 3 9" xfId="34561" xr:uid="{00000000-0005-0000-0000-0000F3860000}"/>
    <cellStyle name="Normal 5 17 18 4" xfId="34562" xr:uid="{00000000-0005-0000-0000-0000F4860000}"/>
    <cellStyle name="Normal 5 17 18 4 10" xfId="34563" xr:uid="{00000000-0005-0000-0000-0000F5860000}"/>
    <cellStyle name="Normal 5 17 18 4 2" xfId="34564" xr:uid="{00000000-0005-0000-0000-0000F6860000}"/>
    <cellStyle name="Normal 5 17 18 4 3" xfId="34565" xr:uid="{00000000-0005-0000-0000-0000F7860000}"/>
    <cellStyle name="Normal 5 17 18 4 4" xfId="34566" xr:uid="{00000000-0005-0000-0000-0000F8860000}"/>
    <cellStyle name="Normal 5 17 18 4 5" xfId="34567" xr:uid="{00000000-0005-0000-0000-0000F9860000}"/>
    <cellStyle name="Normal 5 17 18 4 6" xfId="34568" xr:uid="{00000000-0005-0000-0000-0000FA860000}"/>
    <cellStyle name="Normal 5 17 18 4 7" xfId="34569" xr:uid="{00000000-0005-0000-0000-0000FB860000}"/>
    <cellStyle name="Normal 5 17 18 4 8" xfId="34570" xr:uid="{00000000-0005-0000-0000-0000FC860000}"/>
    <cellStyle name="Normal 5 17 18 4 9" xfId="34571" xr:uid="{00000000-0005-0000-0000-0000FD860000}"/>
    <cellStyle name="Normal 5 17 18 5" xfId="34572" xr:uid="{00000000-0005-0000-0000-0000FE860000}"/>
    <cellStyle name="Normal 5 17 18 5 10" xfId="34573" xr:uid="{00000000-0005-0000-0000-0000FF860000}"/>
    <cellStyle name="Normal 5 17 18 5 2" xfId="34574" xr:uid="{00000000-0005-0000-0000-000000870000}"/>
    <cellStyle name="Normal 5 17 18 5 3" xfId="34575" xr:uid="{00000000-0005-0000-0000-000001870000}"/>
    <cellStyle name="Normal 5 17 18 5 4" xfId="34576" xr:uid="{00000000-0005-0000-0000-000002870000}"/>
    <cellStyle name="Normal 5 17 18 5 5" xfId="34577" xr:uid="{00000000-0005-0000-0000-000003870000}"/>
    <cellStyle name="Normal 5 17 18 5 6" xfId="34578" xr:uid="{00000000-0005-0000-0000-000004870000}"/>
    <cellStyle name="Normal 5 17 18 5 7" xfId="34579" xr:uid="{00000000-0005-0000-0000-000005870000}"/>
    <cellStyle name="Normal 5 17 18 5 8" xfId="34580" xr:uid="{00000000-0005-0000-0000-000006870000}"/>
    <cellStyle name="Normal 5 17 18 5 9" xfId="34581" xr:uid="{00000000-0005-0000-0000-000007870000}"/>
    <cellStyle name="Normal 5 17 18 6" xfId="34582" xr:uid="{00000000-0005-0000-0000-000008870000}"/>
    <cellStyle name="Normal 5 17 18 7" xfId="34583" xr:uid="{00000000-0005-0000-0000-000009870000}"/>
    <cellStyle name="Normal 5 17 18 8" xfId="34584" xr:uid="{00000000-0005-0000-0000-00000A870000}"/>
    <cellStyle name="Normal 5 17 18 9" xfId="34585" xr:uid="{00000000-0005-0000-0000-00000B870000}"/>
    <cellStyle name="Normal 5 17 19" xfId="34586" xr:uid="{00000000-0005-0000-0000-00000C870000}"/>
    <cellStyle name="Normal 5 17 19 10" xfId="34587" xr:uid="{00000000-0005-0000-0000-00000D870000}"/>
    <cellStyle name="Normal 5 17 19 11" xfId="34588" xr:uid="{00000000-0005-0000-0000-00000E870000}"/>
    <cellStyle name="Normal 5 17 19 12" xfId="34589" xr:uid="{00000000-0005-0000-0000-00000F870000}"/>
    <cellStyle name="Normal 5 17 19 13" xfId="34590" xr:uid="{00000000-0005-0000-0000-000010870000}"/>
    <cellStyle name="Normal 5 17 19 14" xfId="34591" xr:uid="{00000000-0005-0000-0000-000011870000}"/>
    <cellStyle name="Normal 5 17 19 2" xfId="34592" xr:uid="{00000000-0005-0000-0000-000012870000}"/>
    <cellStyle name="Normal 5 17 19 2 10" xfId="34593" xr:uid="{00000000-0005-0000-0000-000013870000}"/>
    <cellStyle name="Normal 5 17 19 2 2" xfId="34594" xr:uid="{00000000-0005-0000-0000-000014870000}"/>
    <cellStyle name="Normal 5 17 19 2 3" xfId="34595" xr:uid="{00000000-0005-0000-0000-000015870000}"/>
    <cellStyle name="Normal 5 17 19 2 4" xfId="34596" xr:uid="{00000000-0005-0000-0000-000016870000}"/>
    <cellStyle name="Normal 5 17 19 2 5" xfId="34597" xr:uid="{00000000-0005-0000-0000-000017870000}"/>
    <cellStyle name="Normal 5 17 19 2 6" xfId="34598" xr:uid="{00000000-0005-0000-0000-000018870000}"/>
    <cellStyle name="Normal 5 17 19 2 7" xfId="34599" xr:uid="{00000000-0005-0000-0000-000019870000}"/>
    <cellStyle name="Normal 5 17 19 2 8" xfId="34600" xr:uid="{00000000-0005-0000-0000-00001A870000}"/>
    <cellStyle name="Normal 5 17 19 2 9" xfId="34601" xr:uid="{00000000-0005-0000-0000-00001B870000}"/>
    <cellStyle name="Normal 5 17 19 3" xfId="34602" xr:uid="{00000000-0005-0000-0000-00001C870000}"/>
    <cellStyle name="Normal 5 17 19 3 10" xfId="34603" xr:uid="{00000000-0005-0000-0000-00001D870000}"/>
    <cellStyle name="Normal 5 17 19 3 2" xfId="34604" xr:uid="{00000000-0005-0000-0000-00001E870000}"/>
    <cellStyle name="Normal 5 17 19 3 3" xfId="34605" xr:uid="{00000000-0005-0000-0000-00001F870000}"/>
    <cellStyle name="Normal 5 17 19 3 4" xfId="34606" xr:uid="{00000000-0005-0000-0000-000020870000}"/>
    <cellStyle name="Normal 5 17 19 3 5" xfId="34607" xr:uid="{00000000-0005-0000-0000-000021870000}"/>
    <cellStyle name="Normal 5 17 19 3 6" xfId="34608" xr:uid="{00000000-0005-0000-0000-000022870000}"/>
    <cellStyle name="Normal 5 17 19 3 7" xfId="34609" xr:uid="{00000000-0005-0000-0000-000023870000}"/>
    <cellStyle name="Normal 5 17 19 3 8" xfId="34610" xr:uid="{00000000-0005-0000-0000-000024870000}"/>
    <cellStyle name="Normal 5 17 19 3 9" xfId="34611" xr:uid="{00000000-0005-0000-0000-000025870000}"/>
    <cellStyle name="Normal 5 17 19 4" xfId="34612" xr:uid="{00000000-0005-0000-0000-000026870000}"/>
    <cellStyle name="Normal 5 17 19 4 10" xfId="34613" xr:uid="{00000000-0005-0000-0000-000027870000}"/>
    <cellStyle name="Normal 5 17 19 4 2" xfId="34614" xr:uid="{00000000-0005-0000-0000-000028870000}"/>
    <cellStyle name="Normal 5 17 19 4 3" xfId="34615" xr:uid="{00000000-0005-0000-0000-000029870000}"/>
    <cellStyle name="Normal 5 17 19 4 4" xfId="34616" xr:uid="{00000000-0005-0000-0000-00002A870000}"/>
    <cellStyle name="Normal 5 17 19 4 5" xfId="34617" xr:uid="{00000000-0005-0000-0000-00002B870000}"/>
    <cellStyle name="Normal 5 17 19 4 6" xfId="34618" xr:uid="{00000000-0005-0000-0000-00002C870000}"/>
    <cellStyle name="Normal 5 17 19 4 7" xfId="34619" xr:uid="{00000000-0005-0000-0000-00002D870000}"/>
    <cellStyle name="Normal 5 17 19 4 8" xfId="34620" xr:uid="{00000000-0005-0000-0000-00002E870000}"/>
    <cellStyle name="Normal 5 17 19 4 9" xfId="34621" xr:uid="{00000000-0005-0000-0000-00002F870000}"/>
    <cellStyle name="Normal 5 17 19 5" xfId="34622" xr:uid="{00000000-0005-0000-0000-000030870000}"/>
    <cellStyle name="Normal 5 17 19 5 10" xfId="34623" xr:uid="{00000000-0005-0000-0000-000031870000}"/>
    <cellStyle name="Normal 5 17 19 5 2" xfId="34624" xr:uid="{00000000-0005-0000-0000-000032870000}"/>
    <cellStyle name="Normal 5 17 19 5 3" xfId="34625" xr:uid="{00000000-0005-0000-0000-000033870000}"/>
    <cellStyle name="Normal 5 17 19 5 4" xfId="34626" xr:uid="{00000000-0005-0000-0000-000034870000}"/>
    <cellStyle name="Normal 5 17 19 5 5" xfId="34627" xr:uid="{00000000-0005-0000-0000-000035870000}"/>
    <cellStyle name="Normal 5 17 19 5 6" xfId="34628" xr:uid="{00000000-0005-0000-0000-000036870000}"/>
    <cellStyle name="Normal 5 17 19 5 7" xfId="34629" xr:uid="{00000000-0005-0000-0000-000037870000}"/>
    <cellStyle name="Normal 5 17 19 5 8" xfId="34630" xr:uid="{00000000-0005-0000-0000-000038870000}"/>
    <cellStyle name="Normal 5 17 19 5 9" xfId="34631" xr:uid="{00000000-0005-0000-0000-000039870000}"/>
    <cellStyle name="Normal 5 17 19 6" xfId="34632" xr:uid="{00000000-0005-0000-0000-00003A870000}"/>
    <cellStyle name="Normal 5 17 19 7" xfId="34633" xr:uid="{00000000-0005-0000-0000-00003B870000}"/>
    <cellStyle name="Normal 5 17 19 8" xfId="34634" xr:uid="{00000000-0005-0000-0000-00003C870000}"/>
    <cellStyle name="Normal 5 17 19 9" xfId="34635" xr:uid="{00000000-0005-0000-0000-00003D870000}"/>
    <cellStyle name="Normal 5 17 2" xfId="34636" xr:uid="{00000000-0005-0000-0000-00003E870000}"/>
    <cellStyle name="Normal 5 17 2 10" xfId="34637" xr:uid="{00000000-0005-0000-0000-00003F870000}"/>
    <cellStyle name="Normal 5 17 2 10 10" xfId="34638" xr:uid="{00000000-0005-0000-0000-000040870000}"/>
    <cellStyle name="Normal 5 17 2 10 11" xfId="34639" xr:uid="{00000000-0005-0000-0000-000041870000}"/>
    <cellStyle name="Normal 5 17 2 10 12" xfId="34640" xr:uid="{00000000-0005-0000-0000-000042870000}"/>
    <cellStyle name="Normal 5 17 2 10 13" xfId="34641" xr:uid="{00000000-0005-0000-0000-000043870000}"/>
    <cellStyle name="Normal 5 17 2 10 14" xfId="34642" xr:uid="{00000000-0005-0000-0000-000044870000}"/>
    <cellStyle name="Normal 5 17 2 10 2" xfId="34643" xr:uid="{00000000-0005-0000-0000-000045870000}"/>
    <cellStyle name="Normal 5 17 2 10 2 10" xfId="34644" xr:uid="{00000000-0005-0000-0000-000046870000}"/>
    <cellStyle name="Normal 5 17 2 10 2 2" xfId="34645" xr:uid="{00000000-0005-0000-0000-000047870000}"/>
    <cellStyle name="Normal 5 17 2 10 2 3" xfId="34646" xr:uid="{00000000-0005-0000-0000-000048870000}"/>
    <cellStyle name="Normal 5 17 2 10 2 4" xfId="34647" xr:uid="{00000000-0005-0000-0000-000049870000}"/>
    <cellStyle name="Normal 5 17 2 10 2 5" xfId="34648" xr:uid="{00000000-0005-0000-0000-00004A870000}"/>
    <cellStyle name="Normal 5 17 2 10 2 6" xfId="34649" xr:uid="{00000000-0005-0000-0000-00004B870000}"/>
    <cellStyle name="Normal 5 17 2 10 2 7" xfId="34650" xr:uid="{00000000-0005-0000-0000-00004C870000}"/>
    <cellStyle name="Normal 5 17 2 10 2 8" xfId="34651" xr:uid="{00000000-0005-0000-0000-00004D870000}"/>
    <cellStyle name="Normal 5 17 2 10 2 9" xfId="34652" xr:uid="{00000000-0005-0000-0000-00004E870000}"/>
    <cellStyle name="Normal 5 17 2 10 3" xfId="34653" xr:uid="{00000000-0005-0000-0000-00004F870000}"/>
    <cellStyle name="Normal 5 17 2 10 3 10" xfId="34654" xr:uid="{00000000-0005-0000-0000-000050870000}"/>
    <cellStyle name="Normal 5 17 2 10 3 2" xfId="34655" xr:uid="{00000000-0005-0000-0000-000051870000}"/>
    <cellStyle name="Normal 5 17 2 10 3 3" xfId="34656" xr:uid="{00000000-0005-0000-0000-000052870000}"/>
    <cellStyle name="Normal 5 17 2 10 3 4" xfId="34657" xr:uid="{00000000-0005-0000-0000-000053870000}"/>
    <cellStyle name="Normal 5 17 2 10 3 5" xfId="34658" xr:uid="{00000000-0005-0000-0000-000054870000}"/>
    <cellStyle name="Normal 5 17 2 10 3 6" xfId="34659" xr:uid="{00000000-0005-0000-0000-000055870000}"/>
    <cellStyle name="Normal 5 17 2 10 3 7" xfId="34660" xr:uid="{00000000-0005-0000-0000-000056870000}"/>
    <cellStyle name="Normal 5 17 2 10 3 8" xfId="34661" xr:uid="{00000000-0005-0000-0000-000057870000}"/>
    <cellStyle name="Normal 5 17 2 10 3 9" xfId="34662" xr:uid="{00000000-0005-0000-0000-000058870000}"/>
    <cellStyle name="Normal 5 17 2 10 4" xfId="34663" xr:uid="{00000000-0005-0000-0000-000059870000}"/>
    <cellStyle name="Normal 5 17 2 10 4 10" xfId="34664" xr:uid="{00000000-0005-0000-0000-00005A870000}"/>
    <cellStyle name="Normal 5 17 2 10 4 2" xfId="34665" xr:uid="{00000000-0005-0000-0000-00005B870000}"/>
    <cellStyle name="Normal 5 17 2 10 4 3" xfId="34666" xr:uid="{00000000-0005-0000-0000-00005C870000}"/>
    <cellStyle name="Normal 5 17 2 10 4 4" xfId="34667" xr:uid="{00000000-0005-0000-0000-00005D870000}"/>
    <cellStyle name="Normal 5 17 2 10 4 5" xfId="34668" xr:uid="{00000000-0005-0000-0000-00005E870000}"/>
    <cellStyle name="Normal 5 17 2 10 4 6" xfId="34669" xr:uid="{00000000-0005-0000-0000-00005F870000}"/>
    <cellStyle name="Normal 5 17 2 10 4 7" xfId="34670" xr:uid="{00000000-0005-0000-0000-000060870000}"/>
    <cellStyle name="Normal 5 17 2 10 4 8" xfId="34671" xr:uid="{00000000-0005-0000-0000-000061870000}"/>
    <cellStyle name="Normal 5 17 2 10 4 9" xfId="34672" xr:uid="{00000000-0005-0000-0000-000062870000}"/>
    <cellStyle name="Normal 5 17 2 10 5" xfId="34673" xr:uid="{00000000-0005-0000-0000-000063870000}"/>
    <cellStyle name="Normal 5 17 2 10 5 10" xfId="34674" xr:uid="{00000000-0005-0000-0000-000064870000}"/>
    <cellStyle name="Normal 5 17 2 10 5 2" xfId="34675" xr:uid="{00000000-0005-0000-0000-000065870000}"/>
    <cellStyle name="Normal 5 17 2 10 5 3" xfId="34676" xr:uid="{00000000-0005-0000-0000-000066870000}"/>
    <cellStyle name="Normal 5 17 2 10 5 4" xfId="34677" xr:uid="{00000000-0005-0000-0000-000067870000}"/>
    <cellStyle name="Normal 5 17 2 10 5 5" xfId="34678" xr:uid="{00000000-0005-0000-0000-000068870000}"/>
    <cellStyle name="Normal 5 17 2 10 5 6" xfId="34679" xr:uid="{00000000-0005-0000-0000-000069870000}"/>
    <cellStyle name="Normal 5 17 2 10 5 7" xfId="34680" xr:uid="{00000000-0005-0000-0000-00006A870000}"/>
    <cellStyle name="Normal 5 17 2 10 5 8" xfId="34681" xr:uid="{00000000-0005-0000-0000-00006B870000}"/>
    <cellStyle name="Normal 5 17 2 10 5 9" xfId="34682" xr:uid="{00000000-0005-0000-0000-00006C870000}"/>
    <cellStyle name="Normal 5 17 2 10 6" xfId="34683" xr:uid="{00000000-0005-0000-0000-00006D870000}"/>
    <cellStyle name="Normal 5 17 2 10 7" xfId="34684" xr:uid="{00000000-0005-0000-0000-00006E870000}"/>
    <cellStyle name="Normal 5 17 2 10 8" xfId="34685" xr:uid="{00000000-0005-0000-0000-00006F870000}"/>
    <cellStyle name="Normal 5 17 2 10 9" xfId="34686" xr:uid="{00000000-0005-0000-0000-000070870000}"/>
    <cellStyle name="Normal 5 17 2 11" xfId="34687" xr:uid="{00000000-0005-0000-0000-000071870000}"/>
    <cellStyle name="Normal 5 17 2 11 10" xfId="34688" xr:uid="{00000000-0005-0000-0000-000072870000}"/>
    <cellStyle name="Normal 5 17 2 11 11" xfId="34689" xr:uid="{00000000-0005-0000-0000-000073870000}"/>
    <cellStyle name="Normal 5 17 2 11 12" xfId="34690" xr:uid="{00000000-0005-0000-0000-000074870000}"/>
    <cellStyle name="Normal 5 17 2 11 13" xfId="34691" xr:uid="{00000000-0005-0000-0000-000075870000}"/>
    <cellStyle name="Normal 5 17 2 11 14" xfId="34692" xr:uid="{00000000-0005-0000-0000-000076870000}"/>
    <cellStyle name="Normal 5 17 2 11 2" xfId="34693" xr:uid="{00000000-0005-0000-0000-000077870000}"/>
    <cellStyle name="Normal 5 17 2 11 2 10" xfId="34694" xr:uid="{00000000-0005-0000-0000-000078870000}"/>
    <cellStyle name="Normal 5 17 2 11 2 2" xfId="34695" xr:uid="{00000000-0005-0000-0000-000079870000}"/>
    <cellStyle name="Normal 5 17 2 11 2 3" xfId="34696" xr:uid="{00000000-0005-0000-0000-00007A870000}"/>
    <cellStyle name="Normal 5 17 2 11 2 4" xfId="34697" xr:uid="{00000000-0005-0000-0000-00007B870000}"/>
    <cellStyle name="Normal 5 17 2 11 2 5" xfId="34698" xr:uid="{00000000-0005-0000-0000-00007C870000}"/>
    <cellStyle name="Normal 5 17 2 11 2 6" xfId="34699" xr:uid="{00000000-0005-0000-0000-00007D870000}"/>
    <cellStyle name="Normal 5 17 2 11 2 7" xfId="34700" xr:uid="{00000000-0005-0000-0000-00007E870000}"/>
    <cellStyle name="Normal 5 17 2 11 2 8" xfId="34701" xr:uid="{00000000-0005-0000-0000-00007F870000}"/>
    <cellStyle name="Normal 5 17 2 11 2 9" xfId="34702" xr:uid="{00000000-0005-0000-0000-000080870000}"/>
    <cellStyle name="Normal 5 17 2 11 3" xfId="34703" xr:uid="{00000000-0005-0000-0000-000081870000}"/>
    <cellStyle name="Normal 5 17 2 11 3 10" xfId="34704" xr:uid="{00000000-0005-0000-0000-000082870000}"/>
    <cellStyle name="Normal 5 17 2 11 3 2" xfId="34705" xr:uid="{00000000-0005-0000-0000-000083870000}"/>
    <cellStyle name="Normal 5 17 2 11 3 3" xfId="34706" xr:uid="{00000000-0005-0000-0000-000084870000}"/>
    <cellStyle name="Normal 5 17 2 11 3 4" xfId="34707" xr:uid="{00000000-0005-0000-0000-000085870000}"/>
    <cellStyle name="Normal 5 17 2 11 3 5" xfId="34708" xr:uid="{00000000-0005-0000-0000-000086870000}"/>
    <cellStyle name="Normal 5 17 2 11 3 6" xfId="34709" xr:uid="{00000000-0005-0000-0000-000087870000}"/>
    <cellStyle name="Normal 5 17 2 11 3 7" xfId="34710" xr:uid="{00000000-0005-0000-0000-000088870000}"/>
    <cellStyle name="Normal 5 17 2 11 3 8" xfId="34711" xr:uid="{00000000-0005-0000-0000-000089870000}"/>
    <cellStyle name="Normal 5 17 2 11 3 9" xfId="34712" xr:uid="{00000000-0005-0000-0000-00008A870000}"/>
    <cellStyle name="Normal 5 17 2 11 4" xfId="34713" xr:uid="{00000000-0005-0000-0000-00008B870000}"/>
    <cellStyle name="Normal 5 17 2 11 4 10" xfId="34714" xr:uid="{00000000-0005-0000-0000-00008C870000}"/>
    <cellStyle name="Normal 5 17 2 11 4 2" xfId="34715" xr:uid="{00000000-0005-0000-0000-00008D870000}"/>
    <cellStyle name="Normal 5 17 2 11 4 3" xfId="34716" xr:uid="{00000000-0005-0000-0000-00008E870000}"/>
    <cellStyle name="Normal 5 17 2 11 4 4" xfId="34717" xr:uid="{00000000-0005-0000-0000-00008F870000}"/>
    <cellStyle name="Normal 5 17 2 11 4 5" xfId="34718" xr:uid="{00000000-0005-0000-0000-000090870000}"/>
    <cellStyle name="Normal 5 17 2 11 4 6" xfId="34719" xr:uid="{00000000-0005-0000-0000-000091870000}"/>
    <cellStyle name="Normal 5 17 2 11 4 7" xfId="34720" xr:uid="{00000000-0005-0000-0000-000092870000}"/>
    <cellStyle name="Normal 5 17 2 11 4 8" xfId="34721" xr:uid="{00000000-0005-0000-0000-000093870000}"/>
    <cellStyle name="Normal 5 17 2 11 4 9" xfId="34722" xr:uid="{00000000-0005-0000-0000-000094870000}"/>
    <cellStyle name="Normal 5 17 2 11 5" xfId="34723" xr:uid="{00000000-0005-0000-0000-000095870000}"/>
    <cellStyle name="Normal 5 17 2 11 5 10" xfId="34724" xr:uid="{00000000-0005-0000-0000-000096870000}"/>
    <cellStyle name="Normal 5 17 2 11 5 2" xfId="34725" xr:uid="{00000000-0005-0000-0000-000097870000}"/>
    <cellStyle name="Normal 5 17 2 11 5 3" xfId="34726" xr:uid="{00000000-0005-0000-0000-000098870000}"/>
    <cellStyle name="Normal 5 17 2 11 5 4" xfId="34727" xr:uid="{00000000-0005-0000-0000-000099870000}"/>
    <cellStyle name="Normal 5 17 2 11 5 5" xfId="34728" xr:uid="{00000000-0005-0000-0000-00009A870000}"/>
    <cellStyle name="Normal 5 17 2 11 5 6" xfId="34729" xr:uid="{00000000-0005-0000-0000-00009B870000}"/>
    <cellStyle name="Normal 5 17 2 11 5 7" xfId="34730" xr:uid="{00000000-0005-0000-0000-00009C870000}"/>
    <cellStyle name="Normal 5 17 2 11 5 8" xfId="34731" xr:uid="{00000000-0005-0000-0000-00009D870000}"/>
    <cellStyle name="Normal 5 17 2 11 5 9" xfId="34732" xr:uid="{00000000-0005-0000-0000-00009E870000}"/>
    <cellStyle name="Normal 5 17 2 11 6" xfId="34733" xr:uid="{00000000-0005-0000-0000-00009F870000}"/>
    <cellStyle name="Normal 5 17 2 11 7" xfId="34734" xr:uid="{00000000-0005-0000-0000-0000A0870000}"/>
    <cellStyle name="Normal 5 17 2 11 8" xfId="34735" xr:uid="{00000000-0005-0000-0000-0000A1870000}"/>
    <cellStyle name="Normal 5 17 2 11 9" xfId="34736" xr:uid="{00000000-0005-0000-0000-0000A2870000}"/>
    <cellStyle name="Normal 5 17 2 12" xfId="34737" xr:uid="{00000000-0005-0000-0000-0000A3870000}"/>
    <cellStyle name="Normal 5 17 2 12 10" xfId="34738" xr:uid="{00000000-0005-0000-0000-0000A4870000}"/>
    <cellStyle name="Normal 5 17 2 12 11" xfId="34739" xr:uid="{00000000-0005-0000-0000-0000A5870000}"/>
    <cellStyle name="Normal 5 17 2 12 12" xfId="34740" xr:uid="{00000000-0005-0000-0000-0000A6870000}"/>
    <cellStyle name="Normal 5 17 2 12 13" xfId="34741" xr:uid="{00000000-0005-0000-0000-0000A7870000}"/>
    <cellStyle name="Normal 5 17 2 12 14" xfId="34742" xr:uid="{00000000-0005-0000-0000-0000A8870000}"/>
    <cellStyle name="Normal 5 17 2 12 2" xfId="34743" xr:uid="{00000000-0005-0000-0000-0000A9870000}"/>
    <cellStyle name="Normal 5 17 2 12 2 10" xfId="34744" xr:uid="{00000000-0005-0000-0000-0000AA870000}"/>
    <cellStyle name="Normal 5 17 2 12 2 2" xfId="34745" xr:uid="{00000000-0005-0000-0000-0000AB870000}"/>
    <cellStyle name="Normal 5 17 2 12 2 3" xfId="34746" xr:uid="{00000000-0005-0000-0000-0000AC870000}"/>
    <cellStyle name="Normal 5 17 2 12 2 4" xfId="34747" xr:uid="{00000000-0005-0000-0000-0000AD870000}"/>
    <cellStyle name="Normal 5 17 2 12 2 5" xfId="34748" xr:uid="{00000000-0005-0000-0000-0000AE870000}"/>
    <cellStyle name="Normal 5 17 2 12 2 6" xfId="34749" xr:uid="{00000000-0005-0000-0000-0000AF870000}"/>
    <cellStyle name="Normal 5 17 2 12 2 7" xfId="34750" xr:uid="{00000000-0005-0000-0000-0000B0870000}"/>
    <cellStyle name="Normal 5 17 2 12 2 8" xfId="34751" xr:uid="{00000000-0005-0000-0000-0000B1870000}"/>
    <cellStyle name="Normal 5 17 2 12 2 9" xfId="34752" xr:uid="{00000000-0005-0000-0000-0000B2870000}"/>
    <cellStyle name="Normal 5 17 2 12 3" xfId="34753" xr:uid="{00000000-0005-0000-0000-0000B3870000}"/>
    <cellStyle name="Normal 5 17 2 12 3 10" xfId="34754" xr:uid="{00000000-0005-0000-0000-0000B4870000}"/>
    <cellStyle name="Normal 5 17 2 12 3 2" xfId="34755" xr:uid="{00000000-0005-0000-0000-0000B5870000}"/>
    <cellStyle name="Normal 5 17 2 12 3 3" xfId="34756" xr:uid="{00000000-0005-0000-0000-0000B6870000}"/>
    <cellStyle name="Normal 5 17 2 12 3 4" xfId="34757" xr:uid="{00000000-0005-0000-0000-0000B7870000}"/>
    <cellStyle name="Normal 5 17 2 12 3 5" xfId="34758" xr:uid="{00000000-0005-0000-0000-0000B8870000}"/>
    <cellStyle name="Normal 5 17 2 12 3 6" xfId="34759" xr:uid="{00000000-0005-0000-0000-0000B9870000}"/>
    <cellStyle name="Normal 5 17 2 12 3 7" xfId="34760" xr:uid="{00000000-0005-0000-0000-0000BA870000}"/>
    <cellStyle name="Normal 5 17 2 12 3 8" xfId="34761" xr:uid="{00000000-0005-0000-0000-0000BB870000}"/>
    <cellStyle name="Normal 5 17 2 12 3 9" xfId="34762" xr:uid="{00000000-0005-0000-0000-0000BC870000}"/>
    <cellStyle name="Normal 5 17 2 12 4" xfId="34763" xr:uid="{00000000-0005-0000-0000-0000BD870000}"/>
    <cellStyle name="Normal 5 17 2 12 4 10" xfId="34764" xr:uid="{00000000-0005-0000-0000-0000BE870000}"/>
    <cellStyle name="Normal 5 17 2 12 4 2" xfId="34765" xr:uid="{00000000-0005-0000-0000-0000BF870000}"/>
    <cellStyle name="Normal 5 17 2 12 4 3" xfId="34766" xr:uid="{00000000-0005-0000-0000-0000C0870000}"/>
    <cellStyle name="Normal 5 17 2 12 4 4" xfId="34767" xr:uid="{00000000-0005-0000-0000-0000C1870000}"/>
    <cellStyle name="Normal 5 17 2 12 4 5" xfId="34768" xr:uid="{00000000-0005-0000-0000-0000C2870000}"/>
    <cellStyle name="Normal 5 17 2 12 4 6" xfId="34769" xr:uid="{00000000-0005-0000-0000-0000C3870000}"/>
    <cellStyle name="Normal 5 17 2 12 4 7" xfId="34770" xr:uid="{00000000-0005-0000-0000-0000C4870000}"/>
    <cellStyle name="Normal 5 17 2 12 4 8" xfId="34771" xr:uid="{00000000-0005-0000-0000-0000C5870000}"/>
    <cellStyle name="Normal 5 17 2 12 4 9" xfId="34772" xr:uid="{00000000-0005-0000-0000-0000C6870000}"/>
    <cellStyle name="Normal 5 17 2 12 5" xfId="34773" xr:uid="{00000000-0005-0000-0000-0000C7870000}"/>
    <cellStyle name="Normal 5 17 2 12 5 10" xfId="34774" xr:uid="{00000000-0005-0000-0000-0000C8870000}"/>
    <cellStyle name="Normal 5 17 2 12 5 2" xfId="34775" xr:uid="{00000000-0005-0000-0000-0000C9870000}"/>
    <cellStyle name="Normal 5 17 2 12 5 3" xfId="34776" xr:uid="{00000000-0005-0000-0000-0000CA870000}"/>
    <cellStyle name="Normal 5 17 2 12 5 4" xfId="34777" xr:uid="{00000000-0005-0000-0000-0000CB870000}"/>
    <cellStyle name="Normal 5 17 2 12 5 5" xfId="34778" xr:uid="{00000000-0005-0000-0000-0000CC870000}"/>
    <cellStyle name="Normal 5 17 2 12 5 6" xfId="34779" xr:uid="{00000000-0005-0000-0000-0000CD870000}"/>
    <cellStyle name="Normal 5 17 2 12 5 7" xfId="34780" xr:uid="{00000000-0005-0000-0000-0000CE870000}"/>
    <cellStyle name="Normal 5 17 2 12 5 8" xfId="34781" xr:uid="{00000000-0005-0000-0000-0000CF870000}"/>
    <cellStyle name="Normal 5 17 2 12 5 9" xfId="34782" xr:uid="{00000000-0005-0000-0000-0000D0870000}"/>
    <cellStyle name="Normal 5 17 2 12 6" xfId="34783" xr:uid="{00000000-0005-0000-0000-0000D1870000}"/>
    <cellStyle name="Normal 5 17 2 12 7" xfId="34784" xr:uid="{00000000-0005-0000-0000-0000D2870000}"/>
    <cellStyle name="Normal 5 17 2 12 8" xfId="34785" xr:uid="{00000000-0005-0000-0000-0000D3870000}"/>
    <cellStyle name="Normal 5 17 2 12 9" xfId="34786" xr:uid="{00000000-0005-0000-0000-0000D4870000}"/>
    <cellStyle name="Normal 5 17 2 13" xfId="34787" xr:uid="{00000000-0005-0000-0000-0000D5870000}"/>
    <cellStyle name="Normal 5 17 2 13 10" xfId="34788" xr:uid="{00000000-0005-0000-0000-0000D6870000}"/>
    <cellStyle name="Normal 5 17 2 13 11" xfId="34789" xr:uid="{00000000-0005-0000-0000-0000D7870000}"/>
    <cellStyle name="Normal 5 17 2 13 12" xfId="34790" xr:uid="{00000000-0005-0000-0000-0000D8870000}"/>
    <cellStyle name="Normal 5 17 2 13 13" xfId="34791" xr:uid="{00000000-0005-0000-0000-0000D9870000}"/>
    <cellStyle name="Normal 5 17 2 13 14" xfId="34792" xr:uid="{00000000-0005-0000-0000-0000DA870000}"/>
    <cellStyle name="Normal 5 17 2 13 2" xfId="34793" xr:uid="{00000000-0005-0000-0000-0000DB870000}"/>
    <cellStyle name="Normal 5 17 2 13 2 10" xfId="34794" xr:uid="{00000000-0005-0000-0000-0000DC870000}"/>
    <cellStyle name="Normal 5 17 2 13 2 2" xfId="34795" xr:uid="{00000000-0005-0000-0000-0000DD870000}"/>
    <cellStyle name="Normal 5 17 2 13 2 3" xfId="34796" xr:uid="{00000000-0005-0000-0000-0000DE870000}"/>
    <cellStyle name="Normal 5 17 2 13 2 4" xfId="34797" xr:uid="{00000000-0005-0000-0000-0000DF870000}"/>
    <cellStyle name="Normal 5 17 2 13 2 5" xfId="34798" xr:uid="{00000000-0005-0000-0000-0000E0870000}"/>
    <cellStyle name="Normal 5 17 2 13 2 6" xfId="34799" xr:uid="{00000000-0005-0000-0000-0000E1870000}"/>
    <cellStyle name="Normal 5 17 2 13 2 7" xfId="34800" xr:uid="{00000000-0005-0000-0000-0000E2870000}"/>
    <cellStyle name="Normal 5 17 2 13 2 8" xfId="34801" xr:uid="{00000000-0005-0000-0000-0000E3870000}"/>
    <cellStyle name="Normal 5 17 2 13 2 9" xfId="34802" xr:uid="{00000000-0005-0000-0000-0000E4870000}"/>
    <cellStyle name="Normal 5 17 2 13 3" xfId="34803" xr:uid="{00000000-0005-0000-0000-0000E5870000}"/>
    <cellStyle name="Normal 5 17 2 13 3 10" xfId="34804" xr:uid="{00000000-0005-0000-0000-0000E6870000}"/>
    <cellStyle name="Normal 5 17 2 13 3 2" xfId="34805" xr:uid="{00000000-0005-0000-0000-0000E7870000}"/>
    <cellStyle name="Normal 5 17 2 13 3 3" xfId="34806" xr:uid="{00000000-0005-0000-0000-0000E8870000}"/>
    <cellStyle name="Normal 5 17 2 13 3 4" xfId="34807" xr:uid="{00000000-0005-0000-0000-0000E9870000}"/>
    <cellStyle name="Normal 5 17 2 13 3 5" xfId="34808" xr:uid="{00000000-0005-0000-0000-0000EA870000}"/>
    <cellStyle name="Normal 5 17 2 13 3 6" xfId="34809" xr:uid="{00000000-0005-0000-0000-0000EB870000}"/>
    <cellStyle name="Normal 5 17 2 13 3 7" xfId="34810" xr:uid="{00000000-0005-0000-0000-0000EC870000}"/>
    <cellStyle name="Normal 5 17 2 13 3 8" xfId="34811" xr:uid="{00000000-0005-0000-0000-0000ED870000}"/>
    <cellStyle name="Normal 5 17 2 13 3 9" xfId="34812" xr:uid="{00000000-0005-0000-0000-0000EE870000}"/>
    <cellStyle name="Normal 5 17 2 13 4" xfId="34813" xr:uid="{00000000-0005-0000-0000-0000EF870000}"/>
    <cellStyle name="Normal 5 17 2 13 4 10" xfId="34814" xr:uid="{00000000-0005-0000-0000-0000F0870000}"/>
    <cellStyle name="Normal 5 17 2 13 4 2" xfId="34815" xr:uid="{00000000-0005-0000-0000-0000F1870000}"/>
    <cellStyle name="Normal 5 17 2 13 4 3" xfId="34816" xr:uid="{00000000-0005-0000-0000-0000F2870000}"/>
    <cellStyle name="Normal 5 17 2 13 4 4" xfId="34817" xr:uid="{00000000-0005-0000-0000-0000F3870000}"/>
    <cellStyle name="Normal 5 17 2 13 4 5" xfId="34818" xr:uid="{00000000-0005-0000-0000-0000F4870000}"/>
    <cellStyle name="Normal 5 17 2 13 4 6" xfId="34819" xr:uid="{00000000-0005-0000-0000-0000F5870000}"/>
    <cellStyle name="Normal 5 17 2 13 4 7" xfId="34820" xr:uid="{00000000-0005-0000-0000-0000F6870000}"/>
    <cellStyle name="Normal 5 17 2 13 4 8" xfId="34821" xr:uid="{00000000-0005-0000-0000-0000F7870000}"/>
    <cellStyle name="Normal 5 17 2 13 4 9" xfId="34822" xr:uid="{00000000-0005-0000-0000-0000F8870000}"/>
    <cellStyle name="Normal 5 17 2 13 5" xfId="34823" xr:uid="{00000000-0005-0000-0000-0000F9870000}"/>
    <cellStyle name="Normal 5 17 2 13 5 10" xfId="34824" xr:uid="{00000000-0005-0000-0000-0000FA870000}"/>
    <cellStyle name="Normal 5 17 2 13 5 2" xfId="34825" xr:uid="{00000000-0005-0000-0000-0000FB870000}"/>
    <cellStyle name="Normal 5 17 2 13 5 3" xfId="34826" xr:uid="{00000000-0005-0000-0000-0000FC870000}"/>
    <cellStyle name="Normal 5 17 2 13 5 4" xfId="34827" xr:uid="{00000000-0005-0000-0000-0000FD870000}"/>
    <cellStyle name="Normal 5 17 2 13 5 5" xfId="34828" xr:uid="{00000000-0005-0000-0000-0000FE870000}"/>
    <cellStyle name="Normal 5 17 2 13 5 6" xfId="34829" xr:uid="{00000000-0005-0000-0000-0000FF870000}"/>
    <cellStyle name="Normal 5 17 2 13 5 7" xfId="34830" xr:uid="{00000000-0005-0000-0000-000000880000}"/>
    <cellStyle name="Normal 5 17 2 13 5 8" xfId="34831" xr:uid="{00000000-0005-0000-0000-000001880000}"/>
    <cellStyle name="Normal 5 17 2 13 5 9" xfId="34832" xr:uid="{00000000-0005-0000-0000-000002880000}"/>
    <cellStyle name="Normal 5 17 2 13 6" xfId="34833" xr:uid="{00000000-0005-0000-0000-000003880000}"/>
    <cellStyle name="Normal 5 17 2 13 7" xfId="34834" xr:uid="{00000000-0005-0000-0000-000004880000}"/>
    <cellStyle name="Normal 5 17 2 13 8" xfId="34835" xr:uid="{00000000-0005-0000-0000-000005880000}"/>
    <cellStyle name="Normal 5 17 2 13 9" xfId="34836" xr:uid="{00000000-0005-0000-0000-000006880000}"/>
    <cellStyle name="Normal 5 17 2 14" xfId="34837" xr:uid="{00000000-0005-0000-0000-000007880000}"/>
    <cellStyle name="Normal 5 17 2 14 10" xfId="34838" xr:uid="{00000000-0005-0000-0000-000008880000}"/>
    <cellStyle name="Normal 5 17 2 14 11" xfId="34839" xr:uid="{00000000-0005-0000-0000-000009880000}"/>
    <cellStyle name="Normal 5 17 2 14 12" xfId="34840" xr:uid="{00000000-0005-0000-0000-00000A880000}"/>
    <cellStyle name="Normal 5 17 2 14 13" xfId="34841" xr:uid="{00000000-0005-0000-0000-00000B880000}"/>
    <cellStyle name="Normal 5 17 2 14 14" xfId="34842" xr:uid="{00000000-0005-0000-0000-00000C880000}"/>
    <cellStyle name="Normal 5 17 2 14 2" xfId="34843" xr:uid="{00000000-0005-0000-0000-00000D880000}"/>
    <cellStyle name="Normal 5 17 2 14 2 10" xfId="34844" xr:uid="{00000000-0005-0000-0000-00000E880000}"/>
    <cellStyle name="Normal 5 17 2 14 2 2" xfId="34845" xr:uid="{00000000-0005-0000-0000-00000F880000}"/>
    <cellStyle name="Normal 5 17 2 14 2 3" xfId="34846" xr:uid="{00000000-0005-0000-0000-000010880000}"/>
    <cellStyle name="Normal 5 17 2 14 2 4" xfId="34847" xr:uid="{00000000-0005-0000-0000-000011880000}"/>
    <cellStyle name="Normal 5 17 2 14 2 5" xfId="34848" xr:uid="{00000000-0005-0000-0000-000012880000}"/>
    <cellStyle name="Normal 5 17 2 14 2 6" xfId="34849" xr:uid="{00000000-0005-0000-0000-000013880000}"/>
    <cellStyle name="Normal 5 17 2 14 2 7" xfId="34850" xr:uid="{00000000-0005-0000-0000-000014880000}"/>
    <cellStyle name="Normal 5 17 2 14 2 8" xfId="34851" xr:uid="{00000000-0005-0000-0000-000015880000}"/>
    <cellStyle name="Normal 5 17 2 14 2 9" xfId="34852" xr:uid="{00000000-0005-0000-0000-000016880000}"/>
    <cellStyle name="Normal 5 17 2 14 3" xfId="34853" xr:uid="{00000000-0005-0000-0000-000017880000}"/>
    <cellStyle name="Normal 5 17 2 14 3 10" xfId="34854" xr:uid="{00000000-0005-0000-0000-000018880000}"/>
    <cellStyle name="Normal 5 17 2 14 3 2" xfId="34855" xr:uid="{00000000-0005-0000-0000-000019880000}"/>
    <cellStyle name="Normal 5 17 2 14 3 3" xfId="34856" xr:uid="{00000000-0005-0000-0000-00001A880000}"/>
    <cellStyle name="Normal 5 17 2 14 3 4" xfId="34857" xr:uid="{00000000-0005-0000-0000-00001B880000}"/>
    <cellStyle name="Normal 5 17 2 14 3 5" xfId="34858" xr:uid="{00000000-0005-0000-0000-00001C880000}"/>
    <cellStyle name="Normal 5 17 2 14 3 6" xfId="34859" xr:uid="{00000000-0005-0000-0000-00001D880000}"/>
    <cellStyle name="Normal 5 17 2 14 3 7" xfId="34860" xr:uid="{00000000-0005-0000-0000-00001E880000}"/>
    <cellStyle name="Normal 5 17 2 14 3 8" xfId="34861" xr:uid="{00000000-0005-0000-0000-00001F880000}"/>
    <cellStyle name="Normal 5 17 2 14 3 9" xfId="34862" xr:uid="{00000000-0005-0000-0000-000020880000}"/>
    <cellStyle name="Normal 5 17 2 14 4" xfId="34863" xr:uid="{00000000-0005-0000-0000-000021880000}"/>
    <cellStyle name="Normal 5 17 2 14 4 10" xfId="34864" xr:uid="{00000000-0005-0000-0000-000022880000}"/>
    <cellStyle name="Normal 5 17 2 14 4 2" xfId="34865" xr:uid="{00000000-0005-0000-0000-000023880000}"/>
    <cellStyle name="Normal 5 17 2 14 4 3" xfId="34866" xr:uid="{00000000-0005-0000-0000-000024880000}"/>
    <cellStyle name="Normal 5 17 2 14 4 4" xfId="34867" xr:uid="{00000000-0005-0000-0000-000025880000}"/>
    <cellStyle name="Normal 5 17 2 14 4 5" xfId="34868" xr:uid="{00000000-0005-0000-0000-000026880000}"/>
    <cellStyle name="Normal 5 17 2 14 4 6" xfId="34869" xr:uid="{00000000-0005-0000-0000-000027880000}"/>
    <cellStyle name="Normal 5 17 2 14 4 7" xfId="34870" xr:uid="{00000000-0005-0000-0000-000028880000}"/>
    <cellStyle name="Normal 5 17 2 14 4 8" xfId="34871" xr:uid="{00000000-0005-0000-0000-000029880000}"/>
    <cellStyle name="Normal 5 17 2 14 4 9" xfId="34872" xr:uid="{00000000-0005-0000-0000-00002A880000}"/>
    <cellStyle name="Normal 5 17 2 14 5" xfId="34873" xr:uid="{00000000-0005-0000-0000-00002B880000}"/>
    <cellStyle name="Normal 5 17 2 14 5 10" xfId="34874" xr:uid="{00000000-0005-0000-0000-00002C880000}"/>
    <cellStyle name="Normal 5 17 2 14 5 2" xfId="34875" xr:uid="{00000000-0005-0000-0000-00002D880000}"/>
    <cellStyle name="Normal 5 17 2 14 5 3" xfId="34876" xr:uid="{00000000-0005-0000-0000-00002E880000}"/>
    <cellStyle name="Normal 5 17 2 14 5 4" xfId="34877" xr:uid="{00000000-0005-0000-0000-00002F880000}"/>
    <cellStyle name="Normal 5 17 2 14 5 5" xfId="34878" xr:uid="{00000000-0005-0000-0000-000030880000}"/>
    <cellStyle name="Normal 5 17 2 14 5 6" xfId="34879" xr:uid="{00000000-0005-0000-0000-000031880000}"/>
    <cellStyle name="Normal 5 17 2 14 5 7" xfId="34880" xr:uid="{00000000-0005-0000-0000-000032880000}"/>
    <cellStyle name="Normal 5 17 2 14 5 8" xfId="34881" xr:uid="{00000000-0005-0000-0000-000033880000}"/>
    <cellStyle name="Normal 5 17 2 14 5 9" xfId="34882" xr:uid="{00000000-0005-0000-0000-000034880000}"/>
    <cellStyle name="Normal 5 17 2 14 6" xfId="34883" xr:uid="{00000000-0005-0000-0000-000035880000}"/>
    <cellStyle name="Normal 5 17 2 14 7" xfId="34884" xr:uid="{00000000-0005-0000-0000-000036880000}"/>
    <cellStyle name="Normal 5 17 2 14 8" xfId="34885" xr:uid="{00000000-0005-0000-0000-000037880000}"/>
    <cellStyle name="Normal 5 17 2 14 9" xfId="34886" xr:uid="{00000000-0005-0000-0000-000038880000}"/>
    <cellStyle name="Normal 5 17 2 15" xfId="34887" xr:uid="{00000000-0005-0000-0000-000039880000}"/>
    <cellStyle name="Normal 5 17 2 15 10" xfId="34888" xr:uid="{00000000-0005-0000-0000-00003A880000}"/>
    <cellStyle name="Normal 5 17 2 15 11" xfId="34889" xr:uid="{00000000-0005-0000-0000-00003B880000}"/>
    <cellStyle name="Normal 5 17 2 15 12" xfId="34890" xr:uid="{00000000-0005-0000-0000-00003C880000}"/>
    <cellStyle name="Normal 5 17 2 15 13" xfId="34891" xr:uid="{00000000-0005-0000-0000-00003D880000}"/>
    <cellStyle name="Normal 5 17 2 15 14" xfId="34892" xr:uid="{00000000-0005-0000-0000-00003E880000}"/>
    <cellStyle name="Normal 5 17 2 15 2" xfId="34893" xr:uid="{00000000-0005-0000-0000-00003F880000}"/>
    <cellStyle name="Normal 5 17 2 15 2 10" xfId="34894" xr:uid="{00000000-0005-0000-0000-000040880000}"/>
    <cellStyle name="Normal 5 17 2 15 2 2" xfId="34895" xr:uid="{00000000-0005-0000-0000-000041880000}"/>
    <cellStyle name="Normal 5 17 2 15 2 3" xfId="34896" xr:uid="{00000000-0005-0000-0000-000042880000}"/>
    <cellStyle name="Normal 5 17 2 15 2 4" xfId="34897" xr:uid="{00000000-0005-0000-0000-000043880000}"/>
    <cellStyle name="Normal 5 17 2 15 2 5" xfId="34898" xr:uid="{00000000-0005-0000-0000-000044880000}"/>
    <cellStyle name="Normal 5 17 2 15 2 6" xfId="34899" xr:uid="{00000000-0005-0000-0000-000045880000}"/>
    <cellStyle name="Normal 5 17 2 15 2 7" xfId="34900" xr:uid="{00000000-0005-0000-0000-000046880000}"/>
    <cellStyle name="Normal 5 17 2 15 2 8" xfId="34901" xr:uid="{00000000-0005-0000-0000-000047880000}"/>
    <cellStyle name="Normal 5 17 2 15 2 9" xfId="34902" xr:uid="{00000000-0005-0000-0000-000048880000}"/>
    <cellStyle name="Normal 5 17 2 15 3" xfId="34903" xr:uid="{00000000-0005-0000-0000-000049880000}"/>
    <cellStyle name="Normal 5 17 2 15 3 10" xfId="34904" xr:uid="{00000000-0005-0000-0000-00004A880000}"/>
    <cellStyle name="Normal 5 17 2 15 3 2" xfId="34905" xr:uid="{00000000-0005-0000-0000-00004B880000}"/>
    <cellStyle name="Normal 5 17 2 15 3 3" xfId="34906" xr:uid="{00000000-0005-0000-0000-00004C880000}"/>
    <cellStyle name="Normal 5 17 2 15 3 4" xfId="34907" xr:uid="{00000000-0005-0000-0000-00004D880000}"/>
    <cellStyle name="Normal 5 17 2 15 3 5" xfId="34908" xr:uid="{00000000-0005-0000-0000-00004E880000}"/>
    <cellStyle name="Normal 5 17 2 15 3 6" xfId="34909" xr:uid="{00000000-0005-0000-0000-00004F880000}"/>
    <cellStyle name="Normal 5 17 2 15 3 7" xfId="34910" xr:uid="{00000000-0005-0000-0000-000050880000}"/>
    <cellStyle name="Normal 5 17 2 15 3 8" xfId="34911" xr:uid="{00000000-0005-0000-0000-000051880000}"/>
    <cellStyle name="Normal 5 17 2 15 3 9" xfId="34912" xr:uid="{00000000-0005-0000-0000-000052880000}"/>
    <cellStyle name="Normal 5 17 2 15 4" xfId="34913" xr:uid="{00000000-0005-0000-0000-000053880000}"/>
    <cellStyle name="Normal 5 17 2 15 4 10" xfId="34914" xr:uid="{00000000-0005-0000-0000-000054880000}"/>
    <cellStyle name="Normal 5 17 2 15 4 2" xfId="34915" xr:uid="{00000000-0005-0000-0000-000055880000}"/>
    <cellStyle name="Normal 5 17 2 15 4 3" xfId="34916" xr:uid="{00000000-0005-0000-0000-000056880000}"/>
    <cellStyle name="Normal 5 17 2 15 4 4" xfId="34917" xr:uid="{00000000-0005-0000-0000-000057880000}"/>
    <cellStyle name="Normal 5 17 2 15 4 5" xfId="34918" xr:uid="{00000000-0005-0000-0000-000058880000}"/>
    <cellStyle name="Normal 5 17 2 15 4 6" xfId="34919" xr:uid="{00000000-0005-0000-0000-000059880000}"/>
    <cellStyle name="Normal 5 17 2 15 4 7" xfId="34920" xr:uid="{00000000-0005-0000-0000-00005A880000}"/>
    <cellStyle name="Normal 5 17 2 15 4 8" xfId="34921" xr:uid="{00000000-0005-0000-0000-00005B880000}"/>
    <cellStyle name="Normal 5 17 2 15 4 9" xfId="34922" xr:uid="{00000000-0005-0000-0000-00005C880000}"/>
    <cellStyle name="Normal 5 17 2 15 5" xfId="34923" xr:uid="{00000000-0005-0000-0000-00005D880000}"/>
    <cellStyle name="Normal 5 17 2 15 5 10" xfId="34924" xr:uid="{00000000-0005-0000-0000-00005E880000}"/>
    <cellStyle name="Normal 5 17 2 15 5 2" xfId="34925" xr:uid="{00000000-0005-0000-0000-00005F880000}"/>
    <cellStyle name="Normal 5 17 2 15 5 3" xfId="34926" xr:uid="{00000000-0005-0000-0000-000060880000}"/>
    <cellStyle name="Normal 5 17 2 15 5 4" xfId="34927" xr:uid="{00000000-0005-0000-0000-000061880000}"/>
    <cellStyle name="Normal 5 17 2 15 5 5" xfId="34928" xr:uid="{00000000-0005-0000-0000-000062880000}"/>
    <cellStyle name="Normal 5 17 2 15 5 6" xfId="34929" xr:uid="{00000000-0005-0000-0000-000063880000}"/>
    <cellStyle name="Normal 5 17 2 15 5 7" xfId="34930" xr:uid="{00000000-0005-0000-0000-000064880000}"/>
    <cellStyle name="Normal 5 17 2 15 5 8" xfId="34931" xr:uid="{00000000-0005-0000-0000-000065880000}"/>
    <cellStyle name="Normal 5 17 2 15 5 9" xfId="34932" xr:uid="{00000000-0005-0000-0000-000066880000}"/>
    <cellStyle name="Normal 5 17 2 15 6" xfId="34933" xr:uid="{00000000-0005-0000-0000-000067880000}"/>
    <cellStyle name="Normal 5 17 2 15 7" xfId="34934" xr:uid="{00000000-0005-0000-0000-000068880000}"/>
    <cellStyle name="Normal 5 17 2 15 8" xfId="34935" xr:uid="{00000000-0005-0000-0000-000069880000}"/>
    <cellStyle name="Normal 5 17 2 15 9" xfId="34936" xr:uid="{00000000-0005-0000-0000-00006A880000}"/>
    <cellStyle name="Normal 5 17 2 16" xfId="34937" xr:uid="{00000000-0005-0000-0000-00006B880000}"/>
    <cellStyle name="Normal 5 17 2 16 10" xfId="34938" xr:uid="{00000000-0005-0000-0000-00006C880000}"/>
    <cellStyle name="Normal 5 17 2 16 11" xfId="34939" xr:uid="{00000000-0005-0000-0000-00006D880000}"/>
    <cellStyle name="Normal 5 17 2 16 12" xfId="34940" xr:uid="{00000000-0005-0000-0000-00006E880000}"/>
    <cellStyle name="Normal 5 17 2 16 13" xfId="34941" xr:uid="{00000000-0005-0000-0000-00006F880000}"/>
    <cellStyle name="Normal 5 17 2 16 14" xfId="34942" xr:uid="{00000000-0005-0000-0000-000070880000}"/>
    <cellStyle name="Normal 5 17 2 16 2" xfId="34943" xr:uid="{00000000-0005-0000-0000-000071880000}"/>
    <cellStyle name="Normal 5 17 2 16 2 10" xfId="34944" xr:uid="{00000000-0005-0000-0000-000072880000}"/>
    <cellStyle name="Normal 5 17 2 16 2 2" xfId="34945" xr:uid="{00000000-0005-0000-0000-000073880000}"/>
    <cellStyle name="Normal 5 17 2 16 2 3" xfId="34946" xr:uid="{00000000-0005-0000-0000-000074880000}"/>
    <cellStyle name="Normal 5 17 2 16 2 4" xfId="34947" xr:uid="{00000000-0005-0000-0000-000075880000}"/>
    <cellStyle name="Normal 5 17 2 16 2 5" xfId="34948" xr:uid="{00000000-0005-0000-0000-000076880000}"/>
    <cellStyle name="Normal 5 17 2 16 2 6" xfId="34949" xr:uid="{00000000-0005-0000-0000-000077880000}"/>
    <cellStyle name="Normal 5 17 2 16 2 7" xfId="34950" xr:uid="{00000000-0005-0000-0000-000078880000}"/>
    <cellStyle name="Normal 5 17 2 16 2 8" xfId="34951" xr:uid="{00000000-0005-0000-0000-000079880000}"/>
    <cellStyle name="Normal 5 17 2 16 2 9" xfId="34952" xr:uid="{00000000-0005-0000-0000-00007A880000}"/>
    <cellStyle name="Normal 5 17 2 16 3" xfId="34953" xr:uid="{00000000-0005-0000-0000-00007B880000}"/>
    <cellStyle name="Normal 5 17 2 16 3 10" xfId="34954" xr:uid="{00000000-0005-0000-0000-00007C880000}"/>
    <cellStyle name="Normal 5 17 2 16 3 2" xfId="34955" xr:uid="{00000000-0005-0000-0000-00007D880000}"/>
    <cellStyle name="Normal 5 17 2 16 3 3" xfId="34956" xr:uid="{00000000-0005-0000-0000-00007E880000}"/>
    <cellStyle name="Normal 5 17 2 16 3 4" xfId="34957" xr:uid="{00000000-0005-0000-0000-00007F880000}"/>
    <cellStyle name="Normal 5 17 2 16 3 5" xfId="34958" xr:uid="{00000000-0005-0000-0000-000080880000}"/>
    <cellStyle name="Normal 5 17 2 16 3 6" xfId="34959" xr:uid="{00000000-0005-0000-0000-000081880000}"/>
    <cellStyle name="Normal 5 17 2 16 3 7" xfId="34960" xr:uid="{00000000-0005-0000-0000-000082880000}"/>
    <cellStyle name="Normal 5 17 2 16 3 8" xfId="34961" xr:uid="{00000000-0005-0000-0000-000083880000}"/>
    <cellStyle name="Normal 5 17 2 16 3 9" xfId="34962" xr:uid="{00000000-0005-0000-0000-000084880000}"/>
    <cellStyle name="Normal 5 17 2 16 4" xfId="34963" xr:uid="{00000000-0005-0000-0000-000085880000}"/>
    <cellStyle name="Normal 5 17 2 16 4 10" xfId="34964" xr:uid="{00000000-0005-0000-0000-000086880000}"/>
    <cellStyle name="Normal 5 17 2 16 4 2" xfId="34965" xr:uid="{00000000-0005-0000-0000-000087880000}"/>
    <cellStyle name="Normal 5 17 2 16 4 3" xfId="34966" xr:uid="{00000000-0005-0000-0000-000088880000}"/>
    <cellStyle name="Normal 5 17 2 16 4 4" xfId="34967" xr:uid="{00000000-0005-0000-0000-000089880000}"/>
    <cellStyle name="Normal 5 17 2 16 4 5" xfId="34968" xr:uid="{00000000-0005-0000-0000-00008A880000}"/>
    <cellStyle name="Normal 5 17 2 16 4 6" xfId="34969" xr:uid="{00000000-0005-0000-0000-00008B880000}"/>
    <cellStyle name="Normal 5 17 2 16 4 7" xfId="34970" xr:uid="{00000000-0005-0000-0000-00008C880000}"/>
    <cellStyle name="Normal 5 17 2 16 4 8" xfId="34971" xr:uid="{00000000-0005-0000-0000-00008D880000}"/>
    <cellStyle name="Normal 5 17 2 16 4 9" xfId="34972" xr:uid="{00000000-0005-0000-0000-00008E880000}"/>
    <cellStyle name="Normal 5 17 2 16 5" xfId="34973" xr:uid="{00000000-0005-0000-0000-00008F880000}"/>
    <cellStyle name="Normal 5 17 2 16 5 10" xfId="34974" xr:uid="{00000000-0005-0000-0000-000090880000}"/>
    <cellStyle name="Normal 5 17 2 16 5 2" xfId="34975" xr:uid="{00000000-0005-0000-0000-000091880000}"/>
    <cellStyle name="Normal 5 17 2 16 5 3" xfId="34976" xr:uid="{00000000-0005-0000-0000-000092880000}"/>
    <cellStyle name="Normal 5 17 2 16 5 4" xfId="34977" xr:uid="{00000000-0005-0000-0000-000093880000}"/>
    <cellStyle name="Normal 5 17 2 16 5 5" xfId="34978" xr:uid="{00000000-0005-0000-0000-000094880000}"/>
    <cellStyle name="Normal 5 17 2 16 5 6" xfId="34979" xr:uid="{00000000-0005-0000-0000-000095880000}"/>
    <cellStyle name="Normal 5 17 2 16 5 7" xfId="34980" xr:uid="{00000000-0005-0000-0000-000096880000}"/>
    <cellStyle name="Normal 5 17 2 16 5 8" xfId="34981" xr:uid="{00000000-0005-0000-0000-000097880000}"/>
    <cellStyle name="Normal 5 17 2 16 5 9" xfId="34982" xr:uid="{00000000-0005-0000-0000-000098880000}"/>
    <cellStyle name="Normal 5 17 2 16 6" xfId="34983" xr:uid="{00000000-0005-0000-0000-000099880000}"/>
    <cellStyle name="Normal 5 17 2 16 7" xfId="34984" xr:uid="{00000000-0005-0000-0000-00009A880000}"/>
    <cellStyle name="Normal 5 17 2 16 8" xfId="34985" xr:uid="{00000000-0005-0000-0000-00009B880000}"/>
    <cellStyle name="Normal 5 17 2 16 9" xfId="34986" xr:uid="{00000000-0005-0000-0000-00009C880000}"/>
    <cellStyle name="Normal 5 17 2 17" xfId="34987" xr:uid="{00000000-0005-0000-0000-00009D880000}"/>
    <cellStyle name="Normal 5 17 2 17 10" xfId="34988" xr:uid="{00000000-0005-0000-0000-00009E880000}"/>
    <cellStyle name="Normal 5 17 2 17 11" xfId="34989" xr:uid="{00000000-0005-0000-0000-00009F880000}"/>
    <cellStyle name="Normal 5 17 2 17 12" xfId="34990" xr:uid="{00000000-0005-0000-0000-0000A0880000}"/>
    <cellStyle name="Normal 5 17 2 17 13" xfId="34991" xr:uid="{00000000-0005-0000-0000-0000A1880000}"/>
    <cellStyle name="Normal 5 17 2 17 14" xfId="34992" xr:uid="{00000000-0005-0000-0000-0000A2880000}"/>
    <cellStyle name="Normal 5 17 2 17 2" xfId="34993" xr:uid="{00000000-0005-0000-0000-0000A3880000}"/>
    <cellStyle name="Normal 5 17 2 17 2 10" xfId="34994" xr:uid="{00000000-0005-0000-0000-0000A4880000}"/>
    <cellStyle name="Normal 5 17 2 17 2 2" xfId="34995" xr:uid="{00000000-0005-0000-0000-0000A5880000}"/>
    <cellStyle name="Normal 5 17 2 17 2 3" xfId="34996" xr:uid="{00000000-0005-0000-0000-0000A6880000}"/>
    <cellStyle name="Normal 5 17 2 17 2 4" xfId="34997" xr:uid="{00000000-0005-0000-0000-0000A7880000}"/>
    <cellStyle name="Normal 5 17 2 17 2 5" xfId="34998" xr:uid="{00000000-0005-0000-0000-0000A8880000}"/>
    <cellStyle name="Normal 5 17 2 17 2 6" xfId="34999" xr:uid="{00000000-0005-0000-0000-0000A9880000}"/>
    <cellStyle name="Normal 5 17 2 17 2 7" xfId="35000" xr:uid="{00000000-0005-0000-0000-0000AA880000}"/>
    <cellStyle name="Normal 5 17 2 17 2 8" xfId="35001" xr:uid="{00000000-0005-0000-0000-0000AB880000}"/>
    <cellStyle name="Normal 5 17 2 17 2 9" xfId="35002" xr:uid="{00000000-0005-0000-0000-0000AC880000}"/>
    <cellStyle name="Normal 5 17 2 17 3" xfId="35003" xr:uid="{00000000-0005-0000-0000-0000AD880000}"/>
    <cellStyle name="Normal 5 17 2 17 3 10" xfId="35004" xr:uid="{00000000-0005-0000-0000-0000AE880000}"/>
    <cellStyle name="Normal 5 17 2 17 3 2" xfId="35005" xr:uid="{00000000-0005-0000-0000-0000AF880000}"/>
    <cellStyle name="Normal 5 17 2 17 3 3" xfId="35006" xr:uid="{00000000-0005-0000-0000-0000B0880000}"/>
    <cellStyle name="Normal 5 17 2 17 3 4" xfId="35007" xr:uid="{00000000-0005-0000-0000-0000B1880000}"/>
    <cellStyle name="Normal 5 17 2 17 3 5" xfId="35008" xr:uid="{00000000-0005-0000-0000-0000B2880000}"/>
    <cellStyle name="Normal 5 17 2 17 3 6" xfId="35009" xr:uid="{00000000-0005-0000-0000-0000B3880000}"/>
    <cellStyle name="Normal 5 17 2 17 3 7" xfId="35010" xr:uid="{00000000-0005-0000-0000-0000B4880000}"/>
    <cellStyle name="Normal 5 17 2 17 3 8" xfId="35011" xr:uid="{00000000-0005-0000-0000-0000B5880000}"/>
    <cellStyle name="Normal 5 17 2 17 3 9" xfId="35012" xr:uid="{00000000-0005-0000-0000-0000B6880000}"/>
    <cellStyle name="Normal 5 17 2 17 4" xfId="35013" xr:uid="{00000000-0005-0000-0000-0000B7880000}"/>
    <cellStyle name="Normal 5 17 2 17 4 10" xfId="35014" xr:uid="{00000000-0005-0000-0000-0000B8880000}"/>
    <cellStyle name="Normal 5 17 2 17 4 2" xfId="35015" xr:uid="{00000000-0005-0000-0000-0000B9880000}"/>
    <cellStyle name="Normal 5 17 2 17 4 3" xfId="35016" xr:uid="{00000000-0005-0000-0000-0000BA880000}"/>
    <cellStyle name="Normal 5 17 2 17 4 4" xfId="35017" xr:uid="{00000000-0005-0000-0000-0000BB880000}"/>
    <cellStyle name="Normal 5 17 2 17 4 5" xfId="35018" xr:uid="{00000000-0005-0000-0000-0000BC880000}"/>
    <cellStyle name="Normal 5 17 2 17 4 6" xfId="35019" xr:uid="{00000000-0005-0000-0000-0000BD880000}"/>
    <cellStyle name="Normal 5 17 2 17 4 7" xfId="35020" xr:uid="{00000000-0005-0000-0000-0000BE880000}"/>
    <cellStyle name="Normal 5 17 2 17 4 8" xfId="35021" xr:uid="{00000000-0005-0000-0000-0000BF880000}"/>
    <cellStyle name="Normal 5 17 2 17 4 9" xfId="35022" xr:uid="{00000000-0005-0000-0000-0000C0880000}"/>
    <cellStyle name="Normal 5 17 2 17 5" xfId="35023" xr:uid="{00000000-0005-0000-0000-0000C1880000}"/>
    <cellStyle name="Normal 5 17 2 17 5 10" xfId="35024" xr:uid="{00000000-0005-0000-0000-0000C2880000}"/>
    <cellStyle name="Normal 5 17 2 17 5 2" xfId="35025" xr:uid="{00000000-0005-0000-0000-0000C3880000}"/>
    <cellStyle name="Normal 5 17 2 17 5 3" xfId="35026" xr:uid="{00000000-0005-0000-0000-0000C4880000}"/>
    <cellStyle name="Normal 5 17 2 17 5 4" xfId="35027" xr:uid="{00000000-0005-0000-0000-0000C5880000}"/>
    <cellStyle name="Normal 5 17 2 17 5 5" xfId="35028" xr:uid="{00000000-0005-0000-0000-0000C6880000}"/>
    <cellStyle name="Normal 5 17 2 17 5 6" xfId="35029" xr:uid="{00000000-0005-0000-0000-0000C7880000}"/>
    <cellStyle name="Normal 5 17 2 17 5 7" xfId="35030" xr:uid="{00000000-0005-0000-0000-0000C8880000}"/>
    <cellStyle name="Normal 5 17 2 17 5 8" xfId="35031" xr:uid="{00000000-0005-0000-0000-0000C9880000}"/>
    <cellStyle name="Normal 5 17 2 17 5 9" xfId="35032" xr:uid="{00000000-0005-0000-0000-0000CA880000}"/>
    <cellStyle name="Normal 5 17 2 17 6" xfId="35033" xr:uid="{00000000-0005-0000-0000-0000CB880000}"/>
    <cellStyle name="Normal 5 17 2 17 7" xfId="35034" xr:uid="{00000000-0005-0000-0000-0000CC880000}"/>
    <cellStyle name="Normal 5 17 2 17 8" xfId="35035" xr:uid="{00000000-0005-0000-0000-0000CD880000}"/>
    <cellStyle name="Normal 5 17 2 17 9" xfId="35036" xr:uid="{00000000-0005-0000-0000-0000CE880000}"/>
    <cellStyle name="Normal 5 17 2 18" xfId="35037" xr:uid="{00000000-0005-0000-0000-0000CF880000}"/>
    <cellStyle name="Normal 5 17 2 18 10" xfId="35038" xr:uid="{00000000-0005-0000-0000-0000D0880000}"/>
    <cellStyle name="Normal 5 17 2 18 11" xfId="35039" xr:uid="{00000000-0005-0000-0000-0000D1880000}"/>
    <cellStyle name="Normal 5 17 2 18 12" xfId="35040" xr:uid="{00000000-0005-0000-0000-0000D2880000}"/>
    <cellStyle name="Normal 5 17 2 18 13" xfId="35041" xr:uid="{00000000-0005-0000-0000-0000D3880000}"/>
    <cellStyle name="Normal 5 17 2 18 14" xfId="35042" xr:uid="{00000000-0005-0000-0000-0000D4880000}"/>
    <cellStyle name="Normal 5 17 2 18 2" xfId="35043" xr:uid="{00000000-0005-0000-0000-0000D5880000}"/>
    <cellStyle name="Normal 5 17 2 18 2 10" xfId="35044" xr:uid="{00000000-0005-0000-0000-0000D6880000}"/>
    <cellStyle name="Normal 5 17 2 18 2 2" xfId="35045" xr:uid="{00000000-0005-0000-0000-0000D7880000}"/>
    <cellStyle name="Normal 5 17 2 18 2 3" xfId="35046" xr:uid="{00000000-0005-0000-0000-0000D8880000}"/>
    <cellStyle name="Normal 5 17 2 18 2 4" xfId="35047" xr:uid="{00000000-0005-0000-0000-0000D9880000}"/>
    <cellStyle name="Normal 5 17 2 18 2 5" xfId="35048" xr:uid="{00000000-0005-0000-0000-0000DA880000}"/>
    <cellStyle name="Normal 5 17 2 18 2 6" xfId="35049" xr:uid="{00000000-0005-0000-0000-0000DB880000}"/>
    <cellStyle name="Normal 5 17 2 18 2 7" xfId="35050" xr:uid="{00000000-0005-0000-0000-0000DC880000}"/>
    <cellStyle name="Normal 5 17 2 18 2 8" xfId="35051" xr:uid="{00000000-0005-0000-0000-0000DD880000}"/>
    <cellStyle name="Normal 5 17 2 18 2 9" xfId="35052" xr:uid="{00000000-0005-0000-0000-0000DE880000}"/>
    <cellStyle name="Normal 5 17 2 18 3" xfId="35053" xr:uid="{00000000-0005-0000-0000-0000DF880000}"/>
    <cellStyle name="Normal 5 17 2 18 3 10" xfId="35054" xr:uid="{00000000-0005-0000-0000-0000E0880000}"/>
    <cellStyle name="Normal 5 17 2 18 3 2" xfId="35055" xr:uid="{00000000-0005-0000-0000-0000E1880000}"/>
    <cellStyle name="Normal 5 17 2 18 3 3" xfId="35056" xr:uid="{00000000-0005-0000-0000-0000E2880000}"/>
    <cellStyle name="Normal 5 17 2 18 3 4" xfId="35057" xr:uid="{00000000-0005-0000-0000-0000E3880000}"/>
    <cellStyle name="Normal 5 17 2 18 3 5" xfId="35058" xr:uid="{00000000-0005-0000-0000-0000E4880000}"/>
    <cellStyle name="Normal 5 17 2 18 3 6" xfId="35059" xr:uid="{00000000-0005-0000-0000-0000E5880000}"/>
    <cellStyle name="Normal 5 17 2 18 3 7" xfId="35060" xr:uid="{00000000-0005-0000-0000-0000E6880000}"/>
    <cellStyle name="Normal 5 17 2 18 3 8" xfId="35061" xr:uid="{00000000-0005-0000-0000-0000E7880000}"/>
    <cellStyle name="Normal 5 17 2 18 3 9" xfId="35062" xr:uid="{00000000-0005-0000-0000-0000E8880000}"/>
    <cellStyle name="Normal 5 17 2 18 4" xfId="35063" xr:uid="{00000000-0005-0000-0000-0000E9880000}"/>
    <cellStyle name="Normal 5 17 2 18 4 10" xfId="35064" xr:uid="{00000000-0005-0000-0000-0000EA880000}"/>
    <cellStyle name="Normal 5 17 2 18 4 2" xfId="35065" xr:uid="{00000000-0005-0000-0000-0000EB880000}"/>
    <cellStyle name="Normal 5 17 2 18 4 3" xfId="35066" xr:uid="{00000000-0005-0000-0000-0000EC880000}"/>
    <cellStyle name="Normal 5 17 2 18 4 4" xfId="35067" xr:uid="{00000000-0005-0000-0000-0000ED880000}"/>
    <cellStyle name="Normal 5 17 2 18 4 5" xfId="35068" xr:uid="{00000000-0005-0000-0000-0000EE880000}"/>
    <cellStyle name="Normal 5 17 2 18 4 6" xfId="35069" xr:uid="{00000000-0005-0000-0000-0000EF880000}"/>
    <cellStyle name="Normal 5 17 2 18 4 7" xfId="35070" xr:uid="{00000000-0005-0000-0000-0000F0880000}"/>
    <cellStyle name="Normal 5 17 2 18 4 8" xfId="35071" xr:uid="{00000000-0005-0000-0000-0000F1880000}"/>
    <cellStyle name="Normal 5 17 2 18 4 9" xfId="35072" xr:uid="{00000000-0005-0000-0000-0000F2880000}"/>
    <cellStyle name="Normal 5 17 2 18 5" xfId="35073" xr:uid="{00000000-0005-0000-0000-0000F3880000}"/>
    <cellStyle name="Normal 5 17 2 18 5 10" xfId="35074" xr:uid="{00000000-0005-0000-0000-0000F4880000}"/>
    <cellStyle name="Normal 5 17 2 18 5 2" xfId="35075" xr:uid="{00000000-0005-0000-0000-0000F5880000}"/>
    <cellStyle name="Normal 5 17 2 18 5 3" xfId="35076" xr:uid="{00000000-0005-0000-0000-0000F6880000}"/>
    <cellStyle name="Normal 5 17 2 18 5 4" xfId="35077" xr:uid="{00000000-0005-0000-0000-0000F7880000}"/>
    <cellStyle name="Normal 5 17 2 18 5 5" xfId="35078" xr:uid="{00000000-0005-0000-0000-0000F8880000}"/>
    <cellStyle name="Normal 5 17 2 18 5 6" xfId="35079" xr:uid="{00000000-0005-0000-0000-0000F9880000}"/>
    <cellStyle name="Normal 5 17 2 18 5 7" xfId="35080" xr:uid="{00000000-0005-0000-0000-0000FA880000}"/>
    <cellStyle name="Normal 5 17 2 18 5 8" xfId="35081" xr:uid="{00000000-0005-0000-0000-0000FB880000}"/>
    <cellStyle name="Normal 5 17 2 18 5 9" xfId="35082" xr:uid="{00000000-0005-0000-0000-0000FC880000}"/>
    <cellStyle name="Normal 5 17 2 18 6" xfId="35083" xr:uid="{00000000-0005-0000-0000-0000FD880000}"/>
    <cellStyle name="Normal 5 17 2 18 7" xfId="35084" xr:uid="{00000000-0005-0000-0000-0000FE880000}"/>
    <cellStyle name="Normal 5 17 2 18 8" xfId="35085" xr:uid="{00000000-0005-0000-0000-0000FF880000}"/>
    <cellStyle name="Normal 5 17 2 18 9" xfId="35086" xr:uid="{00000000-0005-0000-0000-000000890000}"/>
    <cellStyle name="Normal 5 17 2 19" xfId="35087" xr:uid="{00000000-0005-0000-0000-000001890000}"/>
    <cellStyle name="Normal 5 17 2 19 10" xfId="35088" xr:uid="{00000000-0005-0000-0000-000002890000}"/>
    <cellStyle name="Normal 5 17 2 19 11" xfId="35089" xr:uid="{00000000-0005-0000-0000-000003890000}"/>
    <cellStyle name="Normal 5 17 2 19 12" xfId="35090" xr:uid="{00000000-0005-0000-0000-000004890000}"/>
    <cellStyle name="Normal 5 17 2 19 13" xfId="35091" xr:uid="{00000000-0005-0000-0000-000005890000}"/>
    <cellStyle name="Normal 5 17 2 19 14" xfId="35092" xr:uid="{00000000-0005-0000-0000-000006890000}"/>
    <cellStyle name="Normal 5 17 2 19 2" xfId="35093" xr:uid="{00000000-0005-0000-0000-000007890000}"/>
    <cellStyle name="Normal 5 17 2 19 2 10" xfId="35094" xr:uid="{00000000-0005-0000-0000-000008890000}"/>
    <cellStyle name="Normal 5 17 2 19 2 2" xfId="35095" xr:uid="{00000000-0005-0000-0000-000009890000}"/>
    <cellStyle name="Normal 5 17 2 19 2 3" xfId="35096" xr:uid="{00000000-0005-0000-0000-00000A890000}"/>
    <cellStyle name="Normal 5 17 2 19 2 4" xfId="35097" xr:uid="{00000000-0005-0000-0000-00000B890000}"/>
    <cellStyle name="Normal 5 17 2 19 2 5" xfId="35098" xr:uid="{00000000-0005-0000-0000-00000C890000}"/>
    <cellStyle name="Normal 5 17 2 19 2 6" xfId="35099" xr:uid="{00000000-0005-0000-0000-00000D890000}"/>
    <cellStyle name="Normal 5 17 2 19 2 7" xfId="35100" xr:uid="{00000000-0005-0000-0000-00000E890000}"/>
    <cellStyle name="Normal 5 17 2 19 2 8" xfId="35101" xr:uid="{00000000-0005-0000-0000-00000F890000}"/>
    <cellStyle name="Normal 5 17 2 19 2 9" xfId="35102" xr:uid="{00000000-0005-0000-0000-000010890000}"/>
    <cellStyle name="Normal 5 17 2 19 3" xfId="35103" xr:uid="{00000000-0005-0000-0000-000011890000}"/>
    <cellStyle name="Normal 5 17 2 19 3 10" xfId="35104" xr:uid="{00000000-0005-0000-0000-000012890000}"/>
    <cellStyle name="Normal 5 17 2 19 3 2" xfId="35105" xr:uid="{00000000-0005-0000-0000-000013890000}"/>
    <cellStyle name="Normal 5 17 2 19 3 3" xfId="35106" xr:uid="{00000000-0005-0000-0000-000014890000}"/>
    <cellStyle name="Normal 5 17 2 19 3 4" xfId="35107" xr:uid="{00000000-0005-0000-0000-000015890000}"/>
    <cellStyle name="Normal 5 17 2 19 3 5" xfId="35108" xr:uid="{00000000-0005-0000-0000-000016890000}"/>
    <cellStyle name="Normal 5 17 2 19 3 6" xfId="35109" xr:uid="{00000000-0005-0000-0000-000017890000}"/>
    <cellStyle name="Normal 5 17 2 19 3 7" xfId="35110" xr:uid="{00000000-0005-0000-0000-000018890000}"/>
    <cellStyle name="Normal 5 17 2 19 3 8" xfId="35111" xr:uid="{00000000-0005-0000-0000-000019890000}"/>
    <cellStyle name="Normal 5 17 2 19 3 9" xfId="35112" xr:uid="{00000000-0005-0000-0000-00001A890000}"/>
    <cellStyle name="Normal 5 17 2 19 4" xfId="35113" xr:uid="{00000000-0005-0000-0000-00001B890000}"/>
    <cellStyle name="Normal 5 17 2 19 4 10" xfId="35114" xr:uid="{00000000-0005-0000-0000-00001C890000}"/>
    <cellStyle name="Normal 5 17 2 19 4 2" xfId="35115" xr:uid="{00000000-0005-0000-0000-00001D890000}"/>
    <cellStyle name="Normal 5 17 2 19 4 3" xfId="35116" xr:uid="{00000000-0005-0000-0000-00001E890000}"/>
    <cellStyle name="Normal 5 17 2 19 4 4" xfId="35117" xr:uid="{00000000-0005-0000-0000-00001F890000}"/>
    <cellStyle name="Normal 5 17 2 19 4 5" xfId="35118" xr:uid="{00000000-0005-0000-0000-000020890000}"/>
    <cellStyle name="Normal 5 17 2 19 4 6" xfId="35119" xr:uid="{00000000-0005-0000-0000-000021890000}"/>
    <cellStyle name="Normal 5 17 2 19 4 7" xfId="35120" xr:uid="{00000000-0005-0000-0000-000022890000}"/>
    <cellStyle name="Normal 5 17 2 19 4 8" xfId="35121" xr:uid="{00000000-0005-0000-0000-000023890000}"/>
    <cellStyle name="Normal 5 17 2 19 4 9" xfId="35122" xr:uid="{00000000-0005-0000-0000-000024890000}"/>
    <cellStyle name="Normal 5 17 2 19 5" xfId="35123" xr:uid="{00000000-0005-0000-0000-000025890000}"/>
    <cellStyle name="Normal 5 17 2 19 5 10" xfId="35124" xr:uid="{00000000-0005-0000-0000-000026890000}"/>
    <cellStyle name="Normal 5 17 2 19 5 2" xfId="35125" xr:uid="{00000000-0005-0000-0000-000027890000}"/>
    <cellStyle name="Normal 5 17 2 19 5 3" xfId="35126" xr:uid="{00000000-0005-0000-0000-000028890000}"/>
    <cellStyle name="Normal 5 17 2 19 5 4" xfId="35127" xr:uid="{00000000-0005-0000-0000-000029890000}"/>
    <cellStyle name="Normal 5 17 2 19 5 5" xfId="35128" xr:uid="{00000000-0005-0000-0000-00002A890000}"/>
    <cellStyle name="Normal 5 17 2 19 5 6" xfId="35129" xr:uid="{00000000-0005-0000-0000-00002B890000}"/>
    <cellStyle name="Normal 5 17 2 19 5 7" xfId="35130" xr:uid="{00000000-0005-0000-0000-00002C890000}"/>
    <cellStyle name="Normal 5 17 2 19 5 8" xfId="35131" xr:uid="{00000000-0005-0000-0000-00002D890000}"/>
    <cellStyle name="Normal 5 17 2 19 5 9" xfId="35132" xr:uid="{00000000-0005-0000-0000-00002E890000}"/>
    <cellStyle name="Normal 5 17 2 19 6" xfId="35133" xr:uid="{00000000-0005-0000-0000-00002F890000}"/>
    <cellStyle name="Normal 5 17 2 19 7" xfId="35134" xr:uid="{00000000-0005-0000-0000-000030890000}"/>
    <cellStyle name="Normal 5 17 2 19 8" xfId="35135" xr:uid="{00000000-0005-0000-0000-000031890000}"/>
    <cellStyle name="Normal 5 17 2 19 9" xfId="35136" xr:uid="{00000000-0005-0000-0000-000032890000}"/>
    <cellStyle name="Normal 5 17 2 2" xfId="35137" xr:uid="{00000000-0005-0000-0000-000033890000}"/>
    <cellStyle name="Normal 5 17 2 2 10" xfId="35138" xr:uid="{00000000-0005-0000-0000-000034890000}"/>
    <cellStyle name="Normal 5 17 2 2 11" xfId="35139" xr:uid="{00000000-0005-0000-0000-000035890000}"/>
    <cellStyle name="Normal 5 17 2 2 12" xfId="35140" xr:uid="{00000000-0005-0000-0000-000036890000}"/>
    <cellStyle name="Normal 5 17 2 2 13" xfId="35141" xr:uid="{00000000-0005-0000-0000-000037890000}"/>
    <cellStyle name="Normal 5 17 2 2 14" xfId="35142" xr:uid="{00000000-0005-0000-0000-000038890000}"/>
    <cellStyle name="Normal 5 17 2 2 15" xfId="35143" xr:uid="{00000000-0005-0000-0000-000039890000}"/>
    <cellStyle name="Normal 5 17 2 2 16" xfId="35144" xr:uid="{00000000-0005-0000-0000-00003A890000}"/>
    <cellStyle name="Normal 5 17 2 2 2" xfId="35145" xr:uid="{00000000-0005-0000-0000-00003B890000}"/>
    <cellStyle name="Normal 5 17 2 2 2 10" xfId="35146" xr:uid="{00000000-0005-0000-0000-00003C890000}"/>
    <cellStyle name="Normal 5 17 2 2 2 2" xfId="35147" xr:uid="{00000000-0005-0000-0000-00003D890000}"/>
    <cellStyle name="Normal 5 17 2 2 2 3" xfId="35148" xr:uid="{00000000-0005-0000-0000-00003E890000}"/>
    <cellStyle name="Normal 5 17 2 2 2 4" xfId="35149" xr:uid="{00000000-0005-0000-0000-00003F890000}"/>
    <cellStyle name="Normal 5 17 2 2 2 5" xfId="35150" xr:uid="{00000000-0005-0000-0000-000040890000}"/>
    <cellStyle name="Normal 5 17 2 2 2 6" xfId="35151" xr:uid="{00000000-0005-0000-0000-000041890000}"/>
    <cellStyle name="Normal 5 17 2 2 2 7" xfId="35152" xr:uid="{00000000-0005-0000-0000-000042890000}"/>
    <cellStyle name="Normal 5 17 2 2 2 8" xfId="35153" xr:uid="{00000000-0005-0000-0000-000043890000}"/>
    <cellStyle name="Normal 5 17 2 2 2 9" xfId="35154" xr:uid="{00000000-0005-0000-0000-000044890000}"/>
    <cellStyle name="Normal 5 17 2 2 3" xfId="35155" xr:uid="{00000000-0005-0000-0000-000045890000}"/>
    <cellStyle name="Normal 5 17 2 2 3 10" xfId="35156" xr:uid="{00000000-0005-0000-0000-000046890000}"/>
    <cellStyle name="Normal 5 17 2 2 3 2" xfId="35157" xr:uid="{00000000-0005-0000-0000-000047890000}"/>
    <cellStyle name="Normal 5 17 2 2 3 3" xfId="35158" xr:uid="{00000000-0005-0000-0000-000048890000}"/>
    <cellStyle name="Normal 5 17 2 2 3 4" xfId="35159" xr:uid="{00000000-0005-0000-0000-000049890000}"/>
    <cellStyle name="Normal 5 17 2 2 3 5" xfId="35160" xr:uid="{00000000-0005-0000-0000-00004A890000}"/>
    <cellStyle name="Normal 5 17 2 2 3 6" xfId="35161" xr:uid="{00000000-0005-0000-0000-00004B890000}"/>
    <cellStyle name="Normal 5 17 2 2 3 7" xfId="35162" xr:uid="{00000000-0005-0000-0000-00004C890000}"/>
    <cellStyle name="Normal 5 17 2 2 3 8" xfId="35163" xr:uid="{00000000-0005-0000-0000-00004D890000}"/>
    <cellStyle name="Normal 5 17 2 2 3 9" xfId="35164" xr:uid="{00000000-0005-0000-0000-00004E890000}"/>
    <cellStyle name="Normal 5 17 2 2 4" xfId="35165" xr:uid="{00000000-0005-0000-0000-00004F890000}"/>
    <cellStyle name="Normal 5 17 2 2 4 10" xfId="35166" xr:uid="{00000000-0005-0000-0000-000050890000}"/>
    <cellStyle name="Normal 5 17 2 2 4 2" xfId="35167" xr:uid="{00000000-0005-0000-0000-000051890000}"/>
    <cellStyle name="Normal 5 17 2 2 4 3" xfId="35168" xr:uid="{00000000-0005-0000-0000-000052890000}"/>
    <cellStyle name="Normal 5 17 2 2 4 4" xfId="35169" xr:uid="{00000000-0005-0000-0000-000053890000}"/>
    <cellStyle name="Normal 5 17 2 2 4 5" xfId="35170" xr:uid="{00000000-0005-0000-0000-000054890000}"/>
    <cellStyle name="Normal 5 17 2 2 4 6" xfId="35171" xr:uid="{00000000-0005-0000-0000-000055890000}"/>
    <cellStyle name="Normal 5 17 2 2 4 7" xfId="35172" xr:uid="{00000000-0005-0000-0000-000056890000}"/>
    <cellStyle name="Normal 5 17 2 2 4 8" xfId="35173" xr:uid="{00000000-0005-0000-0000-000057890000}"/>
    <cellStyle name="Normal 5 17 2 2 4 9" xfId="35174" xr:uid="{00000000-0005-0000-0000-000058890000}"/>
    <cellStyle name="Normal 5 17 2 2 5" xfId="35175" xr:uid="{00000000-0005-0000-0000-000059890000}"/>
    <cellStyle name="Normal 5 17 2 2 5 10" xfId="35176" xr:uid="{00000000-0005-0000-0000-00005A890000}"/>
    <cellStyle name="Normal 5 17 2 2 5 2" xfId="35177" xr:uid="{00000000-0005-0000-0000-00005B890000}"/>
    <cellStyle name="Normal 5 17 2 2 5 3" xfId="35178" xr:uid="{00000000-0005-0000-0000-00005C890000}"/>
    <cellStyle name="Normal 5 17 2 2 5 4" xfId="35179" xr:uid="{00000000-0005-0000-0000-00005D890000}"/>
    <cellStyle name="Normal 5 17 2 2 5 5" xfId="35180" xr:uid="{00000000-0005-0000-0000-00005E890000}"/>
    <cellStyle name="Normal 5 17 2 2 5 6" xfId="35181" xr:uid="{00000000-0005-0000-0000-00005F890000}"/>
    <cellStyle name="Normal 5 17 2 2 5 7" xfId="35182" xr:uid="{00000000-0005-0000-0000-000060890000}"/>
    <cellStyle name="Normal 5 17 2 2 5 8" xfId="35183" xr:uid="{00000000-0005-0000-0000-000061890000}"/>
    <cellStyle name="Normal 5 17 2 2 5 9" xfId="35184" xr:uid="{00000000-0005-0000-0000-000062890000}"/>
    <cellStyle name="Normal 5 17 2 2 6" xfId="35185" xr:uid="{00000000-0005-0000-0000-000063890000}"/>
    <cellStyle name="Normal 5 17 2 2 7" xfId="35186" xr:uid="{00000000-0005-0000-0000-000064890000}"/>
    <cellStyle name="Normal 5 17 2 2 8" xfId="35187" xr:uid="{00000000-0005-0000-0000-000065890000}"/>
    <cellStyle name="Normal 5 17 2 2 9" xfId="35188" xr:uid="{00000000-0005-0000-0000-000066890000}"/>
    <cellStyle name="Normal 5 17 2 20" xfId="35189" xr:uid="{00000000-0005-0000-0000-000067890000}"/>
    <cellStyle name="Normal 5 17 2 20 10" xfId="35190" xr:uid="{00000000-0005-0000-0000-000068890000}"/>
    <cellStyle name="Normal 5 17 2 20 11" xfId="35191" xr:uid="{00000000-0005-0000-0000-000069890000}"/>
    <cellStyle name="Normal 5 17 2 20 12" xfId="35192" xr:uid="{00000000-0005-0000-0000-00006A890000}"/>
    <cellStyle name="Normal 5 17 2 20 13" xfId="35193" xr:uid="{00000000-0005-0000-0000-00006B890000}"/>
    <cellStyle name="Normal 5 17 2 20 14" xfId="35194" xr:uid="{00000000-0005-0000-0000-00006C890000}"/>
    <cellStyle name="Normal 5 17 2 20 2" xfId="35195" xr:uid="{00000000-0005-0000-0000-00006D890000}"/>
    <cellStyle name="Normal 5 17 2 20 2 10" xfId="35196" xr:uid="{00000000-0005-0000-0000-00006E890000}"/>
    <cellStyle name="Normal 5 17 2 20 2 2" xfId="35197" xr:uid="{00000000-0005-0000-0000-00006F890000}"/>
    <cellStyle name="Normal 5 17 2 20 2 3" xfId="35198" xr:uid="{00000000-0005-0000-0000-000070890000}"/>
    <cellStyle name="Normal 5 17 2 20 2 4" xfId="35199" xr:uid="{00000000-0005-0000-0000-000071890000}"/>
    <cellStyle name="Normal 5 17 2 20 2 5" xfId="35200" xr:uid="{00000000-0005-0000-0000-000072890000}"/>
    <cellStyle name="Normal 5 17 2 20 2 6" xfId="35201" xr:uid="{00000000-0005-0000-0000-000073890000}"/>
    <cellStyle name="Normal 5 17 2 20 2 7" xfId="35202" xr:uid="{00000000-0005-0000-0000-000074890000}"/>
    <cellStyle name="Normal 5 17 2 20 2 8" xfId="35203" xr:uid="{00000000-0005-0000-0000-000075890000}"/>
    <cellStyle name="Normal 5 17 2 20 2 9" xfId="35204" xr:uid="{00000000-0005-0000-0000-000076890000}"/>
    <cellStyle name="Normal 5 17 2 20 3" xfId="35205" xr:uid="{00000000-0005-0000-0000-000077890000}"/>
    <cellStyle name="Normal 5 17 2 20 3 10" xfId="35206" xr:uid="{00000000-0005-0000-0000-000078890000}"/>
    <cellStyle name="Normal 5 17 2 20 3 2" xfId="35207" xr:uid="{00000000-0005-0000-0000-000079890000}"/>
    <cellStyle name="Normal 5 17 2 20 3 3" xfId="35208" xr:uid="{00000000-0005-0000-0000-00007A890000}"/>
    <cellStyle name="Normal 5 17 2 20 3 4" xfId="35209" xr:uid="{00000000-0005-0000-0000-00007B890000}"/>
    <cellStyle name="Normal 5 17 2 20 3 5" xfId="35210" xr:uid="{00000000-0005-0000-0000-00007C890000}"/>
    <cellStyle name="Normal 5 17 2 20 3 6" xfId="35211" xr:uid="{00000000-0005-0000-0000-00007D890000}"/>
    <cellStyle name="Normal 5 17 2 20 3 7" xfId="35212" xr:uid="{00000000-0005-0000-0000-00007E890000}"/>
    <cellStyle name="Normal 5 17 2 20 3 8" xfId="35213" xr:uid="{00000000-0005-0000-0000-00007F890000}"/>
    <cellStyle name="Normal 5 17 2 20 3 9" xfId="35214" xr:uid="{00000000-0005-0000-0000-000080890000}"/>
    <cellStyle name="Normal 5 17 2 20 4" xfId="35215" xr:uid="{00000000-0005-0000-0000-000081890000}"/>
    <cellStyle name="Normal 5 17 2 20 4 10" xfId="35216" xr:uid="{00000000-0005-0000-0000-000082890000}"/>
    <cellStyle name="Normal 5 17 2 20 4 2" xfId="35217" xr:uid="{00000000-0005-0000-0000-000083890000}"/>
    <cellStyle name="Normal 5 17 2 20 4 3" xfId="35218" xr:uid="{00000000-0005-0000-0000-000084890000}"/>
    <cellStyle name="Normal 5 17 2 20 4 4" xfId="35219" xr:uid="{00000000-0005-0000-0000-000085890000}"/>
    <cellStyle name="Normal 5 17 2 20 4 5" xfId="35220" xr:uid="{00000000-0005-0000-0000-000086890000}"/>
    <cellStyle name="Normal 5 17 2 20 4 6" xfId="35221" xr:uid="{00000000-0005-0000-0000-000087890000}"/>
    <cellStyle name="Normal 5 17 2 20 4 7" xfId="35222" xr:uid="{00000000-0005-0000-0000-000088890000}"/>
    <cellStyle name="Normal 5 17 2 20 4 8" xfId="35223" xr:uid="{00000000-0005-0000-0000-000089890000}"/>
    <cellStyle name="Normal 5 17 2 20 4 9" xfId="35224" xr:uid="{00000000-0005-0000-0000-00008A890000}"/>
    <cellStyle name="Normal 5 17 2 20 5" xfId="35225" xr:uid="{00000000-0005-0000-0000-00008B890000}"/>
    <cellStyle name="Normal 5 17 2 20 5 10" xfId="35226" xr:uid="{00000000-0005-0000-0000-00008C890000}"/>
    <cellStyle name="Normal 5 17 2 20 5 2" xfId="35227" xr:uid="{00000000-0005-0000-0000-00008D890000}"/>
    <cellStyle name="Normal 5 17 2 20 5 3" xfId="35228" xr:uid="{00000000-0005-0000-0000-00008E890000}"/>
    <cellStyle name="Normal 5 17 2 20 5 4" xfId="35229" xr:uid="{00000000-0005-0000-0000-00008F890000}"/>
    <cellStyle name="Normal 5 17 2 20 5 5" xfId="35230" xr:uid="{00000000-0005-0000-0000-000090890000}"/>
    <cellStyle name="Normal 5 17 2 20 5 6" xfId="35231" xr:uid="{00000000-0005-0000-0000-000091890000}"/>
    <cellStyle name="Normal 5 17 2 20 5 7" xfId="35232" xr:uid="{00000000-0005-0000-0000-000092890000}"/>
    <cellStyle name="Normal 5 17 2 20 5 8" xfId="35233" xr:uid="{00000000-0005-0000-0000-000093890000}"/>
    <cellStyle name="Normal 5 17 2 20 5 9" xfId="35234" xr:uid="{00000000-0005-0000-0000-000094890000}"/>
    <cellStyle name="Normal 5 17 2 20 6" xfId="35235" xr:uid="{00000000-0005-0000-0000-000095890000}"/>
    <cellStyle name="Normal 5 17 2 20 7" xfId="35236" xr:uid="{00000000-0005-0000-0000-000096890000}"/>
    <cellStyle name="Normal 5 17 2 20 8" xfId="35237" xr:uid="{00000000-0005-0000-0000-000097890000}"/>
    <cellStyle name="Normal 5 17 2 20 9" xfId="35238" xr:uid="{00000000-0005-0000-0000-000098890000}"/>
    <cellStyle name="Normal 5 17 2 21" xfId="35239" xr:uid="{00000000-0005-0000-0000-000099890000}"/>
    <cellStyle name="Normal 5 17 2 21 10" xfId="35240" xr:uid="{00000000-0005-0000-0000-00009A890000}"/>
    <cellStyle name="Normal 5 17 2 21 11" xfId="35241" xr:uid="{00000000-0005-0000-0000-00009B890000}"/>
    <cellStyle name="Normal 5 17 2 21 12" xfId="35242" xr:uid="{00000000-0005-0000-0000-00009C890000}"/>
    <cellStyle name="Normal 5 17 2 21 13" xfId="35243" xr:uid="{00000000-0005-0000-0000-00009D890000}"/>
    <cellStyle name="Normal 5 17 2 21 14" xfId="35244" xr:uid="{00000000-0005-0000-0000-00009E890000}"/>
    <cellStyle name="Normal 5 17 2 21 2" xfId="35245" xr:uid="{00000000-0005-0000-0000-00009F890000}"/>
    <cellStyle name="Normal 5 17 2 21 2 10" xfId="35246" xr:uid="{00000000-0005-0000-0000-0000A0890000}"/>
    <cellStyle name="Normal 5 17 2 21 2 2" xfId="35247" xr:uid="{00000000-0005-0000-0000-0000A1890000}"/>
    <cellStyle name="Normal 5 17 2 21 2 3" xfId="35248" xr:uid="{00000000-0005-0000-0000-0000A2890000}"/>
    <cellStyle name="Normal 5 17 2 21 2 4" xfId="35249" xr:uid="{00000000-0005-0000-0000-0000A3890000}"/>
    <cellStyle name="Normal 5 17 2 21 2 5" xfId="35250" xr:uid="{00000000-0005-0000-0000-0000A4890000}"/>
    <cellStyle name="Normal 5 17 2 21 2 6" xfId="35251" xr:uid="{00000000-0005-0000-0000-0000A5890000}"/>
    <cellStyle name="Normal 5 17 2 21 2 7" xfId="35252" xr:uid="{00000000-0005-0000-0000-0000A6890000}"/>
    <cellStyle name="Normal 5 17 2 21 2 8" xfId="35253" xr:uid="{00000000-0005-0000-0000-0000A7890000}"/>
    <cellStyle name="Normal 5 17 2 21 2 9" xfId="35254" xr:uid="{00000000-0005-0000-0000-0000A8890000}"/>
    <cellStyle name="Normal 5 17 2 21 3" xfId="35255" xr:uid="{00000000-0005-0000-0000-0000A9890000}"/>
    <cellStyle name="Normal 5 17 2 21 3 10" xfId="35256" xr:uid="{00000000-0005-0000-0000-0000AA890000}"/>
    <cellStyle name="Normal 5 17 2 21 3 2" xfId="35257" xr:uid="{00000000-0005-0000-0000-0000AB890000}"/>
    <cellStyle name="Normal 5 17 2 21 3 3" xfId="35258" xr:uid="{00000000-0005-0000-0000-0000AC890000}"/>
    <cellStyle name="Normal 5 17 2 21 3 4" xfId="35259" xr:uid="{00000000-0005-0000-0000-0000AD890000}"/>
    <cellStyle name="Normal 5 17 2 21 3 5" xfId="35260" xr:uid="{00000000-0005-0000-0000-0000AE890000}"/>
    <cellStyle name="Normal 5 17 2 21 3 6" xfId="35261" xr:uid="{00000000-0005-0000-0000-0000AF890000}"/>
    <cellStyle name="Normal 5 17 2 21 3 7" xfId="35262" xr:uid="{00000000-0005-0000-0000-0000B0890000}"/>
    <cellStyle name="Normal 5 17 2 21 3 8" xfId="35263" xr:uid="{00000000-0005-0000-0000-0000B1890000}"/>
    <cellStyle name="Normal 5 17 2 21 3 9" xfId="35264" xr:uid="{00000000-0005-0000-0000-0000B2890000}"/>
    <cellStyle name="Normal 5 17 2 21 4" xfId="35265" xr:uid="{00000000-0005-0000-0000-0000B3890000}"/>
    <cellStyle name="Normal 5 17 2 21 4 10" xfId="35266" xr:uid="{00000000-0005-0000-0000-0000B4890000}"/>
    <cellStyle name="Normal 5 17 2 21 4 2" xfId="35267" xr:uid="{00000000-0005-0000-0000-0000B5890000}"/>
    <cellStyle name="Normal 5 17 2 21 4 3" xfId="35268" xr:uid="{00000000-0005-0000-0000-0000B6890000}"/>
    <cellStyle name="Normal 5 17 2 21 4 4" xfId="35269" xr:uid="{00000000-0005-0000-0000-0000B7890000}"/>
    <cellStyle name="Normal 5 17 2 21 4 5" xfId="35270" xr:uid="{00000000-0005-0000-0000-0000B8890000}"/>
    <cellStyle name="Normal 5 17 2 21 4 6" xfId="35271" xr:uid="{00000000-0005-0000-0000-0000B9890000}"/>
    <cellStyle name="Normal 5 17 2 21 4 7" xfId="35272" xr:uid="{00000000-0005-0000-0000-0000BA890000}"/>
    <cellStyle name="Normal 5 17 2 21 4 8" xfId="35273" xr:uid="{00000000-0005-0000-0000-0000BB890000}"/>
    <cellStyle name="Normal 5 17 2 21 4 9" xfId="35274" xr:uid="{00000000-0005-0000-0000-0000BC890000}"/>
    <cellStyle name="Normal 5 17 2 21 5" xfId="35275" xr:uid="{00000000-0005-0000-0000-0000BD890000}"/>
    <cellStyle name="Normal 5 17 2 21 5 10" xfId="35276" xr:uid="{00000000-0005-0000-0000-0000BE890000}"/>
    <cellStyle name="Normal 5 17 2 21 5 2" xfId="35277" xr:uid="{00000000-0005-0000-0000-0000BF890000}"/>
    <cellStyle name="Normal 5 17 2 21 5 3" xfId="35278" xr:uid="{00000000-0005-0000-0000-0000C0890000}"/>
    <cellStyle name="Normal 5 17 2 21 5 4" xfId="35279" xr:uid="{00000000-0005-0000-0000-0000C1890000}"/>
    <cellStyle name="Normal 5 17 2 21 5 5" xfId="35280" xr:uid="{00000000-0005-0000-0000-0000C2890000}"/>
    <cellStyle name="Normal 5 17 2 21 5 6" xfId="35281" xr:uid="{00000000-0005-0000-0000-0000C3890000}"/>
    <cellStyle name="Normal 5 17 2 21 5 7" xfId="35282" xr:uid="{00000000-0005-0000-0000-0000C4890000}"/>
    <cellStyle name="Normal 5 17 2 21 5 8" xfId="35283" xr:uid="{00000000-0005-0000-0000-0000C5890000}"/>
    <cellStyle name="Normal 5 17 2 21 5 9" xfId="35284" xr:uid="{00000000-0005-0000-0000-0000C6890000}"/>
    <cellStyle name="Normal 5 17 2 21 6" xfId="35285" xr:uid="{00000000-0005-0000-0000-0000C7890000}"/>
    <cellStyle name="Normal 5 17 2 21 7" xfId="35286" xr:uid="{00000000-0005-0000-0000-0000C8890000}"/>
    <cellStyle name="Normal 5 17 2 21 8" xfId="35287" xr:uid="{00000000-0005-0000-0000-0000C9890000}"/>
    <cellStyle name="Normal 5 17 2 21 9" xfId="35288" xr:uid="{00000000-0005-0000-0000-0000CA890000}"/>
    <cellStyle name="Normal 5 17 2 22" xfId="35289" xr:uid="{00000000-0005-0000-0000-0000CB890000}"/>
    <cellStyle name="Normal 5 17 2 22 10" xfId="35290" xr:uid="{00000000-0005-0000-0000-0000CC890000}"/>
    <cellStyle name="Normal 5 17 2 22 11" xfId="35291" xr:uid="{00000000-0005-0000-0000-0000CD890000}"/>
    <cellStyle name="Normal 5 17 2 22 12" xfId="35292" xr:uid="{00000000-0005-0000-0000-0000CE890000}"/>
    <cellStyle name="Normal 5 17 2 22 13" xfId="35293" xr:uid="{00000000-0005-0000-0000-0000CF890000}"/>
    <cellStyle name="Normal 5 17 2 22 14" xfId="35294" xr:uid="{00000000-0005-0000-0000-0000D0890000}"/>
    <cellStyle name="Normal 5 17 2 22 2" xfId="35295" xr:uid="{00000000-0005-0000-0000-0000D1890000}"/>
    <cellStyle name="Normal 5 17 2 22 2 10" xfId="35296" xr:uid="{00000000-0005-0000-0000-0000D2890000}"/>
    <cellStyle name="Normal 5 17 2 22 2 2" xfId="35297" xr:uid="{00000000-0005-0000-0000-0000D3890000}"/>
    <cellStyle name="Normal 5 17 2 22 2 3" xfId="35298" xr:uid="{00000000-0005-0000-0000-0000D4890000}"/>
    <cellStyle name="Normal 5 17 2 22 2 4" xfId="35299" xr:uid="{00000000-0005-0000-0000-0000D5890000}"/>
    <cellStyle name="Normal 5 17 2 22 2 5" xfId="35300" xr:uid="{00000000-0005-0000-0000-0000D6890000}"/>
    <cellStyle name="Normal 5 17 2 22 2 6" xfId="35301" xr:uid="{00000000-0005-0000-0000-0000D7890000}"/>
    <cellStyle name="Normal 5 17 2 22 2 7" xfId="35302" xr:uid="{00000000-0005-0000-0000-0000D8890000}"/>
    <cellStyle name="Normal 5 17 2 22 2 8" xfId="35303" xr:uid="{00000000-0005-0000-0000-0000D9890000}"/>
    <cellStyle name="Normal 5 17 2 22 2 9" xfId="35304" xr:uid="{00000000-0005-0000-0000-0000DA890000}"/>
    <cellStyle name="Normal 5 17 2 22 3" xfId="35305" xr:uid="{00000000-0005-0000-0000-0000DB890000}"/>
    <cellStyle name="Normal 5 17 2 22 3 10" xfId="35306" xr:uid="{00000000-0005-0000-0000-0000DC890000}"/>
    <cellStyle name="Normal 5 17 2 22 3 2" xfId="35307" xr:uid="{00000000-0005-0000-0000-0000DD890000}"/>
    <cellStyle name="Normal 5 17 2 22 3 3" xfId="35308" xr:uid="{00000000-0005-0000-0000-0000DE890000}"/>
    <cellStyle name="Normal 5 17 2 22 3 4" xfId="35309" xr:uid="{00000000-0005-0000-0000-0000DF890000}"/>
    <cellStyle name="Normal 5 17 2 22 3 5" xfId="35310" xr:uid="{00000000-0005-0000-0000-0000E0890000}"/>
    <cellStyle name="Normal 5 17 2 22 3 6" xfId="35311" xr:uid="{00000000-0005-0000-0000-0000E1890000}"/>
    <cellStyle name="Normal 5 17 2 22 3 7" xfId="35312" xr:uid="{00000000-0005-0000-0000-0000E2890000}"/>
    <cellStyle name="Normal 5 17 2 22 3 8" xfId="35313" xr:uid="{00000000-0005-0000-0000-0000E3890000}"/>
    <cellStyle name="Normal 5 17 2 22 3 9" xfId="35314" xr:uid="{00000000-0005-0000-0000-0000E4890000}"/>
    <cellStyle name="Normal 5 17 2 22 4" xfId="35315" xr:uid="{00000000-0005-0000-0000-0000E5890000}"/>
    <cellStyle name="Normal 5 17 2 22 4 10" xfId="35316" xr:uid="{00000000-0005-0000-0000-0000E6890000}"/>
    <cellStyle name="Normal 5 17 2 22 4 2" xfId="35317" xr:uid="{00000000-0005-0000-0000-0000E7890000}"/>
    <cellStyle name="Normal 5 17 2 22 4 3" xfId="35318" xr:uid="{00000000-0005-0000-0000-0000E8890000}"/>
    <cellStyle name="Normal 5 17 2 22 4 4" xfId="35319" xr:uid="{00000000-0005-0000-0000-0000E9890000}"/>
    <cellStyle name="Normal 5 17 2 22 4 5" xfId="35320" xr:uid="{00000000-0005-0000-0000-0000EA890000}"/>
    <cellStyle name="Normal 5 17 2 22 4 6" xfId="35321" xr:uid="{00000000-0005-0000-0000-0000EB890000}"/>
    <cellStyle name="Normal 5 17 2 22 4 7" xfId="35322" xr:uid="{00000000-0005-0000-0000-0000EC890000}"/>
    <cellStyle name="Normal 5 17 2 22 4 8" xfId="35323" xr:uid="{00000000-0005-0000-0000-0000ED890000}"/>
    <cellStyle name="Normal 5 17 2 22 4 9" xfId="35324" xr:uid="{00000000-0005-0000-0000-0000EE890000}"/>
    <cellStyle name="Normal 5 17 2 22 5" xfId="35325" xr:uid="{00000000-0005-0000-0000-0000EF890000}"/>
    <cellStyle name="Normal 5 17 2 22 5 10" xfId="35326" xr:uid="{00000000-0005-0000-0000-0000F0890000}"/>
    <cellStyle name="Normal 5 17 2 22 5 2" xfId="35327" xr:uid="{00000000-0005-0000-0000-0000F1890000}"/>
    <cellStyle name="Normal 5 17 2 22 5 3" xfId="35328" xr:uid="{00000000-0005-0000-0000-0000F2890000}"/>
    <cellStyle name="Normal 5 17 2 22 5 4" xfId="35329" xr:uid="{00000000-0005-0000-0000-0000F3890000}"/>
    <cellStyle name="Normal 5 17 2 22 5 5" xfId="35330" xr:uid="{00000000-0005-0000-0000-0000F4890000}"/>
    <cellStyle name="Normal 5 17 2 22 5 6" xfId="35331" xr:uid="{00000000-0005-0000-0000-0000F5890000}"/>
    <cellStyle name="Normal 5 17 2 22 5 7" xfId="35332" xr:uid="{00000000-0005-0000-0000-0000F6890000}"/>
    <cellStyle name="Normal 5 17 2 22 5 8" xfId="35333" xr:uid="{00000000-0005-0000-0000-0000F7890000}"/>
    <cellStyle name="Normal 5 17 2 22 5 9" xfId="35334" xr:uid="{00000000-0005-0000-0000-0000F8890000}"/>
    <cellStyle name="Normal 5 17 2 22 6" xfId="35335" xr:uid="{00000000-0005-0000-0000-0000F9890000}"/>
    <cellStyle name="Normal 5 17 2 22 7" xfId="35336" xr:uid="{00000000-0005-0000-0000-0000FA890000}"/>
    <cellStyle name="Normal 5 17 2 22 8" xfId="35337" xr:uid="{00000000-0005-0000-0000-0000FB890000}"/>
    <cellStyle name="Normal 5 17 2 22 9" xfId="35338" xr:uid="{00000000-0005-0000-0000-0000FC890000}"/>
    <cellStyle name="Normal 5 17 2 23" xfId="35339" xr:uid="{00000000-0005-0000-0000-0000FD890000}"/>
    <cellStyle name="Normal 5 17 2 23 10" xfId="35340" xr:uid="{00000000-0005-0000-0000-0000FE890000}"/>
    <cellStyle name="Normal 5 17 2 23 11" xfId="35341" xr:uid="{00000000-0005-0000-0000-0000FF890000}"/>
    <cellStyle name="Normal 5 17 2 23 12" xfId="35342" xr:uid="{00000000-0005-0000-0000-0000008A0000}"/>
    <cellStyle name="Normal 5 17 2 23 13" xfId="35343" xr:uid="{00000000-0005-0000-0000-0000018A0000}"/>
    <cellStyle name="Normal 5 17 2 23 14" xfId="35344" xr:uid="{00000000-0005-0000-0000-0000028A0000}"/>
    <cellStyle name="Normal 5 17 2 23 2" xfId="35345" xr:uid="{00000000-0005-0000-0000-0000038A0000}"/>
    <cellStyle name="Normal 5 17 2 23 2 10" xfId="35346" xr:uid="{00000000-0005-0000-0000-0000048A0000}"/>
    <cellStyle name="Normal 5 17 2 23 2 2" xfId="35347" xr:uid="{00000000-0005-0000-0000-0000058A0000}"/>
    <cellStyle name="Normal 5 17 2 23 2 3" xfId="35348" xr:uid="{00000000-0005-0000-0000-0000068A0000}"/>
    <cellStyle name="Normal 5 17 2 23 2 4" xfId="35349" xr:uid="{00000000-0005-0000-0000-0000078A0000}"/>
    <cellStyle name="Normal 5 17 2 23 2 5" xfId="35350" xr:uid="{00000000-0005-0000-0000-0000088A0000}"/>
    <cellStyle name="Normal 5 17 2 23 2 6" xfId="35351" xr:uid="{00000000-0005-0000-0000-0000098A0000}"/>
    <cellStyle name="Normal 5 17 2 23 2 7" xfId="35352" xr:uid="{00000000-0005-0000-0000-00000A8A0000}"/>
    <cellStyle name="Normal 5 17 2 23 2 8" xfId="35353" xr:uid="{00000000-0005-0000-0000-00000B8A0000}"/>
    <cellStyle name="Normal 5 17 2 23 2 9" xfId="35354" xr:uid="{00000000-0005-0000-0000-00000C8A0000}"/>
    <cellStyle name="Normal 5 17 2 23 3" xfId="35355" xr:uid="{00000000-0005-0000-0000-00000D8A0000}"/>
    <cellStyle name="Normal 5 17 2 23 3 10" xfId="35356" xr:uid="{00000000-0005-0000-0000-00000E8A0000}"/>
    <cellStyle name="Normal 5 17 2 23 3 2" xfId="35357" xr:uid="{00000000-0005-0000-0000-00000F8A0000}"/>
    <cellStyle name="Normal 5 17 2 23 3 3" xfId="35358" xr:uid="{00000000-0005-0000-0000-0000108A0000}"/>
    <cellStyle name="Normal 5 17 2 23 3 4" xfId="35359" xr:uid="{00000000-0005-0000-0000-0000118A0000}"/>
    <cellStyle name="Normal 5 17 2 23 3 5" xfId="35360" xr:uid="{00000000-0005-0000-0000-0000128A0000}"/>
    <cellStyle name="Normal 5 17 2 23 3 6" xfId="35361" xr:uid="{00000000-0005-0000-0000-0000138A0000}"/>
    <cellStyle name="Normal 5 17 2 23 3 7" xfId="35362" xr:uid="{00000000-0005-0000-0000-0000148A0000}"/>
    <cellStyle name="Normal 5 17 2 23 3 8" xfId="35363" xr:uid="{00000000-0005-0000-0000-0000158A0000}"/>
    <cellStyle name="Normal 5 17 2 23 3 9" xfId="35364" xr:uid="{00000000-0005-0000-0000-0000168A0000}"/>
    <cellStyle name="Normal 5 17 2 23 4" xfId="35365" xr:uid="{00000000-0005-0000-0000-0000178A0000}"/>
    <cellStyle name="Normal 5 17 2 23 4 10" xfId="35366" xr:uid="{00000000-0005-0000-0000-0000188A0000}"/>
    <cellStyle name="Normal 5 17 2 23 4 2" xfId="35367" xr:uid="{00000000-0005-0000-0000-0000198A0000}"/>
    <cellStyle name="Normal 5 17 2 23 4 3" xfId="35368" xr:uid="{00000000-0005-0000-0000-00001A8A0000}"/>
    <cellStyle name="Normal 5 17 2 23 4 4" xfId="35369" xr:uid="{00000000-0005-0000-0000-00001B8A0000}"/>
    <cellStyle name="Normal 5 17 2 23 4 5" xfId="35370" xr:uid="{00000000-0005-0000-0000-00001C8A0000}"/>
    <cellStyle name="Normal 5 17 2 23 4 6" xfId="35371" xr:uid="{00000000-0005-0000-0000-00001D8A0000}"/>
    <cellStyle name="Normal 5 17 2 23 4 7" xfId="35372" xr:uid="{00000000-0005-0000-0000-00001E8A0000}"/>
    <cellStyle name="Normal 5 17 2 23 4 8" xfId="35373" xr:uid="{00000000-0005-0000-0000-00001F8A0000}"/>
    <cellStyle name="Normal 5 17 2 23 4 9" xfId="35374" xr:uid="{00000000-0005-0000-0000-0000208A0000}"/>
    <cellStyle name="Normal 5 17 2 23 5" xfId="35375" xr:uid="{00000000-0005-0000-0000-0000218A0000}"/>
    <cellStyle name="Normal 5 17 2 23 5 10" xfId="35376" xr:uid="{00000000-0005-0000-0000-0000228A0000}"/>
    <cellStyle name="Normal 5 17 2 23 5 2" xfId="35377" xr:uid="{00000000-0005-0000-0000-0000238A0000}"/>
    <cellStyle name="Normal 5 17 2 23 5 3" xfId="35378" xr:uid="{00000000-0005-0000-0000-0000248A0000}"/>
    <cellStyle name="Normal 5 17 2 23 5 4" xfId="35379" xr:uid="{00000000-0005-0000-0000-0000258A0000}"/>
    <cellStyle name="Normal 5 17 2 23 5 5" xfId="35380" xr:uid="{00000000-0005-0000-0000-0000268A0000}"/>
    <cellStyle name="Normal 5 17 2 23 5 6" xfId="35381" xr:uid="{00000000-0005-0000-0000-0000278A0000}"/>
    <cellStyle name="Normal 5 17 2 23 5 7" xfId="35382" xr:uid="{00000000-0005-0000-0000-0000288A0000}"/>
    <cellStyle name="Normal 5 17 2 23 5 8" xfId="35383" xr:uid="{00000000-0005-0000-0000-0000298A0000}"/>
    <cellStyle name="Normal 5 17 2 23 5 9" xfId="35384" xr:uid="{00000000-0005-0000-0000-00002A8A0000}"/>
    <cellStyle name="Normal 5 17 2 23 6" xfId="35385" xr:uid="{00000000-0005-0000-0000-00002B8A0000}"/>
    <cellStyle name="Normal 5 17 2 23 7" xfId="35386" xr:uid="{00000000-0005-0000-0000-00002C8A0000}"/>
    <cellStyle name="Normal 5 17 2 23 8" xfId="35387" xr:uid="{00000000-0005-0000-0000-00002D8A0000}"/>
    <cellStyle name="Normal 5 17 2 23 9" xfId="35388" xr:uid="{00000000-0005-0000-0000-00002E8A0000}"/>
    <cellStyle name="Normal 5 17 2 24" xfId="35389" xr:uid="{00000000-0005-0000-0000-00002F8A0000}"/>
    <cellStyle name="Normal 5 17 2 24 10" xfId="35390" xr:uid="{00000000-0005-0000-0000-0000308A0000}"/>
    <cellStyle name="Normal 5 17 2 24 11" xfId="35391" xr:uid="{00000000-0005-0000-0000-0000318A0000}"/>
    <cellStyle name="Normal 5 17 2 24 12" xfId="35392" xr:uid="{00000000-0005-0000-0000-0000328A0000}"/>
    <cellStyle name="Normal 5 17 2 24 13" xfId="35393" xr:uid="{00000000-0005-0000-0000-0000338A0000}"/>
    <cellStyle name="Normal 5 17 2 24 14" xfId="35394" xr:uid="{00000000-0005-0000-0000-0000348A0000}"/>
    <cellStyle name="Normal 5 17 2 24 2" xfId="35395" xr:uid="{00000000-0005-0000-0000-0000358A0000}"/>
    <cellStyle name="Normal 5 17 2 24 2 10" xfId="35396" xr:uid="{00000000-0005-0000-0000-0000368A0000}"/>
    <cellStyle name="Normal 5 17 2 24 2 2" xfId="35397" xr:uid="{00000000-0005-0000-0000-0000378A0000}"/>
    <cellStyle name="Normal 5 17 2 24 2 3" xfId="35398" xr:uid="{00000000-0005-0000-0000-0000388A0000}"/>
    <cellStyle name="Normal 5 17 2 24 2 4" xfId="35399" xr:uid="{00000000-0005-0000-0000-0000398A0000}"/>
    <cellStyle name="Normal 5 17 2 24 2 5" xfId="35400" xr:uid="{00000000-0005-0000-0000-00003A8A0000}"/>
    <cellStyle name="Normal 5 17 2 24 2 6" xfId="35401" xr:uid="{00000000-0005-0000-0000-00003B8A0000}"/>
    <cellStyle name="Normal 5 17 2 24 2 7" xfId="35402" xr:uid="{00000000-0005-0000-0000-00003C8A0000}"/>
    <cellStyle name="Normal 5 17 2 24 2 8" xfId="35403" xr:uid="{00000000-0005-0000-0000-00003D8A0000}"/>
    <cellStyle name="Normal 5 17 2 24 2 9" xfId="35404" xr:uid="{00000000-0005-0000-0000-00003E8A0000}"/>
    <cellStyle name="Normal 5 17 2 24 3" xfId="35405" xr:uid="{00000000-0005-0000-0000-00003F8A0000}"/>
    <cellStyle name="Normal 5 17 2 24 3 10" xfId="35406" xr:uid="{00000000-0005-0000-0000-0000408A0000}"/>
    <cellStyle name="Normal 5 17 2 24 3 2" xfId="35407" xr:uid="{00000000-0005-0000-0000-0000418A0000}"/>
    <cellStyle name="Normal 5 17 2 24 3 3" xfId="35408" xr:uid="{00000000-0005-0000-0000-0000428A0000}"/>
    <cellStyle name="Normal 5 17 2 24 3 4" xfId="35409" xr:uid="{00000000-0005-0000-0000-0000438A0000}"/>
    <cellStyle name="Normal 5 17 2 24 3 5" xfId="35410" xr:uid="{00000000-0005-0000-0000-0000448A0000}"/>
    <cellStyle name="Normal 5 17 2 24 3 6" xfId="35411" xr:uid="{00000000-0005-0000-0000-0000458A0000}"/>
    <cellStyle name="Normal 5 17 2 24 3 7" xfId="35412" xr:uid="{00000000-0005-0000-0000-0000468A0000}"/>
    <cellStyle name="Normal 5 17 2 24 3 8" xfId="35413" xr:uid="{00000000-0005-0000-0000-0000478A0000}"/>
    <cellStyle name="Normal 5 17 2 24 3 9" xfId="35414" xr:uid="{00000000-0005-0000-0000-0000488A0000}"/>
    <cellStyle name="Normal 5 17 2 24 4" xfId="35415" xr:uid="{00000000-0005-0000-0000-0000498A0000}"/>
    <cellStyle name="Normal 5 17 2 24 4 10" xfId="35416" xr:uid="{00000000-0005-0000-0000-00004A8A0000}"/>
    <cellStyle name="Normal 5 17 2 24 4 2" xfId="35417" xr:uid="{00000000-0005-0000-0000-00004B8A0000}"/>
    <cellStyle name="Normal 5 17 2 24 4 3" xfId="35418" xr:uid="{00000000-0005-0000-0000-00004C8A0000}"/>
    <cellStyle name="Normal 5 17 2 24 4 4" xfId="35419" xr:uid="{00000000-0005-0000-0000-00004D8A0000}"/>
    <cellStyle name="Normal 5 17 2 24 4 5" xfId="35420" xr:uid="{00000000-0005-0000-0000-00004E8A0000}"/>
    <cellStyle name="Normal 5 17 2 24 4 6" xfId="35421" xr:uid="{00000000-0005-0000-0000-00004F8A0000}"/>
    <cellStyle name="Normal 5 17 2 24 4 7" xfId="35422" xr:uid="{00000000-0005-0000-0000-0000508A0000}"/>
    <cellStyle name="Normal 5 17 2 24 4 8" xfId="35423" xr:uid="{00000000-0005-0000-0000-0000518A0000}"/>
    <cellStyle name="Normal 5 17 2 24 4 9" xfId="35424" xr:uid="{00000000-0005-0000-0000-0000528A0000}"/>
    <cellStyle name="Normal 5 17 2 24 5" xfId="35425" xr:uid="{00000000-0005-0000-0000-0000538A0000}"/>
    <cellStyle name="Normal 5 17 2 24 5 10" xfId="35426" xr:uid="{00000000-0005-0000-0000-0000548A0000}"/>
    <cellStyle name="Normal 5 17 2 24 5 2" xfId="35427" xr:uid="{00000000-0005-0000-0000-0000558A0000}"/>
    <cellStyle name="Normal 5 17 2 24 5 3" xfId="35428" xr:uid="{00000000-0005-0000-0000-0000568A0000}"/>
    <cellStyle name="Normal 5 17 2 24 5 4" xfId="35429" xr:uid="{00000000-0005-0000-0000-0000578A0000}"/>
    <cellStyle name="Normal 5 17 2 24 5 5" xfId="35430" xr:uid="{00000000-0005-0000-0000-0000588A0000}"/>
    <cellStyle name="Normal 5 17 2 24 5 6" xfId="35431" xr:uid="{00000000-0005-0000-0000-0000598A0000}"/>
    <cellStyle name="Normal 5 17 2 24 5 7" xfId="35432" xr:uid="{00000000-0005-0000-0000-00005A8A0000}"/>
    <cellStyle name="Normal 5 17 2 24 5 8" xfId="35433" xr:uid="{00000000-0005-0000-0000-00005B8A0000}"/>
    <cellStyle name="Normal 5 17 2 24 5 9" xfId="35434" xr:uid="{00000000-0005-0000-0000-00005C8A0000}"/>
    <cellStyle name="Normal 5 17 2 24 6" xfId="35435" xr:uid="{00000000-0005-0000-0000-00005D8A0000}"/>
    <cellStyle name="Normal 5 17 2 24 7" xfId="35436" xr:uid="{00000000-0005-0000-0000-00005E8A0000}"/>
    <cellStyle name="Normal 5 17 2 24 8" xfId="35437" xr:uid="{00000000-0005-0000-0000-00005F8A0000}"/>
    <cellStyle name="Normal 5 17 2 24 9" xfId="35438" xr:uid="{00000000-0005-0000-0000-0000608A0000}"/>
    <cellStyle name="Normal 5 17 2 25" xfId="35439" xr:uid="{00000000-0005-0000-0000-0000618A0000}"/>
    <cellStyle name="Normal 5 17 2 25 10" xfId="35440" xr:uid="{00000000-0005-0000-0000-0000628A0000}"/>
    <cellStyle name="Normal 5 17 2 25 11" xfId="35441" xr:uid="{00000000-0005-0000-0000-0000638A0000}"/>
    <cellStyle name="Normal 5 17 2 25 12" xfId="35442" xr:uid="{00000000-0005-0000-0000-0000648A0000}"/>
    <cellStyle name="Normal 5 17 2 25 13" xfId="35443" xr:uid="{00000000-0005-0000-0000-0000658A0000}"/>
    <cellStyle name="Normal 5 17 2 25 14" xfId="35444" xr:uid="{00000000-0005-0000-0000-0000668A0000}"/>
    <cellStyle name="Normal 5 17 2 25 2" xfId="35445" xr:uid="{00000000-0005-0000-0000-0000678A0000}"/>
    <cellStyle name="Normal 5 17 2 25 2 10" xfId="35446" xr:uid="{00000000-0005-0000-0000-0000688A0000}"/>
    <cellStyle name="Normal 5 17 2 25 2 2" xfId="35447" xr:uid="{00000000-0005-0000-0000-0000698A0000}"/>
    <cellStyle name="Normal 5 17 2 25 2 3" xfId="35448" xr:uid="{00000000-0005-0000-0000-00006A8A0000}"/>
    <cellStyle name="Normal 5 17 2 25 2 4" xfId="35449" xr:uid="{00000000-0005-0000-0000-00006B8A0000}"/>
    <cellStyle name="Normal 5 17 2 25 2 5" xfId="35450" xr:uid="{00000000-0005-0000-0000-00006C8A0000}"/>
    <cellStyle name="Normal 5 17 2 25 2 6" xfId="35451" xr:uid="{00000000-0005-0000-0000-00006D8A0000}"/>
    <cellStyle name="Normal 5 17 2 25 2 7" xfId="35452" xr:uid="{00000000-0005-0000-0000-00006E8A0000}"/>
    <cellStyle name="Normal 5 17 2 25 2 8" xfId="35453" xr:uid="{00000000-0005-0000-0000-00006F8A0000}"/>
    <cellStyle name="Normal 5 17 2 25 2 9" xfId="35454" xr:uid="{00000000-0005-0000-0000-0000708A0000}"/>
    <cellStyle name="Normal 5 17 2 25 3" xfId="35455" xr:uid="{00000000-0005-0000-0000-0000718A0000}"/>
    <cellStyle name="Normal 5 17 2 25 3 10" xfId="35456" xr:uid="{00000000-0005-0000-0000-0000728A0000}"/>
    <cellStyle name="Normal 5 17 2 25 3 2" xfId="35457" xr:uid="{00000000-0005-0000-0000-0000738A0000}"/>
    <cellStyle name="Normal 5 17 2 25 3 3" xfId="35458" xr:uid="{00000000-0005-0000-0000-0000748A0000}"/>
    <cellStyle name="Normal 5 17 2 25 3 4" xfId="35459" xr:uid="{00000000-0005-0000-0000-0000758A0000}"/>
    <cellStyle name="Normal 5 17 2 25 3 5" xfId="35460" xr:uid="{00000000-0005-0000-0000-0000768A0000}"/>
    <cellStyle name="Normal 5 17 2 25 3 6" xfId="35461" xr:uid="{00000000-0005-0000-0000-0000778A0000}"/>
    <cellStyle name="Normal 5 17 2 25 3 7" xfId="35462" xr:uid="{00000000-0005-0000-0000-0000788A0000}"/>
    <cellStyle name="Normal 5 17 2 25 3 8" xfId="35463" xr:uid="{00000000-0005-0000-0000-0000798A0000}"/>
    <cellStyle name="Normal 5 17 2 25 3 9" xfId="35464" xr:uid="{00000000-0005-0000-0000-00007A8A0000}"/>
    <cellStyle name="Normal 5 17 2 25 4" xfId="35465" xr:uid="{00000000-0005-0000-0000-00007B8A0000}"/>
    <cellStyle name="Normal 5 17 2 25 4 10" xfId="35466" xr:uid="{00000000-0005-0000-0000-00007C8A0000}"/>
    <cellStyle name="Normal 5 17 2 25 4 2" xfId="35467" xr:uid="{00000000-0005-0000-0000-00007D8A0000}"/>
    <cellStyle name="Normal 5 17 2 25 4 3" xfId="35468" xr:uid="{00000000-0005-0000-0000-00007E8A0000}"/>
    <cellStyle name="Normal 5 17 2 25 4 4" xfId="35469" xr:uid="{00000000-0005-0000-0000-00007F8A0000}"/>
    <cellStyle name="Normal 5 17 2 25 4 5" xfId="35470" xr:uid="{00000000-0005-0000-0000-0000808A0000}"/>
    <cellStyle name="Normal 5 17 2 25 4 6" xfId="35471" xr:uid="{00000000-0005-0000-0000-0000818A0000}"/>
    <cellStyle name="Normal 5 17 2 25 4 7" xfId="35472" xr:uid="{00000000-0005-0000-0000-0000828A0000}"/>
    <cellStyle name="Normal 5 17 2 25 4 8" xfId="35473" xr:uid="{00000000-0005-0000-0000-0000838A0000}"/>
    <cellStyle name="Normal 5 17 2 25 4 9" xfId="35474" xr:uid="{00000000-0005-0000-0000-0000848A0000}"/>
    <cellStyle name="Normal 5 17 2 25 5" xfId="35475" xr:uid="{00000000-0005-0000-0000-0000858A0000}"/>
    <cellStyle name="Normal 5 17 2 25 5 10" xfId="35476" xr:uid="{00000000-0005-0000-0000-0000868A0000}"/>
    <cellStyle name="Normal 5 17 2 25 5 2" xfId="35477" xr:uid="{00000000-0005-0000-0000-0000878A0000}"/>
    <cellStyle name="Normal 5 17 2 25 5 3" xfId="35478" xr:uid="{00000000-0005-0000-0000-0000888A0000}"/>
    <cellStyle name="Normal 5 17 2 25 5 4" xfId="35479" xr:uid="{00000000-0005-0000-0000-0000898A0000}"/>
    <cellStyle name="Normal 5 17 2 25 5 5" xfId="35480" xr:uid="{00000000-0005-0000-0000-00008A8A0000}"/>
    <cellStyle name="Normal 5 17 2 25 5 6" xfId="35481" xr:uid="{00000000-0005-0000-0000-00008B8A0000}"/>
    <cellStyle name="Normal 5 17 2 25 5 7" xfId="35482" xr:uid="{00000000-0005-0000-0000-00008C8A0000}"/>
    <cellStyle name="Normal 5 17 2 25 5 8" xfId="35483" xr:uid="{00000000-0005-0000-0000-00008D8A0000}"/>
    <cellStyle name="Normal 5 17 2 25 5 9" xfId="35484" xr:uid="{00000000-0005-0000-0000-00008E8A0000}"/>
    <cellStyle name="Normal 5 17 2 25 6" xfId="35485" xr:uid="{00000000-0005-0000-0000-00008F8A0000}"/>
    <cellStyle name="Normal 5 17 2 25 7" xfId="35486" xr:uid="{00000000-0005-0000-0000-0000908A0000}"/>
    <cellStyle name="Normal 5 17 2 25 8" xfId="35487" xr:uid="{00000000-0005-0000-0000-0000918A0000}"/>
    <cellStyle name="Normal 5 17 2 25 9" xfId="35488" xr:uid="{00000000-0005-0000-0000-0000928A0000}"/>
    <cellStyle name="Normal 5 17 2 26" xfId="35489" xr:uid="{00000000-0005-0000-0000-0000938A0000}"/>
    <cellStyle name="Normal 5 17 2 26 10" xfId="35490" xr:uid="{00000000-0005-0000-0000-0000948A0000}"/>
    <cellStyle name="Normal 5 17 2 26 11" xfId="35491" xr:uid="{00000000-0005-0000-0000-0000958A0000}"/>
    <cellStyle name="Normal 5 17 2 26 12" xfId="35492" xr:uid="{00000000-0005-0000-0000-0000968A0000}"/>
    <cellStyle name="Normal 5 17 2 26 13" xfId="35493" xr:uid="{00000000-0005-0000-0000-0000978A0000}"/>
    <cellStyle name="Normal 5 17 2 26 14" xfId="35494" xr:uid="{00000000-0005-0000-0000-0000988A0000}"/>
    <cellStyle name="Normal 5 17 2 26 2" xfId="35495" xr:uid="{00000000-0005-0000-0000-0000998A0000}"/>
    <cellStyle name="Normal 5 17 2 26 2 10" xfId="35496" xr:uid="{00000000-0005-0000-0000-00009A8A0000}"/>
    <cellStyle name="Normal 5 17 2 26 2 2" xfId="35497" xr:uid="{00000000-0005-0000-0000-00009B8A0000}"/>
    <cellStyle name="Normal 5 17 2 26 2 3" xfId="35498" xr:uid="{00000000-0005-0000-0000-00009C8A0000}"/>
    <cellStyle name="Normal 5 17 2 26 2 4" xfId="35499" xr:uid="{00000000-0005-0000-0000-00009D8A0000}"/>
    <cellStyle name="Normal 5 17 2 26 2 5" xfId="35500" xr:uid="{00000000-0005-0000-0000-00009E8A0000}"/>
    <cellStyle name="Normal 5 17 2 26 2 6" xfId="35501" xr:uid="{00000000-0005-0000-0000-00009F8A0000}"/>
    <cellStyle name="Normal 5 17 2 26 2 7" xfId="35502" xr:uid="{00000000-0005-0000-0000-0000A08A0000}"/>
    <cellStyle name="Normal 5 17 2 26 2 8" xfId="35503" xr:uid="{00000000-0005-0000-0000-0000A18A0000}"/>
    <cellStyle name="Normal 5 17 2 26 2 9" xfId="35504" xr:uid="{00000000-0005-0000-0000-0000A28A0000}"/>
    <cellStyle name="Normal 5 17 2 26 3" xfId="35505" xr:uid="{00000000-0005-0000-0000-0000A38A0000}"/>
    <cellStyle name="Normal 5 17 2 26 3 10" xfId="35506" xr:uid="{00000000-0005-0000-0000-0000A48A0000}"/>
    <cellStyle name="Normal 5 17 2 26 3 2" xfId="35507" xr:uid="{00000000-0005-0000-0000-0000A58A0000}"/>
    <cellStyle name="Normal 5 17 2 26 3 3" xfId="35508" xr:uid="{00000000-0005-0000-0000-0000A68A0000}"/>
    <cellStyle name="Normal 5 17 2 26 3 4" xfId="35509" xr:uid="{00000000-0005-0000-0000-0000A78A0000}"/>
    <cellStyle name="Normal 5 17 2 26 3 5" xfId="35510" xr:uid="{00000000-0005-0000-0000-0000A88A0000}"/>
    <cellStyle name="Normal 5 17 2 26 3 6" xfId="35511" xr:uid="{00000000-0005-0000-0000-0000A98A0000}"/>
    <cellStyle name="Normal 5 17 2 26 3 7" xfId="35512" xr:uid="{00000000-0005-0000-0000-0000AA8A0000}"/>
    <cellStyle name="Normal 5 17 2 26 3 8" xfId="35513" xr:uid="{00000000-0005-0000-0000-0000AB8A0000}"/>
    <cellStyle name="Normal 5 17 2 26 3 9" xfId="35514" xr:uid="{00000000-0005-0000-0000-0000AC8A0000}"/>
    <cellStyle name="Normal 5 17 2 26 4" xfId="35515" xr:uid="{00000000-0005-0000-0000-0000AD8A0000}"/>
    <cellStyle name="Normal 5 17 2 26 4 10" xfId="35516" xr:uid="{00000000-0005-0000-0000-0000AE8A0000}"/>
    <cellStyle name="Normal 5 17 2 26 4 2" xfId="35517" xr:uid="{00000000-0005-0000-0000-0000AF8A0000}"/>
    <cellStyle name="Normal 5 17 2 26 4 3" xfId="35518" xr:uid="{00000000-0005-0000-0000-0000B08A0000}"/>
    <cellStyle name="Normal 5 17 2 26 4 4" xfId="35519" xr:uid="{00000000-0005-0000-0000-0000B18A0000}"/>
    <cellStyle name="Normal 5 17 2 26 4 5" xfId="35520" xr:uid="{00000000-0005-0000-0000-0000B28A0000}"/>
    <cellStyle name="Normal 5 17 2 26 4 6" xfId="35521" xr:uid="{00000000-0005-0000-0000-0000B38A0000}"/>
    <cellStyle name="Normal 5 17 2 26 4 7" xfId="35522" xr:uid="{00000000-0005-0000-0000-0000B48A0000}"/>
    <cellStyle name="Normal 5 17 2 26 4 8" xfId="35523" xr:uid="{00000000-0005-0000-0000-0000B58A0000}"/>
    <cellStyle name="Normal 5 17 2 26 4 9" xfId="35524" xr:uid="{00000000-0005-0000-0000-0000B68A0000}"/>
    <cellStyle name="Normal 5 17 2 26 5" xfId="35525" xr:uid="{00000000-0005-0000-0000-0000B78A0000}"/>
    <cellStyle name="Normal 5 17 2 26 5 10" xfId="35526" xr:uid="{00000000-0005-0000-0000-0000B88A0000}"/>
    <cellStyle name="Normal 5 17 2 26 5 2" xfId="35527" xr:uid="{00000000-0005-0000-0000-0000B98A0000}"/>
    <cellStyle name="Normal 5 17 2 26 5 3" xfId="35528" xr:uid="{00000000-0005-0000-0000-0000BA8A0000}"/>
    <cellStyle name="Normal 5 17 2 26 5 4" xfId="35529" xr:uid="{00000000-0005-0000-0000-0000BB8A0000}"/>
    <cellStyle name="Normal 5 17 2 26 5 5" xfId="35530" xr:uid="{00000000-0005-0000-0000-0000BC8A0000}"/>
    <cellStyle name="Normal 5 17 2 26 5 6" xfId="35531" xr:uid="{00000000-0005-0000-0000-0000BD8A0000}"/>
    <cellStyle name="Normal 5 17 2 26 5 7" xfId="35532" xr:uid="{00000000-0005-0000-0000-0000BE8A0000}"/>
    <cellStyle name="Normal 5 17 2 26 5 8" xfId="35533" xr:uid="{00000000-0005-0000-0000-0000BF8A0000}"/>
    <cellStyle name="Normal 5 17 2 26 5 9" xfId="35534" xr:uid="{00000000-0005-0000-0000-0000C08A0000}"/>
    <cellStyle name="Normal 5 17 2 26 6" xfId="35535" xr:uid="{00000000-0005-0000-0000-0000C18A0000}"/>
    <cellStyle name="Normal 5 17 2 26 7" xfId="35536" xr:uid="{00000000-0005-0000-0000-0000C28A0000}"/>
    <cellStyle name="Normal 5 17 2 26 8" xfId="35537" xr:uid="{00000000-0005-0000-0000-0000C38A0000}"/>
    <cellStyle name="Normal 5 17 2 26 9" xfId="35538" xr:uid="{00000000-0005-0000-0000-0000C48A0000}"/>
    <cellStyle name="Normal 5 17 2 27" xfId="35539" xr:uid="{00000000-0005-0000-0000-0000C58A0000}"/>
    <cellStyle name="Normal 5 17 2 27 10" xfId="35540" xr:uid="{00000000-0005-0000-0000-0000C68A0000}"/>
    <cellStyle name="Normal 5 17 2 27 11" xfId="35541" xr:uid="{00000000-0005-0000-0000-0000C78A0000}"/>
    <cellStyle name="Normal 5 17 2 27 12" xfId="35542" xr:uid="{00000000-0005-0000-0000-0000C88A0000}"/>
    <cellStyle name="Normal 5 17 2 27 13" xfId="35543" xr:uid="{00000000-0005-0000-0000-0000C98A0000}"/>
    <cellStyle name="Normal 5 17 2 27 14" xfId="35544" xr:uid="{00000000-0005-0000-0000-0000CA8A0000}"/>
    <cellStyle name="Normal 5 17 2 27 2" xfId="35545" xr:uid="{00000000-0005-0000-0000-0000CB8A0000}"/>
    <cellStyle name="Normal 5 17 2 27 2 10" xfId="35546" xr:uid="{00000000-0005-0000-0000-0000CC8A0000}"/>
    <cellStyle name="Normal 5 17 2 27 2 2" xfId="35547" xr:uid="{00000000-0005-0000-0000-0000CD8A0000}"/>
    <cellStyle name="Normal 5 17 2 27 2 3" xfId="35548" xr:uid="{00000000-0005-0000-0000-0000CE8A0000}"/>
    <cellStyle name="Normal 5 17 2 27 2 4" xfId="35549" xr:uid="{00000000-0005-0000-0000-0000CF8A0000}"/>
    <cellStyle name="Normal 5 17 2 27 2 5" xfId="35550" xr:uid="{00000000-0005-0000-0000-0000D08A0000}"/>
    <cellStyle name="Normal 5 17 2 27 2 6" xfId="35551" xr:uid="{00000000-0005-0000-0000-0000D18A0000}"/>
    <cellStyle name="Normal 5 17 2 27 2 7" xfId="35552" xr:uid="{00000000-0005-0000-0000-0000D28A0000}"/>
    <cellStyle name="Normal 5 17 2 27 2 8" xfId="35553" xr:uid="{00000000-0005-0000-0000-0000D38A0000}"/>
    <cellStyle name="Normal 5 17 2 27 2 9" xfId="35554" xr:uid="{00000000-0005-0000-0000-0000D48A0000}"/>
    <cellStyle name="Normal 5 17 2 27 3" xfId="35555" xr:uid="{00000000-0005-0000-0000-0000D58A0000}"/>
    <cellStyle name="Normal 5 17 2 27 3 10" xfId="35556" xr:uid="{00000000-0005-0000-0000-0000D68A0000}"/>
    <cellStyle name="Normal 5 17 2 27 3 2" xfId="35557" xr:uid="{00000000-0005-0000-0000-0000D78A0000}"/>
    <cellStyle name="Normal 5 17 2 27 3 3" xfId="35558" xr:uid="{00000000-0005-0000-0000-0000D88A0000}"/>
    <cellStyle name="Normal 5 17 2 27 3 4" xfId="35559" xr:uid="{00000000-0005-0000-0000-0000D98A0000}"/>
    <cellStyle name="Normal 5 17 2 27 3 5" xfId="35560" xr:uid="{00000000-0005-0000-0000-0000DA8A0000}"/>
    <cellStyle name="Normal 5 17 2 27 3 6" xfId="35561" xr:uid="{00000000-0005-0000-0000-0000DB8A0000}"/>
    <cellStyle name="Normal 5 17 2 27 3 7" xfId="35562" xr:uid="{00000000-0005-0000-0000-0000DC8A0000}"/>
    <cellStyle name="Normal 5 17 2 27 3 8" xfId="35563" xr:uid="{00000000-0005-0000-0000-0000DD8A0000}"/>
    <cellStyle name="Normal 5 17 2 27 3 9" xfId="35564" xr:uid="{00000000-0005-0000-0000-0000DE8A0000}"/>
    <cellStyle name="Normal 5 17 2 27 4" xfId="35565" xr:uid="{00000000-0005-0000-0000-0000DF8A0000}"/>
    <cellStyle name="Normal 5 17 2 27 4 10" xfId="35566" xr:uid="{00000000-0005-0000-0000-0000E08A0000}"/>
    <cellStyle name="Normal 5 17 2 27 4 2" xfId="35567" xr:uid="{00000000-0005-0000-0000-0000E18A0000}"/>
    <cellStyle name="Normal 5 17 2 27 4 3" xfId="35568" xr:uid="{00000000-0005-0000-0000-0000E28A0000}"/>
    <cellStyle name="Normal 5 17 2 27 4 4" xfId="35569" xr:uid="{00000000-0005-0000-0000-0000E38A0000}"/>
    <cellStyle name="Normal 5 17 2 27 4 5" xfId="35570" xr:uid="{00000000-0005-0000-0000-0000E48A0000}"/>
    <cellStyle name="Normal 5 17 2 27 4 6" xfId="35571" xr:uid="{00000000-0005-0000-0000-0000E58A0000}"/>
    <cellStyle name="Normal 5 17 2 27 4 7" xfId="35572" xr:uid="{00000000-0005-0000-0000-0000E68A0000}"/>
    <cellStyle name="Normal 5 17 2 27 4 8" xfId="35573" xr:uid="{00000000-0005-0000-0000-0000E78A0000}"/>
    <cellStyle name="Normal 5 17 2 27 4 9" xfId="35574" xr:uid="{00000000-0005-0000-0000-0000E88A0000}"/>
    <cellStyle name="Normal 5 17 2 27 5" xfId="35575" xr:uid="{00000000-0005-0000-0000-0000E98A0000}"/>
    <cellStyle name="Normal 5 17 2 27 5 10" xfId="35576" xr:uid="{00000000-0005-0000-0000-0000EA8A0000}"/>
    <cellStyle name="Normal 5 17 2 27 5 2" xfId="35577" xr:uid="{00000000-0005-0000-0000-0000EB8A0000}"/>
    <cellStyle name="Normal 5 17 2 27 5 3" xfId="35578" xr:uid="{00000000-0005-0000-0000-0000EC8A0000}"/>
    <cellStyle name="Normal 5 17 2 27 5 4" xfId="35579" xr:uid="{00000000-0005-0000-0000-0000ED8A0000}"/>
    <cellStyle name="Normal 5 17 2 27 5 5" xfId="35580" xr:uid="{00000000-0005-0000-0000-0000EE8A0000}"/>
    <cellStyle name="Normal 5 17 2 27 5 6" xfId="35581" xr:uid="{00000000-0005-0000-0000-0000EF8A0000}"/>
    <cellStyle name="Normal 5 17 2 27 5 7" xfId="35582" xr:uid="{00000000-0005-0000-0000-0000F08A0000}"/>
    <cellStyle name="Normal 5 17 2 27 5 8" xfId="35583" xr:uid="{00000000-0005-0000-0000-0000F18A0000}"/>
    <cellStyle name="Normal 5 17 2 27 5 9" xfId="35584" xr:uid="{00000000-0005-0000-0000-0000F28A0000}"/>
    <cellStyle name="Normal 5 17 2 27 6" xfId="35585" xr:uid="{00000000-0005-0000-0000-0000F38A0000}"/>
    <cellStyle name="Normal 5 17 2 27 7" xfId="35586" xr:uid="{00000000-0005-0000-0000-0000F48A0000}"/>
    <cellStyle name="Normal 5 17 2 27 8" xfId="35587" xr:uid="{00000000-0005-0000-0000-0000F58A0000}"/>
    <cellStyle name="Normal 5 17 2 27 9" xfId="35588" xr:uid="{00000000-0005-0000-0000-0000F68A0000}"/>
    <cellStyle name="Normal 5 17 2 28" xfId="35589" xr:uid="{00000000-0005-0000-0000-0000F78A0000}"/>
    <cellStyle name="Normal 5 17 2 28 10" xfId="35590" xr:uid="{00000000-0005-0000-0000-0000F88A0000}"/>
    <cellStyle name="Normal 5 17 2 28 11" xfId="35591" xr:uid="{00000000-0005-0000-0000-0000F98A0000}"/>
    <cellStyle name="Normal 5 17 2 28 12" xfId="35592" xr:uid="{00000000-0005-0000-0000-0000FA8A0000}"/>
    <cellStyle name="Normal 5 17 2 28 13" xfId="35593" xr:uid="{00000000-0005-0000-0000-0000FB8A0000}"/>
    <cellStyle name="Normal 5 17 2 28 14" xfId="35594" xr:uid="{00000000-0005-0000-0000-0000FC8A0000}"/>
    <cellStyle name="Normal 5 17 2 28 2" xfId="35595" xr:uid="{00000000-0005-0000-0000-0000FD8A0000}"/>
    <cellStyle name="Normal 5 17 2 28 2 10" xfId="35596" xr:uid="{00000000-0005-0000-0000-0000FE8A0000}"/>
    <cellStyle name="Normal 5 17 2 28 2 2" xfId="35597" xr:uid="{00000000-0005-0000-0000-0000FF8A0000}"/>
    <cellStyle name="Normal 5 17 2 28 2 3" xfId="35598" xr:uid="{00000000-0005-0000-0000-0000008B0000}"/>
    <cellStyle name="Normal 5 17 2 28 2 4" xfId="35599" xr:uid="{00000000-0005-0000-0000-0000018B0000}"/>
    <cellStyle name="Normal 5 17 2 28 2 5" xfId="35600" xr:uid="{00000000-0005-0000-0000-0000028B0000}"/>
    <cellStyle name="Normal 5 17 2 28 2 6" xfId="35601" xr:uid="{00000000-0005-0000-0000-0000038B0000}"/>
    <cellStyle name="Normal 5 17 2 28 2 7" xfId="35602" xr:uid="{00000000-0005-0000-0000-0000048B0000}"/>
    <cellStyle name="Normal 5 17 2 28 2 8" xfId="35603" xr:uid="{00000000-0005-0000-0000-0000058B0000}"/>
    <cellStyle name="Normal 5 17 2 28 2 9" xfId="35604" xr:uid="{00000000-0005-0000-0000-0000068B0000}"/>
    <cellStyle name="Normal 5 17 2 28 3" xfId="35605" xr:uid="{00000000-0005-0000-0000-0000078B0000}"/>
    <cellStyle name="Normal 5 17 2 28 3 10" xfId="35606" xr:uid="{00000000-0005-0000-0000-0000088B0000}"/>
    <cellStyle name="Normal 5 17 2 28 3 2" xfId="35607" xr:uid="{00000000-0005-0000-0000-0000098B0000}"/>
    <cellStyle name="Normal 5 17 2 28 3 3" xfId="35608" xr:uid="{00000000-0005-0000-0000-00000A8B0000}"/>
    <cellStyle name="Normal 5 17 2 28 3 4" xfId="35609" xr:uid="{00000000-0005-0000-0000-00000B8B0000}"/>
    <cellStyle name="Normal 5 17 2 28 3 5" xfId="35610" xr:uid="{00000000-0005-0000-0000-00000C8B0000}"/>
    <cellStyle name="Normal 5 17 2 28 3 6" xfId="35611" xr:uid="{00000000-0005-0000-0000-00000D8B0000}"/>
    <cellStyle name="Normal 5 17 2 28 3 7" xfId="35612" xr:uid="{00000000-0005-0000-0000-00000E8B0000}"/>
    <cellStyle name="Normal 5 17 2 28 3 8" xfId="35613" xr:uid="{00000000-0005-0000-0000-00000F8B0000}"/>
    <cellStyle name="Normal 5 17 2 28 3 9" xfId="35614" xr:uid="{00000000-0005-0000-0000-0000108B0000}"/>
    <cellStyle name="Normal 5 17 2 28 4" xfId="35615" xr:uid="{00000000-0005-0000-0000-0000118B0000}"/>
    <cellStyle name="Normal 5 17 2 28 4 10" xfId="35616" xr:uid="{00000000-0005-0000-0000-0000128B0000}"/>
    <cellStyle name="Normal 5 17 2 28 4 2" xfId="35617" xr:uid="{00000000-0005-0000-0000-0000138B0000}"/>
    <cellStyle name="Normal 5 17 2 28 4 3" xfId="35618" xr:uid="{00000000-0005-0000-0000-0000148B0000}"/>
    <cellStyle name="Normal 5 17 2 28 4 4" xfId="35619" xr:uid="{00000000-0005-0000-0000-0000158B0000}"/>
    <cellStyle name="Normal 5 17 2 28 4 5" xfId="35620" xr:uid="{00000000-0005-0000-0000-0000168B0000}"/>
    <cellStyle name="Normal 5 17 2 28 4 6" xfId="35621" xr:uid="{00000000-0005-0000-0000-0000178B0000}"/>
    <cellStyle name="Normal 5 17 2 28 4 7" xfId="35622" xr:uid="{00000000-0005-0000-0000-0000188B0000}"/>
    <cellStyle name="Normal 5 17 2 28 4 8" xfId="35623" xr:uid="{00000000-0005-0000-0000-0000198B0000}"/>
    <cellStyle name="Normal 5 17 2 28 4 9" xfId="35624" xr:uid="{00000000-0005-0000-0000-00001A8B0000}"/>
    <cellStyle name="Normal 5 17 2 28 5" xfId="35625" xr:uid="{00000000-0005-0000-0000-00001B8B0000}"/>
    <cellStyle name="Normal 5 17 2 28 5 10" xfId="35626" xr:uid="{00000000-0005-0000-0000-00001C8B0000}"/>
    <cellStyle name="Normal 5 17 2 28 5 2" xfId="35627" xr:uid="{00000000-0005-0000-0000-00001D8B0000}"/>
    <cellStyle name="Normal 5 17 2 28 5 3" xfId="35628" xr:uid="{00000000-0005-0000-0000-00001E8B0000}"/>
    <cellStyle name="Normal 5 17 2 28 5 4" xfId="35629" xr:uid="{00000000-0005-0000-0000-00001F8B0000}"/>
    <cellStyle name="Normal 5 17 2 28 5 5" xfId="35630" xr:uid="{00000000-0005-0000-0000-0000208B0000}"/>
    <cellStyle name="Normal 5 17 2 28 5 6" xfId="35631" xr:uid="{00000000-0005-0000-0000-0000218B0000}"/>
    <cellStyle name="Normal 5 17 2 28 5 7" xfId="35632" xr:uid="{00000000-0005-0000-0000-0000228B0000}"/>
    <cellStyle name="Normal 5 17 2 28 5 8" xfId="35633" xr:uid="{00000000-0005-0000-0000-0000238B0000}"/>
    <cellStyle name="Normal 5 17 2 28 5 9" xfId="35634" xr:uid="{00000000-0005-0000-0000-0000248B0000}"/>
    <cellStyle name="Normal 5 17 2 28 6" xfId="35635" xr:uid="{00000000-0005-0000-0000-0000258B0000}"/>
    <cellStyle name="Normal 5 17 2 28 7" xfId="35636" xr:uid="{00000000-0005-0000-0000-0000268B0000}"/>
    <cellStyle name="Normal 5 17 2 28 8" xfId="35637" xr:uid="{00000000-0005-0000-0000-0000278B0000}"/>
    <cellStyle name="Normal 5 17 2 28 9" xfId="35638" xr:uid="{00000000-0005-0000-0000-0000288B0000}"/>
    <cellStyle name="Normal 5 17 2 29" xfId="35639" xr:uid="{00000000-0005-0000-0000-0000298B0000}"/>
    <cellStyle name="Normal 5 17 2 29 10" xfId="35640" xr:uid="{00000000-0005-0000-0000-00002A8B0000}"/>
    <cellStyle name="Normal 5 17 2 29 11" xfId="35641" xr:uid="{00000000-0005-0000-0000-00002B8B0000}"/>
    <cellStyle name="Normal 5 17 2 29 12" xfId="35642" xr:uid="{00000000-0005-0000-0000-00002C8B0000}"/>
    <cellStyle name="Normal 5 17 2 29 13" xfId="35643" xr:uid="{00000000-0005-0000-0000-00002D8B0000}"/>
    <cellStyle name="Normal 5 17 2 29 14" xfId="35644" xr:uid="{00000000-0005-0000-0000-00002E8B0000}"/>
    <cellStyle name="Normal 5 17 2 29 2" xfId="35645" xr:uid="{00000000-0005-0000-0000-00002F8B0000}"/>
    <cellStyle name="Normal 5 17 2 29 2 10" xfId="35646" xr:uid="{00000000-0005-0000-0000-0000308B0000}"/>
    <cellStyle name="Normal 5 17 2 29 2 2" xfId="35647" xr:uid="{00000000-0005-0000-0000-0000318B0000}"/>
    <cellStyle name="Normal 5 17 2 29 2 3" xfId="35648" xr:uid="{00000000-0005-0000-0000-0000328B0000}"/>
    <cellStyle name="Normal 5 17 2 29 2 4" xfId="35649" xr:uid="{00000000-0005-0000-0000-0000338B0000}"/>
    <cellStyle name="Normal 5 17 2 29 2 5" xfId="35650" xr:uid="{00000000-0005-0000-0000-0000348B0000}"/>
    <cellStyle name="Normal 5 17 2 29 2 6" xfId="35651" xr:uid="{00000000-0005-0000-0000-0000358B0000}"/>
    <cellStyle name="Normal 5 17 2 29 2 7" xfId="35652" xr:uid="{00000000-0005-0000-0000-0000368B0000}"/>
    <cellStyle name="Normal 5 17 2 29 2 8" xfId="35653" xr:uid="{00000000-0005-0000-0000-0000378B0000}"/>
    <cellStyle name="Normal 5 17 2 29 2 9" xfId="35654" xr:uid="{00000000-0005-0000-0000-0000388B0000}"/>
    <cellStyle name="Normal 5 17 2 29 3" xfId="35655" xr:uid="{00000000-0005-0000-0000-0000398B0000}"/>
    <cellStyle name="Normal 5 17 2 29 3 10" xfId="35656" xr:uid="{00000000-0005-0000-0000-00003A8B0000}"/>
    <cellStyle name="Normal 5 17 2 29 3 2" xfId="35657" xr:uid="{00000000-0005-0000-0000-00003B8B0000}"/>
    <cellStyle name="Normal 5 17 2 29 3 3" xfId="35658" xr:uid="{00000000-0005-0000-0000-00003C8B0000}"/>
    <cellStyle name="Normal 5 17 2 29 3 4" xfId="35659" xr:uid="{00000000-0005-0000-0000-00003D8B0000}"/>
    <cellStyle name="Normal 5 17 2 29 3 5" xfId="35660" xr:uid="{00000000-0005-0000-0000-00003E8B0000}"/>
    <cellStyle name="Normal 5 17 2 29 3 6" xfId="35661" xr:uid="{00000000-0005-0000-0000-00003F8B0000}"/>
    <cellStyle name="Normal 5 17 2 29 3 7" xfId="35662" xr:uid="{00000000-0005-0000-0000-0000408B0000}"/>
    <cellStyle name="Normal 5 17 2 29 3 8" xfId="35663" xr:uid="{00000000-0005-0000-0000-0000418B0000}"/>
    <cellStyle name="Normal 5 17 2 29 3 9" xfId="35664" xr:uid="{00000000-0005-0000-0000-0000428B0000}"/>
    <cellStyle name="Normal 5 17 2 29 4" xfId="35665" xr:uid="{00000000-0005-0000-0000-0000438B0000}"/>
    <cellStyle name="Normal 5 17 2 29 4 10" xfId="35666" xr:uid="{00000000-0005-0000-0000-0000448B0000}"/>
    <cellStyle name="Normal 5 17 2 29 4 2" xfId="35667" xr:uid="{00000000-0005-0000-0000-0000458B0000}"/>
    <cellStyle name="Normal 5 17 2 29 4 3" xfId="35668" xr:uid="{00000000-0005-0000-0000-0000468B0000}"/>
    <cellStyle name="Normal 5 17 2 29 4 4" xfId="35669" xr:uid="{00000000-0005-0000-0000-0000478B0000}"/>
    <cellStyle name="Normal 5 17 2 29 4 5" xfId="35670" xr:uid="{00000000-0005-0000-0000-0000488B0000}"/>
    <cellStyle name="Normal 5 17 2 29 4 6" xfId="35671" xr:uid="{00000000-0005-0000-0000-0000498B0000}"/>
    <cellStyle name="Normal 5 17 2 29 4 7" xfId="35672" xr:uid="{00000000-0005-0000-0000-00004A8B0000}"/>
    <cellStyle name="Normal 5 17 2 29 4 8" xfId="35673" xr:uid="{00000000-0005-0000-0000-00004B8B0000}"/>
    <cellStyle name="Normal 5 17 2 29 4 9" xfId="35674" xr:uid="{00000000-0005-0000-0000-00004C8B0000}"/>
    <cellStyle name="Normal 5 17 2 29 5" xfId="35675" xr:uid="{00000000-0005-0000-0000-00004D8B0000}"/>
    <cellStyle name="Normal 5 17 2 29 5 10" xfId="35676" xr:uid="{00000000-0005-0000-0000-00004E8B0000}"/>
    <cellStyle name="Normal 5 17 2 29 5 2" xfId="35677" xr:uid="{00000000-0005-0000-0000-00004F8B0000}"/>
    <cellStyle name="Normal 5 17 2 29 5 3" xfId="35678" xr:uid="{00000000-0005-0000-0000-0000508B0000}"/>
    <cellStyle name="Normal 5 17 2 29 5 4" xfId="35679" xr:uid="{00000000-0005-0000-0000-0000518B0000}"/>
    <cellStyle name="Normal 5 17 2 29 5 5" xfId="35680" xr:uid="{00000000-0005-0000-0000-0000528B0000}"/>
    <cellStyle name="Normal 5 17 2 29 5 6" xfId="35681" xr:uid="{00000000-0005-0000-0000-0000538B0000}"/>
    <cellStyle name="Normal 5 17 2 29 5 7" xfId="35682" xr:uid="{00000000-0005-0000-0000-0000548B0000}"/>
    <cellStyle name="Normal 5 17 2 29 5 8" xfId="35683" xr:uid="{00000000-0005-0000-0000-0000558B0000}"/>
    <cellStyle name="Normal 5 17 2 29 5 9" xfId="35684" xr:uid="{00000000-0005-0000-0000-0000568B0000}"/>
    <cellStyle name="Normal 5 17 2 29 6" xfId="35685" xr:uid="{00000000-0005-0000-0000-0000578B0000}"/>
    <cellStyle name="Normal 5 17 2 29 7" xfId="35686" xr:uid="{00000000-0005-0000-0000-0000588B0000}"/>
    <cellStyle name="Normal 5 17 2 29 8" xfId="35687" xr:uid="{00000000-0005-0000-0000-0000598B0000}"/>
    <cellStyle name="Normal 5 17 2 29 9" xfId="35688" xr:uid="{00000000-0005-0000-0000-00005A8B0000}"/>
    <cellStyle name="Normal 5 17 2 3" xfId="35689" xr:uid="{00000000-0005-0000-0000-00005B8B0000}"/>
    <cellStyle name="Normal 5 17 2 3 10" xfId="35690" xr:uid="{00000000-0005-0000-0000-00005C8B0000}"/>
    <cellStyle name="Normal 5 17 2 3 11" xfId="35691" xr:uid="{00000000-0005-0000-0000-00005D8B0000}"/>
    <cellStyle name="Normal 5 17 2 3 12" xfId="35692" xr:uid="{00000000-0005-0000-0000-00005E8B0000}"/>
    <cellStyle name="Normal 5 17 2 3 13" xfId="35693" xr:uid="{00000000-0005-0000-0000-00005F8B0000}"/>
    <cellStyle name="Normal 5 17 2 3 14" xfId="35694" xr:uid="{00000000-0005-0000-0000-0000608B0000}"/>
    <cellStyle name="Normal 5 17 2 3 2" xfId="35695" xr:uid="{00000000-0005-0000-0000-0000618B0000}"/>
    <cellStyle name="Normal 5 17 2 3 2 10" xfId="35696" xr:uid="{00000000-0005-0000-0000-0000628B0000}"/>
    <cellStyle name="Normal 5 17 2 3 2 2" xfId="35697" xr:uid="{00000000-0005-0000-0000-0000638B0000}"/>
    <cellStyle name="Normal 5 17 2 3 2 3" xfId="35698" xr:uid="{00000000-0005-0000-0000-0000648B0000}"/>
    <cellStyle name="Normal 5 17 2 3 2 4" xfId="35699" xr:uid="{00000000-0005-0000-0000-0000658B0000}"/>
    <cellStyle name="Normal 5 17 2 3 2 5" xfId="35700" xr:uid="{00000000-0005-0000-0000-0000668B0000}"/>
    <cellStyle name="Normal 5 17 2 3 2 6" xfId="35701" xr:uid="{00000000-0005-0000-0000-0000678B0000}"/>
    <cellStyle name="Normal 5 17 2 3 2 7" xfId="35702" xr:uid="{00000000-0005-0000-0000-0000688B0000}"/>
    <cellStyle name="Normal 5 17 2 3 2 8" xfId="35703" xr:uid="{00000000-0005-0000-0000-0000698B0000}"/>
    <cellStyle name="Normal 5 17 2 3 2 9" xfId="35704" xr:uid="{00000000-0005-0000-0000-00006A8B0000}"/>
    <cellStyle name="Normal 5 17 2 3 3" xfId="35705" xr:uid="{00000000-0005-0000-0000-00006B8B0000}"/>
    <cellStyle name="Normal 5 17 2 3 3 10" xfId="35706" xr:uid="{00000000-0005-0000-0000-00006C8B0000}"/>
    <cellStyle name="Normal 5 17 2 3 3 2" xfId="35707" xr:uid="{00000000-0005-0000-0000-00006D8B0000}"/>
    <cellStyle name="Normal 5 17 2 3 3 3" xfId="35708" xr:uid="{00000000-0005-0000-0000-00006E8B0000}"/>
    <cellStyle name="Normal 5 17 2 3 3 4" xfId="35709" xr:uid="{00000000-0005-0000-0000-00006F8B0000}"/>
    <cellStyle name="Normal 5 17 2 3 3 5" xfId="35710" xr:uid="{00000000-0005-0000-0000-0000708B0000}"/>
    <cellStyle name="Normal 5 17 2 3 3 6" xfId="35711" xr:uid="{00000000-0005-0000-0000-0000718B0000}"/>
    <cellStyle name="Normal 5 17 2 3 3 7" xfId="35712" xr:uid="{00000000-0005-0000-0000-0000728B0000}"/>
    <cellStyle name="Normal 5 17 2 3 3 8" xfId="35713" xr:uid="{00000000-0005-0000-0000-0000738B0000}"/>
    <cellStyle name="Normal 5 17 2 3 3 9" xfId="35714" xr:uid="{00000000-0005-0000-0000-0000748B0000}"/>
    <cellStyle name="Normal 5 17 2 3 4" xfId="35715" xr:uid="{00000000-0005-0000-0000-0000758B0000}"/>
    <cellStyle name="Normal 5 17 2 3 4 10" xfId="35716" xr:uid="{00000000-0005-0000-0000-0000768B0000}"/>
    <cellStyle name="Normal 5 17 2 3 4 2" xfId="35717" xr:uid="{00000000-0005-0000-0000-0000778B0000}"/>
    <cellStyle name="Normal 5 17 2 3 4 3" xfId="35718" xr:uid="{00000000-0005-0000-0000-0000788B0000}"/>
    <cellStyle name="Normal 5 17 2 3 4 4" xfId="35719" xr:uid="{00000000-0005-0000-0000-0000798B0000}"/>
    <cellStyle name="Normal 5 17 2 3 4 5" xfId="35720" xr:uid="{00000000-0005-0000-0000-00007A8B0000}"/>
    <cellStyle name="Normal 5 17 2 3 4 6" xfId="35721" xr:uid="{00000000-0005-0000-0000-00007B8B0000}"/>
    <cellStyle name="Normal 5 17 2 3 4 7" xfId="35722" xr:uid="{00000000-0005-0000-0000-00007C8B0000}"/>
    <cellStyle name="Normal 5 17 2 3 4 8" xfId="35723" xr:uid="{00000000-0005-0000-0000-00007D8B0000}"/>
    <cellStyle name="Normal 5 17 2 3 4 9" xfId="35724" xr:uid="{00000000-0005-0000-0000-00007E8B0000}"/>
    <cellStyle name="Normal 5 17 2 3 5" xfId="35725" xr:uid="{00000000-0005-0000-0000-00007F8B0000}"/>
    <cellStyle name="Normal 5 17 2 3 5 10" xfId="35726" xr:uid="{00000000-0005-0000-0000-0000808B0000}"/>
    <cellStyle name="Normal 5 17 2 3 5 2" xfId="35727" xr:uid="{00000000-0005-0000-0000-0000818B0000}"/>
    <cellStyle name="Normal 5 17 2 3 5 3" xfId="35728" xr:uid="{00000000-0005-0000-0000-0000828B0000}"/>
    <cellStyle name="Normal 5 17 2 3 5 4" xfId="35729" xr:uid="{00000000-0005-0000-0000-0000838B0000}"/>
    <cellStyle name="Normal 5 17 2 3 5 5" xfId="35730" xr:uid="{00000000-0005-0000-0000-0000848B0000}"/>
    <cellStyle name="Normal 5 17 2 3 5 6" xfId="35731" xr:uid="{00000000-0005-0000-0000-0000858B0000}"/>
    <cellStyle name="Normal 5 17 2 3 5 7" xfId="35732" xr:uid="{00000000-0005-0000-0000-0000868B0000}"/>
    <cellStyle name="Normal 5 17 2 3 5 8" xfId="35733" xr:uid="{00000000-0005-0000-0000-0000878B0000}"/>
    <cellStyle name="Normal 5 17 2 3 5 9" xfId="35734" xr:uid="{00000000-0005-0000-0000-0000888B0000}"/>
    <cellStyle name="Normal 5 17 2 3 6" xfId="35735" xr:uid="{00000000-0005-0000-0000-0000898B0000}"/>
    <cellStyle name="Normal 5 17 2 3 7" xfId="35736" xr:uid="{00000000-0005-0000-0000-00008A8B0000}"/>
    <cellStyle name="Normal 5 17 2 3 8" xfId="35737" xr:uid="{00000000-0005-0000-0000-00008B8B0000}"/>
    <cellStyle name="Normal 5 17 2 3 9" xfId="35738" xr:uid="{00000000-0005-0000-0000-00008C8B0000}"/>
    <cellStyle name="Normal 5 17 2 30" xfId="35739" xr:uid="{00000000-0005-0000-0000-00008D8B0000}"/>
    <cellStyle name="Normal 5 17 2 30 10" xfId="35740" xr:uid="{00000000-0005-0000-0000-00008E8B0000}"/>
    <cellStyle name="Normal 5 17 2 30 11" xfId="35741" xr:uid="{00000000-0005-0000-0000-00008F8B0000}"/>
    <cellStyle name="Normal 5 17 2 30 12" xfId="35742" xr:uid="{00000000-0005-0000-0000-0000908B0000}"/>
    <cellStyle name="Normal 5 17 2 30 13" xfId="35743" xr:uid="{00000000-0005-0000-0000-0000918B0000}"/>
    <cellStyle name="Normal 5 17 2 30 14" xfId="35744" xr:uid="{00000000-0005-0000-0000-0000928B0000}"/>
    <cellStyle name="Normal 5 17 2 30 2" xfId="35745" xr:uid="{00000000-0005-0000-0000-0000938B0000}"/>
    <cellStyle name="Normal 5 17 2 30 2 10" xfId="35746" xr:uid="{00000000-0005-0000-0000-0000948B0000}"/>
    <cellStyle name="Normal 5 17 2 30 2 2" xfId="35747" xr:uid="{00000000-0005-0000-0000-0000958B0000}"/>
    <cellStyle name="Normal 5 17 2 30 2 3" xfId="35748" xr:uid="{00000000-0005-0000-0000-0000968B0000}"/>
    <cellStyle name="Normal 5 17 2 30 2 4" xfId="35749" xr:uid="{00000000-0005-0000-0000-0000978B0000}"/>
    <cellStyle name="Normal 5 17 2 30 2 5" xfId="35750" xr:uid="{00000000-0005-0000-0000-0000988B0000}"/>
    <cellStyle name="Normal 5 17 2 30 2 6" xfId="35751" xr:uid="{00000000-0005-0000-0000-0000998B0000}"/>
    <cellStyle name="Normal 5 17 2 30 2 7" xfId="35752" xr:uid="{00000000-0005-0000-0000-00009A8B0000}"/>
    <cellStyle name="Normal 5 17 2 30 2 8" xfId="35753" xr:uid="{00000000-0005-0000-0000-00009B8B0000}"/>
    <cellStyle name="Normal 5 17 2 30 2 9" xfId="35754" xr:uid="{00000000-0005-0000-0000-00009C8B0000}"/>
    <cellStyle name="Normal 5 17 2 30 3" xfId="35755" xr:uid="{00000000-0005-0000-0000-00009D8B0000}"/>
    <cellStyle name="Normal 5 17 2 30 3 10" xfId="35756" xr:uid="{00000000-0005-0000-0000-00009E8B0000}"/>
    <cellStyle name="Normal 5 17 2 30 3 2" xfId="35757" xr:uid="{00000000-0005-0000-0000-00009F8B0000}"/>
    <cellStyle name="Normal 5 17 2 30 3 3" xfId="35758" xr:uid="{00000000-0005-0000-0000-0000A08B0000}"/>
    <cellStyle name="Normal 5 17 2 30 3 4" xfId="35759" xr:uid="{00000000-0005-0000-0000-0000A18B0000}"/>
    <cellStyle name="Normal 5 17 2 30 3 5" xfId="35760" xr:uid="{00000000-0005-0000-0000-0000A28B0000}"/>
    <cellStyle name="Normal 5 17 2 30 3 6" xfId="35761" xr:uid="{00000000-0005-0000-0000-0000A38B0000}"/>
    <cellStyle name="Normal 5 17 2 30 3 7" xfId="35762" xr:uid="{00000000-0005-0000-0000-0000A48B0000}"/>
    <cellStyle name="Normal 5 17 2 30 3 8" xfId="35763" xr:uid="{00000000-0005-0000-0000-0000A58B0000}"/>
    <cellStyle name="Normal 5 17 2 30 3 9" xfId="35764" xr:uid="{00000000-0005-0000-0000-0000A68B0000}"/>
    <cellStyle name="Normal 5 17 2 30 4" xfId="35765" xr:uid="{00000000-0005-0000-0000-0000A78B0000}"/>
    <cellStyle name="Normal 5 17 2 30 4 10" xfId="35766" xr:uid="{00000000-0005-0000-0000-0000A88B0000}"/>
    <cellStyle name="Normal 5 17 2 30 4 2" xfId="35767" xr:uid="{00000000-0005-0000-0000-0000A98B0000}"/>
    <cellStyle name="Normal 5 17 2 30 4 3" xfId="35768" xr:uid="{00000000-0005-0000-0000-0000AA8B0000}"/>
    <cellStyle name="Normal 5 17 2 30 4 4" xfId="35769" xr:uid="{00000000-0005-0000-0000-0000AB8B0000}"/>
    <cellStyle name="Normal 5 17 2 30 4 5" xfId="35770" xr:uid="{00000000-0005-0000-0000-0000AC8B0000}"/>
    <cellStyle name="Normal 5 17 2 30 4 6" xfId="35771" xr:uid="{00000000-0005-0000-0000-0000AD8B0000}"/>
    <cellStyle name="Normal 5 17 2 30 4 7" xfId="35772" xr:uid="{00000000-0005-0000-0000-0000AE8B0000}"/>
    <cellStyle name="Normal 5 17 2 30 4 8" xfId="35773" xr:uid="{00000000-0005-0000-0000-0000AF8B0000}"/>
    <cellStyle name="Normal 5 17 2 30 4 9" xfId="35774" xr:uid="{00000000-0005-0000-0000-0000B08B0000}"/>
    <cellStyle name="Normal 5 17 2 30 5" xfId="35775" xr:uid="{00000000-0005-0000-0000-0000B18B0000}"/>
    <cellStyle name="Normal 5 17 2 30 5 10" xfId="35776" xr:uid="{00000000-0005-0000-0000-0000B28B0000}"/>
    <cellStyle name="Normal 5 17 2 30 5 2" xfId="35777" xr:uid="{00000000-0005-0000-0000-0000B38B0000}"/>
    <cellStyle name="Normal 5 17 2 30 5 3" xfId="35778" xr:uid="{00000000-0005-0000-0000-0000B48B0000}"/>
    <cellStyle name="Normal 5 17 2 30 5 4" xfId="35779" xr:uid="{00000000-0005-0000-0000-0000B58B0000}"/>
    <cellStyle name="Normal 5 17 2 30 5 5" xfId="35780" xr:uid="{00000000-0005-0000-0000-0000B68B0000}"/>
    <cellStyle name="Normal 5 17 2 30 5 6" xfId="35781" xr:uid="{00000000-0005-0000-0000-0000B78B0000}"/>
    <cellStyle name="Normal 5 17 2 30 5 7" xfId="35782" xr:uid="{00000000-0005-0000-0000-0000B88B0000}"/>
    <cellStyle name="Normal 5 17 2 30 5 8" xfId="35783" xr:uid="{00000000-0005-0000-0000-0000B98B0000}"/>
    <cellStyle name="Normal 5 17 2 30 5 9" xfId="35784" xr:uid="{00000000-0005-0000-0000-0000BA8B0000}"/>
    <cellStyle name="Normal 5 17 2 30 6" xfId="35785" xr:uid="{00000000-0005-0000-0000-0000BB8B0000}"/>
    <cellStyle name="Normal 5 17 2 30 7" xfId="35786" xr:uid="{00000000-0005-0000-0000-0000BC8B0000}"/>
    <cellStyle name="Normal 5 17 2 30 8" xfId="35787" xr:uid="{00000000-0005-0000-0000-0000BD8B0000}"/>
    <cellStyle name="Normal 5 17 2 30 9" xfId="35788" xr:uid="{00000000-0005-0000-0000-0000BE8B0000}"/>
    <cellStyle name="Normal 5 17 2 31" xfId="35789" xr:uid="{00000000-0005-0000-0000-0000BF8B0000}"/>
    <cellStyle name="Normal 5 17 2 31 10" xfId="35790" xr:uid="{00000000-0005-0000-0000-0000C08B0000}"/>
    <cellStyle name="Normal 5 17 2 31 11" xfId="35791" xr:uid="{00000000-0005-0000-0000-0000C18B0000}"/>
    <cellStyle name="Normal 5 17 2 31 12" xfId="35792" xr:uid="{00000000-0005-0000-0000-0000C28B0000}"/>
    <cellStyle name="Normal 5 17 2 31 13" xfId="35793" xr:uid="{00000000-0005-0000-0000-0000C38B0000}"/>
    <cellStyle name="Normal 5 17 2 31 14" xfId="35794" xr:uid="{00000000-0005-0000-0000-0000C48B0000}"/>
    <cellStyle name="Normal 5 17 2 31 2" xfId="35795" xr:uid="{00000000-0005-0000-0000-0000C58B0000}"/>
    <cellStyle name="Normal 5 17 2 31 2 10" xfId="35796" xr:uid="{00000000-0005-0000-0000-0000C68B0000}"/>
    <cellStyle name="Normal 5 17 2 31 2 2" xfId="35797" xr:uid="{00000000-0005-0000-0000-0000C78B0000}"/>
    <cellStyle name="Normal 5 17 2 31 2 3" xfId="35798" xr:uid="{00000000-0005-0000-0000-0000C88B0000}"/>
    <cellStyle name="Normal 5 17 2 31 2 4" xfId="35799" xr:uid="{00000000-0005-0000-0000-0000C98B0000}"/>
    <cellStyle name="Normal 5 17 2 31 2 5" xfId="35800" xr:uid="{00000000-0005-0000-0000-0000CA8B0000}"/>
    <cellStyle name="Normal 5 17 2 31 2 6" xfId="35801" xr:uid="{00000000-0005-0000-0000-0000CB8B0000}"/>
    <cellStyle name="Normal 5 17 2 31 2 7" xfId="35802" xr:uid="{00000000-0005-0000-0000-0000CC8B0000}"/>
    <cellStyle name="Normal 5 17 2 31 2 8" xfId="35803" xr:uid="{00000000-0005-0000-0000-0000CD8B0000}"/>
    <cellStyle name="Normal 5 17 2 31 2 9" xfId="35804" xr:uid="{00000000-0005-0000-0000-0000CE8B0000}"/>
    <cellStyle name="Normal 5 17 2 31 3" xfId="35805" xr:uid="{00000000-0005-0000-0000-0000CF8B0000}"/>
    <cellStyle name="Normal 5 17 2 31 3 10" xfId="35806" xr:uid="{00000000-0005-0000-0000-0000D08B0000}"/>
    <cellStyle name="Normal 5 17 2 31 3 2" xfId="35807" xr:uid="{00000000-0005-0000-0000-0000D18B0000}"/>
    <cellStyle name="Normal 5 17 2 31 3 3" xfId="35808" xr:uid="{00000000-0005-0000-0000-0000D28B0000}"/>
    <cellStyle name="Normal 5 17 2 31 3 4" xfId="35809" xr:uid="{00000000-0005-0000-0000-0000D38B0000}"/>
    <cellStyle name="Normal 5 17 2 31 3 5" xfId="35810" xr:uid="{00000000-0005-0000-0000-0000D48B0000}"/>
    <cellStyle name="Normal 5 17 2 31 3 6" xfId="35811" xr:uid="{00000000-0005-0000-0000-0000D58B0000}"/>
    <cellStyle name="Normal 5 17 2 31 3 7" xfId="35812" xr:uid="{00000000-0005-0000-0000-0000D68B0000}"/>
    <cellStyle name="Normal 5 17 2 31 3 8" xfId="35813" xr:uid="{00000000-0005-0000-0000-0000D78B0000}"/>
    <cellStyle name="Normal 5 17 2 31 3 9" xfId="35814" xr:uid="{00000000-0005-0000-0000-0000D88B0000}"/>
    <cellStyle name="Normal 5 17 2 31 4" xfId="35815" xr:uid="{00000000-0005-0000-0000-0000D98B0000}"/>
    <cellStyle name="Normal 5 17 2 31 4 10" xfId="35816" xr:uid="{00000000-0005-0000-0000-0000DA8B0000}"/>
    <cellStyle name="Normal 5 17 2 31 4 2" xfId="35817" xr:uid="{00000000-0005-0000-0000-0000DB8B0000}"/>
    <cellStyle name="Normal 5 17 2 31 4 3" xfId="35818" xr:uid="{00000000-0005-0000-0000-0000DC8B0000}"/>
    <cellStyle name="Normal 5 17 2 31 4 4" xfId="35819" xr:uid="{00000000-0005-0000-0000-0000DD8B0000}"/>
    <cellStyle name="Normal 5 17 2 31 4 5" xfId="35820" xr:uid="{00000000-0005-0000-0000-0000DE8B0000}"/>
    <cellStyle name="Normal 5 17 2 31 4 6" xfId="35821" xr:uid="{00000000-0005-0000-0000-0000DF8B0000}"/>
    <cellStyle name="Normal 5 17 2 31 4 7" xfId="35822" xr:uid="{00000000-0005-0000-0000-0000E08B0000}"/>
    <cellStyle name="Normal 5 17 2 31 4 8" xfId="35823" xr:uid="{00000000-0005-0000-0000-0000E18B0000}"/>
    <cellStyle name="Normal 5 17 2 31 4 9" xfId="35824" xr:uid="{00000000-0005-0000-0000-0000E28B0000}"/>
    <cellStyle name="Normal 5 17 2 31 5" xfId="35825" xr:uid="{00000000-0005-0000-0000-0000E38B0000}"/>
    <cellStyle name="Normal 5 17 2 31 5 10" xfId="35826" xr:uid="{00000000-0005-0000-0000-0000E48B0000}"/>
    <cellStyle name="Normal 5 17 2 31 5 2" xfId="35827" xr:uid="{00000000-0005-0000-0000-0000E58B0000}"/>
    <cellStyle name="Normal 5 17 2 31 5 3" xfId="35828" xr:uid="{00000000-0005-0000-0000-0000E68B0000}"/>
    <cellStyle name="Normal 5 17 2 31 5 4" xfId="35829" xr:uid="{00000000-0005-0000-0000-0000E78B0000}"/>
    <cellStyle name="Normal 5 17 2 31 5 5" xfId="35830" xr:uid="{00000000-0005-0000-0000-0000E88B0000}"/>
    <cellStyle name="Normal 5 17 2 31 5 6" xfId="35831" xr:uid="{00000000-0005-0000-0000-0000E98B0000}"/>
    <cellStyle name="Normal 5 17 2 31 5 7" xfId="35832" xr:uid="{00000000-0005-0000-0000-0000EA8B0000}"/>
    <cellStyle name="Normal 5 17 2 31 5 8" xfId="35833" xr:uid="{00000000-0005-0000-0000-0000EB8B0000}"/>
    <cellStyle name="Normal 5 17 2 31 5 9" xfId="35834" xr:uid="{00000000-0005-0000-0000-0000EC8B0000}"/>
    <cellStyle name="Normal 5 17 2 31 6" xfId="35835" xr:uid="{00000000-0005-0000-0000-0000ED8B0000}"/>
    <cellStyle name="Normal 5 17 2 31 7" xfId="35836" xr:uid="{00000000-0005-0000-0000-0000EE8B0000}"/>
    <cellStyle name="Normal 5 17 2 31 8" xfId="35837" xr:uid="{00000000-0005-0000-0000-0000EF8B0000}"/>
    <cellStyle name="Normal 5 17 2 31 9" xfId="35838" xr:uid="{00000000-0005-0000-0000-0000F08B0000}"/>
    <cellStyle name="Normal 5 17 2 32" xfId="35839" xr:uid="{00000000-0005-0000-0000-0000F18B0000}"/>
    <cellStyle name="Normal 5 17 2 32 10" xfId="35840" xr:uid="{00000000-0005-0000-0000-0000F28B0000}"/>
    <cellStyle name="Normal 5 17 2 32 11" xfId="35841" xr:uid="{00000000-0005-0000-0000-0000F38B0000}"/>
    <cellStyle name="Normal 5 17 2 32 12" xfId="35842" xr:uid="{00000000-0005-0000-0000-0000F48B0000}"/>
    <cellStyle name="Normal 5 17 2 32 13" xfId="35843" xr:uid="{00000000-0005-0000-0000-0000F58B0000}"/>
    <cellStyle name="Normal 5 17 2 32 14" xfId="35844" xr:uid="{00000000-0005-0000-0000-0000F68B0000}"/>
    <cellStyle name="Normal 5 17 2 32 2" xfId="35845" xr:uid="{00000000-0005-0000-0000-0000F78B0000}"/>
    <cellStyle name="Normal 5 17 2 32 2 10" xfId="35846" xr:uid="{00000000-0005-0000-0000-0000F88B0000}"/>
    <cellStyle name="Normal 5 17 2 32 2 2" xfId="35847" xr:uid="{00000000-0005-0000-0000-0000F98B0000}"/>
    <cellStyle name="Normal 5 17 2 32 2 3" xfId="35848" xr:uid="{00000000-0005-0000-0000-0000FA8B0000}"/>
    <cellStyle name="Normal 5 17 2 32 2 4" xfId="35849" xr:uid="{00000000-0005-0000-0000-0000FB8B0000}"/>
    <cellStyle name="Normal 5 17 2 32 2 5" xfId="35850" xr:uid="{00000000-0005-0000-0000-0000FC8B0000}"/>
    <cellStyle name="Normal 5 17 2 32 2 6" xfId="35851" xr:uid="{00000000-0005-0000-0000-0000FD8B0000}"/>
    <cellStyle name="Normal 5 17 2 32 2 7" xfId="35852" xr:uid="{00000000-0005-0000-0000-0000FE8B0000}"/>
    <cellStyle name="Normal 5 17 2 32 2 8" xfId="35853" xr:uid="{00000000-0005-0000-0000-0000FF8B0000}"/>
    <cellStyle name="Normal 5 17 2 32 2 9" xfId="35854" xr:uid="{00000000-0005-0000-0000-0000008C0000}"/>
    <cellStyle name="Normal 5 17 2 32 3" xfId="35855" xr:uid="{00000000-0005-0000-0000-0000018C0000}"/>
    <cellStyle name="Normal 5 17 2 32 3 10" xfId="35856" xr:uid="{00000000-0005-0000-0000-0000028C0000}"/>
    <cellStyle name="Normal 5 17 2 32 3 2" xfId="35857" xr:uid="{00000000-0005-0000-0000-0000038C0000}"/>
    <cellStyle name="Normal 5 17 2 32 3 3" xfId="35858" xr:uid="{00000000-0005-0000-0000-0000048C0000}"/>
    <cellStyle name="Normal 5 17 2 32 3 4" xfId="35859" xr:uid="{00000000-0005-0000-0000-0000058C0000}"/>
    <cellStyle name="Normal 5 17 2 32 3 5" xfId="35860" xr:uid="{00000000-0005-0000-0000-0000068C0000}"/>
    <cellStyle name="Normal 5 17 2 32 3 6" xfId="35861" xr:uid="{00000000-0005-0000-0000-0000078C0000}"/>
    <cellStyle name="Normal 5 17 2 32 3 7" xfId="35862" xr:uid="{00000000-0005-0000-0000-0000088C0000}"/>
    <cellStyle name="Normal 5 17 2 32 3 8" xfId="35863" xr:uid="{00000000-0005-0000-0000-0000098C0000}"/>
    <cellStyle name="Normal 5 17 2 32 3 9" xfId="35864" xr:uid="{00000000-0005-0000-0000-00000A8C0000}"/>
    <cellStyle name="Normal 5 17 2 32 4" xfId="35865" xr:uid="{00000000-0005-0000-0000-00000B8C0000}"/>
    <cellStyle name="Normal 5 17 2 32 4 10" xfId="35866" xr:uid="{00000000-0005-0000-0000-00000C8C0000}"/>
    <cellStyle name="Normal 5 17 2 32 4 2" xfId="35867" xr:uid="{00000000-0005-0000-0000-00000D8C0000}"/>
    <cellStyle name="Normal 5 17 2 32 4 3" xfId="35868" xr:uid="{00000000-0005-0000-0000-00000E8C0000}"/>
    <cellStyle name="Normal 5 17 2 32 4 4" xfId="35869" xr:uid="{00000000-0005-0000-0000-00000F8C0000}"/>
    <cellStyle name="Normal 5 17 2 32 4 5" xfId="35870" xr:uid="{00000000-0005-0000-0000-0000108C0000}"/>
    <cellStyle name="Normal 5 17 2 32 4 6" xfId="35871" xr:uid="{00000000-0005-0000-0000-0000118C0000}"/>
    <cellStyle name="Normal 5 17 2 32 4 7" xfId="35872" xr:uid="{00000000-0005-0000-0000-0000128C0000}"/>
    <cellStyle name="Normal 5 17 2 32 4 8" xfId="35873" xr:uid="{00000000-0005-0000-0000-0000138C0000}"/>
    <cellStyle name="Normal 5 17 2 32 4 9" xfId="35874" xr:uid="{00000000-0005-0000-0000-0000148C0000}"/>
    <cellStyle name="Normal 5 17 2 32 5" xfId="35875" xr:uid="{00000000-0005-0000-0000-0000158C0000}"/>
    <cellStyle name="Normal 5 17 2 32 5 10" xfId="35876" xr:uid="{00000000-0005-0000-0000-0000168C0000}"/>
    <cellStyle name="Normal 5 17 2 32 5 2" xfId="35877" xr:uid="{00000000-0005-0000-0000-0000178C0000}"/>
    <cellStyle name="Normal 5 17 2 32 5 3" xfId="35878" xr:uid="{00000000-0005-0000-0000-0000188C0000}"/>
    <cellStyle name="Normal 5 17 2 32 5 4" xfId="35879" xr:uid="{00000000-0005-0000-0000-0000198C0000}"/>
    <cellStyle name="Normal 5 17 2 32 5 5" xfId="35880" xr:uid="{00000000-0005-0000-0000-00001A8C0000}"/>
    <cellStyle name="Normal 5 17 2 32 5 6" xfId="35881" xr:uid="{00000000-0005-0000-0000-00001B8C0000}"/>
    <cellStyle name="Normal 5 17 2 32 5 7" xfId="35882" xr:uid="{00000000-0005-0000-0000-00001C8C0000}"/>
    <cellStyle name="Normal 5 17 2 32 5 8" xfId="35883" xr:uid="{00000000-0005-0000-0000-00001D8C0000}"/>
    <cellStyle name="Normal 5 17 2 32 5 9" xfId="35884" xr:uid="{00000000-0005-0000-0000-00001E8C0000}"/>
    <cellStyle name="Normal 5 17 2 32 6" xfId="35885" xr:uid="{00000000-0005-0000-0000-00001F8C0000}"/>
    <cellStyle name="Normal 5 17 2 32 7" xfId="35886" xr:uid="{00000000-0005-0000-0000-0000208C0000}"/>
    <cellStyle name="Normal 5 17 2 32 8" xfId="35887" xr:uid="{00000000-0005-0000-0000-0000218C0000}"/>
    <cellStyle name="Normal 5 17 2 32 9" xfId="35888" xr:uid="{00000000-0005-0000-0000-0000228C0000}"/>
    <cellStyle name="Normal 5 17 2 33" xfId="35889" xr:uid="{00000000-0005-0000-0000-0000238C0000}"/>
    <cellStyle name="Normal 5 17 2 33 10" xfId="35890" xr:uid="{00000000-0005-0000-0000-0000248C0000}"/>
    <cellStyle name="Normal 5 17 2 33 11" xfId="35891" xr:uid="{00000000-0005-0000-0000-0000258C0000}"/>
    <cellStyle name="Normal 5 17 2 33 12" xfId="35892" xr:uid="{00000000-0005-0000-0000-0000268C0000}"/>
    <cellStyle name="Normal 5 17 2 33 13" xfId="35893" xr:uid="{00000000-0005-0000-0000-0000278C0000}"/>
    <cellStyle name="Normal 5 17 2 33 14" xfId="35894" xr:uid="{00000000-0005-0000-0000-0000288C0000}"/>
    <cellStyle name="Normal 5 17 2 33 2" xfId="35895" xr:uid="{00000000-0005-0000-0000-0000298C0000}"/>
    <cellStyle name="Normal 5 17 2 33 2 10" xfId="35896" xr:uid="{00000000-0005-0000-0000-00002A8C0000}"/>
    <cellStyle name="Normal 5 17 2 33 2 2" xfId="35897" xr:uid="{00000000-0005-0000-0000-00002B8C0000}"/>
    <cellStyle name="Normal 5 17 2 33 2 3" xfId="35898" xr:uid="{00000000-0005-0000-0000-00002C8C0000}"/>
    <cellStyle name="Normal 5 17 2 33 2 4" xfId="35899" xr:uid="{00000000-0005-0000-0000-00002D8C0000}"/>
    <cellStyle name="Normal 5 17 2 33 2 5" xfId="35900" xr:uid="{00000000-0005-0000-0000-00002E8C0000}"/>
    <cellStyle name="Normal 5 17 2 33 2 6" xfId="35901" xr:uid="{00000000-0005-0000-0000-00002F8C0000}"/>
    <cellStyle name="Normal 5 17 2 33 2 7" xfId="35902" xr:uid="{00000000-0005-0000-0000-0000308C0000}"/>
    <cellStyle name="Normal 5 17 2 33 2 8" xfId="35903" xr:uid="{00000000-0005-0000-0000-0000318C0000}"/>
    <cellStyle name="Normal 5 17 2 33 2 9" xfId="35904" xr:uid="{00000000-0005-0000-0000-0000328C0000}"/>
    <cellStyle name="Normal 5 17 2 33 3" xfId="35905" xr:uid="{00000000-0005-0000-0000-0000338C0000}"/>
    <cellStyle name="Normal 5 17 2 33 3 10" xfId="35906" xr:uid="{00000000-0005-0000-0000-0000348C0000}"/>
    <cellStyle name="Normal 5 17 2 33 3 2" xfId="35907" xr:uid="{00000000-0005-0000-0000-0000358C0000}"/>
    <cellStyle name="Normal 5 17 2 33 3 3" xfId="35908" xr:uid="{00000000-0005-0000-0000-0000368C0000}"/>
    <cellStyle name="Normal 5 17 2 33 3 4" xfId="35909" xr:uid="{00000000-0005-0000-0000-0000378C0000}"/>
    <cellStyle name="Normal 5 17 2 33 3 5" xfId="35910" xr:uid="{00000000-0005-0000-0000-0000388C0000}"/>
    <cellStyle name="Normal 5 17 2 33 3 6" xfId="35911" xr:uid="{00000000-0005-0000-0000-0000398C0000}"/>
    <cellStyle name="Normal 5 17 2 33 3 7" xfId="35912" xr:uid="{00000000-0005-0000-0000-00003A8C0000}"/>
    <cellStyle name="Normal 5 17 2 33 3 8" xfId="35913" xr:uid="{00000000-0005-0000-0000-00003B8C0000}"/>
    <cellStyle name="Normal 5 17 2 33 3 9" xfId="35914" xr:uid="{00000000-0005-0000-0000-00003C8C0000}"/>
    <cellStyle name="Normal 5 17 2 33 4" xfId="35915" xr:uid="{00000000-0005-0000-0000-00003D8C0000}"/>
    <cellStyle name="Normal 5 17 2 33 4 10" xfId="35916" xr:uid="{00000000-0005-0000-0000-00003E8C0000}"/>
    <cellStyle name="Normal 5 17 2 33 4 2" xfId="35917" xr:uid="{00000000-0005-0000-0000-00003F8C0000}"/>
    <cellStyle name="Normal 5 17 2 33 4 3" xfId="35918" xr:uid="{00000000-0005-0000-0000-0000408C0000}"/>
    <cellStyle name="Normal 5 17 2 33 4 4" xfId="35919" xr:uid="{00000000-0005-0000-0000-0000418C0000}"/>
    <cellStyle name="Normal 5 17 2 33 4 5" xfId="35920" xr:uid="{00000000-0005-0000-0000-0000428C0000}"/>
    <cellStyle name="Normal 5 17 2 33 4 6" xfId="35921" xr:uid="{00000000-0005-0000-0000-0000438C0000}"/>
    <cellStyle name="Normal 5 17 2 33 4 7" xfId="35922" xr:uid="{00000000-0005-0000-0000-0000448C0000}"/>
    <cellStyle name="Normal 5 17 2 33 4 8" xfId="35923" xr:uid="{00000000-0005-0000-0000-0000458C0000}"/>
    <cellStyle name="Normal 5 17 2 33 4 9" xfId="35924" xr:uid="{00000000-0005-0000-0000-0000468C0000}"/>
    <cellStyle name="Normal 5 17 2 33 5" xfId="35925" xr:uid="{00000000-0005-0000-0000-0000478C0000}"/>
    <cellStyle name="Normal 5 17 2 33 5 10" xfId="35926" xr:uid="{00000000-0005-0000-0000-0000488C0000}"/>
    <cellStyle name="Normal 5 17 2 33 5 2" xfId="35927" xr:uid="{00000000-0005-0000-0000-0000498C0000}"/>
    <cellStyle name="Normal 5 17 2 33 5 3" xfId="35928" xr:uid="{00000000-0005-0000-0000-00004A8C0000}"/>
    <cellStyle name="Normal 5 17 2 33 5 4" xfId="35929" xr:uid="{00000000-0005-0000-0000-00004B8C0000}"/>
    <cellStyle name="Normal 5 17 2 33 5 5" xfId="35930" xr:uid="{00000000-0005-0000-0000-00004C8C0000}"/>
    <cellStyle name="Normal 5 17 2 33 5 6" xfId="35931" xr:uid="{00000000-0005-0000-0000-00004D8C0000}"/>
    <cellStyle name="Normal 5 17 2 33 5 7" xfId="35932" xr:uid="{00000000-0005-0000-0000-00004E8C0000}"/>
    <cellStyle name="Normal 5 17 2 33 5 8" xfId="35933" xr:uid="{00000000-0005-0000-0000-00004F8C0000}"/>
    <cellStyle name="Normal 5 17 2 33 5 9" xfId="35934" xr:uid="{00000000-0005-0000-0000-0000508C0000}"/>
    <cellStyle name="Normal 5 17 2 33 6" xfId="35935" xr:uid="{00000000-0005-0000-0000-0000518C0000}"/>
    <cellStyle name="Normal 5 17 2 33 7" xfId="35936" xr:uid="{00000000-0005-0000-0000-0000528C0000}"/>
    <cellStyle name="Normal 5 17 2 33 8" xfId="35937" xr:uid="{00000000-0005-0000-0000-0000538C0000}"/>
    <cellStyle name="Normal 5 17 2 33 9" xfId="35938" xr:uid="{00000000-0005-0000-0000-0000548C0000}"/>
    <cellStyle name="Normal 5 17 2 34" xfId="35939" xr:uid="{00000000-0005-0000-0000-0000558C0000}"/>
    <cellStyle name="Normal 5 17 2 34 10" xfId="35940" xr:uid="{00000000-0005-0000-0000-0000568C0000}"/>
    <cellStyle name="Normal 5 17 2 34 2" xfId="35941" xr:uid="{00000000-0005-0000-0000-0000578C0000}"/>
    <cellStyle name="Normal 5 17 2 34 3" xfId="35942" xr:uid="{00000000-0005-0000-0000-0000588C0000}"/>
    <cellStyle name="Normal 5 17 2 34 4" xfId="35943" xr:uid="{00000000-0005-0000-0000-0000598C0000}"/>
    <cellStyle name="Normal 5 17 2 34 5" xfId="35944" xr:uid="{00000000-0005-0000-0000-00005A8C0000}"/>
    <cellStyle name="Normal 5 17 2 34 6" xfId="35945" xr:uid="{00000000-0005-0000-0000-00005B8C0000}"/>
    <cellStyle name="Normal 5 17 2 34 7" xfId="35946" xr:uid="{00000000-0005-0000-0000-00005C8C0000}"/>
    <cellStyle name="Normal 5 17 2 34 8" xfId="35947" xr:uid="{00000000-0005-0000-0000-00005D8C0000}"/>
    <cellStyle name="Normal 5 17 2 34 9" xfId="35948" xr:uid="{00000000-0005-0000-0000-00005E8C0000}"/>
    <cellStyle name="Normal 5 17 2 35" xfId="35949" xr:uid="{00000000-0005-0000-0000-00005F8C0000}"/>
    <cellStyle name="Normal 5 17 2 35 10" xfId="35950" xr:uid="{00000000-0005-0000-0000-0000608C0000}"/>
    <cellStyle name="Normal 5 17 2 35 2" xfId="35951" xr:uid="{00000000-0005-0000-0000-0000618C0000}"/>
    <cellStyle name="Normal 5 17 2 35 3" xfId="35952" xr:uid="{00000000-0005-0000-0000-0000628C0000}"/>
    <cellStyle name="Normal 5 17 2 35 4" xfId="35953" xr:uid="{00000000-0005-0000-0000-0000638C0000}"/>
    <cellStyle name="Normal 5 17 2 35 5" xfId="35954" xr:uid="{00000000-0005-0000-0000-0000648C0000}"/>
    <cellStyle name="Normal 5 17 2 35 6" xfId="35955" xr:uid="{00000000-0005-0000-0000-0000658C0000}"/>
    <cellStyle name="Normal 5 17 2 35 7" xfId="35956" xr:uid="{00000000-0005-0000-0000-0000668C0000}"/>
    <cellStyle name="Normal 5 17 2 35 8" xfId="35957" xr:uid="{00000000-0005-0000-0000-0000678C0000}"/>
    <cellStyle name="Normal 5 17 2 35 9" xfId="35958" xr:uid="{00000000-0005-0000-0000-0000688C0000}"/>
    <cellStyle name="Normal 5 17 2 36" xfId="35959" xr:uid="{00000000-0005-0000-0000-0000698C0000}"/>
    <cellStyle name="Normal 5 17 2 36 10" xfId="35960" xr:uid="{00000000-0005-0000-0000-00006A8C0000}"/>
    <cellStyle name="Normal 5 17 2 36 2" xfId="35961" xr:uid="{00000000-0005-0000-0000-00006B8C0000}"/>
    <cellStyle name="Normal 5 17 2 36 3" xfId="35962" xr:uid="{00000000-0005-0000-0000-00006C8C0000}"/>
    <cellStyle name="Normal 5 17 2 36 4" xfId="35963" xr:uid="{00000000-0005-0000-0000-00006D8C0000}"/>
    <cellStyle name="Normal 5 17 2 36 5" xfId="35964" xr:uid="{00000000-0005-0000-0000-00006E8C0000}"/>
    <cellStyle name="Normal 5 17 2 36 6" xfId="35965" xr:uid="{00000000-0005-0000-0000-00006F8C0000}"/>
    <cellStyle name="Normal 5 17 2 36 7" xfId="35966" xr:uid="{00000000-0005-0000-0000-0000708C0000}"/>
    <cellStyle name="Normal 5 17 2 36 8" xfId="35967" xr:uid="{00000000-0005-0000-0000-0000718C0000}"/>
    <cellStyle name="Normal 5 17 2 36 9" xfId="35968" xr:uid="{00000000-0005-0000-0000-0000728C0000}"/>
    <cellStyle name="Normal 5 17 2 37" xfId="35969" xr:uid="{00000000-0005-0000-0000-0000738C0000}"/>
    <cellStyle name="Normal 5 17 2 37 10" xfId="35970" xr:uid="{00000000-0005-0000-0000-0000748C0000}"/>
    <cellStyle name="Normal 5 17 2 37 2" xfId="35971" xr:uid="{00000000-0005-0000-0000-0000758C0000}"/>
    <cellStyle name="Normal 5 17 2 37 3" xfId="35972" xr:uid="{00000000-0005-0000-0000-0000768C0000}"/>
    <cellStyle name="Normal 5 17 2 37 4" xfId="35973" xr:uid="{00000000-0005-0000-0000-0000778C0000}"/>
    <cellStyle name="Normal 5 17 2 37 5" xfId="35974" xr:uid="{00000000-0005-0000-0000-0000788C0000}"/>
    <cellStyle name="Normal 5 17 2 37 6" xfId="35975" xr:uid="{00000000-0005-0000-0000-0000798C0000}"/>
    <cellStyle name="Normal 5 17 2 37 7" xfId="35976" xr:uid="{00000000-0005-0000-0000-00007A8C0000}"/>
    <cellStyle name="Normal 5 17 2 37 8" xfId="35977" xr:uid="{00000000-0005-0000-0000-00007B8C0000}"/>
    <cellStyle name="Normal 5 17 2 37 9" xfId="35978" xr:uid="{00000000-0005-0000-0000-00007C8C0000}"/>
    <cellStyle name="Normal 5 17 2 38" xfId="35979" xr:uid="{00000000-0005-0000-0000-00007D8C0000}"/>
    <cellStyle name="Normal 5 17 2 39" xfId="35980" xr:uid="{00000000-0005-0000-0000-00007E8C0000}"/>
    <cellStyle name="Normal 5 17 2 4" xfId="35981" xr:uid="{00000000-0005-0000-0000-00007F8C0000}"/>
    <cellStyle name="Normal 5 17 2 4 10" xfId="35982" xr:uid="{00000000-0005-0000-0000-0000808C0000}"/>
    <cellStyle name="Normal 5 17 2 4 11" xfId="35983" xr:uid="{00000000-0005-0000-0000-0000818C0000}"/>
    <cellStyle name="Normal 5 17 2 4 12" xfId="35984" xr:uid="{00000000-0005-0000-0000-0000828C0000}"/>
    <cellStyle name="Normal 5 17 2 4 13" xfId="35985" xr:uid="{00000000-0005-0000-0000-0000838C0000}"/>
    <cellStyle name="Normal 5 17 2 4 14" xfId="35986" xr:uid="{00000000-0005-0000-0000-0000848C0000}"/>
    <cellStyle name="Normal 5 17 2 4 2" xfId="35987" xr:uid="{00000000-0005-0000-0000-0000858C0000}"/>
    <cellStyle name="Normal 5 17 2 4 2 10" xfId="35988" xr:uid="{00000000-0005-0000-0000-0000868C0000}"/>
    <cellStyle name="Normal 5 17 2 4 2 2" xfId="35989" xr:uid="{00000000-0005-0000-0000-0000878C0000}"/>
    <cellStyle name="Normal 5 17 2 4 2 3" xfId="35990" xr:uid="{00000000-0005-0000-0000-0000888C0000}"/>
    <cellStyle name="Normal 5 17 2 4 2 4" xfId="35991" xr:uid="{00000000-0005-0000-0000-0000898C0000}"/>
    <cellStyle name="Normal 5 17 2 4 2 5" xfId="35992" xr:uid="{00000000-0005-0000-0000-00008A8C0000}"/>
    <cellStyle name="Normal 5 17 2 4 2 6" xfId="35993" xr:uid="{00000000-0005-0000-0000-00008B8C0000}"/>
    <cellStyle name="Normal 5 17 2 4 2 7" xfId="35994" xr:uid="{00000000-0005-0000-0000-00008C8C0000}"/>
    <cellStyle name="Normal 5 17 2 4 2 8" xfId="35995" xr:uid="{00000000-0005-0000-0000-00008D8C0000}"/>
    <cellStyle name="Normal 5 17 2 4 2 9" xfId="35996" xr:uid="{00000000-0005-0000-0000-00008E8C0000}"/>
    <cellStyle name="Normal 5 17 2 4 3" xfId="35997" xr:uid="{00000000-0005-0000-0000-00008F8C0000}"/>
    <cellStyle name="Normal 5 17 2 4 3 10" xfId="35998" xr:uid="{00000000-0005-0000-0000-0000908C0000}"/>
    <cellStyle name="Normal 5 17 2 4 3 2" xfId="35999" xr:uid="{00000000-0005-0000-0000-0000918C0000}"/>
    <cellStyle name="Normal 5 17 2 4 3 3" xfId="36000" xr:uid="{00000000-0005-0000-0000-0000928C0000}"/>
    <cellStyle name="Normal 5 17 2 4 3 4" xfId="36001" xr:uid="{00000000-0005-0000-0000-0000938C0000}"/>
    <cellStyle name="Normal 5 17 2 4 3 5" xfId="36002" xr:uid="{00000000-0005-0000-0000-0000948C0000}"/>
    <cellStyle name="Normal 5 17 2 4 3 6" xfId="36003" xr:uid="{00000000-0005-0000-0000-0000958C0000}"/>
    <cellStyle name="Normal 5 17 2 4 3 7" xfId="36004" xr:uid="{00000000-0005-0000-0000-0000968C0000}"/>
    <cellStyle name="Normal 5 17 2 4 3 8" xfId="36005" xr:uid="{00000000-0005-0000-0000-0000978C0000}"/>
    <cellStyle name="Normal 5 17 2 4 3 9" xfId="36006" xr:uid="{00000000-0005-0000-0000-0000988C0000}"/>
    <cellStyle name="Normal 5 17 2 4 4" xfId="36007" xr:uid="{00000000-0005-0000-0000-0000998C0000}"/>
    <cellStyle name="Normal 5 17 2 4 4 10" xfId="36008" xr:uid="{00000000-0005-0000-0000-00009A8C0000}"/>
    <cellStyle name="Normal 5 17 2 4 4 2" xfId="36009" xr:uid="{00000000-0005-0000-0000-00009B8C0000}"/>
    <cellStyle name="Normal 5 17 2 4 4 3" xfId="36010" xr:uid="{00000000-0005-0000-0000-00009C8C0000}"/>
    <cellStyle name="Normal 5 17 2 4 4 4" xfId="36011" xr:uid="{00000000-0005-0000-0000-00009D8C0000}"/>
    <cellStyle name="Normal 5 17 2 4 4 5" xfId="36012" xr:uid="{00000000-0005-0000-0000-00009E8C0000}"/>
    <cellStyle name="Normal 5 17 2 4 4 6" xfId="36013" xr:uid="{00000000-0005-0000-0000-00009F8C0000}"/>
    <cellStyle name="Normal 5 17 2 4 4 7" xfId="36014" xr:uid="{00000000-0005-0000-0000-0000A08C0000}"/>
    <cellStyle name="Normal 5 17 2 4 4 8" xfId="36015" xr:uid="{00000000-0005-0000-0000-0000A18C0000}"/>
    <cellStyle name="Normal 5 17 2 4 4 9" xfId="36016" xr:uid="{00000000-0005-0000-0000-0000A28C0000}"/>
    <cellStyle name="Normal 5 17 2 4 5" xfId="36017" xr:uid="{00000000-0005-0000-0000-0000A38C0000}"/>
    <cellStyle name="Normal 5 17 2 4 5 10" xfId="36018" xr:uid="{00000000-0005-0000-0000-0000A48C0000}"/>
    <cellStyle name="Normal 5 17 2 4 5 2" xfId="36019" xr:uid="{00000000-0005-0000-0000-0000A58C0000}"/>
    <cellStyle name="Normal 5 17 2 4 5 3" xfId="36020" xr:uid="{00000000-0005-0000-0000-0000A68C0000}"/>
    <cellStyle name="Normal 5 17 2 4 5 4" xfId="36021" xr:uid="{00000000-0005-0000-0000-0000A78C0000}"/>
    <cellStyle name="Normal 5 17 2 4 5 5" xfId="36022" xr:uid="{00000000-0005-0000-0000-0000A88C0000}"/>
    <cellStyle name="Normal 5 17 2 4 5 6" xfId="36023" xr:uid="{00000000-0005-0000-0000-0000A98C0000}"/>
    <cellStyle name="Normal 5 17 2 4 5 7" xfId="36024" xr:uid="{00000000-0005-0000-0000-0000AA8C0000}"/>
    <cellStyle name="Normal 5 17 2 4 5 8" xfId="36025" xr:uid="{00000000-0005-0000-0000-0000AB8C0000}"/>
    <cellStyle name="Normal 5 17 2 4 5 9" xfId="36026" xr:uid="{00000000-0005-0000-0000-0000AC8C0000}"/>
    <cellStyle name="Normal 5 17 2 4 6" xfId="36027" xr:uid="{00000000-0005-0000-0000-0000AD8C0000}"/>
    <cellStyle name="Normal 5 17 2 4 7" xfId="36028" xr:uid="{00000000-0005-0000-0000-0000AE8C0000}"/>
    <cellStyle name="Normal 5 17 2 4 8" xfId="36029" xr:uid="{00000000-0005-0000-0000-0000AF8C0000}"/>
    <cellStyle name="Normal 5 17 2 4 9" xfId="36030" xr:uid="{00000000-0005-0000-0000-0000B08C0000}"/>
    <cellStyle name="Normal 5 17 2 40" xfId="36031" xr:uid="{00000000-0005-0000-0000-0000B18C0000}"/>
    <cellStyle name="Normal 5 17 2 41" xfId="36032" xr:uid="{00000000-0005-0000-0000-0000B28C0000}"/>
    <cellStyle name="Normal 5 17 2 42" xfId="36033" xr:uid="{00000000-0005-0000-0000-0000B38C0000}"/>
    <cellStyle name="Normal 5 17 2 43" xfId="36034" xr:uid="{00000000-0005-0000-0000-0000B48C0000}"/>
    <cellStyle name="Normal 5 17 2 44" xfId="36035" xr:uid="{00000000-0005-0000-0000-0000B58C0000}"/>
    <cellStyle name="Normal 5 17 2 45" xfId="36036" xr:uid="{00000000-0005-0000-0000-0000B68C0000}"/>
    <cellStyle name="Normal 5 17 2 46" xfId="36037" xr:uid="{00000000-0005-0000-0000-0000B78C0000}"/>
    <cellStyle name="Normal 5 17 2 47" xfId="36038" xr:uid="{00000000-0005-0000-0000-0000B88C0000}"/>
    <cellStyle name="Normal 5 17 2 48" xfId="36039" xr:uid="{00000000-0005-0000-0000-0000B98C0000}"/>
    <cellStyle name="Normal 5 17 2 5" xfId="36040" xr:uid="{00000000-0005-0000-0000-0000BA8C0000}"/>
    <cellStyle name="Normal 5 17 2 5 10" xfId="36041" xr:uid="{00000000-0005-0000-0000-0000BB8C0000}"/>
    <cellStyle name="Normal 5 17 2 5 11" xfId="36042" xr:uid="{00000000-0005-0000-0000-0000BC8C0000}"/>
    <cellStyle name="Normal 5 17 2 5 12" xfId="36043" xr:uid="{00000000-0005-0000-0000-0000BD8C0000}"/>
    <cellStyle name="Normal 5 17 2 5 13" xfId="36044" xr:uid="{00000000-0005-0000-0000-0000BE8C0000}"/>
    <cellStyle name="Normal 5 17 2 5 14" xfId="36045" xr:uid="{00000000-0005-0000-0000-0000BF8C0000}"/>
    <cellStyle name="Normal 5 17 2 5 2" xfId="36046" xr:uid="{00000000-0005-0000-0000-0000C08C0000}"/>
    <cellStyle name="Normal 5 17 2 5 2 10" xfId="36047" xr:uid="{00000000-0005-0000-0000-0000C18C0000}"/>
    <cellStyle name="Normal 5 17 2 5 2 2" xfId="36048" xr:uid="{00000000-0005-0000-0000-0000C28C0000}"/>
    <cellStyle name="Normal 5 17 2 5 2 3" xfId="36049" xr:uid="{00000000-0005-0000-0000-0000C38C0000}"/>
    <cellStyle name="Normal 5 17 2 5 2 4" xfId="36050" xr:uid="{00000000-0005-0000-0000-0000C48C0000}"/>
    <cellStyle name="Normal 5 17 2 5 2 5" xfId="36051" xr:uid="{00000000-0005-0000-0000-0000C58C0000}"/>
    <cellStyle name="Normal 5 17 2 5 2 6" xfId="36052" xr:uid="{00000000-0005-0000-0000-0000C68C0000}"/>
    <cellStyle name="Normal 5 17 2 5 2 7" xfId="36053" xr:uid="{00000000-0005-0000-0000-0000C78C0000}"/>
    <cellStyle name="Normal 5 17 2 5 2 8" xfId="36054" xr:uid="{00000000-0005-0000-0000-0000C88C0000}"/>
    <cellStyle name="Normal 5 17 2 5 2 9" xfId="36055" xr:uid="{00000000-0005-0000-0000-0000C98C0000}"/>
    <cellStyle name="Normal 5 17 2 5 3" xfId="36056" xr:uid="{00000000-0005-0000-0000-0000CA8C0000}"/>
    <cellStyle name="Normal 5 17 2 5 3 10" xfId="36057" xr:uid="{00000000-0005-0000-0000-0000CB8C0000}"/>
    <cellStyle name="Normal 5 17 2 5 3 2" xfId="36058" xr:uid="{00000000-0005-0000-0000-0000CC8C0000}"/>
    <cellStyle name="Normal 5 17 2 5 3 3" xfId="36059" xr:uid="{00000000-0005-0000-0000-0000CD8C0000}"/>
    <cellStyle name="Normal 5 17 2 5 3 4" xfId="36060" xr:uid="{00000000-0005-0000-0000-0000CE8C0000}"/>
    <cellStyle name="Normal 5 17 2 5 3 5" xfId="36061" xr:uid="{00000000-0005-0000-0000-0000CF8C0000}"/>
    <cellStyle name="Normal 5 17 2 5 3 6" xfId="36062" xr:uid="{00000000-0005-0000-0000-0000D08C0000}"/>
    <cellStyle name="Normal 5 17 2 5 3 7" xfId="36063" xr:uid="{00000000-0005-0000-0000-0000D18C0000}"/>
    <cellStyle name="Normal 5 17 2 5 3 8" xfId="36064" xr:uid="{00000000-0005-0000-0000-0000D28C0000}"/>
    <cellStyle name="Normal 5 17 2 5 3 9" xfId="36065" xr:uid="{00000000-0005-0000-0000-0000D38C0000}"/>
    <cellStyle name="Normal 5 17 2 5 4" xfId="36066" xr:uid="{00000000-0005-0000-0000-0000D48C0000}"/>
    <cellStyle name="Normal 5 17 2 5 4 10" xfId="36067" xr:uid="{00000000-0005-0000-0000-0000D58C0000}"/>
    <cellStyle name="Normal 5 17 2 5 4 2" xfId="36068" xr:uid="{00000000-0005-0000-0000-0000D68C0000}"/>
    <cellStyle name="Normal 5 17 2 5 4 3" xfId="36069" xr:uid="{00000000-0005-0000-0000-0000D78C0000}"/>
    <cellStyle name="Normal 5 17 2 5 4 4" xfId="36070" xr:uid="{00000000-0005-0000-0000-0000D88C0000}"/>
    <cellStyle name="Normal 5 17 2 5 4 5" xfId="36071" xr:uid="{00000000-0005-0000-0000-0000D98C0000}"/>
    <cellStyle name="Normal 5 17 2 5 4 6" xfId="36072" xr:uid="{00000000-0005-0000-0000-0000DA8C0000}"/>
    <cellStyle name="Normal 5 17 2 5 4 7" xfId="36073" xr:uid="{00000000-0005-0000-0000-0000DB8C0000}"/>
    <cellStyle name="Normal 5 17 2 5 4 8" xfId="36074" xr:uid="{00000000-0005-0000-0000-0000DC8C0000}"/>
    <cellStyle name="Normal 5 17 2 5 4 9" xfId="36075" xr:uid="{00000000-0005-0000-0000-0000DD8C0000}"/>
    <cellStyle name="Normal 5 17 2 5 5" xfId="36076" xr:uid="{00000000-0005-0000-0000-0000DE8C0000}"/>
    <cellStyle name="Normal 5 17 2 5 5 10" xfId="36077" xr:uid="{00000000-0005-0000-0000-0000DF8C0000}"/>
    <cellStyle name="Normal 5 17 2 5 5 2" xfId="36078" xr:uid="{00000000-0005-0000-0000-0000E08C0000}"/>
    <cellStyle name="Normal 5 17 2 5 5 3" xfId="36079" xr:uid="{00000000-0005-0000-0000-0000E18C0000}"/>
    <cellStyle name="Normal 5 17 2 5 5 4" xfId="36080" xr:uid="{00000000-0005-0000-0000-0000E28C0000}"/>
    <cellStyle name="Normal 5 17 2 5 5 5" xfId="36081" xr:uid="{00000000-0005-0000-0000-0000E38C0000}"/>
    <cellStyle name="Normal 5 17 2 5 5 6" xfId="36082" xr:uid="{00000000-0005-0000-0000-0000E48C0000}"/>
    <cellStyle name="Normal 5 17 2 5 5 7" xfId="36083" xr:uid="{00000000-0005-0000-0000-0000E58C0000}"/>
    <cellStyle name="Normal 5 17 2 5 5 8" xfId="36084" xr:uid="{00000000-0005-0000-0000-0000E68C0000}"/>
    <cellStyle name="Normal 5 17 2 5 5 9" xfId="36085" xr:uid="{00000000-0005-0000-0000-0000E78C0000}"/>
    <cellStyle name="Normal 5 17 2 5 6" xfId="36086" xr:uid="{00000000-0005-0000-0000-0000E88C0000}"/>
    <cellStyle name="Normal 5 17 2 5 7" xfId="36087" xr:uid="{00000000-0005-0000-0000-0000E98C0000}"/>
    <cellStyle name="Normal 5 17 2 5 8" xfId="36088" xr:uid="{00000000-0005-0000-0000-0000EA8C0000}"/>
    <cellStyle name="Normal 5 17 2 5 9" xfId="36089" xr:uid="{00000000-0005-0000-0000-0000EB8C0000}"/>
    <cellStyle name="Normal 5 17 2 6" xfId="36090" xr:uid="{00000000-0005-0000-0000-0000EC8C0000}"/>
    <cellStyle name="Normal 5 17 2 6 10" xfId="36091" xr:uid="{00000000-0005-0000-0000-0000ED8C0000}"/>
    <cellStyle name="Normal 5 17 2 6 11" xfId="36092" xr:uid="{00000000-0005-0000-0000-0000EE8C0000}"/>
    <cellStyle name="Normal 5 17 2 6 12" xfId="36093" xr:uid="{00000000-0005-0000-0000-0000EF8C0000}"/>
    <cellStyle name="Normal 5 17 2 6 13" xfId="36094" xr:uid="{00000000-0005-0000-0000-0000F08C0000}"/>
    <cellStyle name="Normal 5 17 2 6 14" xfId="36095" xr:uid="{00000000-0005-0000-0000-0000F18C0000}"/>
    <cellStyle name="Normal 5 17 2 6 2" xfId="36096" xr:uid="{00000000-0005-0000-0000-0000F28C0000}"/>
    <cellStyle name="Normal 5 17 2 6 2 10" xfId="36097" xr:uid="{00000000-0005-0000-0000-0000F38C0000}"/>
    <cellStyle name="Normal 5 17 2 6 2 2" xfId="36098" xr:uid="{00000000-0005-0000-0000-0000F48C0000}"/>
    <cellStyle name="Normal 5 17 2 6 2 3" xfId="36099" xr:uid="{00000000-0005-0000-0000-0000F58C0000}"/>
    <cellStyle name="Normal 5 17 2 6 2 4" xfId="36100" xr:uid="{00000000-0005-0000-0000-0000F68C0000}"/>
    <cellStyle name="Normal 5 17 2 6 2 5" xfId="36101" xr:uid="{00000000-0005-0000-0000-0000F78C0000}"/>
    <cellStyle name="Normal 5 17 2 6 2 6" xfId="36102" xr:uid="{00000000-0005-0000-0000-0000F88C0000}"/>
    <cellStyle name="Normal 5 17 2 6 2 7" xfId="36103" xr:uid="{00000000-0005-0000-0000-0000F98C0000}"/>
    <cellStyle name="Normal 5 17 2 6 2 8" xfId="36104" xr:uid="{00000000-0005-0000-0000-0000FA8C0000}"/>
    <cellStyle name="Normal 5 17 2 6 2 9" xfId="36105" xr:uid="{00000000-0005-0000-0000-0000FB8C0000}"/>
    <cellStyle name="Normal 5 17 2 6 3" xfId="36106" xr:uid="{00000000-0005-0000-0000-0000FC8C0000}"/>
    <cellStyle name="Normal 5 17 2 6 3 10" xfId="36107" xr:uid="{00000000-0005-0000-0000-0000FD8C0000}"/>
    <cellStyle name="Normal 5 17 2 6 3 2" xfId="36108" xr:uid="{00000000-0005-0000-0000-0000FE8C0000}"/>
    <cellStyle name="Normal 5 17 2 6 3 3" xfId="36109" xr:uid="{00000000-0005-0000-0000-0000FF8C0000}"/>
    <cellStyle name="Normal 5 17 2 6 3 4" xfId="36110" xr:uid="{00000000-0005-0000-0000-0000008D0000}"/>
    <cellStyle name="Normal 5 17 2 6 3 5" xfId="36111" xr:uid="{00000000-0005-0000-0000-0000018D0000}"/>
    <cellStyle name="Normal 5 17 2 6 3 6" xfId="36112" xr:uid="{00000000-0005-0000-0000-0000028D0000}"/>
    <cellStyle name="Normal 5 17 2 6 3 7" xfId="36113" xr:uid="{00000000-0005-0000-0000-0000038D0000}"/>
    <cellStyle name="Normal 5 17 2 6 3 8" xfId="36114" xr:uid="{00000000-0005-0000-0000-0000048D0000}"/>
    <cellStyle name="Normal 5 17 2 6 3 9" xfId="36115" xr:uid="{00000000-0005-0000-0000-0000058D0000}"/>
    <cellStyle name="Normal 5 17 2 6 4" xfId="36116" xr:uid="{00000000-0005-0000-0000-0000068D0000}"/>
    <cellStyle name="Normal 5 17 2 6 4 10" xfId="36117" xr:uid="{00000000-0005-0000-0000-0000078D0000}"/>
    <cellStyle name="Normal 5 17 2 6 4 2" xfId="36118" xr:uid="{00000000-0005-0000-0000-0000088D0000}"/>
    <cellStyle name="Normal 5 17 2 6 4 3" xfId="36119" xr:uid="{00000000-0005-0000-0000-0000098D0000}"/>
    <cellStyle name="Normal 5 17 2 6 4 4" xfId="36120" xr:uid="{00000000-0005-0000-0000-00000A8D0000}"/>
    <cellStyle name="Normal 5 17 2 6 4 5" xfId="36121" xr:uid="{00000000-0005-0000-0000-00000B8D0000}"/>
    <cellStyle name="Normal 5 17 2 6 4 6" xfId="36122" xr:uid="{00000000-0005-0000-0000-00000C8D0000}"/>
    <cellStyle name="Normal 5 17 2 6 4 7" xfId="36123" xr:uid="{00000000-0005-0000-0000-00000D8D0000}"/>
    <cellStyle name="Normal 5 17 2 6 4 8" xfId="36124" xr:uid="{00000000-0005-0000-0000-00000E8D0000}"/>
    <cellStyle name="Normal 5 17 2 6 4 9" xfId="36125" xr:uid="{00000000-0005-0000-0000-00000F8D0000}"/>
    <cellStyle name="Normal 5 17 2 6 5" xfId="36126" xr:uid="{00000000-0005-0000-0000-0000108D0000}"/>
    <cellStyle name="Normal 5 17 2 6 5 10" xfId="36127" xr:uid="{00000000-0005-0000-0000-0000118D0000}"/>
    <cellStyle name="Normal 5 17 2 6 5 2" xfId="36128" xr:uid="{00000000-0005-0000-0000-0000128D0000}"/>
    <cellStyle name="Normal 5 17 2 6 5 3" xfId="36129" xr:uid="{00000000-0005-0000-0000-0000138D0000}"/>
    <cellStyle name="Normal 5 17 2 6 5 4" xfId="36130" xr:uid="{00000000-0005-0000-0000-0000148D0000}"/>
    <cellStyle name="Normal 5 17 2 6 5 5" xfId="36131" xr:uid="{00000000-0005-0000-0000-0000158D0000}"/>
    <cellStyle name="Normal 5 17 2 6 5 6" xfId="36132" xr:uid="{00000000-0005-0000-0000-0000168D0000}"/>
    <cellStyle name="Normal 5 17 2 6 5 7" xfId="36133" xr:uid="{00000000-0005-0000-0000-0000178D0000}"/>
    <cellStyle name="Normal 5 17 2 6 5 8" xfId="36134" xr:uid="{00000000-0005-0000-0000-0000188D0000}"/>
    <cellStyle name="Normal 5 17 2 6 5 9" xfId="36135" xr:uid="{00000000-0005-0000-0000-0000198D0000}"/>
    <cellStyle name="Normal 5 17 2 6 6" xfId="36136" xr:uid="{00000000-0005-0000-0000-00001A8D0000}"/>
    <cellStyle name="Normal 5 17 2 6 7" xfId="36137" xr:uid="{00000000-0005-0000-0000-00001B8D0000}"/>
    <cellStyle name="Normal 5 17 2 6 8" xfId="36138" xr:uid="{00000000-0005-0000-0000-00001C8D0000}"/>
    <cellStyle name="Normal 5 17 2 6 9" xfId="36139" xr:uid="{00000000-0005-0000-0000-00001D8D0000}"/>
    <cellStyle name="Normal 5 17 2 7" xfId="36140" xr:uid="{00000000-0005-0000-0000-00001E8D0000}"/>
    <cellStyle name="Normal 5 17 2 7 10" xfId="36141" xr:uid="{00000000-0005-0000-0000-00001F8D0000}"/>
    <cellStyle name="Normal 5 17 2 7 11" xfId="36142" xr:uid="{00000000-0005-0000-0000-0000208D0000}"/>
    <cellStyle name="Normal 5 17 2 7 12" xfId="36143" xr:uid="{00000000-0005-0000-0000-0000218D0000}"/>
    <cellStyle name="Normal 5 17 2 7 13" xfId="36144" xr:uid="{00000000-0005-0000-0000-0000228D0000}"/>
    <cellStyle name="Normal 5 17 2 7 14" xfId="36145" xr:uid="{00000000-0005-0000-0000-0000238D0000}"/>
    <cellStyle name="Normal 5 17 2 7 2" xfId="36146" xr:uid="{00000000-0005-0000-0000-0000248D0000}"/>
    <cellStyle name="Normal 5 17 2 7 2 10" xfId="36147" xr:uid="{00000000-0005-0000-0000-0000258D0000}"/>
    <cellStyle name="Normal 5 17 2 7 2 2" xfId="36148" xr:uid="{00000000-0005-0000-0000-0000268D0000}"/>
    <cellStyle name="Normal 5 17 2 7 2 3" xfId="36149" xr:uid="{00000000-0005-0000-0000-0000278D0000}"/>
    <cellStyle name="Normal 5 17 2 7 2 4" xfId="36150" xr:uid="{00000000-0005-0000-0000-0000288D0000}"/>
    <cellStyle name="Normal 5 17 2 7 2 5" xfId="36151" xr:uid="{00000000-0005-0000-0000-0000298D0000}"/>
    <cellStyle name="Normal 5 17 2 7 2 6" xfId="36152" xr:uid="{00000000-0005-0000-0000-00002A8D0000}"/>
    <cellStyle name="Normal 5 17 2 7 2 7" xfId="36153" xr:uid="{00000000-0005-0000-0000-00002B8D0000}"/>
    <cellStyle name="Normal 5 17 2 7 2 8" xfId="36154" xr:uid="{00000000-0005-0000-0000-00002C8D0000}"/>
    <cellStyle name="Normal 5 17 2 7 2 9" xfId="36155" xr:uid="{00000000-0005-0000-0000-00002D8D0000}"/>
    <cellStyle name="Normal 5 17 2 7 3" xfId="36156" xr:uid="{00000000-0005-0000-0000-00002E8D0000}"/>
    <cellStyle name="Normal 5 17 2 7 3 10" xfId="36157" xr:uid="{00000000-0005-0000-0000-00002F8D0000}"/>
    <cellStyle name="Normal 5 17 2 7 3 2" xfId="36158" xr:uid="{00000000-0005-0000-0000-0000308D0000}"/>
    <cellStyle name="Normal 5 17 2 7 3 3" xfId="36159" xr:uid="{00000000-0005-0000-0000-0000318D0000}"/>
    <cellStyle name="Normal 5 17 2 7 3 4" xfId="36160" xr:uid="{00000000-0005-0000-0000-0000328D0000}"/>
    <cellStyle name="Normal 5 17 2 7 3 5" xfId="36161" xr:uid="{00000000-0005-0000-0000-0000338D0000}"/>
    <cellStyle name="Normal 5 17 2 7 3 6" xfId="36162" xr:uid="{00000000-0005-0000-0000-0000348D0000}"/>
    <cellStyle name="Normal 5 17 2 7 3 7" xfId="36163" xr:uid="{00000000-0005-0000-0000-0000358D0000}"/>
    <cellStyle name="Normal 5 17 2 7 3 8" xfId="36164" xr:uid="{00000000-0005-0000-0000-0000368D0000}"/>
    <cellStyle name="Normal 5 17 2 7 3 9" xfId="36165" xr:uid="{00000000-0005-0000-0000-0000378D0000}"/>
    <cellStyle name="Normal 5 17 2 7 4" xfId="36166" xr:uid="{00000000-0005-0000-0000-0000388D0000}"/>
    <cellStyle name="Normal 5 17 2 7 4 10" xfId="36167" xr:uid="{00000000-0005-0000-0000-0000398D0000}"/>
    <cellStyle name="Normal 5 17 2 7 4 2" xfId="36168" xr:uid="{00000000-0005-0000-0000-00003A8D0000}"/>
    <cellStyle name="Normal 5 17 2 7 4 3" xfId="36169" xr:uid="{00000000-0005-0000-0000-00003B8D0000}"/>
    <cellStyle name="Normal 5 17 2 7 4 4" xfId="36170" xr:uid="{00000000-0005-0000-0000-00003C8D0000}"/>
    <cellStyle name="Normal 5 17 2 7 4 5" xfId="36171" xr:uid="{00000000-0005-0000-0000-00003D8D0000}"/>
    <cellStyle name="Normal 5 17 2 7 4 6" xfId="36172" xr:uid="{00000000-0005-0000-0000-00003E8D0000}"/>
    <cellStyle name="Normal 5 17 2 7 4 7" xfId="36173" xr:uid="{00000000-0005-0000-0000-00003F8D0000}"/>
    <cellStyle name="Normal 5 17 2 7 4 8" xfId="36174" xr:uid="{00000000-0005-0000-0000-0000408D0000}"/>
    <cellStyle name="Normal 5 17 2 7 4 9" xfId="36175" xr:uid="{00000000-0005-0000-0000-0000418D0000}"/>
    <cellStyle name="Normal 5 17 2 7 5" xfId="36176" xr:uid="{00000000-0005-0000-0000-0000428D0000}"/>
    <cellStyle name="Normal 5 17 2 7 5 10" xfId="36177" xr:uid="{00000000-0005-0000-0000-0000438D0000}"/>
    <cellStyle name="Normal 5 17 2 7 5 2" xfId="36178" xr:uid="{00000000-0005-0000-0000-0000448D0000}"/>
    <cellStyle name="Normal 5 17 2 7 5 3" xfId="36179" xr:uid="{00000000-0005-0000-0000-0000458D0000}"/>
    <cellStyle name="Normal 5 17 2 7 5 4" xfId="36180" xr:uid="{00000000-0005-0000-0000-0000468D0000}"/>
    <cellStyle name="Normal 5 17 2 7 5 5" xfId="36181" xr:uid="{00000000-0005-0000-0000-0000478D0000}"/>
    <cellStyle name="Normal 5 17 2 7 5 6" xfId="36182" xr:uid="{00000000-0005-0000-0000-0000488D0000}"/>
    <cellStyle name="Normal 5 17 2 7 5 7" xfId="36183" xr:uid="{00000000-0005-0000-0000-0000498D0000}"/>
    <cellStyle name="Normal 5 17 2 7 5 8" xfId="36184" xr:uid="{00000000-0005-0000-0000-00004A8D0000}"/>
    <cellStyle name="Normal 5 17 2 7 5 9" xfId="36185" xr:uid="{00000000-0005-0000-0000-00004B8D0000}"/>
    <cellStyle name="Normal 5 17 2 7 6" xfId="36186" xr:uid="{00000000-0005-0000-0000-00004C8D0000}"/>
    <cellStyle name="Normal 5 17 2 7 7" xfId="36187" xr:uid="{00000000-0005-0000-0000-00004D8D0000}"/>
    <cellStyle name="Normal 5 17 2 7 8" xfId="36188" xr:uid="{00000000-0005-0000-0000-00004E8D0000}"/>
    <cellStyle name="Normal 5 17 2 7 9" xfId="36189" xr:uid="{00000000-0005-0000-0000-00004F8D0000}"/>
    <cellStyle name="Normal 5 17 2 8" xfId="36190" xr:uid="{00000000-0005-0000-0000-0000508D0000}"/>
    <cellStyle name="Normal 5 17 2 8 10" xfId="36191" xr:uid="{00000000-0005-0000-0000-0000518D0000}"/>
    <cellStyle name="Normal 5 17 2 8 11" xfId="36192" xr:uid="{00000000-0005-0000-0000-0000528D0000}"/>
    <cellStyle name="Normal 5 17 2 8 12" xfId="36193" xr:uid="{00000000-0005-0000-0000-0000538D0000}"/>
    <cellStyle name="Normal 5 17 2 8 13" xfId="36194" xr:uid="{00000000-0005-0000-0000-0000548D0000}"/>
    <cellStyle name="Normal 5 17 2 8 14" xfId="36195" xr:uid="{00000000-0005-0000-0000-0000558D0000}"/>
    <cellStyle name="Normal 5 17 2 8 2" xfId="36196" xr:uid="{00000000-0005-0000-0000-0000568D0000}"/>
    <cellStyle name="Normal 5 17 2 8 2 10" xfId="36197" xr:uid="{00000000-0005-0000-0000-0000578D0000}"/>
    <cellStyle name="Normal 5 17 2 8 2 2" xfId="36198" xr:uid="{00000000-0005-0000-0000-0000588D0000}"/>
    <cellStyle name="Normal 5 17 2 8 2 3" xfId="36199" xr:uid="{00000000-0005-0000-0000-0000598D0000}"/>
    <cellStyle name="Normal 5 17 2 8 2 4" xfId="36200" xr:uid="{00000000-0005-0000-0000-00005A8D0000}"/>
    <cellStyle name="Normal 5 17 2 8 2 5" xfId="36201" xr:uid="{00000000-0005-0000-0000-00005B8D0000}"/>
    <cellStyle name="Normal 5 17 2 8 2 6" xfId="36202" xr:uid="{00000000-0005-0000-0000-00005C8D0000}"/>
    <cellStyle name="Normal 5 17 2 8 2 7" xfId="36203" xr:uid="{00000000-0005-0000-0000-00005D8D0000}"/>
    <cellStyle name="Normal 5 17 2 8 2 8" xfId="36204" xr:uid="{00000000-0005-0000-0000-00005E8D0000}"/>
    <cellStyle name="Normal 5 17 2 8 2 9" xfId="36205" xr:uid="{00000000-0005-0000-0000-00005F8D0000}"/>
    <cellStyle name="Normal 5 17 2 8 3" xfId="36206" xr:uid="{00000000-0005-0000-0000-0000608D0000}"/>
    <cellStyle name="Normal 5 17 2 8 3 10" xfId="36207" xr:uid="{00000000-0005-0000-0000-0000618D0000}"/>
    <cellStyle name="Normal 5 17 2 8 3 2" xfId="36208" xr:uid="{00000000-0005-0000-0000-0000628D0000}"/>
    <cellStyle name="Normal 5 17 2 8 3 3" xfId="36209" xr:uid="{00000000-0005-0000-0000-0000638D0000}"/>
    <cellStyle name="Normal 5 17 2 8 3 4" xfId="36210" xr:uid="{00000000-0005-0000-0000-0000648D0000}"/>
    <cellStyle name="Normal 5 17 2 8 3 5" xfId="36211" xr:uid="{00000000-0005-0000-0000-0000658D0000}"/>
    <cellStyle name="Normal 5 17 2 8 3 6" xfId="36212" xr:uid="{00000000-0005-0000-0000-0000668D0000}"/>
    <cellStyle name="Normal 5 17 2 8 3 7" xfId="36213" xr:uid="{00000000-0005-0000-0000-0000678D0000}"/>
    <cellStyle name="Normal 5 17 2 8 3 8" xfId="36214" xr:uid="{00000000-0005-0000-0000-0000688D0000}"/>
    <cellStyle name="Normal 5 17 2 8 3 9" xfId="36215" xr:uid="{00000000-0005-0000-0000-0000698D0000}"/>
    <cellStyle name="Normal 5 17 2 8 4" xfId="36216" xr:uid="{00000000-0005-0000-0000-00006A8D0000}"/>
    <cellStyle name="Normal 5 17 2 8 4 10" xfId="36217" xr:uid="{00000000-0005-0000-0000-00006B8D0000}"/>
    <cellStyle name="Normal 5 17 2 8 4 2" xfId="36218" xr:uid="{00000000-0005-0000-0000-00006C8D0000}"/>
    <cellStyle name="Normal 5 17 2 8 4 3" xfId="36219" xr:uid="{00000000-0005-0000-0000-00006D8D0000}"/>
    <cellStyle name="Normal 5 17 2 8 4 4" xfId="36220" xr:uid="{00000000-0005-0000-0000-00006E8D0000}"/>
    <cellStyle name="Normal 5 17 2 8 4 5" xfId="36221" xr:uid="{00000000-0005-0000-0000-00006F8D0000}"/>
    <cellStyle name="Normal 5 17 2 8 4 6" xfId="36222" xr:uid="{00000000-0005-0000-0000-0000708D0000}"/>
    <cellStyle name="Normal 5 17 2 8 4 7" xfId="36223" xr:uid="{00000000-0005-0000-0000-0000718D0000}"/>
    <cellStyle name="Normal 5 17 2 8 4 8" xfId="36224" xr:uid="{00000000-0005-0000-0000-0000728D0000}"/>
    <cellStyle name="Normal 5 17 2 8 4 9" xfId="36225" xr:uid="{00000000-0005-0000-0000-0000738D0000}"/>
    <cellStyle name="Normal 5 17 2 8 5" xfId="36226" xr:uid="{00000000-0005-0000-0000-0000748D0000}"/>
    <cellStyle name="Normal 5 17 2 8 5 10" xfId="36227" xr:uid="{00000000-0005-0000-0000-0000758D0000}"/>
    <cellStyle name="Normal 5 17 2 8 5 2" xfId="36228" xr:uid="{00000000-0005-0000-0000-0000768D0000}"/>
    <cellStyle name="Normal 5 17 2 8 5 3" xfId="36229" xr:uid="{00000000-0005-0000-0000-0000778D0000}"/>
    <cellStyle name="Normal 5 17 2 8 5 4" xfId="36230" xr:uid="{00000000-0005-0000-0000-0000788D0000}"/>
    <cellStyle name="Normal 5 17 2 8 5 5" xfId="36231" xr:uid="{00000000-0005-0000-0000-0000798D0000}"/>
    <cellStyle name="Normal 5 17 2 8 5 6" xfId="36232" xr:uid="{00000000-0005-0000-0000-00007A8D0000}"/>
    <cellStyle name="Normal 5 17 2 8 5 7" xfId="36233" xr:uid="{00000000-0005-0000-0000-00007B8D0000}"/>
    <cellStyle name="Normal 5 17 2 8 5 8" xfId="36234" xr:uid="{00000000-0005-0000-0000-00007C8D0000}"/>
    <cellStyle name="Normal 5 17 2 8 5 9" xfId="36235" xr:uid="{00000000-0005-0000-0000-00007D8D0000}"/>
    <cellStyle name="Normal 5 17 2 8 6" xfId="36236" xr:uid="{00000000-0005-0000-0000-00007E8D0000}"/>
    <cellStyle name="Normal 5 17 2 8 7" xfId="36237" xr:uid="{00000000-0005-0000-0000-00007F8D0000}"/>
    <cellStyle name="Normal 5 17 2 8 8" xfId="36238" xr:uid="{00000000-0005-0000-0000-0000808D0000}"/>
    <cellStyle name="Normal 5 17 2 8 9" xfId="36239" xr:uid="{00000000-0005-0000-0000-0000818D0000}"/>
    <cellStyle name="Normal 5 17 2 9" xfId="36240" xr:uid="{00000000-0005-0000-0000-0000828D0000}"/>
    <cellStyle name="Normal 5 17 2 9 10" xfId="36241" xr:uid="{00000000-0005-0000-0000-0000838D0000}"/>
    <cellStyle name="Normal 5 17 2 9 11" xfId="36242" xr:uid="{00000000-0005-0000-0000-0000848D0000}"/>
    <cellStyle name="Normal 5 17 2 9 12" xfId="36243" xr:uid="{00000000-0005-0000-0000-0000858D0000}"/>
    <cellStyle name="Normal 5 17 2 9 13" xfId="36244" xr:uid="{00000000-0005-0000-0000-0000868D0000}"/>
    <cellStyle name="Normal 5 17 2 9 14" xfId="36245" xr:uid="{00000000-0005-0000-0000-0000878D0000}"/>
    <cellStyle name="Normal 5 17 2 9 2" xfId="36246" xr:uid="{00000000-0005-0000-0000-0000888D0000}"/>
    <cellStyle name="Normal 5 17 2 9 2 10" xfId="36247" xr:uid="{00000000-0005-0000-0000-0000898D0000}"/>
    <cellStyle name="Normal 5 17 2 9 2 2" xfId="36248" xr:uid="{00000000-0005-0000-0000-00008A8D0000}"/>
    <cellStyle name="Normal 5 17 2 9 2 3" xfId="36249" xr:uid="{00000000-0005-0000-0000-00008B8D0000}"/>
    <cellStyle name="Normal 5 17 2 9 2 4" xfId="36250" xr:uid="{00000000-0005-0000-0000-00008C8D0000}"/>
    <cellStyle name="Normal 5 17 2 9 2 5" xfId="36251" xr:uid="{00000000-0005-0000-0000-00008D8D0000}"/>
    <cellStyle name="Normal 5 17 2 9 2 6" xfId="36252" xr:uid="{00000000-0005-0000-0000-00008E8D0000}"/>
    <cellStyle name="Normal 5 17 2 9 2 7" xfId="36253" xr:uid="{00000000-0005-0000-0000-00008F8D0000}"/>
    <cellStyle name="Normal 5 17 2 9 2 8" xfId="36254" xr:uid="{00000000-0005-0000-0000-0000908D0000}"/>
    <cellStyle name="Normal 5 17 2 9 2 9" xfId="36255" xr:uid="{00000000-0005-0000-0000-0000918D0000}"/>
    <cellStyle name="Normal 5 17 2 9 3" xfId="36256" xr:uid="{00000000-0005-0000-0000-0000928D0000}"/>
    <cellStyle name="Normal 5 17 2 9 3 10" xfId="36257" xr:uid="{00000000-0005-0000-0000-0000938D0000}"/>
    <cellStyle name="Normal 5 17 2 9 3 2" xfId="36258" xr:uid="{00000000-0005-0000-0000-0000948D0000}"/>
    <cellStyle name="Normal 5 17 2 9 3 3" xfId="36259" xr:uid="{00000000-0005-0000-0000-0000958D0000}"/>
    <cellStyle name="Normal 5 17 2 9 3 4" xfId="36260" xr:uid="{00000000-0005-0000-0000-0000968D0000}"/>
    <cellStyle name="Normal 5 17 2 9 3 5" xfId="36261" xr:uid="{00000000-0005-0000-0000-0000978D0000}"/>
    <cellStyle name="Normal 5 17 2 9 3 6" xfId="36262" xr:uid="{00000000-0005-0000-0000-0000988D0000}"/>
    <cellStyle name="Normal 5 17 2 9 3 7" xfId="36263" xr:uid="{00000000-0005-0000-0000-0000998D0000}"/>
    <cellStyle name="Normal 5 17 2 9 3 8" xfId="36264" xr:uid="{00000000-0005-0000-0000-00009A8D0000}"/>
    <cellStyle name="Normal 5 17 2 9 3 9" xfId="36265" xr:uid="{00000000-0005-0000-0000-00009B8D0000}"/>
    <cellStyle name="Normal 5 17 2 9 4" xfId="36266" xr:uid="{00000000-0005-0000-0000-00009C8D0000}"/>
    <cellStyle name="Normal 5 17 2 9 4 10" xfId="36267" xr:uid="{00000000-0005-0000-0000-00009D8D0000}"/>
    <cellStyle name="Normal 5 17 2 9 4 2" xfId="36268" xr:uid="{00000000-0005-0000-0000-00009E8D0000}"/>
    <cellStyle name="Normal 5 17 2 9 4 3" xfId="36269" xr:uid="{00000000-0005-0000-0000-00009F8D0000}"/>
    <cellStyle name="Normal 5 17 2 9 4 4" xfId="36270" xr:uid="{00000000-0005-0000-0000-0000A08D0000}"/>
    <cellStyle name="Normal 5 17 2 9 4 5" xfId="36271" xr:uid="{00000000-0005-0000-0000-0000A18D0000}"/>
    <cellStyle name="Normal 5 17 2 9 4 6" xfId="36272" xr:uid="{00000000-0005-0000-0000-0000A28D0000}"/>
    <cellStyle name="Normal 5 17 2 9 4 7" xfId="36273" xr:uid="{00000000-0005-0000-0000-0000A38D0000}"/>
    <cellStyle name="Normal 5 17 2 9 4 8" xfId="36274" xr:uid="{00000000-0005-0000-0000-0000A48D0000}"/>
    <cellStyle name="Normal 5 17 2 9 4 9" xfId="36275" xr:uid="{00000000-0005-0000-0000-0000A58D0000}"/>
    <cellStyle name="Normal 5 17 2 9 5" xfId="36276" xr:uid="{00000000-0005-0000-0000-0000A68D0000}"/>
    <cellStyle name="Normal 5 17 2 9 5 10" xfId="36277" xr:uid="{00000000-0005-0000-0000-0000A78D0000}"/>
    <cellStyle name="Normal 5 17 2 9 5 2" xfId="36278" xr:uid="{00000000-0005-0000-0000-0000A88D0000}"/>
    <cellStyle name="Normal 5 17 2 9 5 3" xfId="36279" xr:uid="{00000000-0005-0000-0000-0000A98D0000}"/>
    <cellStyle name="Normal 5 17 2 9 5 4" xfId="36280" xr:uid="{00000000-0005-0000-0000-0000AA8D0000}"/>
    <cellStyle name="Normal 5 17 2 9 5 5" xfId="36281" xr:uid="{00000000-0005-0000-0000-0000AB8D0000}"/>
    <cellStyle name="Normal 5 17 2 9 5 6" xfId="36282" xr:uid="{00000000-0005-0000-0000-0000AC8D0000}"/>
    <cellStyle name="Normal 5 17 2 9 5 7" xfId="36283" xr:uid="{00000000-0005-0000-0000-0000AD8D0000}"/>
    <cellStyle name="Normal 5 17 2 9 5 8" xfId="36284" xr:uid="{00000000-0005-0000-0000-0000AE8D0000}"/>
    <cellStyle name="Normal 5 17 2 9 5 9" xfId="36285" xr:uid="{00000000-0005-0000-0000-0000AF8D0000}"/>
    <cellStyle name="Normal 5 17 2 9 6" xfId="36286" xr:uid="{00000000-0005-0000-0000-0000B08D0000}"/>
    <cellStyle name="Normal 5 17 2 9 7" xfId="36287" xr:uid="{00000000-0005-0000-0000-0000B18D0000}"/>
    <cellStyle name="Normal 5 17 2 9 8" xfId="36288" xr:uid="{00000000-0005-0000-0000-0000B28D0000}"/>
    <cellStyle name="Normal 5 17 2 9 9" xfId="36289" xr:uid="{00000000-0005-0000-0000-0000B38D0000}"/>
    <cellStyle name="Normal 5 17 20" xfId="36290" xr:uid="{00000000-0005-0000-0000-0000B48D0000}"/>
    <cellStyle name="Normal 5 17 20 10" xfId="36291" xr:uid="{00000000-0005-0000-0000-0000B58D0000}"/>
    <cellStyle name="Normal 5 17 20 11" xfId="36292" xr:uid="{00000000-0005-0000-0000-0000B68D0000}"/>
    <cellStyle name="Normal 5 17 20 12" xfId="36293" xr:uid="{00000000-0005-0000-0000-0000B78D0000}"/>
    <cellStyle name="Normal 5 17 20 13" xfId="36294" xr:uid="{00000000-0005-0000-0000-0000B88D0000}"/>
    <cellStyle name="Normal 5 17 20 14" xfId="36295" xr:uid="{00000000-0005-0000-0000-0000B98D0000}"/>
    <cellStyle name="Normal 5 17 20 2" xfId="36296" xr:uid="{00000000-0005-0000-0000-0000BA8D0000}"/>
    <cellStyle name="Normal 5 17 20 2 10" xfId="36297" xr:uid="{00000000-0005-0000-0000-0000BB8D0000}"/>
    <cellStyle name="Normal 5 17 20 2 2" xfId="36298" xr:uid="{00000000-0005-0000-0000-0000BC8D0000}"/>
    <cellStyle name="Normal 5 17 20 2 3" xfId="36299" xr:uid="{00000000-0005-0000-0000-0000BD8D0000}"/>
    <cellStyle name="Normal 5 17 20 2 4" xfId="36300" xr:uid="{00000000-0005-0000-0000-0000BE8D0000}"/>
    <cellStyle name="Normal 5 17 20 2 5" xfId="36301" xr:uid="{00000000-0005-0000-0000-0000BF8D0000}"/>
    <cellStyle name="Normal 5 17 20 2 6" xfId="36302" xr:uid="{00000000-0005-0000-0000-0000C08D0000}"/>
    <cellStyle name="Normal 5 17 20 2 7" xfId="36303" xr:uid="{00000000-0005-0000-0000-0000C18D0000}"/>
    <cellStyle name="Normal 5 17 20 2 8" xfId="36304" xr:uid="{00000000-0005-0000-0000-0000C28D0000}"/>
    <cellStyle name="Normal 5 17 20 2 9" xfId="36305" xr:uid="{00000000-0005-0000-0000-0000C38D0000}"/>
    <cellStyle name="Normal 5 17 20 3" xfId="36306" xr:uid="{00000000-0005-0000-0000-0000C48D0000}"/>
    <cellStyle name="Normal 5 17 20 3 10" xfId="36307" xr:uid="{00000000-0005-0000-0000-0000C58D0000}"/>
    <cellStyle name="Normal 5 17 20 3 2" xfId="36308" xr:uid="{00000000-0005-0000-0000-0000C68D0000}"/>
    <cellStyle name="Normal 5 17 20 3 3" xfId="36309" xr:uid="{00000000-0005-0000-0000-0000C78D0000}"/>
    <cellStyle name="Normal 5 17 20 3 4" xfId="36310" xr:uid="{00000000-0005-0000-0000-0000C88D0000}"/>
    <cellStyle name="Normal 5 17 20 3 5" xfId="36311" xr:uid="{00000000-0005-0000-0000-0000C98D0000}"/>
    <cellStyle name="Normal 5 17 20 3 6" xfId="36312" xr:uid="{00000000-0005-0000-0000-0000CA8D0000}"/>
    <cellStyle name="Normal 5 17 20 3 7" xfId="36313" xr:uid="{00000000-0005-0000-0000-0000CB8D0000}"/>
    <cellStyle name="Normal 5 17 20 3 8" xfId="36314" xr:uid="{00000000-0005-0000-0000-0000CC8D0000}"/>
    <cellStyle name="Normal 5 17 20 3 9" xfId="36315" xr:uid="{00000000-0005-0000-0000-0000CD8D0000}"/>
    <cellStyle name="Normal 5 17 20 4" xfId="36316" xr:uid="{00000000-0005-0000-0000-0000CE8D0000}"/>
    <cellStyle name="Normal 5 17 20 4 10" xfId="36317" xr:uid="{00000000-0005-0000-0000-0000CF8D0000}"/>
    <cellStyle name="Normal 5 17 20 4 2" xfId="36318" xr:uid="{00000000-0005-0000-0000-0000D08D0000}"/>
    <cellStyle name="Normal 5 17 20 4 3" xfId="36319" xr:uid="{00000000-0005-0000-0000-0000D18D0000}"/>
    <cellStyle name="Normal 5 17 20 4 4" xfId="36320" xr:uid="{00000000-0005-0000-0000-0000D28D0000}"/>
    <cellStyle name="Normal 5 17 20 4 5" xfId="36321" xr:uid="{00000000-0005-0000-0000-0000D38D0000}"/>
    <cellStyle name="Normal 5 17 20 4 6" xfId="36322" xr:uid="{00000000-0005-0000-0000-0000D48D0000}"/>
    <cellStyle name="Normal 5 17 20 4 7" xfId="36323" xr:uid="{00000000-0005-0000-0000-0000D58D0000}"/>
    <cellStyle name="Normal 5 17 20 4 8" xfId="36324" xr:uid="{00000000-0005-0000-0000-0000D68D0000}"/>
    <cellStyle name="Normal 5 17 20 4 9" xfId="36325" xr:uid="{00000000-0005-0000-0000-0000D78D0000}"/>
    <cellStyle name="Normal 5 17 20 5" xfId="36326" xr:uid="{00000000-0005-0000-0000-0000D88D0000}"/>
    <cellStyle name="Normal 5 17 20 5 10" xfId="36327" xr:uid="{00000000-0005-0000-0000-0000D98D0000}"/>
    <cellStyle name="Normal 5 17 20 5 2" xfId="36328" xr:uid="{00000000-0005-0000-0000-0000DA8D0000}"/>
    <cellStyle name="Normal 5 17 20 5 3" xfId="36329" xr:uid="{00000000-0005-0000-0000-0000DB8D0000}"/>
    <cellStyle name="Normal 5 17 20 5 4" xfId="36330" xr:uid="{00000000-0005-0000-0000-0000DC8D0000}"/>
    <cellStyle name="Normal 5 17 20 5 5" xfId="36331" xr:uid="{00000000-0005-0000-0000-0000DD8D0000}"/>
    <cellStyle name="Normal 5 17 20 5 6" xfId="36332" xr:uid="{00000000-0005-0000-0000-0000DE8D0000}"/>
    <cellStyle name="Normal 5 17 20 5 7" xfId="36333" xr:uid="{00000000-0005-0000-0000-0000DF8D0000}"/>
    <cellStyle name="Normal 5 17 20 5 8" xfId="36334" xr:uid="{00000000-0005-0000-0000-0000E08D0000}"/>
    <cellStyle name="Normal 5 17 20 5 9" xfId="36335" xr:uid="{00000000-0005-0000-0000-0000E18D0000}"/>
    <cellStyle name="Normal 5 17 20 6" xfId="36336" xr:uid="{00000000-0005-0000-0000-0000E28D0000}"/>
    <cellStyle name="Normal 5 17 20 7" xfId="36337" xr:uid="{00000000-0005-0000-0000-0000E38D0000}"/>
    <cellStyle name="Normal 5 17 20 8" xfId="36338" xr:uid="{00000000-0005-0000-0000-0000E48D0000}"/>
    <cellStyle name="Normal 5 17 20 9" xfId="36339" xr:uid="{00000000-0005-0000-0000-0000E58D0000}"/>
    <cellStyle name="Normal 5 17 21" xfId="36340" xr:uid="{00000000-0005-0000-0000-0000E68D0000}"/>
    <cellStyle name="Normal 5 17 21 10" xfId="36341" xr:uid="{00000000-0005-0000-0000-0000E78D0000}"/>
    <cellStyle name="Normal 5 17 21 11" xfId="36342" xr:uid="{00000000-0005-0000-0000-0000E88D0000}"/>
    <cellStyle name="Normal 5 17 21 12" xfId="36343" xr:uid="{00000000-0005-0000-0000-0000E98D0000}"/>
    <cellStyle name="Normal 5 17 21 13" xfId="36344" xr:uid="{00000000-0005-0000-0000-0000EA8D0000}"/>
    <cellStyle name="Normal 5 17 21 14" xfId="36345" xr:uid="{00000000-0005-0000-0000-0000EB8D0000}"/>
    <cellStyle name="Normal 5 17 21 2" xfId="36346" xr:uid="{00000000-0005-0000-0000-0000EC8D0000}"/>
    <cellStyle name="Normal 5 17 21 2 10" xfId="36347" xr:uid="{00000000-0005-0000-0000-0000ED8D0000}"/>
    <cellStyle name="Normal 5 17 21 2 2" xfId="36348" xr:uid="{00000000-0005-0000-0000-0000EE8D0000}"/>
    <cellStyle name="Normal 5 17 21 2 3" xfId="36349" xr:uid="{00000000-0005-0000-0000-0000EF8D0000}"/>
    <cellStyle name="Normal 5 17 21 2 4" xfId="36350" xr:uid="{00000000-0005-0000-0000-0000F08D0000}"/>
    <cellStyle name="Normal 5 17 21 2 5" xfId="36351" xr:uid="{00000000-0005-0000-0000-0000F18D0000}"/>
    <cellStyle name="Normal 5 17 21 2 6" xfId="36352" xr:uid="{00000000-0005-0000-0000-0000F28D0000}"/>
    <cellStyle name="Normal 5 17 21 2 7" xfId="36353" xr:uid="{00000000-0005-0000-0000-0000F38D0000}"/>
    <cellStyle name="Normal 5 17 21 2 8" xfId="36354" xr:uid="{00000000-0005-0000-0000-0000F48D0000}"/>
    <cellStyle name="Normal 5 17 21 2 9" xfId="36355" xr:uid="{00000000-0005-0000-0000-0000F58D0000}"/>
    <cellStyle name="Normal 5 17 21 3" xfId="36356" xr:uid="{00000000-0005-0000-0000-0000F68D0000}"/>
    <cellStyle name="Normal 5 17 21 3 10" xfId="36357" xr:uid="{00000000-0005-0000-0000-0000F78D0000}"/>
    <cellStyle name="Normal 5 17 21 3 2" xfId="36358" xr:uid="{00000000-0005-0000-0000-0000F88D0000}"/>
    <cellStyle name="Normal 5 17 21 3 3" xfId="36359" xr:uid="{00000000-0005-0000-0000-0000F98D0000}"/>
    <cellStyle name="Normal 5 17 21 3 4" xfId="36360" xr:uid="{00000000-0005-0000-0000-0000FA8D0000}"/>
    <cellStyle name="Normal 5 17 21 3 5" xfId="36361" xr:uid="{00000000-0005-0000-0000-0000FB8D0000}"/>
    <cellStyle name="Normal 5 17 21 3 6" xfId="36362" xr:uid="{00000000-0005-0000-0000-0000FC8D0000}"/>
    <cellStyle name="Normal 5 17 21 3 7" xfId="36363" xr:uid="{00000000-0005-0000-0000-0000FD8D0000}"/>
    <cellStyle name="Normal 5 17 21 3 8" xfId="36364" xr:uid="{00000000-0005-0000-0000-0000FE8D0000}"/>
    <cellStyle name="Normal 5 17 21 3 9" xfId="36365" xr:uid="{00000000-0005-0000-0000-0000FF8D0000}"/>
    <cellStyle name="Normal 5 17 21 4" xfId="36366" xr:uid="{00000000-0005-0000-0000-0000008E0000}"/>
    <cellStyle name="Normal 5 17 21 4 10" xfId="36367" xr:uid="{00000000-0005-0000-0000-0000018E0000}"/>
    <cellStyle name="Normal 5 17 21 4 2" xfId="36368" xr:uid="{00000000-0005-0000-0000-0000028E0000}"/>
    <cellStyle name="Normal 5 17 21 4 3" xfId="36369" xr:uid="{00000000-0005-0000-0000-0000038E0000}"/>
    <cellStyle name="Normal 5 17 21 4 4" xfId="36370" xr:uid="{00000000-0005-0000-0000-0000048E0000}"/>
    <cellStyle name="Normal 5 17 21 4 5" xfId="36371" xr:uid="{00000000-0005-0000-0000-0000058E0000}"/>
    <cellStyle name="Normal 5 17 21 4 6" xfId="36372" xr:uid="{00000000-0005-0000-0000-0000068E0000}"/>
    <cellStyle name="Normal 5 17 21 4 7" xfId="36373" xr:uid="{00000000-0005-0000-0000-0000078E0000}"/>
    <cellStyle name="Normal 5 17 21 4 8" xfId="36374" xr:uid="{00000000-0005-0000-0000-0000088E0000}"/>
    <cellStyle name="Normal 5 17 21 4 9" xfId="36375" xr:uid="{00000000-0005-0000-0000-0000098E0000}"/>
    <cellStyle name="Normal 5 17 21 5" xfId="36376" xr:uid="{00000000-0005-0000-0000-00000A8E0000}"/>
    <cellStyle name="Normal 5 17 21 5 10" xfId="36377" xr:uid="{00000000-0005-0000-0000-00000B8E0000}"/>
    <cellStyle name="Normal 5 17 21 5 2" xfId="36378" xr:uid="{00000000-0005-0000-0000-00000C8E0000}"/>
    <cellStyle name="Normal 5 17 21 5 3" xfId="36379" xr:uid="{00000000-0005-0000-0000-00000D8E0000}"/>
    <cellStyle name="Normal 5 17 21 5 4" xfId="36380" xr:uid="{00000000-0005-0000-0000-00000E8E0000}"/>
    <cellStyle name="Normal 5 17 21 5 5" xfId="36381" xr:uid="{00000000-0005-0000-0000-00000F8E0000}"/>
    <cellStyle name="Normal 5 17 21 5 6" xfId="36382" xr:uid="{00000000-0005-0000-0000-0000108E0000}"/>
    <cellStyle name="Normal 5 17 21 5 7" xfId="36383" xr:uid="{00000000-0005-0000-0000-0000118E0000}"/>
    <cellStyle name="Normal 5 17 21 5 8" xfId="36384" xr:uid="{00000000-0005-0000-0000-0000128E0000}"/>
    <cellStyle name="Normal 5 17 21 5 9" xfId="36385" xr:uid="{00000000-0005-0000-0000-0000138E0000}"/>
    <cellStyle name="Normal 5 17 21 6" xfId="36386" xr:uid="{00000000-0005-0000-0000-0000148E0000}"/>
    <cellStyle name="Normal 5 17 21 7" xfId="36387" xr:uid="{00000000-0005-0000-0000-0000158E0000}"/>
    <cellStyle name="Normal 5 17 21 8" xfId="36388" xr:uid="{00000000-0005-0000-0000-0000168E0000}"/>
    <cellStyle name="Normal 5 17 21 9" xfId="36389" xr:uid="{00000000-0005-0000-0000-0000178E0000}"/>
    <cellStyle name="Normal 5 17 22" xfId="36390" xr:uid="{00000000-0005-0000-0000-0000188E0000}"/>
    <cellStyle name="Normal 5 17 22 10" xfId="36391" xr:uid="{00000000-0005-0000-0000-0000198E0000}"/>
    <cellStyle name="Normal 5 17 22 11" xfId="36392" xr:uid="{00000000-0005-0000-0000-00001A8E0000}"/>
    <cellStyle name="Normal 5 17 22 12" xfId="36393" xr:uid="{00000000-0005-0000-0000-00001B8E0000}"/>
    <cellStyle name="Normal 5 17 22 13" xfId="36394" xr:uid="{00000000-0005-0000-0000-00001C8E0000}"/>
    <cellStyle name="Normal 5 17 22 14" xfId="36395" xr:uid="{00000000-0005-0000-0000-00001D8E0000}"/>
    <cellStyle name="Normal 5 17 22 2" xfId="36396" xr:uid="{00000000-0005-0000-0000-00001E8E0000}"/>
    <cellStyle name="Normal 5 17 22 2 10" xfId="36397" xr:uid="{00000000-0005-0000-0000-00001F8E0000}"/>
    <cellStyle name="Normal 5 17 22 2 2" xfId="36398" xr:uid="{00000000-0005-0000-0000-0000208E0000}"/>
    <cellStyle name="Normal 5 17 22 2 3" xfId="36399" xr:uid="{00000000-0005-0000-0000-0000218E0000}"/>
    <cellStyle name="Normal 5 17 22 2 4" xfId="36400" xr:uid="{00000000-0005-0000-0000-0000228E0000}"/>
    <cellStyle name="Normal 5 17 22 2 5" xfId="36401" xr:uid="{00000000-0005-0000-0000-0000238E0000}"/>
    <cellStyle name="Normal 5 17 22 2 6" xfId="36402" xr:uid="{00000000-0005-0000-0000-0000248E0000}"/>
    <cellStyle name="Normal 5 17 22 2 7" xfId="36403" xr:uid="{00000000-0005-0000-0000-0000258E0000}"/>
    <cellStyle name="Normal 5 17 22 2 8" xfId="36404" xr:uid="{00000000-0005-0000-0000-0000268E0000}"/>
    <cellStyle name="Normal 5 17 22 2 9" xfId="36405" xr:uid="{00000000-0005-0000-0000-0000278E0000}"/>
    <cellStyle name="Normal 5 17 22 3" xfId="36406" xr:uid="{00000000-0005-0000-0000-0000288E0000}"/>
    <cellStyle name="Normal 5 17 22 3 10" xfId="36407" xr:uid="{00000000-0005-0000-0000-0000298E0000}"/>
    <cellStyle name="Normal 5 17 22 3 2" xfId="36408" xr:uid="{00000000-0005-0000-0000-00002A8E0000}"/>
    <cellStyle name="Normal 5 17 22 3 3" xfId="36409" xr:uid="{00000000-0005-0000-0000-00002B8E0000}"/>
    <cellStyle name="Normal 5 17 22 3 4" xfId="36410" xr:uid="{00000000-0005-0000-0000-00002C8E0000}"/>
    <cellStyle name="Normal 5 17 22 3 5" xfId="36411" xr:uid="{00000000-0005-0000-0000-00002D8E0000}"/>
    <cellStyle name="Normal 5 17 22 3 6" xfId="36412" xr:uid="{00000000-0005-0000-0000-00002E8E0000}"/>
    <cellStyle name="Normal 5 17 22 3 7" xfId="36413" xr:uid="{00000000-0005-0000-0000-00002F8E0000}"/>
    <cellStyle name="Normal 5 17 22 3 8" xfId="36414" xr:uid="{00000000-0005-0000-0000-0000308E0000}"/>
    <cellStyle name="Normal 5 17 22 3 9" xfId="36415" xr:uid="{00000000-0005-0000-0000-0000318E0000}"/>
    <cellStyle name="Normal 5 17 22 4" xfId="36416" xr:uid="{00000000-0005-0000-0000-0000328E0000}"/>
    <cellStyle name="Normal 5 17 22 4 10" xfId="36417" xr:uid="{00000000-0005-0000-0000-0000338E0000}"/>
    <cellStyle name="Normal 5 17 22 4 2" xfId="36418" xr:uid="{00000000-0005-0000-0000-0000348E0000}"/>
    <cellStyle name="Normal 5 17 22 4 3" xfId="36419" xr:uid="{00000000-0005-0000-0000-0000358E0000}"/>
    <cellStyle name="Normal 5 17 22 4 4" xfId="36420" xr:uid="{00000000-0005-0000-0000-0000368E0000}"/>
    <cellStyle name="Normal 5 17 22 4 5" xfId="36421" xr:uid="{00000000-0005-0000-0000-0000378E0000}"/>
    <cellStyle name="Normal 5 17 22 4 6" xfId="36422" xr:uid="{00000000-0005-0000-0000-0000388E0000}"/>
    <cellStyle name="Normal 5 17 22 4 7" xfId="36423" xr:uid="{00000000-0005-0000-0000-0000398E0000}"/>
    <cellStyle name="Normal 5 17 22 4 8" xfId="36424" xr:uid="{00000000-0005-0000-0000-00003A8E0000}"/>
    <cellStyle name="Normal 5 17 22 4 9" xfId="36425" xr:uid="{00000000-0005-0000-0000-00003B8E0000}"/>
    <cellStyle name="Normal 5 17 22 5" xfId="36426" xr:uid="{00000000-0005-0000-0000-00003C8E0000}"/>
    <cellStyle name="Normal 5 17 22 5 10" xfId="36427" xr:uid="{00000000-0005-0000-0000-00003D8E0000}"/>
    <cellStyle name="Normal 5 17 22 5 2" xfId="36428" xr:uid="{00000000-0005-0000-0000-00003E8E0000}"/>
    <cellStyle name="Normal 5 17 22 5 3" xfId="36429" xr:uid="{00000000-0005-0000-0000-00003F8E0000}"/>
    <cellStyle name="Normal 5 17 22 5 4" xfId="36430" xr:uid="{00000000-0005-0000-0000-0000408E0000}"/>
    <cellStyle name="Normal 5 17 22 5 5" xfId="36431" xr:uid="{00000000-0005-0000-0000-0000418E0000}"/>
    <cellStyle name="Normal 5 17 22 5 6" xfId="36432" xr:uid="{00000000-0005-0000-0000-0000428E0000}"/>
    <cellStyle name="Normal 5 17 22 5 7" xfId="36433" xr:uid="{00000000-0005-0000-0000-0000438E0000}"/>
    <cellStyle name="Normal 5 17 22 5 8" xfId="36434" xr:uid="{00000000-0005-0000-0000-0000448E0000}"/>
    <cellStyle name="Normal 5 17 22 5 9" xfId="36435" xr:uid="{00000000-0005-0000-0000-0000458E0000}"/>
    <cellStyle name="Normal 5 17 22 6" xfId="36436" xr:uid="{00000000-0005-0000-0000-0000468E0000}"/>
    <cellStyle name="Normal 5 17 22 7" xfId="36437" xr:uid="{00000000-0005-0000-0000-0000478E0000}"/>
    <cellStyle name="Normal 5 17 22 8" xfId="36438" xr:uid="{00000000-0005-0000-0000-0000488E0000}"/>
    <cellStyle name="Normal 5 17 22 9" xfId="36439" xr:uid="{00000000-0005-0000-0000-0000498E0000}"/>
    <cellStyle name="Normal 5 17 23" xfId="36440" xr:uid="{00000000-0005-0000-0000-00004A8E0000}"/>
    <cellStyle name="Normal 5 17 23 10" xfId="36441" xr:uid="{00000000-0005-0000-0000-00004B8E0000}"/>
    <cellStyle name="Normal 5 17 23 11" xfId="36442" xr:uid="{00000000-0005-0000-0000-00004C8E0000}"/>
    <cellStyle name="Normal 5 17 23 12" xfId="36443" xr:uid="{00000000-0005-0000-0000-00004D8E0000}"/>
    <cellStyle name="Normal 5 17 23 13" xfId="36444" xr:uid="{00000000-0005-0000-0000-00004E8E0000}"/>
    <cellStyle name="Normal 5 17 23 14" xfId="36445" xr:uid="{00000000-0005-0000-0000-00004F8E0000}"/>
    <cellStyle name="Normal 5 17 23 2" xfId="36446" xr:uid="{00000000-0005-0000-0000-0000508E0000}"/>
    <cellStyle name="Normal 5 17 23 2 10" xfId="36447" xr:uid="{00000000-0005-0000-0000-0000518E0000}"/>
    <cellStyle name="Normal 5 17 23 2 2" xfId="36448" xr:uid="{00000000-0005-0000-0000-0000528E0000}"/>
    <cellStyle name="Normal 5 17 23 2 3" xfId="36449" xr:uid="{00000000-0005-0000-0000-0000538E0000}"/>
    <cellStyle name="Normal 5 17 23 2 4" xfId="36450" xr:uid="{00000000-0005-0000-0000-0000548E0000}"/>
    <cellStyle name="Normal 5 17 23 2 5" xfId="36451" xr:uid="{00000000-0005-0000-0000-0000558E0000}"/>
    <cellStyle name="Normal 5 17 23 2 6" xfId="36452" xr:uid="{00000000-0005-0000-0000-0000568E0000}"/>
    <cellStyle name="Normal 5 17 23 2 7" xfId="36453" xr:uid="{00000000-0005-0000-0000-0000578E0000}"/>
    <cellStyle name="Normal 5 17 23 2 8" xfId="36454" xr:uid="{00000000-0005-0000-0000-0000588E0000}"/>
    <cellStyle name="Normal 5 17 23 2 9" xfId="36455" xr:uid="{00000000-0005-0000-0000-0000598E0000}"/>
    <cellStyle name="Normal 5 17 23 3" xfId="36456" xr:uid="{00000000-0005-0000-0000-00005A8E0000}"/>
    <cellStyle name="Normal 5 17 23 3 10" xfId="36457" xr:uid="{00000000-0005-0000-0000-00005B8E0000}"/>
    <cellStyle name="Normal 5 17 23 3 2" xfId="36458" xr:uid="{00000000-0005-0000-0000-00005C8E0000}"/>
    <cellStyle name="Normal 5 17 23 3 3" xfId="36459" xr:uid="{00000000-0005-0000-0000-00005D8E0000}"/>
    <cellStyle name="Normal 5 17 23 3 4" xfId="36460" xr:uid="{00000000-0005-0000-0000-00005E8E0000}"/>
    <cellStyle name="Normal 5 17 23 3 5" xfId="36461" xr:uid="{00000000-0005-0000-0000-00005F8E0000}"/>
    <cellStyle name="Normal 5 17 23 3 6" xfId="36462" xr:uid="{00000000-0005-0000-0000-0000608E0000}"/>
    <cellStyle name="Normal 5 17 23 3 7" xfId="36463" xr:uid="{00000000-0005-0000-0000-0000618E0000}"/>
    <cellStyle name="Normal 5 17 23 3 8" xfId="36464" xr:uid="{00000000-0005-0000-0000-0000628E0000}"/>
    <cellStyle name="Normal 5 17 23 3 9" xfId="36465" xr:uid="{00000000-0005-0000-0000-0000638E0000}"/>
    <cellStyle name="Normal 5 17 23 4" xfId="36466" xr:uid="{00000000-0005-0000-0000-0000648E0000}"/>
    <cellStyle name="Normal 5 17 23 4 10" xfId="36467" xr:uid="{00000000-0005-0000-0000-0000658E0000}"/>
    <cellStyle name="Normal 5 17 23 4 2" xfId="36468" xr:uid="{00000000-0005-0000-0000-0000668E0000}"/>
    <cellStyle name="Normal 5 17 23 4 3" xfId="36469" xr:uid="{00000000-0005-0000-0000-0000678E0000}"/>
    <cellStyle name="Normal 5 17 23 4 4" xfId="36470" xr:uid="{00000000-0005-0000-0000-0000688E0000}"/>
    <cellStyle name="Normal 5 17 23 4 5" xfId="36471" xr:uid="{00000000-0005-0000-0000-0000698E0000}"/>
    <cellStyle name="Normal 5 17 23 4 6" xfId="36472" xr:uid="{00000000-0005-0000-0000-00006A8E0000}"/>
    <cellStyle name="Normal 5 17 23 4 7" xfId="36473" xr:uid="{00000000-0005-0000-0000-00006B8E0000}"/>
    <cellStyle name="Normal 5 17 23 4 8" xfId="36474" xr:uid="{00000000-0005-0000-0000-00006C8E0000}"/>
    <cellStyle name="Normal 5 17 23 4 9" xfId="36475" xr:uid="{00000000-0005-0000-0000-00006D8E0000}"/>
    <cellStyle name="Normal 5 17 23 5" xfId="36476" xr:uid="{00000000-0005-0000-0000-00006E8E0000}"/>
    <cellStyle name="Normal 5 17 23 5 10" xfId="36477" xr:uid="{00000000-0005-0000-0000-00006F8E0000}"/>
    <cellStyle name="Normal 5 17 23 5 2" xfId="36478" xr:uid="{00000000-0005-0000-0000-0000708E0000}"/>
    <cellStyle name="Normal 5 17 23 5 3" xfId="36479" xr:uid="{00000000-0005-0000-0000-0000718E0000}"/>
    <cellStyle name="Normal 5 17 23 5 4" xfId="36480" xr:uid="{00000000-0005-0000-0000-0000728E0000}"/>
    <cellStyle name="Normal 5 17 23 5 5" xfId="36481" xr:uid="{00000000-0005-0000-0000-0000738E0000}"/>
    <cellStyle name="Normal 5 17 23 5 6" xfId="36482" xr:uid="{00000000-0005-0000-0000-0000748E0000}"/>
    <cellStyle name="Normal 5 17 23 5 7" xfId="36483" xr:uid="{00000000-0005-0000-0000-0000758E0000}"/>
    <cellStyle name="Normal 5 17 23 5 8" xfId="36484" xr:uid="{00000000-0005-0000-0000-0000768E0000}"/>
    <cellStyle name="Normal 5 17 23 5 9" xfId="36485" xr:uid="{00000000-0005-0000-0000-0000778E0000}"/>
    <cellStyle name="Normal 5 17 23 6" xfId="36486" xr:uid="{00000000-0005-0000-0000-0000788E0000}"/>
    <cellStyle name="Normal 5 17 23 7" xfId="36487" xr:uid="{00000000-0005-0000-0000-0000798E0000}"/>
    <cellStyle name="Normal 5 17 23 8" xfId="36488" xr:uid="{00000000-0005-0000-0000-00007A8E0000}"/>
    <cellStyle name="Normal 5 17 23 9" xfId="36489" xr:uid="{00000000-0005-0000-0000-00007B8E0000}"/>
    <cellStyle name="Normal 5 17 24" xfId="36490" xr:uid="{00000000-0005-0000-0000-00007C8E0000}"/>
    <cellStyle name="Normal 5 17 24 10" xfId="36491" xr:uid="{00000000-0005-0000-0000-00007D8E0000}"/>
    <cellStyle name="Normal 5 17 24 11" xfId="36492" xr:uid="{00000000-0005-0000-0000-00007E8E0000}"/>
    <cellStyle name="Normal 5 17 24 12" xfId="36493" xr:uid="{00000000-0005-0000-0000-00007F8E0000}"/>
    <cellStyle name="Normal 5 17 24 13" xfId="36494" xr:uid="{00000000-0005-0000-0000-0000808E0000}"/>
    <cellStyle name="Normal 5 17 24 14" xfId="36495" xr:uid="{00000000-0005-0000-0000-0000818E0000}"/>
    <cellStyle name="Normal 5 17 24 2" xfId="36496" xr:uid="{00000000-0005-0000-0000-0000828E0000}"/>
    <cellStyle name="Normal 5 17 24 2 10" xfId="36497" xr:uid="{00000000-0005-0000-0000-0000838E0000}"/>
    <cellStyle name="Normal 5 17 24 2 2" xfId="36498" xr:uid="{00000000-0005-0000-0000-0000848E0000}"/>
    <cellStyle name="Normal 5 17 24 2 3" xfId="36499" xr:uid="{00000000-0005-0000-0000-0000858E0000}"/>
    <cellStyle name="Normal 5 17 24 2 4" xfId="36500" xr:uid="{00000000-0005-0000-0000-0000868E0000}"/>
    <cellStyle name="Normal 5 17 24 2 5" xfId="36501" xr:uid="{00000000-0005-0000-0000-0000878E0000}"/>
    <cellStyle name="Normal 5 17 24 2 6" xfId="36502" xr:uid="{00000000-0005-0000-0000-0000888E0000}"/>
    <cellStyle name="Normal 5 17 24 2 7" xfId="36503" xr:uid="{00000000-0005-0000-0000-0000898E0000}"/>
    <cellStyle name="Normal 5 17 24 2 8" xfId="36504" xr:uid="{00000000-0005-0000-0000-00008A8E0000}"/>
    <cellStyle name="Normal 5 17 24 2 9" xfId="36505" xr:uid="{00000000-0005-0000-0000-00008B8E0000}"/>
    <cellStyle name="Normal 5 17 24 3" xfId="36506" xr:uid="{00000000-0005-0000-0000-00008C8E0000}"/>
    <cellStyle name="Normal 5 17 24 3 10" xfId="36507" xr:uid="{00000000-0005-0000-0000-00008D8E0000}"/>
    <cellStyle name="Normal 5 17 24 3 2" xfId="36508" xr:uid="{00000000-0005-0000-0000-00008E8E0000}"/>
    <cellStyle name="Normal 5 17 24 3 3" xfId="36509" xr:uid="{00000000-0005-0000-0000-00008F8E0000}"/>
    <cellStyle name="Normal 5 17 24 3 4" xfId="36510" xr:uid="{00000000-0005-0000-0000-0000908E0000}"/>
    <cellStyle name="Normal 5 17 24 3 5" xfId="36511" xr:uid="{00000000-0005-0000-0000-0000918E0000}"/>
    <cellStyle name="Normal 5 17 24 3 6" xfId="36512" xr:uid="{00000000-0005-0000-0000-0000928E0000}"/>
    <cellStyle name="Normal 5 17 24 3 7" xfId="36513" xr:uid="{00000000-0005-0000-0000-0000938E0000}"/>
    <cellStyle name="Normal 5 17 24 3 8" xfId="36514" xr:uid="{00000000-0005-0000-0000-0000948E0000}"/>
    <cellStyle name="Normal 5 17 24 3 9" xfId="36515" xr:uid="{00000000-0005-0000-0000-0000958E0000}"/>
    <cellStyle name="Normal 5 17 24 4" xfId="36516" xr:uid="{00000000-0005-0000-0000-0000968E0000}"/>
    <cellStyle name="Normal 5 17 24 4 10" xfId="36517" xr:uid="{00000000-0005-0000-0000-0000978E0000}"/>
    <cellStyle name="Normal 5 17 24 4 2" xfId="36518" xr:uid="{00000000-0005-0000-0000-0000988E0000}"/>
    <cellStyle name="Normal 5 17 24 4 3" xfId="36519" xr:uid="{00000000-0005-0000-0000-0000998E0000}"/>
    <cellStyle name="Normal 5 17 24 4 4" xfId="36520" xr:uid="{00000000-0005-0000-0000-00009A8E0000}"/>
    <cellStyle name="Normal 5 17 24 4 5" xfId="36521" xr:uid="{00000000-0005-0000-0000-00009B8E0000}"/>
    <cellStyle name="Normal 5 17 24 4 6" xfId="36522" xr:uid="{00000000-0005-0000-0000-00009C8E0000}"/>
    <cellStyle name="Normal 5 17 24 4 7" xfId="36523" xr:uid="{00000000-0005-0000-0000-00009D8E0000}"/>
    <cellStyle name="Normal 5 17 24 4 8" xfId="36524" xr:uid="{00000000-0005-0000-0000-00009E8E0000}"/>
    <cellStyle name="Normal 5 17 24 4 9" xfId="36525" xr:uid="{00000000-0005-0000-0000-00009F8E0000}"/>
    <cellStyle name="Normal 5 17 24 5" xfId="36526" xr:uid="{00000000-0005-0000-0000-0000A08E0000}"/>
    <cellStyle name="Normal 5 17 24 5 10" xfId="36527" xr:uid="{00000000-0005-0000-0000-0000A18E0000}"/>
    <cellStyle name="Normal 5 17 24 5 2" xfId="36528" xr:uid="{00000000-0005-0000-0000-0000A28E0000}"/>
    <cellStyle name="Normal 5 17 24 5 3" xfId="36529" xr:uid="{00000000-0005-0000-0000-0000A38E0000}"/>
    <cellStyle name="Normal 5 17 24 5 4" xfId="36530" xr:uid="{00000000-0005-0000-0000-0000A48E0000}"/>
    <cellStyle name="Normal 5 17 24 5 5" xfId="36531" xr:uid="{00000000-0005-0000-0000-0000A58E0000}"/>
    <cellStyle name="Normal 5 17 24 5 6" xfId="36532" xr:uid="{00000000-0005-0000-0000-0000A68E0000}"/>
    <cellStyle name="Normal 5 17 24 5 7" xfId="36533" xr:uid="{00000000-0005-0000-0000-0000A78E0000}"/>
    <cellStyle name="Normal 5 17 24 5 8" xfId="36534" xr:uid="{00000000-0005-0000-0000-0000A88E0000}"/>
    <cellStyle name="Normal 5 17 24 5 9" xfId="36535" xr:uid="{00000000-0005-0000-0000-0000A98E0000}"/>
    <cellStyle name="Normal 5 17 24 6" xfId="36536" xr:uid="{00000000-0005-0000-0000-0000AA8E0000}"/>
    <cellStyle name="Normal 5 17 24 7" xfId="36537" xr:uid="{00000000-0005-0000-0000-0000AB8E0000}"/>
    <cellStyle name="Normal 5 17 24 8" xfId="36538" xr:uid="{00000000-0005-0000-0000-0000AC8E0000}"/>
    <cellStyle name="Normal 5 17 24 9" xfId="36539" xr:uid="{00000000-0005-0000-0000-0000AD8E0000}"/>
    <cellStyle name="Normal 5 17 25" xfId="36540" xr:uid="{00000000-0005-0000-0000-0000AE8E0000}"/>
    <cellStyle name="Normal 5 17 25 10" xfId="36541" xr:uid="{00000000-0005-0000-0000-0000AF8E0000}"/>
    <cellStyle name="Normal 5 17 25 11" xfId="36542" xr:uid="{00000000-0005-0000-0000-0000B08E0000}"/>
    <cellStyle name="Normal 5 17 25 12" xfId="36543" xr:uid="{00000000-0005-0000-0000-0000B18E0000}"/>
    <cellStyle name="Normal 5 17 25 13" xfId="36544" xr:uid="{00000000-0005-0000-0000-0000B28E0000}"/>
    <cellStyle name="Normal 5 17 25 14" xfId="36545" xr:uid="{00000000-0005-0000-0000-0000B38E0000}"/>
    <cellStyle name="Normal 5 17 25 2" xfId="36546" xr:uid="{00000000-0005-0000-0000-0000B48E0000}"/>
    <cellStyle name="Normal 5 17 25 2 10" xfId="36547" xr:uid="{00000000-0005-0000-0000-0000B58E0000}"/>
    <cellStyle name="Normal 5 17 25 2 2" xfId="36548" xr:uid="{00000000-0005-0000-0000-0000B68E0000}"/>
    <cellStyle name="Normal 5 17 25 2 3" xfId="36549" xr:uid="{00000000-0005-0000-0000-0000B78E0000}"/>
    <cellStyle name="Normal 5 17 25 2 4" xfId="36550" xr:uid="{00000000-0005-0000-0000-0000B88E0000}"/>
    <cellStyle name="Normal 5 17 25 2 5" xfId="36551" xr:uid="{00000000-0005-0000-0000-0000B98E0000}"/>
    <cellStyle name="Normal 5 17 25 2 6" xfId="36552" xr:uid="{00000000-0005-0000-0000-0000BA8E0000}"/>
    <cellStyle name="Normal 5 17 25 2 7" xfId="36553" xr:uid="{00000000-0005-0000-0000-0000BB8E0000}"/>
    <cellStyle name="Normal 5 17 25 2 8" xfId="36554" xr:uid="{00000000-0005-0000-0000-0000BC8E0000}"/>
    <cellStyle name="Normal 5 17 25 2 9" xfId="36555" xr:uid="{00000000-0005-0000-0000-0000BD8E0000}"/>
    <cellStyle name="Normal 5 17 25 3" xfId="36556" xr:uid="{00000000-0005-0000-0000-0000BE8E0000}"/>
    <cellStyle name="Normal 5 17 25 3 10" xfId="36557" xr:uid="{00000000-0005-0000-0000-0000BF8E0000}"/>
    <cellStyle name="Normal 5 17 25 3 2" xfId="36558" xr:uid="{00000000-0005-0000-0000-0000C08E0000}"/>
    <cellStyle name="Normal 5 17 25 3 3" xfId="36559" xr:uid="{00000000-0005-0000-0000-0000C18E0000}"/>
    <cellStyle name="Normal 5 17 25 3 4" xfId="36560" xr:uid="{00000000-0005-0000-0000-0000C28E0000}"/>
    <cellStyle name="Normal 5 17 25 3 5" xfId="36561" xr:uid="{00000000-0005-0000-0000-0000C38E0000}"/>
    <cellStyle name="Normal 5 17 25 3 6" xfId="36562" xr:uid="{00000000-0005-0000-0000-0000C48E0000}"/>
    <cellStyle name="Normal 5 17 25 3 7" xfId="36563" xr:uid="{00000000-0005-0000-0000-0000C58E0000}"/>
    <cellStyle name="Normal 5 17 25 3 8" xfId="36564" xr:uid="{00000000-0005-0000-0000-0000C68E0000}"/>
    <cellStyle name="Normal 5 17 25 3 9" xfId="36565" xr:uid="{00000000-0005-0000-0000-0000C78E0000}"/>
    <cellStyle name="Normal 5 17 25 4" xfId="36566" xr:uid="{00000000-0005-0000-0000-0000C88E0000}"/>
    <cellStyle name="Normal 5 17 25 4 10" xfId="36567" xr:uid="{00000000-0005-0000-0000-0000C98E0000}"/>
    <cellStyle name="Normal 5 17 25 4 2" xfId="36568" xr:uid="{00000000-0005-0000-0000-0000CA8E0000}"/>
    <cellStyle name="Normal 5 17 25 4 3" xfId="36569" xr:uid="{00000000-0005-0000-0000-0000CB8E0000}"/>
    <cellStyle name="Normal 5 17 25 4 4" xfId="36570" xr:uid="{00000000-0005-0000-0000-0000CC8E0000}"/>
    <cellStyle name="Normal 5 17 25 4 5" xfId="36571" xr:uid="{00000000-0005-0000-0000-0000CD8E0000}"/>
    <cellStyle name="Normal 5 17 25 4 6" xfId="36572" xr:uid="{00000000-0005-0000-0000-0000CE8E0000}"/>
    <cellStyle name="Normal 5 17 25 4 7" xfId="36573" xr:uid="{00000000-0005-0000-0000-0000CF8E0000}"/>
    <cellStyle name="Normal 5 17 25 4 8" xfId="36574" xr:uid="{00000000-0005-0000-0000-0000D08E0000}"/>
    <cellStyle name="Normal 5 17 25 4 9" xfId="36575" xr:uid="{00000000-0005-0000-0000-0000D18E0000}"/>
    <cellStyle name="Normal 5 17 25 5" xfId="36576" xr:uid="{00000000-0005-0000-0000-0000D28E0000}"/>
    <cellStyle name="Normal 5 17 25 5 10" xfId="36577" xr:uid="{00000000-0005-0000-0000-0000D38E0000}"/>
    <cellStyle name="Normal 5 17 25 5 2" xfId="36578" xr:uid="{00000000-0005-0000-0000-0000D48E0000}"/>
    <cellStyle name="Normal 5 17 25 5 3" xfId="36579" xr:uid="{00000000-0005-0000-0000-0000D58E0000}"/>
    <cellStyle name="Normal 5 17 25 5 4" xfId="36580" xr:uid="{00000000-0005-0000-0000-0000D68E0000}"/>
    <cellStyle name="Normal 5 17 25 5 5" xfId="36581" xr:uid="{00000000-0005-0000-0000-0000D78E0000}"/>
    <cellStyle name="Normal 5 17 25 5 6" xfId="36582" xr:uid="{00000000-0005-0000-0000-0000D88E0000}"/>
    <cellStyle name="Normal 5 17 25 5 7" xfId="36583" xr:uid="{00000000-0005-0000-0000-0000D98E0000}"/>
    <cellStyle name="Normal 5 17 25 5 8" xfId="36584" xr:uid="{00000000-0005-0000-0000-0000DA8E0000}"/>
    <cellStyle name="Normal 5 17 25 5 9" xfId="36585" xr:uid="{00000000-0005-0000-0000-0000DB8E0000}"/>
    <cellStyle name="Normal 5 17 25 6" xfId="36586" xr:uid="{00000000-0005-0000-0000-0000DC8E0000}"/>
    <cellStyle name="Normal 5 17 25 7" xfId="36587" xr:uid="{00000000-0005-0000-0000-0000DD8E0000}"/>
    <cellStyle name="Normal 5 17 25 8" xfId="36588" xr:uid="{00000000-0005-0000-0000-0000DE8E0000}"/>
    <cellStyle name="Normal 5 17 25 9" xfId="36589" xr:uid="{00000000-0005-0000-0000-0000DF8E0000}"/>
    <cellStyle name="Normal 5 17 26" xfId="36590" xr:uid="{00000000-0005-0000-0000-0000E08E0000}"/>
    <cellStyle name="Normal 5 17 26 10" xfId="36591" xr:uid="{00000000-0005-0000-0000-0000E18E0000}"/>
    <cellStyle name="Normal 5 17 26 11" xfId="36592" xr:uid="{00000000-0005-0000-0000-0000E28E0000}"/>
    <cellStyle name="Normal 5 17 26 12" xfId="36593" xr:uid="{00000000-0005-0000-0000-0000E38E0000}"/>
    <cellStyle name="Normal 5 17 26 13" xfId="36594" xr:uid="{00000000-0005-0000-0000-0000E48E0000}"/>
    <cellStyle name="Normal 5 17 26 14" xfId="36595" xr:uid="{00000000-0005-0000-0000-0000E58E0000}"/>
    <cellStyle name="Normal 5 17 26 2" xfId="36596" xr:uid="{00000000-0005-0000-0000-0000E68E0000}"/>
    <cellStyle name="Normal 5 17 26 2 10" xfId="36597" xr:uid="{00000000-0005-0000-0000-0000E78E0000}"/>
    <cellStyle name="Normal 5 17 26 2 2" xfId="36598" xr:uid="{00000000-0005-0000-0000-0000E88E0000}"/>
    <cellStyle name="Normal 5 17 26 2 3" xfId="36599" xr:uid="{00000000-0005-0000-0000-0000E98E0000}"/>
    <cellStyle name="Normal 5 17 26 2 4" xfId="36600" xr:uid="{00000000-0005-0000-0000-0000EA8E0000}"/>
    <cellStyle name="Normal 5 17 26 2 5" xfId="36601" xr:uid="{00000000-0005-0000-0000-0000EB8E0000}"/>
    <cellStyle name="Normal 5 17 26 2 6" xfId="36602" xr:uid="{00000000-0005-0000-0000-0000EC8E0000}"/>
    <cellStyle name="Normal 5 17 26 2 7" xfId="36603" xr:uid="{00000000-0005-0000-0000-0000ED8E0000}"/>
    <cellStyle name="Normal 5 17 26 2 8" xfId="36604" xr:uid="{00000000-0005-0000-0000-0000EE8E0000}"/>
    <cellStyle name="Normal 5 17 26 2 9" xfId="36605" xr:uid="{00000000-0005-0000-0000-0000EF8E0000}"/>
    <cellStyle name="Normal 5 17 26 3" xfId="36606" xr:uid="{00000000-0005-0000-0000-0000F08E0000}"/>
    <cellStyle name="Normal 5 17 26 3 10" xfId="36607" xr:uid="{00000000-0005-0000-0000-0000F18E0000}"/>
    <cellStyle name="Normal 5 17 26 3 2" xfId="36608" xr:uid="{00000000-0005-0000-0000-0000F28E0000}"/>
    <cellStyle name="Normal 5 17 26 3 3" xfId="36609" xr:uid="{00000000-0005-0000-0000-0000F38E0000}"/>
    <cellStyle name="Normal 5 17 26 3 4" xfId="36610" xr:uid="{00000000-0005-0000-0000-0000F48E0000}"/>
    <cellStyle name="Normal 5 17 26 3 5" xfId="36611" xr:uid="{00000000-0005-0000-0000-0000F58E0000}"/>
    <cellStyle name="Normal 5 17 26 3 6" xfId="36612" xr:uid="{00000000-0005-0000-0000-0000F68E0000}"/>
    <cellStyle name="Normal 5 17 26 3 7" xfId="36613" xr:uid="{00000000-0005-0000-0000-0000F78E0000}"/>
    <cellStyle name="Normal 5 17 26 3 8" xfId="36614" xr:uid="{00000000-0005-0000-0000-0000F88E0000}"/>
    <cellStyle name="Normal 5 17 26 3 9" xfId="36615" xr:uid="{00000000-0005-0000-0000-0000F98E0000}"/>
    <cellStyle name="Normal 5 17 26 4" xfId="36616" xr:uid="{00000000-0005-0000-0000-0000FA8E0000}"/>
    <cellStyle name="Normal 5 17 26 4 10" xfId="36617" xr:uid="{00000000-0005-0000-0000-0000FB8E0000}"/>
    <cellStyle name="Normal 5 17 26 4 2" xfId="36618" xr:uid="{00000000-0005-0000-0000-0000FC8E0000}"/>
    <cellStyle name="Normal 5 17 26 4 3" xfId="36619" xr:uid="{00000000-0005-0000-0000-0000FD8E0000}"/>
    <cellStyle name="Normal 5 17 26 4 4" xfId="36620" xr:uid="{00000000-0005-0000-0000-0000FE8E0000}"/>
    <cellStyle name="Normal 5 17 26 4 5" xfId="36621" xr:uid="{00000000-0005-0000-0000-0000FF8E0000}"/>
    <cellStyle name="Normal 5 17 26 4 6" xfId="36622" xr:uid="{00000000-0005-0000-0000-0000008F0000}"/>
    <cellStyle name="Normal 5 17 26 4 7" xfId="36623" xr:uid="{00000000-0005-0000-0000-0000018F0000}"/>
    <cellStyle name="Normal 5 17 26 4 8" xfId="36624" xr:uid="{00000000-0005-0000-0000-0000028F0000}"/>
    <cellStyle name="Normal 5 17 26 4 9" xfId="36625" xr:uid="{00000000-0005-0000-0000-0000038F0000}"/>
    <cellStyle name="Normal 5 17 26 5" xfId="36626" xr:uid="{00000000-0005-0000-0000-0000048F0000}"/>
    <cellStyle name="Normal 5 17 26 5 10" xfId="36627" xr:uid="{00000000-0005-0000-0000-0000058F0000}"/>
    <cellStyle name="Normal 5 17 26 5 2" xfId="36628" xr:uid="{00000000-0005-0000-0000-0000068F0000}"/>
    <cellStyle name="Normal 5 17 26 5 3" xfId="36629" xr:uid="{00000000-0005-0000-0000-0000078F0000}"/>
    <cellStyle name="Normal 5 17 26 5 4" xfId="36630" xr:uid="{00000000-0005-0000-0000-0000088F0000}"/>
    <cellStyle name="Normal 5 17 26 5 5" xfId="36631" xr:uid="{00000000-0005-0000-0000-0000098F0000}"/>
    <cellStyle name="Normal 5 17 26 5 6" xfId="36632" xr:uid="{00000000-0005-0000-0000-00000A8F0000}"/>
    <cellStyle name="Normal 5 17 26 5 7" xfId="36633" xr:uid="{00000000-0005-0000-0000-00000B8F0000}"/>
    <cellStyle name="Normal 5 17 26 5 8" xfId="36634" xr:uid="{00000000-0005-0000-0000-00000C8F0000}"/>
    <cellStyle name="Normal 5 17 26 5 9" xfId="36635" xr:uid="{00000000-0005-0000-0000-00000D8F0000}"/>
    <cellStyle name="Normal 5 17 26 6" xfId="36636" xr:uid="{00000000-0005-0000-0000-00000E8F0000}"/>
    <cellStyle name="Normal 5 17 26 7" xfId="36637" xr:uid="{00000000-0005-0000-0000-00000F8F0000}"/>
    <cellStyle name="Normal 5 17 26 8" xfId="36638" xr:uid="{00000000-0005-0000-0000-0000108F0000}"/>
    <cellStyle name="Normal 5 17 26 9" xfId="36639" xr:uid="{00000000-0005-0000-0000-0000118F0000}"/>
    <cellStyle name="Normal 5 17 27" xfId="36640" xr:uid="{00000000-0005-0000-0000-0000128F0000}"/>
    <cellStyle name="Normal 5 17 27 10" xfId="36641" xr:uid="{00000000-0005-0000-0000-0000138F0000}"/>
    <cellStyle name="Normal 5 17 27 11" xfId="36642" xr:uid="{00000000-0005-0000-0000-0000148F0000}"/>
    <cellStyle name="Normal 5 17 27 12" xfId="36643" xr:uid="{00000000-0005-0000-0000-0000158F0000}"/>
    <cellStyle name="Normal 5 17 27 13" xfId="36644" xr:uid="{00000000-0005-0000-0000-0000168F0000}"/>
    <cellStyle name="Normal 5 17 27 14" xfId="36645" xr:uid="{00000000-0005-0000-0000-0000178F0000}"/>
    <cellStyle name="Normal 5 17 27 2" xfId="36646" xr:uid="{00000000-0005-0000-0000-0000188F0000}"/>
    <cellStyle name="Normal 5 17 27 2 10" xfId="36647" xr:uid="{00000000-0005-0000-0000-0000198F0000}"/>
    <cellStyle name="Normal 5 17 27 2 2" xfId="36648" xr:uid="{00000000-0005-0000-0000-00001A8F0000}"/>
    <cellStyle name="Normal 5 17 27 2 3" xfId="36649" xr:uid="{00000000-0005-0000-0000-00001B8F0000}"/>
    <cellStyle name="Normal 5 17 27 2 4" xfId="36650" xr:uid="{00000000-0005-0000-0000-00001C8F0000}"/>
    <cellStyle name="Normal 5 17 27 2 5" xfId="36651" xr:uid="{00000000-0005-0000-0000-00001D8F0000}"/>
    <cellStyle name="Normal 5 17 27 2 6" xfId="36652" xr:uid="{00000000-0005-0000-0000-00001E8F0000}"/>
    <cellStyle name="Normal 5 17 27 2 7" xfId="36653" xr:uid="{00000000-0005-0000-0000-00001F8F0000}"/>
    <cellStyle name="Normal 5 17 27 2 8" xfId="36654" xr:uid="{00000000-0005-0000-0000-0000208F0000}"/>
    <cellStyle name="Normal 5 17 27 2 9" xfId="36655" xr:uid="{00000000-0005-0000-0000-0000218F0000}"/>
    <cellStyle name="Normal 5 17 27 3" xfId="36656" xr:uid="{00000000-0005-0000-0000-0000228F0000}"/>
    <cellStyle name="Normal 5 17 27 3 10" xfId="36657" xr:uid="{00000000-0005-0000-0000-0000238F0000}"/>
    <cellStyle name="Normal 5 17 27 3 2" xfId="36658" xr:uid="{00000000-0005-0000-0000-0000248F0000}"/>
    <cellStyle name="Normal 5 17 27 3 3" xfId="36659" xr:uid="{00000000-0005-0000-0000-0000258F0000}"/>
    <cellStyle name="Normal 5 17 27 3 4" xfId="36660" xr:uid="{00000000-0005-0000-0000-0000268F0000}"/>
    <cellStyle name="Normal 5 17 27 3 5" xfId="36661" xr:uid="{00000000-0005-0000-0000-0000278F0000}"/>
    <cellStyle name="Normal 5 17 27 3 6" xfId="36662" xr:uid="{00000000-0005-0000-0000-0000288F0000}"/>
    <cellStyle name="Normal 5 17 27 3 7" xfId="36663" xr:uid="{00000000-0005-0000-0000-0000298F0000}"/>
    <cellStyle name="Normal 5 17 27 3 8" xfId="36664" xr:uid="{00000000-0005-0000-0000-00002A8F0000}"/>
    <cellStyle name="Normal 5 17 27 3 9" xfId="36665" xr:uid="{00000000-0005-0000-0000-00002B8F0000}"/>
    <cellStyle name="Normal 5 17 27 4" xfId="36666" xr:uid="{00000000-0005-0000-0000-00002C8F0000}"/>
    <cellStyle name="Normal 5 17 27 4 10" xfId="36667" xr:uid="{00000000-0005-0000-0000-00002D8F0000}"/>
    <cellStyle name="Normal 5 17 27 4 2" xfId="36668" xr:uid="{00000000-0005-0000-0000-00002E8F0000}"/>
    <cellStyle name="Normal 5 17 27 4 3" xfId="36669" xr:uid="{00000000-0005-0000-0000-00002F8F0000}"/>
    <cellStyle name="Normal 5 17 27 4 4" xfId="36670" xr:uid="{00000000-0005-0000-0000-0000308F0000}"/>
    <cellStyle name="Normal 5 17 27 4 5" xfId="36671" xr:uid="{00000000-0005-0000-0000-0000318F0000}"/>
    <cellStyle name="Normal 5 17 27 4 6" xfId="36672" xr:uid="{00000000-0005-0000-0000-0000328F0000}"/>
    <cellStyle name="Normal 5 17 27 4 7" xfId="36673" xr:uid="{00000000-0005-0000-0000-0000338F0000}"/>
    <cellStyle name="Normal 5 17 27 4 8" xfId="36674" xr:uid="{00000000-0005-0000-0000-0000348F0000}"/>
    <cellStyle name="Normal 5 17 27 4 9" xfId="36675" xr:uid="{00000000-0005-0000-0000-0000358F0000}"/>
    <cellStyle name="Normal 5 17 27 5" xfId="36676" xr:uid="{00000000-0005-0000-0000-0000368F0000}"/>
    <cellStyle name="Normal 5 17 27 5 10" xfId="36677" xr:uid="{00000000-0005-0000-0000-0000378F0000}"/>
    <cellStyle name="Normal 5 17 27 5 2" xfId="36678" xr:uid="{00000000-0005-0000-0000-0000388F0000}"/>
    <cellStyle name="Normal 5 17 27 5 3" xfId="36679" xr:uid="{00000000-0005-0000-0000-0000398F0000}"/>
    <cellStyle name="Normal 5 17 27 5 4" xfId="36680" xr:uid="{00000000-0005-0000-0000-00003A8F0000}"/>
    <cellStyle name="Normal 5 17 27 5 5" xfId="36681" xr:uid="{00000000-0005-0000-0000-00003B8F0000}"/>
    <cellStyle name="Normal 5 17 27 5 6" xfId="36682" xr:uid="{00000000-0005-0000-0000-00003C8F0000}"/>
    <cellStyle name="Normal 5 17 27 5 7" xfId="36683" xr:uid="{00000000-0005-0000-0000-00003D8F0000}"/>
    <cellStyle name="Normal 5 17 27 5 8" xfId="36684" xr:uid="{00000000-0005-0000-0000-00003E8F0000}"/>
    <cellStyle name="Normal 5 17 27 5 9" xfId="36685" xr:uid="{00000000-0005-0000-0000-00003F8F0000}"/>
    <cellStyle name="Normal 5 17 27 6" xfId="36686" xr:uid="{00000000-0005-0000-0000-0000408F0000}"/>
    <cellStyle name="Normal 5 17 27 7" xfId="36687" xr:uid="{00000000-0005-0000-0000-0000418F0000}"/>
    <cellStyle name="Normal 5 17 27 8" xfId="36688" xr:uid="{00000000-0005-0000-0000-0000428F0000}"/>
    <cellStyle name="Normal 5 17 27 9" xfId="36689" xr:uid="{00000000-0005-0000-0000-0000438F0000}"/>
    <cellStyle name="Normal 5 17 28" xfId="36690" xr:uid="{00000000-0005-0000-0000-0000448F0000}"/>
    <cellStyle name="Normal 5 17 28 10" xfId="36691" xr:uid="{00000000-0005-0000-0000-0000458F0000}"/>
    <cellStyle name="Normal 5 17 28 11" xfId="36692" xr:uid="{00000000-0005-0000-0000-0000468F0000}"/>
    <cellStyle name="Normal 5 17 28 12" xfId="36693" xr:uid="{00000000-0005-0000-0000-0000478F0000}"/>
    <cellStyle name="Normal 5 17 28 13" xfId="36694" xr:uid="{00000000-0005-0000-0000-0000488F0000}"/>
    <cellStyle name="Normal 5 17 28 14" xfId="36695" xr:uid="{00000000-0005-0000-0000-0000498F0000}"/>
    <cellStyle name="Normal 5 17 28 2" xfId="36696" xr:uid="{00000000-0005-0000-0000-00004A8F0000}"/>
    <cellStyle name="Normal 5 17 28 2 10" xfId="36697" xr:uid="{00000000-0005-0000-0000-00004B8F0000}"/>
    <cellStyle name="Normal 5 17 28 2 2" xfId="36698" xr:uid="{00000000-0005-0000-0000-00004C8F0000}"/>
    <cellStyle name="Normal 5 17 28 2 3" xfId="36699" xr:uid="{00000000-0005-0000-0000-00004D8F0000}"/>
    <cellStyle name="Normal 5 17 28 2 4" xfId="36700" xr:uid="{00000000-0005-0000-0000-00004E8F0000}"/>
    <cellStyle name="Normal 5 17 28 2 5" xfId="36701" xr:uid="{00000000-0005-0000-0000-00004F8F0000}"/>
    <cellStyle name="Normal 5 17 28 2 6" xfId="36702" xr:uid="{00000000-0005-0000-0000-0000508F0000}"/>
    <cellStyle name="Normal 5 17 28 2 7" xfId="36703" xr:uid="{00000000-0005-0000-0000-0000518F0000}"/>
    <cellStyle name="Normal 5 17 28 2 8" xfId="36704" xr:uid="{00000000-0005-0000-0000-0000528F0000}"/>
    <cellStyle name="Normal 5 17 28 2 9" xfId="36705" xr:uid="{00000000-0005-0000-0000-0000538F0000}"/>
    <cellStyle name="Normal 5 17 28 3" xfId="36706" xr:uid="{00000000-0005-0000-0000-0000548F0000}"/>
    <cellStyle name="Normal 5 17 28 3 10" xfId="36707" xr:uid="{00000000-0005-0000-0000-0000558F0000}"/>
    <cellStyle name="Normal 5 17 28 3 2" xfId="36708" xr:uid="{00000000-0005-0000-0000-0000568F0000}"/>
    <cellStyle name="Normal 5 17 28 3 3" xfId="36709" xr:uid="{00000000-0005-0000-0000-0000578F0000}"/>
    <cellStyle name="Normal 5 17 28 3 4" xfId="36710" xr:uid="{00000000-0005-0000-0000-0000588F0000}"/>
    <cellStyle name="Normal 5 17 28 3 5" xfId="36711" xr:uid="{00000000-0005-0000-0000-0000598F0000}"/>
    <cellStyle name="Normal 5 17 28 3 6" xfId="36712" xr:uid="{00000000-0005-0000-0000-00005A8F0000}"/>
    <cellStyle name="Normal 5 17 28 3 7" xfId="36713" xr:uid="{00000000-0005-0000-0000-00005B8F0000}"/>
    <cellStyle name="Normal 5 17 28 3 8" xfId="36714" xr:uid="{00000000-0005-0000-0000-00005C8F0000}"/>
    <cellStyle name="Normal 5 17 28 3 9" xfId="36715" xr:uid="{00000000-0005-0000-0000-00005D8F0000}"/>
    <cellStyle name="Normal 5 17 28 4" xfId="36716" xr:uid="{00000000-0005-0000-0000-00005E8F0000}"/>
    <cellStyle name="Normal 5 17 28 4 10" xfId="36717" xr:uid="{00000000-0005-0000-0000-00005F8F0000}"/>
    <cellStyle name="Normal 5 17 28 4 2" xfId="36718" xr:uid="{00000000-0005-0000-0000-0000608F0000}"/>
    <cellStyle name="Normal 5 17 28 4 3" xfId="36719" xr:uid="{00000000-0005-0000-0000-0000618F0000}"/>
    <cellStyle name="Normal 5 17 28 4 4" xfId="36720" xr:uid="{00000000-0005-0000-0000-0000628F0000}"/>
    <cellStyle name="Normal 5 17 28 4 5" xfId="36721" xr:uid="{00000000-0005-0000-0000-0000638F0000}"/>
    <cellStyle name="Normal 5 17 28 4 6" xfId="36722" xr:uid="{00000000-0005-0000-0000-0000648F0000}"/>
    <cellStyle name="Normal 5 17 28 4 7" xfId="36723" xr:uid="{00000000-0005-0000-0000-0000658F0000}"/>
    <cellStyle name="Normal 5 17 28 4 8" xfId="36724" xr:uid="{00000000-0005-0000-0000-0000668F0000}"/>
    <cellStyle name="Normal 5 17 28 4 9" xfId="36725" xr:uid="{00000000-0005-0000-0000-0000678F0000}"/>
    <cellStyle name="Normal 5 17 28 5" xfId="36726" xr:uid="{00000000-0005-0000-0000-0000688F0000}"/>
    <cellStyle name="Normal 5 17 28 5 10" xfId="36727" xr:uid="{00000000-0005-0000-0000-0000698F0000}"/>
    <cellStyle name="Normal 5 17 28 5 2" xfId="36728" xr:uid="{00000000-0005-0000-0000-00006A8F0000}"/>
    <cellStyle name="Normal 5 17 28 5 3" xfId="36729" xr:uid="{00000000-0005-0000-0000-00006B8F0000}"/>
    <cellStyle name="Normal 5 17 28 5 4" xfId="36730" xr:uid="{00000000-0005-0000-0000-00006C8F0000}"/>
    <cellStyle name="Normal 5 17 28 5 5" xfId="36731" xr:uid="{00000000-0005-0000-0000-00006D8F0000}"/>
    <cellStyle name="Normal 5 17 28 5 6" xfId="36732" xr:uid="{00000000-0005-0000-0000-00006E8F0000}"/>
    <cellStyle name="Normal 5 17 28 5 7" xfId="36733" xr:uid="{00000000-0005-0000-0000-00006F8F0000}"/>
    <cellStyle name="Normal 5 17 28 5 8" xfId="36734" xr:uid="{00000000-0005-0000-0000-0000708F0000}"/>
    <cellStyle name="Normal 5 17 28 5 9" xfId="36735" xr:uid="{00000000-0005-0000-0000-0000718F0000}"/>
    <cellStyle name="Normal 5 17 28 6" xfId="36736" xr:uid="{00000000-0005-0000-0000-0000728F0000}"/>
    <cellStyle name="Normal 5 17 28 7" xfId="36737" xr:uid="{00000000-0005-0000-0000-0000738F0000}"/>
    <cellStyle name="Normal 5 17 28 8" xfId="36738" xr:uid="{00000000-0005-0000-0000-0000748F0000}"/>
    <cellStyle name="Normal 5 17 28 9" xfId="36739" xr:uid="{00000000-0005-0000-0000-0000758F0000}"/>
    <cellStyle name="Normal 5 17 29" xfId="36740" xr:uid="{00000000-0005-0000-0000-0000768F0000}"/>
    <cellStyle name="Normal 5 17 29 10" xfId="36741" xr:uid="{00000000-0005-0000-0000-0000778F0000}"/>
    <cellStyle name="Normal 5 17 29 11" xfId="36742" xr:uid="{00000000-0005-0000-0000-0000788F0000}"/>
    <cellStyle name="Normal 5 17 29 12" xfId="36743" xr:uid="{00000000-0005-0000-0000-0000798F0000}"/>
    <cellStyle name="Normal 5 17 29 13" xfId="36744" xr:uid="{00000000-0005-0000-0000-00007A8F0000}"/>
    <cellStyle name="Normal 5 17 29 14" xfId="36745" xr:uid="{00000000-0005-0000-0000-00007B8F0000}"/>
    <cellStyle name="Normal 5 17 29 2" xfId="36746" xr:uid="{00000000-0005-0000-0000-00007C8F0000}"/>
    <cellStyle name="Normal 5 17 29 2 10" xfId="36747" xr:uid="{00000000-0005-0000-0000-00007D8F0000}"/>
    <cellStyle name="Normal 5 17 29 2 2" xfId="36748" xr:uid="{00000000-0005-0000-0000-00007E8F0000}"/>
    <cellStyle name="Normal 5 17 29 2 3" xfId="36749" xr:uid="{00000000-0005-0000-0000-00007F8F0000}"/>
    <cellStyle name="Normal 5 17 29 2 4" xfId="36750" xr:uid="{00000000-0005-0000-0000-0000808F0000}"/>
    <cellStyle name="Normal 5 17 29 2 5" xfId="36751" xr:uid="{00000000-0005-0000-0000-0000818F0000}"/>
    <cellStyle name="Normal 5 17 29 2 6" xfId="36752" xr:uid="{00000000-0005-0000-0000-0000828F0000}"/>
    <cellStyle name="Normal 5 17 29 2 7" xfId="36753" xr:uid="{00000000-0005-0000-0000-0000838F0000}"/>
    <cellStyle name="Normal 5 17 29 2 8" xfId="36754" xr:uid="{00000000-0005-0000-0000-0000848F0000}"/>
    <cellStyle name="Normal 5 17 29 2 9" xfId="36755" xr:uid="{00000000-0005-0000-0000-0000858F0000}"/>
    <cellStyle name="Normal 5 17 29 3" xfId="36756" xr:uid="{00000000-0005-0000-0000-0000868F0000}"/>
    <cellStyle name="Normal 5 17 29 3 10" xfId="36757" xr:uid="{00000000-0005-0000-0000-0000878F0000}"/>
    <cellStyle name="Normal 5 17 29 3 2" xfId="36758" xr:uid="{00000000-0005-0000-0000-0000888F0000}"/>
    <cellStyle name="Normal 5 17 29 3 3" xfId="36759" xr:uid="{00000000-0005-0000-0000-0000898F0000}"/>
    <cellStyle name="Normal 5 17 29 3 4" xfId="36760" xr:uid="{00000000-0005-0000-0000-00008A8F0000}"/>
    <cellStyle name="Normal 5 17 29 3 5" xfId="36761" xr:uid="{00000000-0005-0000-0000-00008B8F0000}"/>
    <cellStyle name="Normal 5 17 29 3 6" xfId="36762" xr:uid="{00000000-0005-0000-0000-00008C8F0000}"/>
    <cellStyle name="Normal 5 17 29 3 7" xfId="36763" xr:uid="{00000000-0005-0000-0000-00008D8F0000}"/>
    <cellStyle name="Normal 5 17 29 3 8" xfId="36764" xr:uid="{00000000-0005-0000-0000-00008E8F0000}"/>
    <cellStyle name="Normal 5 17 29 3 9" xfId="36765" xr:uid="{00000000-0005-0000-0000-00008F8F0000}"/>
    <cellStyle name="Normal 5 17 29 4" xfId="36766" xr:uid="{00000000-0005-0000-0000-0000908F0000}"/>
    <cellStyle name="Normal 5 17 29 4 10" xfId="36767" xr:uid="{00000000-0005-0000-0000-0000918F0000}"/>
    <cellStyle name="Normal 5 17 29 4 2" xfId="36768" xr:uid="{00000000-0005-0000-0000-0000928F0000}"/>
    <cellStyle name="Normal 5 17 29 4 3" xfId="36769" xr:uid="{00000000-0005-0000-0000-0000938F0000}"/>
    <cellStyle name="Normal 5 17 29 4 4" xfId="36770" xr:uid="{00000000-0005-0000-0000-0000948F0000}"/>
    <cellStyle name="Normal 5 17 29 4 5" xfId="36771" xr:uid="{00000000-0005-0000-0000-0000958F0000}"/>
    <cellStyle name="Normal 5 17 29 4 6" xfId="36772" xr:uid="{00000000-0005-0000-0000-0000968F0000}"/>
    <cellStyle name="Normal 5 17 29 4 7" xfId="36773" xr:uid="{00000000-0005-0000-0000-0000978F0000}"/>
    <cellStyle name="Normal 5 17 29 4 8" xfId="36774" xr:uid="{00000000-0005-0000-0000-0000988F0000}"/>
    <cellStyle name="Normal 5 17 29 4 9" xfId="36775" xr:uid="{00000000-0005-0000-0000-0000998F0000}"/>
    <cellStyle name="Normal 5 17 29 5" xfId="36776" xr:uid="{00000000-0005-0000-0000-00009A8F0000}"/>
    <cellStyle name="Normal 5 17 29 5 10" xfId="36777" xr:uid="{00000000-0005-0000-0000-00009B8F0000}"/>
    <cellStyle name="Normal 5 17 29 5 2" xfId="36778" xr:uid="{00000000-0005-0000-0000-00009C8F0000}"/>
    <cellStyle name="Normal 5 17 29 5 3" xfId="36779" xr:uid="{00000000-0005-0000-0000-00009D8F0000}"/>
    <cellStyle name="Normal 5 17 29 5 4" xfId="36780" xr:uid="{00000000-0005-0000-0000-00009E8F0000}"/>
    <cellStyle name="Normal 5 17 29 5 5" xfId="36781" xr:uid="{00000000-0005-0000-0000-00009F8F0000}"/>
    <cellStyle name="Normal 5 17 29 5 6" xfId="36782" xr:uid="{00000000-0005-0000-0000-0000A08F0000}"/>
    <cellStyle name="Normal 5 17 29 5 7" xfId="36783" xr:uid="{00000000-0005-0000-0000-0000A18F0000}"/>
    <cellStyle name="Normal 5 17 29 5 8" xfId="36784" xr:uid="{00000000-0005-0000-0000-0000A28F0000}"/>
    <cellStyle name="Normal 5 17 29 5 9" xfId="36785" xr:uid="{00000000-0005-0000-0000-0000A38F0000}"/>
    <cellStyle name="Normal 5 17 29 6" xfId="36786" xr:uid="{00000000-0005-0000-0000-0000A48F0000}"/>
    <cellStyle name="Normal 5 17 29 7" xfId="36787" xr:uid="{00000000-0005-0000-0000-0000A58F0000}"/>
    <cellStyle name="Normal 5 17 29 8" xfId="36788" xr:uid="{00000000-0005-0000-0000-0000A68F0000}"/>
    <cellStyle name="Normal 5 17 29 9" xfId="36789" xr:uid="{00000000-0005-0000-0000-0000A78F0000}"/>
    <cellStyle name="Normal 5 17 3" xfId="36790" xr:uid="{00000000-0005-0000-0000-0000A88F0000}"/>
    <cellStyle name="Normal 5 17 3 10" xfId="36791" xr:uid="{00000000-0005-0000-0000-0000A98F0000}"/>
    <cellStyle name="Normal 5 17 3 11" xfId="36792" xr:uid="{00000000-0005-0000-0000-0000AA8F0000}"/>
    <cellStyle name="Normal 5 17 3 12" xfId="36793" xr:uid="{00000000-0005-0000-0000-0000AB8F0000}"/>
    <cellStyle name="Normal 5 17 3 13" xfId="36794" xr:uid="{00000000-0005-0000-0000-0000AC8F0000}"/>
    <cellStyle name="Normal 5 17 3 14" xfId="36795" xr:uid="{00000000-0005-0000-0000-0000AD8F0000}"/>
    <cellStyle name="Normal 5 17 3 2" xfId="36796" xr:uid="{00000000-0005-0000-0000-0000AE8F0000}"/>
    <cellStyle name="Normal 5 17 3 2 10" xfId="36797" xr:uid="{00000000-0005-0000-0000-0000AF8F0000}"/>
    <cellStyle name="Normal 5 17 3 2 2" xfId="36798" xr:uid="{00000000-0005-0000-0000-0000B08F0000}"/>
    <cellStyle name="Normal 5 17 3 2 3" xfId="36799" xr:uid="{00000000-0005-0000-0000-0000B18F0000}"/>
    <cellStyle name="Normal 5 17 3 2 4" xfId="36800" xr:uid="{00000000-0005-0000-0000-0000B28F0000}"/>
    <cellStyle name="Normal 5 17 3 2 5" xfId="36801" xr:uid="{00000000-0005-0000-0000-0000B38F0000}"/>
    <cellStyle name="Normal 5 17 3 2 6" xfId="36802" xr:uid="{00000000-0005-0000-0000-0000B48F0000}"/>
    <cellStyle name="Normal 5 17 3 2 7" xfId="36803" xr:uid="{00000000-0005-0000-0000-0000B58F0000}"/>
    <cellStyle name="Normal 5 17 3 2 8" xfId="36804" xr:uid="{00000000-0005-0000-0000-0000B68F0000}"/>
    <cellStyle name="Normal 5 17 3 2 9" xfId="36805" xr:uid="{00000000-0005-0000-0000-0000B78F0000}"/>
    <cellStyle name="Normal 5 17 3 3" xfId="36806" xr:uid="{00000000-0005-0000-0000-0000B88F0000}"/>
    <cellStyle name="Normal 5 17 3 3 10" xfId="36807" xr:uid="{00000000-0005-0000-0000-0000B98F0000}"/>
    <cellStyle name="Normal 5 17 3 3 2" xfId="36808" xr:uid="{00000000-0005-0000-0000-0000BA8F0000}"/>
    <cellStyle name="Normal 5 17 3 3 3" xfId="36809" xr:uid="{00000000-0005-0000-0000-0000BB8F0000}"/>
    <cellStyle name="Normal 5 17 3 3 4" xfId="36810" xr:uid="{00000000-0005-0000-0000-0000BC8F0000}"/>
    <cellStyle name="Normal 5 17 3 3 5" xfId="36811" xr:uid="{00000000-0005-0000-0000-0000BD8F0000}"/>
    <cellStyle name="Normal 5 17 3 3 6" xfId="36812" xr:uid="{00000000-0005-0000-0000-0000BE8F0000}"/>
    <cellStyle name="Normal 5 17 3 3 7" xfId="36813" xr:uid="{00000000-0005-0000-0000-0000BF8F0000}"/>
    <cellStyle name="Normal 5 17 3 3 8" xfId="36814" xr:uid="{00000000-0005-0000-0000-0000C08F0000}"/>
    <cellStyle name="Normal 5 17 3 3 9" xfId="36815" xr:uid="{00000000-0005-0000-0000-0000C18F0000}"/>
    <cellStyle name="Normal 5 17 3 4" xfId="36816" xr:uid="{00000000-0005-0000-0000-0000C28F0000}"/>
    <cellStyle name="Normal 5 17 3 4 10" xfId="36817" xr:uid="{00000000-0005-0000-0000-0000C38F0000}"/>
    <cellStyle name="Normal 5 17 3 4 2" xfId="36818" xr:uid="{00000000-0005-0000-0000-0000C48F0000}"/>
    <cellStyle name="Normal 5 17 3 4 3" xfId="36819" xr:uid="{00000000-0005-0000-0000-0000C58F0000}"/>
    <cellStyle name="Normal 5 17 3 4 4" xfId="36820" xr:uid="{00000000-0005-0000-0000-0000C68F0000}"/>
    <cellStyle name="Normal 5 17 3 4 5" xfId="36821" xr:uid="{00000000-0005-0000-0000-0000C78F0000}"/>
    <cellStyle name="Normal 5 17 3 4 6" xfId="36822" xr:uid="{00000000-0005-0000-0000-0000C88F0000}"/>
    <cellStyle name="Normal 5 17 3 4 7" xfId="36823" xr:uid="{00000000-0005-0000-0000-0000C98F0000}"/>
    <cellStyle name="Normal 5 17 3 4 8" xfId="36824" xr:uid="{00000000-0005-0000-0000-0000CA8F0000}"/>
    <cellStyle name="Normal 5 17 3 4 9" xfId="36825" xr:uid="{00000000-0005-0000-0000-0000CB8F0000}"/>
    <cellStyle name="Normal 5 17 3 5" xfId="36826" xr:uid="{00000000-0005-0000-0000-0000CC8F0000}"/>
    <cellStyle name="Normal 5 17 3 5 10" xfId="36827" xr:uid="{00000000-0005-0000-0000-0000CD8F0000}"/>
    <cellStyle name="Normal 5 17 3 5 2" xfId="36828" xr:uid="{00000000-0005-0000-0000-0000CE8F0000}"/>
    <cellStyle name="Normal 5 17 3 5 3" xfId="36829" xr:uid="{00000000-0005-0000-0000-0000CF8F0000}"/>
    <cellStyle name="Normal 5 17 3 5 4" xfId="36830" xr:uid="{00000000-0005-0000-0000-0000D08F0000}"/>
    <cellStyle name="Normal 5 17 3 5 5" xfId="36831" xr:uid="{00000000-0005-0000-0000-0000D18F0000}"/>
    <cellStyle name="Normal 5 17 3 5 6" xfId="36832" xr:uid="{00000000-0005-0000-0000-0000D28F0000}"/>
    <cellStyle name="Normal 5 17 3 5 7" xfId="36833" xr:uid="{00000000-0005-0000-0000-0000D38F0000}"/>
    <cellStyle name="Normal 5 17 3 5 8" xfId="36834" xr:uid="{00000000-0005-0000-0000-0000D48F0000}"/>
    <cellStyle name="Normal 5 17 3 5 9" xfId="36835" xr:uid="{00000000-0005-0000-0000-0000D58F0000}"/>
    <cellStyle name="Normal 5 17 3 6" xfId="36836" xr:uid="{00000000-0005-0000-0000-0000D68F0000}"/>
    <cellStyle name="Normal 5 17 3 7" xfId="36837" xr:uid="{00000000-0005-0000-0000-0000D78F0000}"/>
    <cellStyle name="Normal 5 17 3 8" xfId="36838" xr:uid="{00000000-0005-0000-0000-0000D88F0000}"/>
    <cellStyle name="Normal 5 17 3 9" xfId="36839" xr:uid="{00000000-0005-0000-0000-0000D98F0000}"/>
    <cellStyle name="Normal 5 17 30" xfId="36840" xr:uid="{00000000-0005-0000-0000-0000DA8F0000}"/>
    <cellStyle name="Normal 5 17 30 10" xfId="36841" xr:uid="{00000000-0005-0000-0000-0000DB8F0000}"/>
    <cellStyle name="Normal 5 17 30 11" xfId="36842" xr:uid="{00000000-0005-0000-0000-0000DC8F0000}"/>
    <cellStyle name="Normal 5 17 30 12" xfId="36843" xr:uid="{00000000-0005-0000-0000-0000DD8F0000}"/>
    <cellStyle name="Normal 5 17 30 13" xfId="36844" xr:uid="{00000000-0005-0000-0000-0000DE8F0000}"/>
    <cellStyle name="Normal 5 17 30 14" xfId="36845" xr:uid="{00000000-0005-0000-0000-0000DF8F0000}"/>
    <cellStyle name="Normal 5 17 30 2" xfId="36846" xr:uid="{00000000-0005-0000-0000-0000E08F0000}"/>
    <cellStyle name="Normal 5 17 30 2 10" xfId="36847" xr:uid="{00000000-0005-0000-0000-0000E18F0000}"/>
    <cellStyle name="Normal 5 17 30 2 2" xfId="36848" xr:uid="{00000000-0005-0000-0000-0000E28F0000}"/>
    <cellStyle name="Normal 5 17 30 2 3" xfId="36849" xr:uid="{00000000-0005-0000-0000-0000E38F0000}"/>
    <cellStyle name="Normal 5 17 30 2 4" xfId="36850" xr:uid="{00000000-0005-0000-0000-0000E48F0000}"/>
    <cellStyle name="Normal 5 17 30 2 5" xfId="36851" xr:uid="{00000000-0005-0000-0000-0000E58F0000}"/>
    <cellStyle name="Normal 5 17 30 2 6" xfId="36852" xr:uid="{00000000-0005-0000-0000-0000E68F0000}"/>
    <cellStyle name="Normal 5 17 30 2 7" xfId="36853" xr:uid="{00000000-0005-0000-0000-0000E78F0000}"/>
    <cellStyle name="Normal 5 17 30 2 8" xfId="36854" xr:uid="{00000000-0005-0000-0000-0000E88F0000}"/>
    <cellStyle name="Normal 5 17 30 2 9" xfId="36855" xr:uid="{00000000-0005-0000-0000-0000E98F0000}"/>
    <cellStyle name="Normal 5 17 30 3" xfId="36856" xr:uid="{00000000-0005-0000-0000-0000EA8F0000}"/>
    <cellStyle name="Normal 5 17 30 3 10" xfId="36857" xr:uid="{00000000-0005-0000-0000-0000EB8F0000}"/>
    <cellStyle name="Normal 5 17 30 3 2" xfId="36858" xr:uid="{00000000-0005-0000-0000-0000EC8F0000}"/>
    <cellStyle name="Normal 5 17 30 3 3" xfId="36859" xr:uid="{00000000-0005-0000-0000-0000ED8F0000}"/>
    <cellStyle name="Normal 5 17 30 3 4" xfId="36860" xr:uid="{00000000-0005-0000-0000-0000EE8F0000}"/>
    <cellStyle name="Normal 5 17 30 3 5" xfId="36861" xr:uid="{00000000-0005-0000-0000-0000EF8F0000}"/>
    <cellStyle name="Normal 5 17 30 3 6" xfId="36862" xr:uid="{00000000-0005-0000-0000-0000F08F0000}"/>
    <cellStyle name="Normal 5 17 30 3 7" xfId="36863" xr:uid="{00000000-0005-0000-0000-0000F18F0000}"/>
    <cellStyle name="Normal 5 17 30 3 8" xfId="36864" xr:uid="{00000000-0005-0000-0000-0000F28F0000}"/>
    <cellStyle name="Normal 5 17 30 3 9" xfId="36865" xr:uid="{00000000-0005-0000-0000-0000F38F0000}"/>
    <cellStyle name="Normal 5 17 30 4" xfId="36866" xr:uid="{00000000-0005-0000-0000-0000F48F0000}"/>
    <cellStyle name="Normal 5 17 30 4 10" xfId="36867" xr:uid="{00000000-0005-0000-0000-0000F58F0000}"/>
    <cellStyle name="Normal 5 17 30 4 2" xfId="36868" xr:uid="{00000000-0005-0000-0000-0000F68F0000}"/>
    <cellStyle name="Normal 5 17 30 4 3" xfId="36869" xr:uid="{00000000-0005-0000-0000-0000F78F0000}"/>
    <cellStyle name="Normal 5 17 30 4 4" xfId="36870" xr:uid="{00000000-0005-0000-0000-0000F88F0000}"/>
    <cellStyle name="Normal 5 17 30 4 5" xfId="36871" xr:uid="{00000000-0005-0000-0000-0000F98F0000}"/>
    <cellStyle name="Normal 5 17 30 4 6" xfId="36872" xr:uid="{00000000-0005-0000-0000-0000FA8F0000}"/>
    <cellStyle name="Normal 5 17 30 4 7" xfId="36873" xr:uid="{00000000-0005-0000-0000-0000FB8F0000}"/>
    <cellStyle name="Normal 5 17 30 4 8" xfId="36874" xr:uid="{00000000-0005-0000-0000-0000FC8F0000}"/>
    <cellStyle name="Normal 5 17 30 4 9" xfId="36875" xr:uid="{00000000-0005-0000-0000-0000FD8F0000}"/>
    <cellStyle name="Normal 5 17 30 5" xfId="36876" xr:uid="{00000000-0005-0000-0000-0000FE8F0000}"/>
    <cellStyle name="Normal 5 17 30 5 10" xfId="36877" xr:uid="{00000000-0005-0000-0000-0000FF8F0000}"/>
    <cellStyle name="Normal 5 17 30 5 2" xfId="36878" xr:uid="{00000000-0005-0000-0000-000000900000}"/>
    <cellStyle name="Normal 5 17 30 5 3" xfId="36879" xr:uid="{00000000-0005-0000-0000-000001900000}"/>
    <cellStyle name="Normal 5 17 30 5 4" xfId="36880" xr:uid="{00000000-0005-0000-0000-000002900000}"/>
    <cellStyle name="Normal 5 17 30 5 5" xfId="36881" xr:uid="{00000000-0005-0000-0000-000003900000}"/>
    <cellStyle name="Normal 5 17 30 5 6" xfId="36882" xr:uid="{00000000-0005-0000-0000-000004900000}"/>
    <cellStyle name="Normal 5 17 30 5 7" xfId="36883" xr:uid="{00000000-0005-0000-0000-000005900000}"/>
    <cellStyle name="Normal 5 17 30 5 8" xfId="36884" xr:uid="{00000000-0005-0000-0000-000006900000}"/>
    <cellStyle name="Normal 5 17 30 5 9" xfId="36885" xr:uid="{00000000-0005-0000-0000-000007900000}"/>
    <cellStyle name="Normal 5 17 30 6" xfId="36886" xr:uid="{00000000-0005-0000-0000-000008900000}"/>
    <cellStyle name="Normal 5 17 30 7" xfId="36887" xr:uid="{00000000-0005-0000-0000-000009900000}"/>
    <cellStyle name="Normal 5 17 30 8" xfId="36888" xr:uid="{00000000-0005-0000-0000-00000A900000}"/>
    <cellStyle name="Normal 5 17 30 9" xfId="36889" xr:uid="{00000000-0005-0000-0000-00000B900000}"/>
    <cellStyle name="Normal 5 17 31" xfId="36890" xr:uid="{00000000-0005-0000-0000-00000C900000}"/>
    <cellStyle name="Normal 5 17 31 10" xfId="36891" xr:uid="{00000000-0005-0000-0000-00000D900000}"/>
    <cellStyle name="Normal 5 17 31 11" xfId="36892" xr:uid="{00000000-0005-0000-0000-00000E900000}"/>
    <cellStyle name="Normal 5 17 31 12" xfId="36893" xr:uid="{00000000-0005-0000-0000-00000F900000}"/>
    <cellStyle name="Normal 5 17 31 13" xfId="36894" xr:uid="{00000000-0005-0000-0000-000010900000}"/>
    <cellStyle name="Normal 5 17 31 14" xfId="36895" xr:uid="{00000000-0005-0000-0000-000011900000}"/>
    <cellStyle name="Normal 5 17 31 2" xfId="36896" xr:uid="{00000000-0005-0000-0000-000012900000}"/>
    <cellStyle name="Normal 5 17 31 2 10" xfId="36897" xr:uid="{00000000-0005-0000-0000-000013900000}"/>
    <cellStyle name="Normal 5 17 31 2 2" xfId="36898" xr:uid="{00000000-0005-0000-0000-000014900000}"/>
    <cellStyle name="Normal 5 17 31 2 3" xfId="36899" xr:uid="{00000000-0005-0000-0000-000015900000}"/>
    <cellStyle name="Normal 5 17 31 2 4" xfId="36900" xr:uid="{00000000-0005-0000-0000-000016900000}"/>
    <cellStyle name="Normal 5 17 31 2 5" xfId="36901" xr:uid="{00000000-0005-0000-0000-000017900000}"/>
    <cellStyle name="Normal 5 17 31 2 6" xfId="36902" xr:uid="{00000000-0005-0000-0000-000018900000}"/>
    <cellStyle name="Normal 5 17 31 2 7" xfId="36903" xr:uid="{00000000-0005-0000-0000-000019900000}"/>
    <cellStyle name="Normal 5 17 31 2 8" xfId="36904" xr:uid="{00000000-0005-0000-0000-00001A900000}"/>
    <cellStyle name="Normal 5 17 31 2 9" xfId="36905" xr:uid="{00000000-0005-0000-0000-00001B900000}"/>
    <cellStyle name="Normal 5 17 31 3" xfId="36906" xr:uid="{00000000-0005-0000-0000-00001C900000}"/>
    <cellStyle name="Normal 5 17 31 3 10" xfId="36907" xr:uid="{00000000-0005-0000-0000-00001D900000}"/>
    <cellStyle name="Normal 5 17 31 3 2" xfId="36908" xr:uid="{00000000-0005-0000-0000-00001E900000}"/>
    <cellStyle name="Normal 5 17 31 3 3" xfId="36909" xr:uid="{00000000-0005-0000-0000-00001F900000}"/>
    <cellStyle name="Normal 5 17 31 3 4" xfId="36910" xr:uid="{00000000-0005-0000-0000-000020900000}"/>
    <cellStyle name="Normal 5 17 31 3 5" xfId="36911" xr:uid="{00000000-0005-0000-0000-000021900000}"/>
    <cellStyle name="Normal 5 17 31 3 6" xfId="36912" xr:uid="{00000000-0005-0000-0000-000022900000}"/>
    <cellStyle name="Normal 5 17 31 3 7" xfId="36913" xr:uid="{00000000-0005-0000-0000-000023900000}"/>
    <cellStyle name="Normal 5 17 31 3 8" xfId="36914" xr:uid="{00000000-0005-0000-0000-000024900000}"/>
    <cellStyle name="Normal 5 17 31 3 9" xfId="36915" xr:uid="{00000000-0005-0000-0000-000025900000}"/>
    <cellStyle name="Normal 5 17 31 4" xfId="36916" xr:uid="{00000000-0005-0000-0000-000026900000}"/>
    <cellStyle name="Normal 5 17 31 4 10" xfId="36917" xr:uid="{00000000-0005-0000-0000-000027900000}"/>
    <cellStyle name="Normal 5 17 31 4 2" xfId="36918" xr:uid="{00000000-0005-0000-0000-000028900000}"/>
    <cellStyle name="Normal 5 17 31 4 3" xfId="36919" xr:uid="{00000000-0005-0000-0000-000029900000}"/>
    <cellStyle name="Normal 5 17 31 4 4" xfId="36920" xr:uid="{00000000-0005-0000-0000-00002A900000}"/>
    <cellStyle name="Normal 5 17 31 4 5" xfId="36921" xr:uid="{00000000-0005-0000-0000-00002B900000}"/>
    <cellStyle name="Normal 5 17 31 4 6" xfId="36922" xr:uid="{00000000-0005-0000-0000-00002C900000}"/>
    <cellStyle name="Normal 5 17 31 4 7" xfId="36923" xr:uid="{00000000-0005-0000-0000-00002D900000}"/>
    <cellStyle name="Normal 5 17 31 4 8" xfId="36924" xr:uid="{00000000-0005-0000-0000-00002E900000}"/>
    <cellStyle name="Normal 5 17 31 4 9" xfId="36925" xr:uid="{00000000-0005-0000-0000-00002F900000}"/>
    <cellStyle name="Normal 5 17 31 5" xfId="36926" xr:uid="{00000000-0005-0000-0000-000030900000}"/>
    <cellStyle name="Normal 5 17 31 5 10" xfId="36927" xr:uid="{00000000-0005-0000-0000-000031900000}"/>
    <cellStyle name="Normal 5 17 31 5 2" xfId="36928" xr:uid="{00000000-0005-0000-0000-000032900000}"/>
    <cellStyle name="Normal 5 17 31 5 3" xfId="36929" xr:uid="{00000000-0005-0000-0000-000033900000}"/>
    <cellStyle name="Normal 5 17 31 5 4" xfId="36930" xr:uid="{00000000-0005-0000-0000-000034900000}"/>
    <cellStyle name="Normal 5 17 31 5 5" xfId="36931" xr:uid="{00000000-0005-0000-0000-000035900000}"/>
    <cellStyle name="Normal 5 17 31 5 6" xfId="36932" xr:uid="{00000000-0005-0000-0000-000036900000}"/>
    <cellStyle name="Normal 5 17 31 5 7" xfId="36933" xr:uid="{00000000-0005-0000-0000-000037900000}"/>
    <cellStyle name="Normal 5 17 31 5 8" xfId="36934" xr:uid="{00000000-0005-0000-0000-000038900000}"/>
    <cellStyle name="Normal 5 17 31 5 9" xfId="36935" xr:uid="{00000000-0005-0000-0000-000039900000}"/>
    <cellStyle name="Normal 5 17 31 6" xfId="36936" xr:uid="{00000000-0005-0000-0000-00003A900000}"/>
    <cellStyle name="Normal 5 17 31 7" xfId="36937" xr:uid="{00000000-0005-0000-0000-00003B900000}"/>
    <cellStyle name="Normal 5 17 31 8" xfId="36938" xr:uid="{00000000-0005-0000-0000-00003C900000}"/>
    <cellStyle name="Normal 5 17 31 9" xfId="36939" xr:uid="{00000000-0005-0000-0000-00003D900000}"/>
    <cellStyle name="Normal 5 17 32" xfId="36940" xr:uid="{00000000-0005-0000-0000-00003E900000}"/>
    <cellStyle name="Normal 5 17 32 10" xfId="36941" xr:uid="{00000000-0005-0000-0000-00003F900000}"/>
    <cellStyle name="Normal 5 17 32 11" xfId="36942" xr:uid="{00000000-0005-0000-0000-000040900000}"/>
    <cellStyle name="Normal 5 17 32 12" xfId="36943" xr:uid="{00000000-0005-0000-0000-000041900000}"/>
    <cellStyle name="Normal 5 17 32 13" xfId="36944" xr:uid="{00000000-0005-0000-0000-000042900000}"/>
    <cellStyle name="Normal 5 17 32 14" xfId="36945" xr:uid="{00000000-0005-0000-0000-000043900000}"/>
    <cellStyle name="Normal 5 17 32 2" xfId="36946" xr:uid="{00000000-0005-0000-0000-000044900000}"/>
    <cellStyle name="Normal 5 17 32 2 10" xfId="36947" xr:uid="{00000000-0005-0000-0000-000045900000}"/>
    <cellStyle name="Normal 5 17 32 2 2" xfId="36948" xr:uid="{00000000-0005-0000-0000-000046900000}"/>
    <cellStyle name="Normal 5 17 32 2 3" xfId="36949" xr:uid="{00000000-0005-0000-0000-000047900000}"/>
    <cellStyle name="Normal 5 17 32 2 4" xfId="36950" xr:uid="{00000000-0005-0000-0000-000048900000}"/>
    <cellStyle name="Normal 5 17 32 2 5" xfId="36951" xr:uid="{00000000-0005-0000-0000-000049900000}"/>
    <cellStyle name="Normal 5 17 32 2 6" xfId="36952" xr:uid="{00000000-0005-0000-0000-00004A900000}"/>
    <cellStyle name="Normal 5 17 32 2 7" xfId="36953" xr:uid="{00000000-0005-0000-0000-00004B900000}"/>
    <cellStyle name="Normal 5 17 32 2 8" xfId="36954" xr:uid="{00000000-0005-0000-0000-00004C900000}"/>
    <cellStyle name="Normal 5 17 32 2 9" xfId="36955" xr:uid="{00000000-0005-0000-0000-00004D900000}"/>
    <cellStyle name="Normal 5 17 32 3" xfId="36956" xr:uid="{00000000-0005-0000-0000-00004E900000}"/>
    <cellStyle name="Normal 5 17 32 3 10" xfId="36957" xr:uid="{00000000-0005-0000-0000-00004F900000}"/>
    <cellStyle name="Normal 5 17 32 3 2" xfId="36958" xr:uid="{00000000-0005-0000-0000-000050900000}"/>
    <cellStyle name="Normal 5 17 32 3 3" xfId="36959" xr:uid="{00000000-0005-0000-0000-000051900000}"/>
    <cellStyle name="Normal 5 17 32 3 4" xfId="36960" xr:uid="{00000000-0005-0000-0000-000052900000}"/>
    <cellStyle name="Normal 5 17 32 3 5" xfId="36961" xr:uid="{00000000-0005-0000-0000-000053900000}"/>
    <cellStyle name="Normal 5 17 32 3 6" xfId="36962" xr:uid="{00000000-0005-0000-0000-000054900000}"/>
    <cellStyle name="Normal 5 17 32 3 7" xfId="36963" xr:uid="{00000000-0005-0000-0000-000055900000}"/>
    <cellStyle name="Normal 5 17 32 3 8" xfId="36964" xr:uid="{00000000-0005-0000-0000-000056900000}"/>
    <cellStyle name="Normal 5 17 32 3 9" xfId="36965" xr:uid="{00000000-0005-0000-0000-000057900000}"/>
    <cellStyle name="Normal 5 17 32 4" xfId="36966" xr:uid="{00000000-0005-0000-0000-000058900000}"/>
    <cellStyle name="Normal 5 17 32 4 10" xfId="36967" xr:uid="{00000000-0005-0000-0000-000059900000}"/>
    <cellStyle name="Normal 5 17 32 4 2" xfId="36968" xr:uid="{00000000-0005-0000-0000-00005A900000}"/>
    <cellStyle name="Normal 5 17 32 4 3" xfId="36969" xr:uid="{00000000-0005-0000-0000-00005B900000}"/>
    <cellStyle name="Normal 5 17 32 4 4" xfId="36970" xr:uid="{00000000-0005-0000-0000-00005C900000}"/>
    <cellStyle name="Normal 5 17 32 4 5" xfId="36971" xr:uid="{00000000-0005-0000-0000-00005D900000}"/>
    <cellStyle name="Normal 5 17 32 4 6" xfId="36972" xr:uid="{00000000-0005-0000-0000-00005E900000}"/>
    <cellStyle name="Normal 5 17 32 4 7" xfId="36973" xr:uid="{00000000-0005-0000-0000-00005F900000}"/>
    <cellStyle name="Normal 5 17 32 4 8" xfId="36974" xr:uid="{00000000-0005-0000-0000-000060900000}"/>
    <cellStyle name="Normal 5 17 32 4 9" xfId="36975" xr:uid="{00000000-0005-0000-0000-000061900000}"/>
    <cellStyle name="Normal 5 17 32 5" xfId="36976" xr:uid="{00000000-0005-0000-0000-000062900000}"/>
    <cellStyle name="Normal 5 17 32 5 10" xfId="36977" xr:uid="{00000000-0005-0000-0000-000063900000}"/>
    <cellStyle name="Normal 5 17 32 5 2" xfId="36978" xr:uid="{00000000-0005-0000-0000-000064900000}"/>
    <cellStyle name="Normal 5 17 32 5 3" xfId="36979" xr:uid="{00000000-0005-0000-0000-000065900000}"/>
    <cellStyle name="Normal 5 17 32 5 4" xfId="36980" xr:uid="{00000000-0005-0000-0000-000066900000}"/>
    <cellStyle name="Normal 5 17 32 5 5" xfId="36981" xr:uid="{00000000-0005-0000-0000-000067900000}"/>
    <cellStyle name="Normal 5 17 32 5 6" xfId="36982" xr:uid="{00000000-0005-0000-0000-000068900000}"/>
    <cellStyle name="Normal 5 17 32 5 7" xfId="36983" xr:uid="{00000000-0005-0000-0000-000069900000}"/>
    <cellStyle name="Normal 5 17 32 5 8" xfId="36984" xr:uid="{00000000-0005-0000-0000-00006A900000}"/>
    <cellStyle name="Normal 5 17 32 5 9" xfId="36985" xr:uid="{00000000-0005-0000-0000-00006B900000}"/>
    <cellStyle name="Normal 5 17 32 6" xfId="36986" xr:uid="{00000000-0005-0000-0000-00006C900000}"/>
    <cellStyle name="Normal 5 17 32 7" xfId="36987" xr:uid="{00000000-0005-0000-0000-00006D900000}"/>
    <cellStyle name="Normal 5 17 32 8" xfId="36988" xr:uid="{00000000-0005-0000-0000-00006E900000}"/>
    <cellStyle name="Normal 5 17 32 9" xfId="36989" xr:uid="{00000000-0005-0000-0000-00006F900000}"/>
    <cellStyle name="Normal 5 17 33" xfId="36990" xr:uid="{00000000-0005-0000-0000-000070900000}"/>
    <cellStyle name="Normal 5 17 33 10" xfId="36991" xr:uid="{00000000-0005-0000-0000-000071900000}"/>
    <cellStyle name="Normal 5 17 33 11" xfId="36992" xr:uid="{00000000-0005-0000-0000-000072900000}"/>
    <cellStyle name="Normal 5 17 33 12" xfId="36993" xr:uid="{00000000-0005-0000-0000-000073900000}"/>
    <cellStyle name="Normal 5 17 33 13" xfId="36994" xr:uid="{00000000-0005-0000-0000-000074900000}"/>
    <cellStyle name="Normal 5 17 33 14" xfId="36995" xr:uid="{00000000-0005-0000-0000-000075900000}"/>
    <cellStyle name="Normal 5 17 33 2" xfId="36996" xr:uid="{00000000-0005-0000-0000-000076900000}"/>
    <cellStyle name="Normal 5 17 33 2 10" xfId="36997" xr:uid="{00000000-0005-0000-0000-000077900000}"/>
    <cellStyle name="Normal 5 17 33 2 2" xfId="36998" xr:uid="{00000000-0005-0000-0000-000078900000}"/>
    <cellStyle name="Normal 5 17 33 2 3" xfId="36999" xr:uid="{00000000-0005-0000-0000-000079900000}"/>
    <cellStyle name="Normal 5 17 33 2 4" xfId="37000" xr:uid="{00000000-0005-0000-0000-00007A900000}"/>
    <cellStyle name="Normal 5 17 33 2 5" xfId="37001" xr:uid="{00000000-0005-0000-0000-00007B900000}"/>
    <cellStyle name="Normal 5 17 33 2 6" xfId="37002" xr:uid="{00000000-0005-0000-0000-00007C900000}"/>
    <cellStyle name="Normal 5 17 33 2 7" xfId="37003" xr:uid="{00000000-0005-0000-0000-00007D900000}"/>
    <cellStyle name="Normal 5 17 33 2 8" xfId="37004" xr:uid="{00000000-0005-0000-0000-00007E900000}"/>
    <cellStyle name="Normal 5 17 33 2 9" xfId="37005" xr:uid="{00000000-0005-0000-0000-00007F900000}"/>
    <cellStyle name="Normal 5 17 33 3" xfId="37006" xr:uid="{00000000-0005-0000-0000-000080900000}"/>
    <cellStyle name="Normal 5 17 33 3 10" xfId="37007" xr:uid="{00000000-0005-0000-0000-000081900000}"/>
    <cellStyle name="Normal 5 17 33 3 2" xfId="37008" xr:uid="{00000000-0005-0000-0000-000082900000}"/>
    <cellStyle name="Normal 5 17 33 3 3" xfId="37009" xr:uid="{00000000-0005-0000-0000-000083900000}"/>
    <cellStyle name="Normal 5 17 33 3 4" xfId="37010" xr:uid="{00000000-0005-0000-0000-000084900000}"/>
    <cellStyle name="Normal 5 17 33 3 5" xfId="37011" xr:uid="{00000000-0005-0000-0000-000085900000}"/>
    <cellStyle name="Normal 5 17 33 3 6" xfId="37012" xr:uid="{00000000-0005-0000-0000-000086900000}"/>
    <cellStyle name="Normal 5 17 33 3 7" xfId="37013" xr:uid="{00000000-0005-0000-0000-000087900000}"/>
    <cellStyle name="Normal 5 17 33 3 8" xfId="37014" xr:uid="{00000000-0005-0000-0000-000088900000}"/>
    <cellStyle name="Normal 5 17 33 3 9" xfId="37015" xr:uid="{00000000-0005-0000-0000-000089900000}"/>
    <cellStyle name="Normal 5 17 33 4" xfId="37016" xr:uid="{00000000-0005-0000-0000-00008A900000}"/>
    <cellStyle name="Normal 5 17 33 4 10" xfId="37017" xr:uid="{00000000-0005-0000-0000-00008B900000}"/>
    <cellStyle name="Normal 5 17 33 4 2" xfId="37018" xr:uid="{00000000-0005-0000-0000-00008C900000}"/>
    <cellStyle name="Normal 5 17 33 4 3" xfId="37019" xr:uid="{00000000-0005-0000-0000-00008D900000}"/>
    <cellStyle name="Normal 5 17 33 4 4" xfId="37020" xr:uid="{00000000-0005-0000-0000-00008E900000}"/>
    <cellStyle name="Normal 5 17 33 4 5" xfId="37021" xr:uid="{00000000-0005-0000-0000-00008F900000}"/>
    <cellStyle name="Normal 5 17 33 4 6" xfId="37022" xr:uid="{00000000-0005-0000-0000-000090900000}"/>
    <cellStyle name="Normal 5 17 33 4 7" xfId="37023" xr:uid="{00000000-0005-0000-0000-000091900000}"/>
    <cellStyle name="Normal 5 17 33 4 8" xfId="37024" xr:uid="{00000000-0005-0000-0000-000092900000}"/>
    <cellStyle name="Normal 5 17 33 4 9" xfId="37025" xr:uid="{00000000-0005-0000-0000-000093900000}"/>
    <cellStyle name="Normal 5 17 33 5" xfId="37026" xr:uid="{00000000-0005-0000-0000-000094900000}"/>
    <cellStyle name="Normal 5 17 33 5 10" xfId="37027" xr:uid="{00000000-0005-0000-0000-000095900000}"/>
    <cellStyle name="Normal 5 17 33 5 2" xfId="37028" xr:uid="{00000000-0005-0000-0000-000096900000}"/>
    <cellStyle name="Normal 5 17 33 5 3" xfId="37029" xr:uid="{00000000-0005-0000-0000-000097900000}"/>
    <cellStyle name="Normal 5 17 33 5 4" xfId="37030" xr:uid="{00000000-0005-0000-0000-000098900000}"/>
    <cellStyle name="Normal 5 17 33 5 5" xfId="37031" xr:uid="{00000000-0005-0000-0000-000099900000}"/>
    <cellStyle name="Normal 5 17 33 5 6" xfId="37032" xr:uid="{00000000-0005-0000-0000-00009A900000}"/>
    <cellStyle name="Normal 5 17 33 5 7" xfId="37033" xr:uid="{00000000-0005-0000-0000-00009B900000}"/>
    <cellStyle name="Normal 5 17 33 5 8" xfId="37034" xr:uid="{00000000-0005-0000-0000-00009C900000}"/>
    <cellStyle name="Normal 5 17 33 5 9" xfId="37035" xr:uid="{00000000-0005-0000-0000-00009D900000}"/>
    <cellStyle name="Normal 5 17 33 6" xfId="37036" xr:uid="{00000000-0005-0000-0000-00009E900000}"/>
    <cellStyle name="Normal 5 17 33 7" xfId="37037" xr:uid="{00000000-0005-0000-0000-00009F900000}"/>
    <cellStyle name="Normal 5 17 33 8" xfId="37038" xr:uid="{00000000-0005-0000-0000-0000A0900000}"/>
    <cellStyle name="Normal 5 17 33 9" xfId="37039" xr:uid="{00000000-0005-0000-0000-0000A1900000}"/>
    <cellStyle name="Normal 5 17 34" xfId="37040" xr:uid="{00000000-0005-0000-0000-0000A2900000}"/>
    <cellStyle name="Normal 5 17 34 10" xfId="37041" xr:uid="{00000000-0005-0000-0000-0000A3900000}"/>
    <cellStyle name="Normal 5 17 34 11" xfId="37042" xr:uid="{00000000-0005-0000-0000-0000A4900000}"/>
    <cellStyle name="Normal 5 17 34 12" xfId="37043" xr:uid="{00000000-0005-0000-0000-0000A5900000}"/>
    <cellStyle name="Normal 5 17 34 13" xfId="37044" xr:uid="{00000000-0005-0000-0000-0000A6900000}"/>
    <cellStyle name="Normal 5 17 34 14" xfId="37045" xr:uid="{00000000-0005-0000-0000-0000A7900000}"/>
    <cellStyle name="Normal 5 17 34 2" xfId="37046" xr:uid="{00000000-0005-0000-0000-0000A8900000}"/>
    <cellStyle name="Normal 5 17 34 2 10" xfId="37047" xr:uid="{00000000-0005-0000-0000-0000A9900000}"/>
    <cellStyle name="Normal 5 17 34 2 2" xfId="37048" xr:uid="{00000000-0005-0000-0000-0000AA900000}"/>
    <cellStyle name="Normal 5 17 34 2 3" xfId="37049" xr:uid="{00000000-0005-0000-0000-0000AB900000}"/>
    <cellStyle name="Normal 5 17 34 2 4" xfId="37050" xr:uid="{00000000-0005-0000-0000-0000AC900000}"/>
    <cellStyle name="Normal 5 17 34 2 5" xfId="37051" xr:uid="{00000000-0005-0000-0000-0000AD900000}"/>
    <cellStyle name="Normal 5 17 34 2 6" xfId="37052" xr:uid="{00000000-0005-0000-0000-0000AE900000}"/>
    <cellStyle name="Normal 5 17 34 2 7" xfId="37053" xr:uid="{00000000-0005-0000-0000-0000AF900000}"/>
    <cellStyle name="Normal 5 17 34 2 8" xfId="37054" xr:uid="{00000000-0005-0000-0000-0000B0900000}"/>
    <cellStyle name="Normal 5 17 34 2 9" xfId="37055" xr:uid="{00000000-0005-0000-0000-0000B1900000}"/>
    <cellStyle name="Normal 5 17 34 3" xfId="37056" xr:uid="{00000000-0005-0000-0000-0000B2900000}"/>
    <cellStyle name="Normal 5 17 34 3 10" xfId="37057" xr:uid="{00000000-0005-0000-0000-0000B3900000}"/>
    <cellStyle name="Normal 5 17 34 3 2" xfId="37058" xr:uid="{00000000-0005-0000-0000-0000B4900000}"/>
    <cellStyle name="Normal 5 17 34 3 3" xfId="37059" xr:uid="{00000000-0005-0000-0000-0000B5900000}"/>
    <cellStyle name="Normal 5 17 34 3 4" xfId="37060" xr:uid="{00000000-0005-0000-0000-0000B6900000}"/>
    <cellStyle name="Normal 5 17 34 3 5" xfId="37061" xr:uid="{00000000-0005-0000-0000-0000B7900000}"/>
    <cellStyle name="Normal 5 17 34 3 6" xfId="37062" xr:uid="{00000000-0005-0000-0000-0000B8900000}"/>
    <cellStyle name="Normal 5 17 34 3 7" xfId="37063" xr:uid="{00000000-0005-0000-0000-0000B9900000}"/>
    <cellStyle name="Normal 5 17 34 3 8" xfId="37064" xr:uid="{00000000-0005-0000-0000-0000BA900000}"/>
    <cellStyle name="Normal 5 17 34 3 9" xfId="37065" xr:uid="{00000000-0005-0000-0000-0000BB900000}"/>
    <cellStyle name="Normal 5 17 34 4" xfId="37066" xr:uid="{00000000-0005-0000-0000-0000BC900000}"/>
    <cellStyle name="Normal 5 17 34 4 10" xfId="37067" xr:uid="{00000000-0005-0000-0000-0000BD900000}"/>
    <cellStyle name="Normal 5 17 34 4 2" xfId="37068" xr:uid="{00000000-0005-0000-0000-0000BE900000}"/>
    <cellStyle name="Normal 5 17 34 4 3" xfId="37069" xr:uid="{00000000-0005-0000-0000-0000BF900000}"/>
    <cellStyle name="Normal 5 17 34 4 4" xfId="37070" xr:uid="{00000000-0005-0000-0000-0000C0900000}"/>
    <cellStyle name="Normal 5 17 34 4 5" xfId="37071" xr:uid="{00000000-0005-0000-0000-0000C1900000}"/>
    <cellStyle name="Normal 5 17 34 4 6" xfId="37072" xr:uid="{00000000-0005-0000-0000-0000C2900000}"/>
    <cellStyle name="Normal 5 17 34 4 7" xfId="37073" xr:uid="{00000000-0005-0000-0000-0000C3900000}"/>
    <cellStyle name="Normal 5 17 34 4 8" xfId="37074" xr:uid="{00000000-0005-0000-0000-0000C4900000}"/>
    <cellStyle name="Normal 5 17 34 4 9" xfId="37075" xr:uid="{00000000-0005-0000-0000-0000C5900000}"/>
    <cellStyle name="Normal 5 17 34 5" xfId="37076" xr:uid="{00000000-0005-0000-0000-0000C6900000}"/>
    <cellStyle name="Normal 5 17 34 5 10" xfId="37077" xr:uid="{00000000-0005-0000-0000-0000C7900000}"/>
    <cellStyle name="Normal 5 17 34 5 2" xfId="37078" xr:uid="{00000000-0005-0000-0000-0000C8900000}"/>
    <cellStyle name="Normal 5 17 34 5 3" xfId="37079" xr:uid="{00000000-0005-0000-0000-0000C9900000}"/>
    <cellStyle name="Normal 5 17 34 5 4" xfId="37080" xr:uid="{00000000-0005-0000-0000-0000CA900000}"/>
    <cellStyle name="Normal 5 17 34 5 5" xfId="37081" xr:uid="{00000000-0005-0000-0000-0000CB900000}"/>
    <cellStyle name="Normal 5 17 34 5 6" xfId="37082" xr:uid="{00000000-0005-0000-0000-0000CC900000}"/>
    <cellStyle name="Normal 5 17 34 5 7" xfId="37083" xr:uid="{00000000-0005-0000-0000-0000CD900000}"/>
    <cellStyle name="Normal 5 17 34 5 8" xfId="37084" xr:uid="{00000000-0005-0000-0000-0000CE900000}"/>
    <cellStyle name="Normal 5 17 34 5 9" xfId="37085" xr:uid="{00000000-0005-0000-0000-0000CF900000}"/>
    <cellStyle name="Normal 5 17 34 6" xfId="37086" xr:uid="{00000000-0005-0000-0000-0000D0900000}"/>
    <cellStyle name="Normal 5 17 34 7" xfId="37087" xr:uid="{00000000-0005-0000-0000-0000D1900000}"/>
    <cellStyle name="Normal 5 17 34 8" xfId="37088" xr:uid="{00000000-0005-0000-0000-0000D2900000}"/>
    <cellStyle name="Normal 5 17 34 9" xfId="37089" xr:uid="{00000000-0005-0000-0000-0000D3900000}"/>
    <cellStyle name="Normal 5 17 35" xfId="37090" xr:uid="{00000000-0005-0000-0000-0000D4900000}"/>
    <cellStyle name="Normal 5 17 35 10" xfId="37091" xr:uid="{00000000-0005-0000-0000-0000D5900000}"/>
    <cellStyle name="Normal 5 17 35 2" xfId="37092" xr:uid="{00000000-0005-0000-0000-0000D6900000}"/>
    <cellStyle name="Normal 5 17 35 3" xfId="37093" xr:uid="{00000000-0005-0000-0000-0000D7900000}"/>
    <cellStyle name="Normal 5 17 35 4" xfId="37094" xr:uid="{00000000-0005-0000-0000-0000D8900000}"/>
    <cellStyle name="Normal 5 17 35 5" xfId="37095" xr:uid="{00000000-0005-0000-0000-0000D9900000}"/>
    <cellStyle name="Normal 5 17 35 6" xfId="37096" xr:uid="{00000000-0005-0000-0000-0000DA900000}"/>
    <cellStyle name="Normal 5 17 35 7" xfId="37097" xr:uid="{00000000-0005-0000-0000-0000DB900000}"/>
    <cellStyle name="Normal 5 17 35 8" xfId="37098" xr:uid="{00000000-0005-0000-0000-0000DC900000}"/>
    <cellStyle name="Normal 5 17 35 9" xfId="37099" xr:uid="{00000000-0005-0000-0000-0000DD900000}"/>
    <cellStyle name="Normal 5 17 36" xfId="37100" xr:uid="{00000000-0005-0000-0000-0000DE900000}"/>
    <cellStyle name="Normal 5 17 36 10" xfId="37101" xr:uid="{00000000-0005-0000-0000-0000DF900000}"/>
    <cellStyle name="Normal 5 17 36 2" xfId="37102" xr:uid="{00000000-0005-0000-0000-0000E0900000}"/>
    <cellStyle name="Normal 5 17 36 3" xfId="37103" xr:uid="{00000000-0005-0000-0000-0000E1900000}"/>
    <cellStyle name="Normal 5 17 36 4" xfId="37104" xr:uid="{00000000-0005-0000-0000-0000E2900000}"/>
    <cellStyle name="Normal 5 17 36 5" xfId="37105" xr:uid="{00000000-0005-0000-0000-0000E3900000}"/>
    <cellStyle name="Normal 5 17 36 6" xfId="37106" xr:uid="{00000000-0005-0000-0000-0000E4900000}"/>
    <cellStyle name="Normal 5 17 36 7" xfId="37107" xr:uid="{00000000-0005-0000-0000-0000E5900000}"/>
    <cellStyle name="Normal 5 17 36 8" xfId="37108" xr:uid="{00000000-0005-0000-0000-0000E6900000}"/>
    <cellStyle name="Normal 5 17 36 9" xfId="37109" xr:uid="{00000000-0005-0000-0000-0000E7900000}"/>
    <cellStyle name="Normal 5 17 37" xfId="37110" xr:uid="{00000000-0005-0000-0000-0000E8900000}"/>
    <cellStyle name="Normal 5 17 37 10" xfId="37111" xr:uid="{00000000-0005-0000-0000-0000E9900000}"/>
    <cellStyle name="Normal 5 17 37 2" xfId="37112" xr:uid="{00000000-0005-0000-0000-0000EA900000}"/>
    <cellStyle name="Normal 5 17 37 3" xfId="37113" xr:uid="{00000000-0005-0000-0000-0000EB900000}"/>
    <cellStyle name="Normal 5 17 37 4" xfId="37114" xr:uid="{00000000-0005-0000-0000-0000EC900000}"/>
    <cellStyle name="Normal 5 17 37 5" xfId="37115" xr:uid="{00000000-0005-0000-0000-0000ED900000}"/>
    <cellStyle name="Normal 5 17 37 6" xfId="37116" xr:uid="{00000000-0005-0000-0000-0000EE900000}"/>
    <cellStyle name="Normal 5 17 37 7" xfId="37117" xr:uid="{00000000-0005-0000-0000-0000EF900000}"/>
    <cellStyle name="Normal 5 17 37 8" xfId="37118" xr:uid="{00000000-0005-0000-0000-0000F0900000}"/>
    <cellStyle name="Normal 5 17 37 9" xfId="37119" xr:uid="{00000000-0005-0000-0000-0000F1900000}"/>
    <cellStyle name="Normal 5 17 38" xfId="37120" xr:uid="{00000000-0005-0000-0000-0000F2900000}"/>
    <cellStyle name="Normal 5 17 38 10" xfId="37121" xr:uid="{00000000-0005-0000-0000-0000F3900000}"/>
    <cellStyle name="Normal 5 17 38 2" xfId="37122" xr:uid="{00000000-0005-0000-0000-0000F4900000}"/>
    <cellStyle name="Normal 5 17 38 3" xfId="37123" xr:uid="{00000000-0005-0000-0000-0000F5900000}"/>
    <cellStyle name="Normal 5 17 38 4" xfId="37124" xr:uid="{00000000-0005-0000-0000-0000F6900000}"/>
    <cellStyle name="Normal 5 17 38 5" xfId="37125" xr:uid="{00000000-0005-0000-0000-0000F7900000}"/>
    <cellStyle name="Normal 5 17 38 6" xfId="37126" xr:uid="{00000000-0005-0000-0000-0000F8900000}"/>
    <cellStyle name="Normal 5 17 38 7" xfId="37127" xr:uid="{00000000-0005-0000-0000-0000F9900000}"/>
    <cellStyle name="Normal 5 17 38 8" xfId="37128" xr:uid="{00000000-0005-0000-0000-0000FA900000}"/>
    <cellStyle name="Normal 5 17 38 9" xfId="37129" xr:uid="{00000000-0005-0000-0000-0000FB900000}"/>
    <cellStyle name="Normal 5 17 39" xfId="37130" xr:uid="{00000000-0005-0000-0000-0000FC900000}"/>
    <cellStyle name="Normal 5 17 4" xfId="37131" xr:uid="{00000000-0005-0000-0000-0000FD900000}"/>
    <cellStyle name="Normal 5 17 4 10" xfId="37132" xr:uid="{00000000-0005-0000-0000-0000FE900000}"/>
    <cellStyle name="Normal 5 17 4 11" xfId="37133" xr:uid="{00000000-0005-0000-0000-0000FF900000}"/>
    <cellStyle name="Normal 5 17 4 12" xfId="37134" xr:uid="{00000000-0005-0000-0000-000000910000}"/>
    <cellStyle name="Normal 5 17 4 13" xfId="37135" xr:uid="{00000000-0005-0000-0000-000001910000}"/>
    <cellStyle name="Normal 5 17 4 14" xfId="37136" xr:uid="{00000000-0005-0000-0000-000002910000}"/>
    <cellStyle name="Normal 5 17 4 2" xfId="37137" xr:uid="{00000000-0005-0000-0000-000003910000}"/>
    <cellStyle name="Normal 5 17 4 2 10" xfId="37138" xr:uid="{00000000-0005-0000-0000-000004910000}"/>
    <cellStyle name="Normal 5 17 4 2 2" xfId="37139" xr:uid="{00000000-0005-0000-0000-000005910000}"/>
    <cellStyle name="Normal 5 17 4 2 3" xfId="37140" xr:uid="{00000000-0005-0000-0000-000006910000}"/>
    <cellStyle name="Normal 5 17 4 2 4" xfId="37141" xr:uid="{00000000-0005-0000-0000-000007910000}"/>
    <cellStyle name="Normal 5 17 4 2 5" xfId="37142" xr:uid="{00000000-0005-0000-0000-000008910000}"/>
    <cellStyle name="Normal 5 17 4 2 6" xfId="37143" xr:uid="{00000000-0005-0000-0000-000009910000}"/>
    <cellStyle name="Normal 5 17 4 2 7" xfId="37144" xr:uid="{00000000-0005-0000-0000-00000A910000}"/>
    <cellStyle name="Normal 5 17 4 2 8" xfId="37145" xr:uid="{00000000-0005-0000-0000-00000B910000}"/>
    <cellStyle name="Normal 5 17 4 2 9" xfId="37146" xr:uid="{00000000-0005-0000-0000-00000C910000}"/>
    <cellStyle name="Normal 5 17 4 3" xfId="37147" xr:uid="{00000000-0005-0000-0000-00000D910000}"/>
    <cellStyle name="Normal 5 17 4 3 10" xfId="37148" xr:uid="{00000000-0005-0000-0000-00000E910000}"/>
    <cellStyle name="Normal 5 17 4 3 2" xfId="37149" xr:uid="{00000000-0005-0000-0000-00000F910000}"/>
    <cellStyle name="Normal 5 17 4 3 3" xfId="37150" xr:uid="{00000000-0005-0000-0000-000010910000}"/>
    <cellStyle name="Normal 5 17 4 3 4" xfId="37151" xr:uid="{00000000-0005-0000-0000-000011910000}"/>
    <cellStyle name="Normal 5 17 4 3 5" xfId="37152" xr:uid="{00000000-0005-0000-0000-000012910000}"/>
    <cellStyle name="Normal 5 17 4 3 6" xfId="37153" xr:uid="{00000000-0005-0000-0000-000013910000}"/>
    <cellStyle name="Normal 5 17 4 3 7" xfId="37154" xr:uid="{00000000-0005-0000-0000-000014910000}"/>
    <cellStyle name="Normal 5 17 4 3 8" xfId="37155" xr:uid="{00000000-0005-0000-0000-000015910000}"/>
    <cellStyle name="Normal 5 17 4 3 9" xfId="37156" xr:uid="{00000000-0005-0000-0000-000016910000}"/>
    <cellStyle name="Normal 5 17 4 4" xfId="37157" xr:uid="{00000000-0005-0000-0000-000017910000}"/>
    <cellStyle name="Normal 5 17 4 4 10" xfId="37158" xr:uid="{00000000-0005-0000-0000-000018910000}"/>
    <cellStyle name="Normal 5 17 4 4 2" xfId="37159" xr:uid="{00000000-0005-0000-0000-000019910000}"/>
    <cellStyle name="Normal 5 17 4 4 3" xfId="37160" xr:uid="{00000000-0005-0000-0000-00001A910000}"/>
    <cellStyle name="Normal 5 17 4 4 4" xfId="37161" xr:uid="{00000000-0005-0000-0000-00001B910000}"/>
    <cellStyle name="Normal 5 17 4 4 5" xfId="37162" xr:uid="{00000000-0005-0000-0000-00001C910000}"/>
    <cellStyle name="Normal 5 17 4 4 6" xfId="37163" xr:uid="{00000000-0005-0000-0000-00001D910000}"/>
    <cellStyle name="Normal 5 17 4 4 7" xfId="37164" xr:uid="{00000000-0005-0000-0000-00001E910000}"/>
    <cellStyle name="Normal 5 17 4 4 8" xfId="37165" xr:uid="{00000000-0005-0000-0000-00001F910000}"/>
    <cellStyle name="Normal 5 17 4 4 9" xfId="37166" xr:uid="{00000000-0005-0000-0000-000020910000}"/>
    <cellStyle name="Normal 5 17 4 5" xfId="37167" xr:uid="{00000000-0005-0000-0000-000021910000}"/>
    <cellStyle name="Normal 5 17 4 5 10" xfId="37168" xr:uid="{00000000-0005-0000-0000-000022910000}"/>
    <cellStyle name="Normal 5 17 4 5 2" xfId="37169" xr:uid="{00000000-0005-0000-0000-000023910000}"/>
    <cellStyle name="Normal 5 17 4 5 3" xfId="37170" xr:uid="{00000000-0005-0000-0000-000024910000}"/>
    <cellStyle name="Normal 5 17 4 5 4" xfId="37171" xr:uid="{00000000-0005-0000-0000-000025910000}"/>
    <cellStyle name="Normal 5 17 4 5 5" xfId="37172" xr:uid="{00000000-0005-0000-0000-000026910000}"/>
    <cellStyle name="Normal 5 17 4 5 6" xfId="37173" xr:uid="{00000000-0005-0000-0000-000027910000}"/>
    <cellStyle name="Normal 5 17 4 5 7" xfId="37174" xr:uid="{00000000-0005-0000-0000-000028910000}"/>
    <cellStyle name="Normal 5 17 4 5 8" xfId="37175" xr:uid="{00000000-0005-0000-0000-000029910000}"/>
    <cellStyle name="Normal 5 17 4 5 9" xfId="37176" xr:uid="{00000000-0005-0000-0000-00002A910000}"/>
    <cellStyle name="Normal 5 17 4 6" xfId="37177" xr:uid="{00000000-0005-0000-0000-00002B910000}"/>
    <cellStyle name="Normal 5 17 4 7" xfId="37178" xr:uid="{00000000-0005-0000-0000-00002C910000}"/>
    <cellStyle name="Normal 5 17 4 8" xfId="37179" xr:uid="{00000000-0005-0000-0000-00002D910000}"/>
    <cellStyle name="Normal 5 17 4 9" xfId="37180" xr:uid="{00000000-0005-0000-0000-00002E910000}"/>
    <cellStyle name="Normal 5 17 40" xfId="37181" xr:uid="{00000000-0005-0000-0000-00002F910000}"/>
    <cellStyle name="Normal 5 17 41" xfId="37182" xr:uid="{00000000-0005-0000-0000-000030910000}"/>
    <cellStyle name="Normal 5 17 42" xfId="37183" xr:uid="{00000000-0005-0000-0000-000031910000}"/>
    <cellStyle name="Normal 5 17 43" xfId="37184" xr:uid="{00000000-0005-0000-0000-000032910000}"/>
    <cellStyle name="Normal 5 17 44" xfId="37185" xr:uid="{00000000-0005-0000-0000-000033910000}"/>
    <cellStyle name="Normal 5 17 45" xfId="37186" xr:uid="{00000000-0005-0000-0000-000034910000}"/>
    <cellStyle name="Normal 5 17 46" xfId="37187" xr:uid="{00000000-0005-0000-0000-000035910000}"/>
    <cellStyle name="Normal 5 17 47" xfId="37188" xr:uid="{00000000-0005-0000-0000-000036910000}"/>
    <cellStyle name="Normal 5 17 48" xfId="37189" xr:uid="{00000000-0005-0000-0000-000037910000}"/>
    <cellStyle name="Normal 5 17 49" xfId="37190" xr:uid="{00000000-0005-0000-0000-000038910000}"/>
    <cellStyle name="Normal 5 17 5" xfId="37191" xr:uid="{00000000-0005-0000-0000-000039910000}"/>
    <cellStyle name="Normal 5 17 5 10" xfId="37192" xr:uid="{00000000-0005-0000-0000-00003A910000}"/>
    <cellStyle name="Normal 5 17 5 11" xfId="37193" xr:uid="{00000000-0005-0000-0000-00003B910000}"/>
    <cellStyle name="Normal 5 17 5 12" xfId="37194" xr:uid="{00000000-0005-0000-0000-00003C910000}"/>
    <cellStyle name="Normal 5 17 5 13" xfId="37195" xr:uid="{00000000-0005-0000-0000-00003D910000}"/>
    <cellStyle name="Normal 5 17 5 14" xfId="37196" xr:uid="{00000000-0005-0000-0000-00003E910000}"/>
    <cellStyle name="Normal 5 17 5 2" xfId="37197" xr:uid="{00000000-0005-0000-0000-00003F910000}"/>
    <cellStyle name="Normal 5 17 5 2 10" xfId="37198" xr:uid="{00000000-0005-0000-0000-000040910000}"/>
    <cellStyle name="Normal 5 17 5 2 2" xfId="37199" xr:uid="{00000000-0005-0000-0000-000041910000}"/>
    <cellStyle name="Normal 5 17 5 2 3" xfId="37200" xr:uid="{00000000-0005-0000-0000-000042910000}"/>
    <cellStyle name="Normal 5 17 5 2 4" xfId="37201" xr:uid="{00000000-0005-0000-0000-000043910000}"/>
    <cellStyle name="Normal 5 17 5 2 5" xfId="37202" xr:uid="{00000000-0005-0000-0000-000044910000}"/>
    <cellStyle name="Normal 5 17 5 2 6" xfId="37203" xr:uid="{00000000-0005-0000-0000-000045910000}"/>
    <cellStyle name="Normal 5 17 5 2 7" xfId="37204" xr:uid="{00000000-0005-0000-0000-000046910000}"/>
    <cellStyle name="Normal 5 17 5 2 8" xfId="37205" xr:uid="{00000000-0005-0000-0000-000047910000}"/>
    <cellStyle name="Normal 5 17 5 2 9" xfId="37206" xr:uid="{00000000-0005-0000-0000-000048910000}"/>
    <cellStyle name="Normal 5 17 5 3" xfId="37207" xr:uid="{00000000-0005-0000-0000-000049910000}"/>
    <cellStyle name="Normal 5 17 5 3 10" xfId="37208" xr:uid="{00000000-0005-0000-0000-00004A910000}"/>
    <cellStyle name="Normal 5 17 5 3 2" xfId="37209" xr:uid="{00000000-0005-0000-0000-00004B910000}"/>
    <cellStyle name="Normal 5 17 5 3 3" xfId="37210" xr:uid="{00000000-0005-0000-0000-00004C910000}"/>
    <cellStyle name="Normal 5 17 5 3 4" xfId="37211" xr:uid="{00000000-0005-0000-0000-00004D910000}"/>
    <cellStyle name="Normal 5 17 5 3 5" xfId="37212" xr:uid="{00000000-0005-0000-0000-00004E910000}"/>
    <cellStyle name="Normal 5 17 5 3 6" xfId="37213" xr:uid="{00000000-0005-0000-0000-00004F910000}"/>
    <cellStyle name="Normal 5 17 5 3 7" xfId="37214" xr:uid="{00000000-0005-0000-0000-000050910000}"/>
    <cellStyle name="Normal 5 17 5 3 8" xfId="37215" xr:uid="{00000000-0005-0000-0000-000051910000}"/>
    <cellStyle name="Normal 5 17 5 3 9" xfId="37216" xr:uid="{00000000-0005-0000-0000-000052910000}"/>
    <cellStyle name="Normal 5 17 5 4" xfId="37217" xr:uid="{00000000-0005-0000-0000-000053910000}"/>
    <cellStyle name="Normal 5 17 5 4 10" xfId="37218" xr:uid="{00000000-0005-0000-0000-000054910000}"/>
    <cellStyle name="Normal 5 17 5 4 2" xfId="37219" xr:uid="{00000000-0005-0000-0000-000055910000}"/>
    <cellStyle name="Normal 5 17 5 4 3" xfId="37220" xr:uid="{00000000-0005-0000-0000-000056910000}"/>
    <cellStyle name="Normal 5 17 5 4 4" xfId="37221" xr:uid="{00000000-0005-0000-0000-000057910000}"/>
    <cellStyle name="Normal 5 17 5 4 5" xfId="37222" xr:uid="{00000000-0005-0000-0000-000058910000}"/>
    <cellStyle name="Normal 5 17 5 4 6" xfId="37223" xr:uid="{00000000-0005-0000-0000-000059910000}"/>
    <cellStyle name="Normal 5 17 5 4 7" xfId="37224" xr:uid="{00000000-0005-0000-0000-00005A910000}"/>
    <cellStyle name="Normal 5 17 5 4 8" xfId="37225" xr:uid="{00000000-0005-0000-0000-00005B910000}"/>
    <cellStyle name="Normal 5 17 5 4 9" xfId="37226" xr:uid="{00000000-0005-0000-0000-00005C910000}"/>
    <cellStyle name="Normal 5 17 5 5" xfId="37227" xr:uid="{00000000-0005-0000-0000-00005D910000}"/>
    <cellStyle name="Normal 5 17 5 5 10" xfId="37228" xr:uid="{00000000-0005-0000-0000-00005E910000}"/>
    <cellStyle name="Normal 5 17 5 5 2" xfId="37229" xr:uid="{00000000-0005-0000-0000-00005F910000}"/>
    <cellStyle name="Normal 5 17 5 5 3" xfId="37230" xr:uid="{00000000-0005-0000-0000-000060910000}"/>
    <cellStyle name="Normal 5 17 5 5 4" xfId="37231" xr:uid="{00000000-0005-0000-0000-000061910000}"/>
    <cellStyle name="Normal 5 17 5 5 5" xfId="37232" xr:uid="{00000000-0005-0000-0000-000062910000}"/>
    <cellStyle name="Normal 5 17 5 5 6" xfId="37233" xr:uid="{00000000-0005-0000-0000-000063910000}"/>
    <cellStyle name="Normal 5 17 5 5 7" xfId="37234" xr:uid="{00000000-0005-0000-0000-000064910000}"/>
    <cellStyle name="Normal 5 17 5 5 8" xfId="37235" xr:uid="{00000000-0005-0000-0000-000065910000}"/>
    <cellStyle name="Normal 5 17 5 5 9" xfId="37236" xr:uid="{00000000-0005-0000-0000-000066910000}"/>
    <cellStyle name="Normal 5 17 5 6" xfId="37237" xr:uid="{00000000-0005-0000-0000-000067910000}"/>
    <cellStyle name="Normal 5 17 5 7" xfId="37238" xr:uid="{00000000-0005-0000-0000-000068910000}"/>
    <cellStyle name="Normal 5 17 5 8" xfId="37239" xr:uid="{00000000-0005-0000-0000-000069910000}"/>
    <cellStyle name="Normal 5 17 5 9" xfId="37240" xr:uid="{00000000-0005-0000-0000-00006A910000}"/>
    <cellStyle name="Normal 5 17 6" xfId="37241" xr:uid="{00000000-0005-0000-0000-00006B910000}"/>
    <cellStyle name="Normal 5 17 6 10" xfId="37242" xr:uid="{00000000-0005-0000-0000-00006C910000}"/>
    <cellStyle name="Normal 5 17 6 11" xfId="37243" xr:uid="{00000000-0005-0000-0000-00006D910000}"/>
    <cellStyle name="Normal 5 17 6 12" xfId="37244" xr:uid="{00000000-0005-0000-0000-00006E910000}"/>
    <cellStyle name="Normal 5 17 6 13" xfId="37245" xr:uid="{00000000-0005-0000-0000-00006F910000}"/>
    <cellStyle name="Normal 5 17 6 14" xfId="37246" xr:uid="{00000000-0005-0000-0000-000070910000}"/>
    <cellStyle name="Normal 5 17 6 2" xfId="37247" xr:uid="{00000000-0005-0000-0000-000071910000}"/>
    <cellStyle name="Normal 5 17 6 2 10" xfId="37248" xr:uid="{00000000-0005-0000-0000-000072910000}"/>
    <cellStyle name="Normal 5 17 6 2 2" xfId="37249" xr:uid="{00000000-0005-0000-0000-000073910000}"/>
    <cellStyle name="Normal 5 17 6 2 3" xfId="37250" xr:uid="{00000000-0005-0000-0000-000074910000}"/>
    <cellStyle name="Normal 5 17 6 2 4" xfId="37251" xr:uid="{00000000-0005-0000-0000-000075910000}"/>
    <cellStyle name="Normal 5 17 6 2 5" xfId="37252" xr:uid="{00000000-0005-0000-0000-000076910000}"/>
    <cellStyle name="Normal 5 17 6 2 6" xfId="37253" xr:uid="{00000000-0005-0000-0000-000077910000}"/>
    <cellStyle name="Normal 5 17 6 2 7" xfId="37254" xr:uid="{00000000-0005-0000-0000-000078910000}"/>
    <cellStyle name="Normal 5 17 6 2 8" xfId="37255" xr:uid="{00000000-0005-0000-0000-000079910000}"/>
    <cellStyle name="Normal 5 17 6 2 9" xfId="37256" xr:uid="{00000000-0005-0000-0000-00007A910000}"/>
    <cellStyle name="Normal 5 17 6 3" xfId="37257" xr:uid="{00000000-0005-0000-0000-00007B910000}"/>
    <cellStyle name="Normal 5 17 6 3 10" xfId="37258" xr:uid="{00000000-0005-0000-0000-00007C910000}"/>
    <cellStyle name="Normal 5 17 6 3 2" xfId="37259" xr:uid="{00000000-0005-0000-0000-00007D910000}"/>
    <cellStyle name="Normal 5 17 6 3 3" xfId="37260" xr:uid="{00000000-0005-0000-0000-00007E910000}"/>
    <cellStyle name="Normal 5 17 6 3 4" xfId="37261" xr:uid="{00000000-0005-0000-0000-00007F910000}"/>
    <cellStyle name="Normal 5 17 6 3 5" xfId="37262" xr:uid="{00000000-0005-0000-0000-000080910000}"/>
    <cellStyle name="Normal 5 17 6 3 6" xfId="37263" xr:uid="{00000000-0005-0000-0000-000081910000}"/>
    <cellStyle name="Normal 5 17 6 3 7" xfId="37264" xr:uid="{00000000-0005-0000-0000-000082910000}"/>
    <cellStyle name="Normal 5 17 6 3 8" xfId="37265" xr:uid="{00000000-0005-0000-0000-000083910000}"/>
    <cellStyle name="Normal 5 17 6 3 9" xfId="37266" xr:uid="{00000000-0005-0000-0000-000084910000}"/>
    <cellStyle name="Normal 5 17 6 4" xfId="37267" xr:uid="{00000000-0005-0000-0000-000085910000}"/>
    <cellStyle name="Normal 5 17 6 4 10" xfId="37268" xr:uid="{00000000-0005-0000-0000-000086910000}"/>
    <cellStyle name="Normal 5 17 6 4 2" xfId="37269" xr:uid="{00000000-0005-0000-0000-000087910000}"/>
    <cellStyle name="Normal 5 17 6 4 3" xfId="37270" xr:uid="{00000000-0005-0000-0000-000088910000}"/>
    <cellStyle name="Normal 5 17 6 4 4" xfId="37271" xr:uid="{00000000-0005-0000-0000-000089910000}"/>
    <cellStyle name="Normal 5 17 6 4 5" xfId="37272" xr:uid="{00000000-0005-0000-0000-00008A910000}"/>
    <cellStyle name="Normal 5 17 6 4 6" xfId="37273" xr:uid="{00000000-0005-0000-0000-00008B910000}"/>
    <cellStyle name="Normal 5 17 6 4 7" xfId="37274" xr:uid="{00000000-0005-0000-0000-00008C910000}"/>
    <cellStyle name="Normal 5 17 6 4 8" xfId="37275" xr:uid="{00000000-0005-0000-0000-00008D910000}"/>
    <cellStyle name="Normal 5 17 6 4 9" xfId="37276" xr:uid="{00000000-0005-0000-0000-00008E910000}"/>
    <cellStyle name="Normal 5 17 6 5" xfId="37277" xr:uid="{00000000-0005-0000-0000-00008F910000}"/>
    <cellStyle name="Normal 5 17 6 5 10" xfId="37278" xr:uid="{00000000-0005-0000-0000-000090910000}"/>
    <cellStyle name="Normal 5 17 6 5 2" xfId="37279" xr:uid="{00000000-0005-0000-0000-000091910000}"/>
    <cellStyle name="Normal 5 17 6 5 3" xfId="37280" xr:uid="{00000000-0005-0000-0000-000092910000}"/>
    <cellStyle name="Normal 5 17 6 5 4" xfId="37281" xr:uid="{00000000-0005-0000-0000-000093910000}"/>
    <cellStyle name="Normal 5 17 6 5 5" xfId="37282" xr:uid="{00000000-0005-0000-0000-000094910000}"/>
    <cellStyle name="Normal 5 17 6 5 6" xfId="37283" xr:uid="{00000000-0005-0000-0000-000095910000}"/>
    <cellStyle name="Normal 5 17 6 5 7" xfId="37284" xr:uid="{00000000-0005-0000-0000-000096910000}"/>
    <cellStyle name="Normal 5 17 6 5 8" xfId="37285" xr:uid="{00000000-0005-0000-0000-000097910000}"/>
    <cellStyle name="Normal 5 17 6 5 9" xfId="37286" xr:uid="{00000000-0005-0000-0000-000098910000}"/>
    <cellStyle name="Normal 5 17 6 6" xfId="37287" xr:uid="{00000000-0005-0000-0000-000099910000}"/>
    <cellStyle name="Normal 5 17 6 7" xfId="37288" xr:uid="{00000000-0005-0000-0000-00009A910000}"/>
    <cellStyle name="Normal 5 17 6 8" xfId="37289" xr:uid="{00000000-0005-0000-0000-00009B910000}"/>
    <cellStyle name="Normal 5 17 6 9" xfId="37290" xr:uid="{00000000-0005-0000-0000-00009C910000}"/>
    <cellStyle name="Normal 5 17 7" xfId="37291" xr:uid="{00000000-0005-0000-0000-00009D910000}"/>
    <cellStyle name="Normal 5 17 7 10" xfId="37292" xr:uid="{00000000-0005-0000-0000-00009E910000}"/>
    <cellStyle name="Normal 5 17 7 11" xfId="37293" xr:uid="{00000000-0005-0000-0000-00009F910000}"/>
    <cellStyle name="Normal 5 17 7 12" xfId="37294" xr:uid="{00000000-0005-0000-0000-0000A0910000}"/>
    <cellStyle name="Normal 5 17 7 13" xfId="37295" xr:uid="{00000000-0005-0000-0000-0000A1910000}"/>
    <cellStyle name="Normal 5 17 7 14" xfId="37296" xr:uid="{00000000-0005-0000-0000-0000A2910000}"/>
    <cellStyle name="Normal 5 17 7 2" xfId="37297" xr:uid="{00000000-0005-0000-0000-0000A3910000}"/>
    <cellStyle name="Normal 5 17 7 2 10" xfId="37298" xr:uid="{00000000-0005-0000-0000-0000A4910000}"/>
    <cellStyle name="Normal 5 17 7 2 2" xfId="37299" xr:uid="{00000000-0005-0000-0000-0000A5910000}"/>
    <cellStyle name="Normal 5 17 7 2 3" xfId="37300" xr:uid="{00000000-0005-0000-0000-0000A6910000}"/>
    <cellStyle name="Normal 5 17 7 2 4" xfId="37301" xr:uid="{00000000-0005-0000-0000-0000A7910000}"/>
    <cellStyle name="Normal 5 17 7 2 5" xfId="37302" xr:uid="{00000000-0005-0000-0000-0000A8910000}"/>
    <cellStyle name="Normal 5 17 7 2 6" xfId="37303" xr:uid="{00000000-0005-0000-0000-0000A9910000}"/>
    <cellStyle name="Normal 5 17 7 2 7" xfId="37304" xr:uid="{00000000-0005-0000-0000-0000AA910000}"/>
    <cellStyle name="Normal 5 17 7 2 8" xfId="37305" xr:uid="{00000000-0005-0000-0000-0000AB910000}"/>
    <cellStyle name="Normal 5 17 7 2 9" xfId="37306" xr:uid="{00000000-0005-0000-0000-0000AC910000}"/>
    <cellStyle name="Normal 5 17 7 3" xfId="37307" xr:uid="{00000000-0005-0000-0000-0000AD910000}"/>
    <cellStyle name="Normal 5 17 7 3 10" xfId="37308" xr:uid="{00000000-0005-0000-0000-0000AE910000}"/>
    <cellStyle name="Normal 5 17 7 3 2" xfId="37309" xr:uid="{00000000-0005-0000-0000-0000AF910000}"/>
    <cellStyle name="Normal 5 17 7 3 3" xfId="37310" xr:uid="{00000000-0005-0000-0000-0000B0910000}"/>
    <cellStyle name="Normal 5 17 7 3 4" xfId="37311" xr:uid="{00000000-0005-0000-0000-0000B1910000}"/>
    <cellStyle name="Normal 5 17 7 3 5" xfId="37312" xr:uid="{00000000-0005-0000-0000-0000B2910000}"/>
    <cellStyle name="Normal 5 17 7 3 6" xfId="37313" xr:uid="{00000000-0005-0000-0000-0000B3910000}"/>
    <cellStyle name="Normal 5 17 7 3 7" xfId="37314" xr:uid="{00000000-0005-0000-0000-0000B4910000}"/>
    <cellStyle name="Normal 5 17 7 3 8" xfId="37315" xr:uid="{00000000-0005-0000-0000-0000B5910000}"/>
    <cellStyle name="Normal 5 17 7 3 9" xfId="37316" xr:uid="{00000000-0005-0000-0000-0000B6910000}"/>
    <cellStyle name="Normal 5 17 7 4" xfId="37317" xr:uid="{00000000-0005-0000-0000-0000B7910000}"/>
    <cellStyle name="Normal 5 17 7 4 10" xfId="37318" xr:uid="{00000000-0005-0000-0000-0000B8910000}"/>
    <cellStyle name="Normal 5 17 7 4 2" xfId="37319" xr:uid="{00000000-0005-0000-0000-0000B9910000}"/>
    <cellStyle name="Normal 5 17 7 4 3" xfId="37320" xr:uid="{00000000-0005-0000-0000-0000BA910000}"/>
    <cellStyle name="Normal 5 17 7 4 4" xfId="37321" xr:uid="{00000000-0005-0000-0000-0000BB910000}"/>
    <cellStyle name="Normal 5 17 7 4 5" xfId="37322" xr:uid="{00000000-0005-0000-0000-0000BC910000}"/>
    <cellStyle name="Normal 5 17 7 4 6" xfId="37323" xr:uid="{00000000-0005-0000-0000-0000BD910000}"/>
    <cellStyle name="Normal 5 17 7 4 7" xfId="37324" xr:uid="{00000000-0005-0000-0000-0000BE910000}"/>
    <cellStyle name="Normal 5 17 7 4 8" xfId="37325" xr:uid="{00000000-0005-0000-0000-0000BF910000}"/>
    <cellStyle name="Normal 5 17 7 4 9" xfId="37326" xr:uid="{00000000-0005-0000-0000-0000C0910000}"/>
    <cellStyle name="Normal 5 17 7 5" xfId="37327" xr:uid="{00000000-0005-0000-0000-0000C1910000}"/>
    <cellStyle name="Normal 5 17 7 5 10" xfId="37328" xr:uid="{00000000-0005-0000-0000-0000C2910000}"/>
    <cellStyle name="Normal 5 17 7 5 2" xfId="37329" xr:uid="{00000000-0005-0000-0000-0000C3910000}"/>
    <cellStyle name="Normal 5 17 7 5 3" xfId="37330" xr:uid="{00000000-0005-0000-0000-0000C4910000}"/>
    <cellStyle name="Normal 5 17 7 5 4" xfId="37331" xr:uid="{00000000-0005-0000-0000-0000C5910000}"/>
    <cellStyle name="Normal 5 17 7 5 5" xfId="37332" xr:uid="{00000000-0005-0000-0000-0000C6910000}"/>
    <cellStyle name="Normal 5 17 7 5 6" xfId="37333" xr:uid="{00000000-0005-0000-0000-0000C7910000}"/>
    <cellStyle name="Normal 5 17 7 5 7" xfId="37334" xr:uid="{00000000-0005-0000-0000-0000C8910000}"/>
    <cellStyle name="Normal 5 17 7 5 8" xfId="37335" xr:uid="{00000000-0005-0000-0000-0000C9910000}"/>
    <cellStyle name="Normal 5 17 7 5 9" xfId="37336" xr:uid="{00000000-0005-0000-0000-0000CA910000}"/>
    <cellStyle name="Normal 5 17 7 6" xfId="37337" xr:uid="{00000000-0005-0000-0000-0000CB910000}"/>
    <cellStyle name="Normal 5 17 7 7" xfId="37338" xr:uid="{00000000-0005-0000-0000-0000CC910000}"/>
    <cellStyle name="Normal 5 17 7 8" xfId="37339" xr:uid="{00000000-0005-0000-0000-0000CD910000}"/>
    <cellStyle name="Normal 5 17 7 9" xfId="37340" xr:uid="{00000000-0005-0000-0000-0000CE910000}"/>
    <cellStyle name="Normal 5 17 8" xfId="37341" xr:uid="{00000000-0005-0000-0000-0000CF910000}"/>
    <cellStyle name="Normal 5 17 8 10" xfId="37342" xr:uid="{00000000-0005-0000-0000-0000D0910000}"/>
    <cellStyle name="Normal 5 17 8 11" xfId="37343" xr:uid="{00000000-0005-0000-0000-0000D1910000}"/>
    <cellStyle name="Normal 5 17 8 12" xfId="37344" xr:uid="{00000000-0005-0000-0000-0000D2910000}"/>
    <cellStyle name="Normal 5 17 8 13" xfId="37345" xr:uid="{00000000-0005-0000-0000-0000D3910000}"/>
    <cellStyle name="Normal 5 17 8 14" xfId="37346" xr:uid="{00000000-0005-0000-0000-0000D4910000}"/>
    <cellStyle name="Normal 5 17 8 2" xfId="37347" xr:uid="{00000000-0005-0000-0000-0000D5910000}"/>
    <cellStyle name="Normal 5 17 8 2 10" xfId="37348" xr:uid="{00000000-0005-0000-0000-0000D6910000}"/>
    <cellStyle name="Normal 5 17 8 2 2" xfId="37349" xr:uid="{00000000-0005-0000-0000-0000D7910000}"/>
    <cellStyle name="Normal 5 17 8 2 3" xfId="37350" xr:uid="{00000000-0005-0000-0000-0000D8910000}"/>
    <cellStyle name="Normal 5 17 8 2 4" xfId="37351" xr:uid="{00000000-0005-0000-0000-0000D9910000}"/>
    <cellStyle name="Normal 5 17 8 2 5" xfId="37352" xr:uid="{00000000-0005-0000-0000-0000DA910000}"/>
    <cellStyle name="Normal 5 17 8 2 6" xfId="37353" xr:uid="{00000000-0005-0000-0000-0000DB910000}"/>
    <cellStyle name="Normal 5 17 8 2 7" xfId="37354" xr:uid="{00000000-0005-0000-0000-0000DC910000}"/>
    <cellStyle name="Normal 5 17 8 2 8" xfId="37355" xr:uid="{00000000-0005-0000-0000-0000DD910000}"/>
    <cellStyle name="Normal 5 17 8 2 9" xfId="37356" xr:uid="{00000000-0005-0000-0000-0000DE910000}"/>
    <cellStyle name="Normal 5 17 8 3" xfId="37357" xr:uid="{00000000-0005-0000-0000-0000DF910000}"/>
    <cellStyle name="Normal 5 17 8 3 10" xfId="37358" xr:uid="{00000000-0005-0000-0000-0000E0910000}"/>
    <cellStyle name="Normal 5 17 8 3 2" xfId="37359" xr:uid="{00000000-0005-0000-0000-0000E1910000}"/>
    <cellStyle name="Normal 5 17 8 3 3" xfId="37360" xr:uid="{00000000-0005-0000-0000-0000E2910000}"/>
    <cellStyle name="Normal 5 17 8 3 4" xfId="37361" xr:uid="{00000000-0005-0000-0000-0000E3910000}"/>
    <cellStyle name="Normal 5 17 8 3 5" xfId="37362" xr:uid="{00000000-0005-0000-0000-0000E4910000}"/>
    <cellStyle name="Normal 5 17 8 3 6" xfId="37363" xr:uid="{00000000-0005-0000-0000-0000E5910000}"/>
    <cellStyle name="Normal 5 17 8 3 7" xfId="37364" xr:uid="{00000000-0005-0000-0000-0000E6910000}"/>
    <cellStyle name="Normal 5 17 8 3 8" xfId="37365" xr:uid="{00000000-0005-0000-0000-0000E7910000}"/>
    <cellStyle name="Normal 5 17 8 3 9" xfId="37366" xr:uid="{00000000-0005-0000-0000-0000E8910000}"/>
    <cellStyle name="Normal 5 17 8 4" xfId="37367" xr:uid="{00000000-0005-0000-0000-0000E9910000}"/>
    <cellStyle name="Normal 5 17 8 4 10" xfId="37368" xr:uid="{00000000-0005-0000-0000-0000EA910000}"/>
    <cellStyle name="Normal 5 17 8 4 2" xfId="37369" xr:uid="{00000000-0005-0000-0000-0000EB910000}"/>
    <cellStyle name="Normal 5 17 8 4 3" xfId="37370" xr:uid="{00000000-0005-0000-0000-0000EC910000}"/>
    <cellStyle name="Normal 5 17 8 4 4" xfId="37371" xr:uid="{00000000-0005-0000-0000-0000ED910000}"/>
    <cellStyle name="Normal 5 17 8 4 5" xfId="37372" xr:uid="{00000000-0005-0000-0000-0000EE910000}"/>
    <cellStyle name="Normal 5 17 8 4 6" xfId="37373" xr:uid="{00000000-0005-0000-0000-0000EF910000}"/>
    <cellStyle name="Normal 5 17 8 4 7" xfId="37374" xr:uid="{00000000-0005-0000-0000-0000F0910000}"/>
    <cellStyle name="Normal 5 17 8 4 8" xfId="37375" xr:uid="{00000000-0005-0000-0000-0000F1910000}"/>
    <cellStyle name="Normal 5 17 8 4 9" xfId="37376" xr:uid="{00000000-0005-0000-0000-0000F2910000}"/>
    <cellStyle name="Normal 5 17 8 5" xfId="37377" xr:uid="{00000000-0005-0000-0000-0000F3910000}"/>
    <cellStyle name="Normal 5 17 8 5 10" xfId="37378" xr:uid="{00000000-0005-0000-0000-0000F4910000}"/>
    <cellStyle name="Normal 5 17 8 5 2" xfId="37379" xr:uid="{00000000-0005-0000-0000-0000F5910000}"/>
    <cellStyle name="Normal 5 17 8 5 3" xfId="37380" xr:uid="{00000000-0005-0000-0000-0000F6910000}"/>
    <cellStyle name="Normal 5 17 8 5 4" xfId="37381" xr:uid="{00000000-0005-0000-0000-0000F7910000}"/>
    <cellStyle name="Normal 5 17 8 5 5" xfId="37382" xr:uid="{00000000-0005-0000-0000-0000F8910000}"/>
    <cellStyle name="Normal 5 17 8 5 6" xfId="37383" xr:uid="{00000000-0005-0000-0000-0000F9910000}"/>
    <cellStyle name="Normal 5 17 8 5 7" xfId="37384" xr:uid="{00000000-0005-0000-0000-0000FA910000}"/>
    <cellStyle name="Normal 5 17 8 5 8" xfId="37385" xr:uid="{00000000-0005-0000-0000-0000FB910000}"/>
    <cellStyle name="Normal 5 17 8 5 9" xfId="37386" xr:uid="{00000000-0005-0000-0000-0000FC910000}"/>
    <cellStyle name="Normal 5 17 8 6" xfId="37387" xr:uid="{00000000-0005-0000-0000-0000FD910000}"/>
    <cellStyle name="Normal 5 17 8 7" xfId="37388" xr:uid="{00000000-0005-0000-0000-0000FE910000}"/>
    <cellStyle name="Normal 5 17 8 8" xfId="37389" xr:uid="{00000000-0005-0000-0000-0000FF910000}"/>
    <cellStyle name="Normal 5 17 8 9" xfId="37390" xr:uid="{00000000-0005-0000-0000-000000920000}"/>
    <cellStyle name="Normal 5 17 9" xfId="37391" xr:uid="{00000000-0005-0000-0000-000001920000}"/>
    <cellStyle name="Normal 5 17 9 10" xfId="37392" xr:uid="{00000000-0005-0000-0000-000002920000}"/>
    <cellStyle name="Normal 5 17 9 11" xfId="37393" xr:uid="{00000000-0005-0000-0000-000003920000}"/>
    <cellStyle name="Normal 5 17 9 12" xfId="37394" xr:uid="{00000000-0005-0000-0000-000004920000}"/>
    <cellStyle name="Normal 5 17 9 13" xfId="37395" xr:uid="{00000000-0005-0000-0000-000005920000}"/>
    <cellStyle name="Normal 5 17 9 14" xfId="37396" xr:uid="{00000000-0005-0000-0000-000006920000}"/>
    <cellStyle name="Normal 5 17 9 2" xfId="37397" xr:uid="{00000000-0005-0000-0000-000007920000}"/>
    <cellStyle name="Normal 5 17 9 2 10" xfId="37398" xr:uid="{00000000-0005-0000-0000-000008920000}"/>
    <cellStyle name="Normal 5 17 9 2 2" xfId="37399" xr:uid="{00000000-0005-0000-0000-000009920000}"/>
    <cellStyle name="Normal 5 17 9 2 3" xfId="37400" xr:uid="{00000000-0005-0000-0000-00000A920000}"/>
    <cellStyle name="Normal 5 17 9 2 4" xfId="37401" xr:uid="{00000000-0005-0000-0000-00000B920000}"/>
    <cellStyle name="Normal 5 17 9 2 5" xfId="37402" xr:uid="{00000000-0005-0000-0000-00000C920000}"/>
    <cellStyle name="Normal 5 17 9 2 6" xfId="37403" xr:uid="{00000000-0005-0000-0000-00000D920000}"/>
    <cellStyle name="Normal 5 17 9 2 7" xfId="37404" xr:uid="{00000000-0005-0000-0000-00000E920000}"/>
    <cellStyle name="Normal 5 17 9 2 8" xfId="37405" xr:uid="{00000000-0005-0000-0000-00000F920000}"/>
    <cellStyle name="Normal 5 17 9 2 9" xfId="37406" xr:uid="{00000000-0005-0000-0000-000010920000}"/>
    <cellStyle name="Normal 5 17 9 3" xfId="37407" xr:uid="{00000000-0005-0000-0000-000011920000}"/>
    <cellStyle name="Normal 5 17 9 3 10" xfId="37408" xr:uid="{00000000-0005-0000-0000-000012920000}"/>
    <cellStyle name="Normal 5 17 9 3 2" xfId="37409" xr:uid="{00000000-0005-0000-0000-000013920000}"/>
    <cellStyle name="Normal 5 17 9 3 3" xfId="37410" xr:uid="{00000000-0005-0000-0000-000014920000}"/>
    <cellStyle name="Normal 5 17 9 3 4" xfId="37411" xr:uid="{00000000-0005-0000-0000-000015920000}"/>
    <cellStyle name="Normal 5 17 9 3 5" xfId="37412" xr:uid="{00000000-0005-0000-0000-000016920000}"/>
    <cellStyle name="Normal 5 17 9 3 6" xfId="37413" xr:uid="{00000000-0005-0000-0000-000017920000}"/>
    <cellStyle name="Normal 5 17 9 3 7" xfId="37414" xr:uid="{00000000-0005-0000-0000-000018920000}"/>
    <cellStyle name="Normal 5 17 9 3 8" xfId="37415" xr:uid="{00000000-0005-0000-0000-000019920000}"/>
    <cellStyle name="Normal 5 17 9 3 9" xfId="37416" xr:uid="{00000000-0005-0000-0000-00001A920000}"/>
    <cellStyle name="Normal 5 17 9 4" xfId="37417" xr:uid="{00000000-0005-0000-0000-00001B920000}"/>
    <cellStyle name="Normal 5 17 9 4 10" xfId="37418" xr:uid="{00000000-0005-0000-0000-00001C920000}"/>
    <cellStyle name="Normal 5 17 9 4 2" xfId="37419" xr:uid="{00000000-0005-0000-0000-00001D920000}"/>
    <cellStyle name="Normal 5 17 9 4 3" xfId="37420" xr:uid="{00000000-0005-0000-0000-00001E920000}"/>
    <cellStyle name="Normal 5 17 9 4 4" xfId="37421" xr:uid="{00000000-0005-0000-0000-00001F920000}"/>
    <cellStyle name="Normal 5 17 9 4 5" xfId="37422" xr:uid="{00000000-0005-0000-0000-000020920000}"/>
    <cellStyle name="Normal 5 17 9 4 6" xfId="37423" xr:uid="{00000000-0005-0000-0000-000021920000}"/>
    <cellStyle name="Normal 5 17 9 4 7" xfId="37424" xr:uid="{00000000-0005-0000-0000-000022920000}"/>
    <cellStyle name="Normal 5 17 9 4 8" xfId="37425" xr:uid="{00000000-0005-0000-0000-000023920000}"/>
    <cellStyle name="Normal 5 17 9 4 9" xfId="37426" xr:uid="{00000000-0005-0000-0000-000024920000}"/>
    <cellStyle name="Normal 5 17 9 5" xfId="37427" xr:uid="{00000000-0005-0000-0000-000025920000}"/>
    <cellStyle name="Normal 5 17 9 5 10" xfId="37428" xr:uid="{00000000-0005-0000-0000-000026920000}"/>
    <cellStyle name="Normal 5 17 9 5 2" xfId="37429" xr:uid="{00000000-0005-0000-0000-000027920000}"/>
    <cellStyle name="Normal 5 17 9 5 3" xfId="37430" xr:uid="{00000000-0005-0000-0000-000028920000}"/>
    <cellStyle name="Normal 5 17 9 5 4" xfId="37431" xr:uid="{00000000-0005-0000-0000-000029920000}"/>
    <cellStyle name="Normal 5 17 9 5 5" xfId="37432" xr:uid="{00000000-0005-0000-0000-00002A920000}"/>
    <cellStyle name="Normal 5 17 9 5 6" xfId="37433" xr:uid="{00000000-0005-0000-0000-00002B920000}"/>
    <cellStyle name="Normal 5 17 9 5 7" xfId="37434" xr:uid="{00000000-0005-0000-0000-00002C920000}"/>
    <cellStyle name="Normal 5 17 9 5 8" xfId="37435" xr:uid="{00000000-0005-0000-0000-00002D920000}"/>
    <cellStyle name="Normal 5 17 9 5 9" xfId="37436" xr:uid="{00000000-0005-0000-0000-00002E920000}"/>
    <cellStyle name="Normal 5 17 9 6" xfId="37437" xr:uid="{00000000-0005-0000-0000-00002F920000}"/>
    <cellStyle name="Normal 5 17 9 7" xfId="37438" xr:uid="{00000000-0005-0000-0000-000030920000}"/>
    <cellStyle name="Normal 5 17 9 8" xfId="37439" xr:uid="{00000000-0005-0000-0000-000031920000}"/>
    <cellStyle name="Normal 5 17 9 9" xfId="37440" xr:uid="{00000000-0005-0000-0000-000032920000}"/>
    <cellStyle name="Normal 5 18" xfId="37441" xr:uid="{00000000-0005-0000-0000-000033920000}"/>
    <cellStyle name="Normal 5 18 2" xfId="37442" xr:uid="{00000000-0005-0000-0000-000034920000}"/>
    <cellStyle name="Normal 5 18 2 2" xfId="37443" xr:uid="{00000000-0005-0000-0000-000035920000}"/>
    <cellStyle name="Normal 5 18 3" xfId="37444" xr:uid="{00000000-0005-0000-0000-000036920000}"/>
    <cellStyle name="Normal 5 18 4" xfId="37445" xr:uid="{00000000-0005-0000-0000-000037920000}"/>
    <cellStyle name="Normal 5 19" xfId="37446" xr:uid="{00000000-0005-0000-0000-000038920000}"/>
    <cellStyle name="Normal 5 19 2" xfId="37447" xr:uid="{00000000-0005-0000-0000-000039920000}"/>
    <cellStyle name="Normal 5 19 2 2" xfId="37448" xr:uid="{00000000-0005-0000-0000-00003A920000}"/>
    <cellStyle name="Normal 5 19 3" xfId="37449" xr:uid="{00000000-0005-0000-0000-00003B920000}"/>
    <cellStyle name="Normal 5 19 4" xfId="37450" xr:uid="{00000000-0005-0000-0000-00003C920000}"/>
    <cellStyle name="Normal 5 2" xfId="28" xr:uid="{00000000-0005-0000-0000-00003D920000}"/>
    <cellStyle name="Normal 5 2 10" xfId="37452" xr:uid="{00000000-0005-0000-0000-00003E920000}"/>
    <cellStyle name="Normal 5 2 11" xfId="37453" xr:uid="{00000000-0005-0000-0000-00003F920000}"/>
    <cellStyle name="Normal 5 2 12" xfId="37454" xr:uid="{00000000-0005-0000-0000-000040920000}"/>
    <cellStyle name="Normal 5 2 13" xfId="37455" xr:uid="{00000000-0005-0000-0000-000041920000}"/>
    <cellStyle name="Normal 5 2 14" xfId="37456" xr:uid="{00000000-0005-0000-0000-000042920000}"/>
    <cellStyle name="Normal 5 2 15" xfId="37457" xr:uid="{00000000-0005-0000-0000-000043920000}"/>
    <cellStyle name="Normal 5 2 16" xfId="37458" xr:uid="{00000000-0005-0000-0000-000044920000}"/>
    <cellStyle name="Normal 5 2 17" xfId="37459" xr:uid="{00000000-0005-0000-0000-000045920000}"/>
    <cellStyle name="Normal 5 2 18" xfId="37460" xr:uid="{00000000-0005-0000-0000-000046920000}"/>
    <cellStyle name="Normal 5 2 19" xfId="37461" xr:uid="{00000000-0005-0000-0000-000047920000}"/>
    <cellStyle name="Normal 5 2 2" xfId="62" xr:uid="{00000000-0005-0000-0000-000048920000}"/>
    <cellStyle name="Normal 5 2 2 2" xfId="37463" xr:uid="{00000000-0005-0000-0000-000049920000}"/>
    <cellStyle name="Normal 5 2 2 2 2" xfId="37464" xr:uid="{00000000-0005-0000-0000-00004A920000}"/>
    <cellStyle name="Normal 5 2 2 3" xfId="37462" xr:uid="{00000000-0005-0000-0000-00004B920000}"/>
    <cellStyle name="Normal 5 2 20" xfId="37465" xr:uid="{00000000-0005-0000-0000-00004C920000}"/>
    <cellStyle name="Normal 5 2 21" xfId="37466" xr:uid="{00000000-0005-0000-0000-00004D920000}"/>
    <cellStyle name="Normal 5 2 22" xfId="37467" xr:uid="{00000000-0005-0000-0000-00004E920000}"/>
    <cellStyle name="Normal 5 2 23" xfId="37468" xr:uid="{00000000-0005-0000-0000-00004F920000}"/>
    <cellStyle name="Normal 5 2 24" xfId="37469" xr:uid="{00000000-0005-0000-0000-000050920000}"/>
    <cellStyle name="Normal 5 2 25" xfId="37470" xr:uid="{00000000-0005-0000-0000-000051920000}"/>
    <cellStyle name="Normal 5 2 26" xfId="37471" xr:uid="{00000000-0005-0000-0000-000052920000}"/>
    <cellStyle name="Normal 5 2 27" xfId="37472" xr:uid="{00000000-0005-0000-0000-000053920000}"/>
    <cellStyle name="Normal 5 2 28" xfId="37473" xr:uid="{00000000-0005-0000-0000-000054920000}"/>
    <cellStyle name="Normal 5 2 29" xfId="37474" xr:uid="{00000000-0005-0000-0000-000055920000}"/>
    <cellStyle name="Normal 5 2 3" xfId="37475" xr:uid="{00000000-0005-0000-0000-000056920000}"/>
    <cellStyle name="Normal 5 2 30" xfId="37476" xr:uid="{00000000-0005-0000-0000-000057920000}"/>
    <cellStyle name="Normal 5 2 31" xfId="37477" xr:uid="{00000000-0005-0000-0000-000058920000}"/>
    <cellStyle name="Normal 5 2 32" xfId="37478" xr:uid="{00000000-0005-0000-0000-000059920000}"/>
    <cellStyle name="Normal 5 2 33" xfId="37479" xr:uid="{00000000-0005-0000-0000-00005A920000}"/>
    <cellStyle name="Normal 5 2 34" xfId="37480" xr:uid="{00000000-0005-0000-0000-00005B920000}"/>
    <cellStyle name="Normal 5 2 35" xfId="37481" xr:uid="{00000000-0005-0000-0000-00005C920000}"/>
    <cellStyle name="Normal 5 2 36" xfId="37482" xr:uid="{00000000-0005-0000-0000-00005D920000}"/>
    <cellStyle name="Normal 5 2 37" xfId="37483" xr:uid="{00000000-0005-0000-0000-00005E920000}"/>
    <cellStyle name="Normal 5 2 38" xfId="37484" xr:uid="{00000000-0005-0000-0000-00005F920000}"/>
    <cellStyle name="Normal 5 2 39" xfId="37485" xr:uid="{00000000-0005-0000-0000-000060920000}"/>
    <cellStyle name="Normal 5 2 4" xfId="37486" xr:uid="{00000000-0005-0000-0000-000061920000}"/>
    <cellStyle name="Normal 5 2 40" xfId="37487" xr:uid="{00000000-0005-0000-0000-000062920000}"/>
    <cellStyle name="Normal 5 2 41" xfId="37488" xr:uid="{00000000-0005-0000-0000-000063920000}"/>
    <cellStyle name="Normal 5 2 42" xfId="37489" xr:uid="{00000000-0005-0000-0000-000064920000}"/>
    <cellStyle name="Normal 5 2 43" xfId="37490" xr:uid="{00000000-0005-0000-0000-000065920000}"/>
    <cellStyle name="Normal 5 2 44" xfId="37491" xr:uid="{00000000-0005-0000-0000-000066920000}"/>
    <cellStyle name="Normal 5 2 45" xfId="37492" xr:uid="{00000000-0005-0000-0000-000067920000}"/>
    <cellStyle name="Normal 5 2 46" xfId="37493" xr:uid="{00000000-0005-0000-0000-000068920000}"/>
    <cellStyle name="Normal 5 2 47" xfId="37494" xr:uid="{00000000-0005-0000-0000-000069920000}"/>
    <cellStyle name="Normal 5 2 48" xfId="37495" xr:uid="{00000000-0005-0000-0000-00006A920000}"/>
    <cellStyle name="Normal 5 2 49" xfId="37496" xr:uid="{00000000-0005-0000-0000-00006B920000}"/>
    <cellStyle name="Normal 5 2 5" xfId="37497" xr:uid="{00000000-0005-0000-0000-00006C920000}"/>
    <cellStyle name="Normal 5 2 50" xfId="37498" xr:uid="{00000000-0005-0000-0000-00006D920000}"/>
    <cellStyle name="Normal 5 2 51" xfId="37499" xr:uid="{00000000-0005-0000-0000-00006E920000}"/>
    <cellStyle name="Normal 5 2 52" xfId="37500" xr:uid="{00000000-0005-0000-0000-00006F920000}"/>
    <cellStyle name="Normal 5 2 53" xfId="37501" xr:uid="{00000000-0005-0000-0000-000070920000}"/>
    <cellStyle name="Normal 5 2 54" xfId="37502" xr:uid="{00000000-0005-0000-0000-000071920000}"/>
    <cellStyle name="Normal 5 2 55" xfId="37503" xr:uid="{00000000-0005-0000-0000-000072920000}"/>
    <cellStyle name="Normal 5 2 56" xfId="37504" xr:uid="{00000000-0005-0000-0000-000073920000}"/>
    <cellStyle name="Normal 5 2 57" xfId="37505" xr:uid="{00000000-0005-0000-0000-000074920000}"/>
    <cellStyle name="Normal 5 2 58" xfId="37506" xr:uid="{00000000-0005-0000-0000-000075920000}"/>
    <cellStyle name="Normal 5 2 59" xfId="37507" xr:uid="{00000000-0005-0000-0000-000076920000}"/>
    <cellStyle name="Normal 5 2 6" xfId="37508" xr:uid="{00000000-0005-0000-0000-000077920000}"/>
    <cellStyle name="Normal 5 2 60" xfId="37509" xr:uid="{00000000-0005-0000-0000-000078920000}"/>
    <cellStyle name="Normal 5 2 61" xfId="37510" xr:uid="{00000000-0005-0000-0000-000079920000}"/>
    <cellStyle name="Normal 5 2 62" xfId="37511" xr:uid="{00000000-0005-0000-0000-00007A920000}"/>
    <cellStyle name="Normal 5 2 63" xfId="37512" xr:uid="{00000000-0005-0000-0000-00007B920000}"/>
    <cellStyle name="Normal 5 2 64" xfId="37513" xr:uid="{00000000-0005-0000-0000-00007C920000}"/>
    <cellStyle name="Normal 5 2 65" xfId="37514" xr:uid="{00000000-0005-0000-0000-00007D920000}"/>
    <cellStyle name="Normal 5 2 66" xfId="37515" xr:uid="{00000000-0005-0000-0000-00007E920000}"/>
    <cellStyle name="Normal 5 2 67" xfId="37516" xr:uid="{00000000-0005-0000-0000-00007F920000}"/>
    <cellStyle name="Normal 5 2 68" xfId="37517" xr:uid="{00000000-0005-0000-0000-000080920000}"/>
    <cellStyle name="Normal 5 2 69" xfId="37518" xr:uid="{00000000-0005-0000-0000-000081920000}"/>
    <cellStyle name="Normal 5 2 7" xfId="37519" xr:uid="{00000000-0005-0000-0000-000082920000}"/>
    <cellStyle name="Normal 5 2 70" xfId="37520" xr:uid="{00000000-0005-0000-0000-000083920000}"/>
    <cellStyle name="Normal 5 2 71" xfId="37521" xr:uid="{00000000-0005-0000-0000-000084920000}"/>
    <cellStyle name="Normal 5 2 72" xfId="37522" xr:uid="{00000000-0005-0000-0000-000085920000}"/>
    <cellStyle name="Normal 5 2 73" xfId="37523" xr:uid="{00000000-0005-0000-0000-000086920000}"/>
    <cellStyle name="Normal 5 2 74" xfId="37524" xr:uid="{00000000-0005-0000-0000-000087920000}"/>
    <cellStyle name="Normal 5 2 75" xfId="37525" xr:uid="{00000000-0005-0000-0000-000088920000}"/>
    <cellStyle name="Normal 5 2 76" xfId="37526" xr:uid="{00000000-0005-0000-0000-000089920000}"/>
    <cellStyle name="Normal 5 2 77" xfId="37527" xr:uid="{00000000-0005-0000-0000-00008A920000}"/>
    <cellStyle name="Normal 5 2 78" xfId="37528" xr:uid="{00000000-0005-0000-0000-00008B920000}"/>
    <cellStyle name="Normal 5 2 79" xfId="37529" xr:uid="{00000000-0005-0000-0000-00008C920000}"/>
    <cellStyle name="Normal 5 2 8" xfId="37530" xr:uid="{00000000-0005-0000-0000-00008D920000}"/>
    <cellStyle name="Normal 5 2 80" xfId="37531" xr:uid="{00000000-0005-0000-0000-00008E920000}"/>
    <cellStyle name="Normal 5 2 81" xfId="37532" xr:uid="{00000000-0005-0000-0000-00008F920000}"/>
    <cellStyle name="Normal 5 2 82" xfId="37533" xr:uid="{00000000-0005-0000-0000-000090920000}"/>
    <cellStyle name="Normal 5 2 83" xfId="37451" xr:uid="{00000000-0005-0000-0000-000091920000}"/>
    <cellStyle name="Normal 5 2 9" xfId="37534" xr:uid="{00000000-0005-0000-0000-000092920000}"/>
    <cellStyle name="Normal 5 2_Enlaces" xfId="37535" xr:uid="{00000000-0005-0000-0000-000093920000}"/>
    <cellStyle name="Normal 5 20" xfId="37536" xr:uid="{00000000-0005-0000-0000-000094920000}"/>
    <cellStyle name="Normal 5 20 2" xfId="37537" xr:uid="{00000000-0005-0000-0000-000095920000}"/>
    <cellStyle name="Normal 5 20 2 2" xfId="37538" xr:uid="{00000000-0005-0000-0000-000096920000}"/>
    <cellStyle name="Normal 5 20 3" xfId="37539" xr:uid="{00000000-0005-0000-0000-000097920000}"/>
    <cellStyle name="Normal 5 20 4" xfId="37540" xr:uid="{00000000-0005-0000-0000-000098920000}"/>
    <cellStyle name="Normal 5 21" xfId="37541" xr:uid="{00000000-0005-0000-0000-000099920000}"/>
    <cellStyle name="Normal 5 21 2" xfId="37542" xr:uid="{00000000-0005-0000-0000-00009A920000}"/>
    <cellStyle name="Normal 5 21 2 2" xfId="37543" xr:uid="{00000000-0005-0000-0000-00009B920000}"/>
    <cellStyle name="Normal 5 21 3" xfId="37544" xr:uid="{00000000-0005-0000-0000-00009C920000}"/>
    <cellStyle name="Normal 5 21 4" xfId="37545" xr:uid="{00000000-0005-0000-0000-00009D920000}"/>
    <cellStyle name="Normal 5 22" xfId="37546" xr:uid="{00000000-0005-0000-0000-00009E920000}"/>
    <cellStyle name="Normal 5 22 2" xfId="37547" xr:uid="{00000000-0005-0000-0000-00009F920000}"/>
    <cellStyle name="Normal 5 22 3" xfId="37548" xr:uid="{00000000-0005-0000-0000-0000A0920000}"/>
    <cellStyle name="Normal 5 23" xfId="37549" xr:uid="{00000000-0005-0000-0000-0000A1920000}"/>
    <cellStyle name="Normal 5 24" xfId="37550" xr:uid="{00000000-0005-0000-0000-0000A2920000}"/>
    <cellStyle name="Normal 5 25" xfId="37551" xr:uid="{00000000-0005-0000-0000-0000A3920000}"/>
    <cellStyle name="Normal 5 26" xfId="37552" xr:uid="{00000000-0005-0000-0000-0000A4920000}"/>
    <cellStyle name="Normal 5 27" xfId="37553" xr:uid="{00000000-0005-0000-0000-0000A5920000}"/>
    <cellStyle name="Normal 5 28" xfId="37554" xr:uid="{00000000-0005-0000-0000-0000A6920000}"/>
    <cellStyle name="Normal 5 29" xfId="37555" xr:uid="{00000000-0005-0000-0000-0000A7920000}"/>
    <cellStyle name="Normal 5 3" xfId="63" xr:uid="{00000000-0005-0000-0000-0000A8920000}"/>
    <cellStyle name="Normal 5 3 10" xfId="37557" xr:uid="{00000000-0005-0000-0000-0000A9920000}"/>
    <cellStyle name="Normal 5 3 11" xfId="37558" xr:uid="{00000000-0005-0000-0000-0000AA920000}"/>
    <cellStyle name="Normal 5 3 12" xfId="37559" xr:uid="{00000000-0005-0000-0000-0000AB920000}"/>
    <cellStyle name="Normal 5 3 13" xfId="37556" xr:uid="{00000000-0005-0000-0000-0000AC920000}"/>
    <cellStyle name="Normal 5 3 2" xfId="37560" xr:uid="{00000000-0005-0000-0000-0000AD920000}"/>
    <cellStyle name="Normal 5 3 3" xfId="37561" xr:uid="{00000000-0005-0000-0000-0000AE920000}"/>
    <cellStyle name="Normal 5 3 4" xfId="37562" xr:uid="{00000000-0005-0000-0000-0000AF920000}"/>
    <cellStyle name="Normal 5 3 4 2" xfId="37563" xr:uid="{00000000-0005-0000-0000-0000B0920000}"/>
    <cellStyle name="Normal 5 3 4 2 2" xfId="37564" xr:uid="{00000000-0005-0000-0000-0000B1920000}"/>
    <cellStyle name="Normal 5 3 4 3" xfId="37565" xr:uid="{00000000-0005-0000-0000-0000B2920000}"/>
    <cellStyle name="Normal 5 3 5" xfId="37566" xr:uid="{00000000-0005-0000-0000-0000B3920000}"/>
    <cellStyle name="Normal 5 3 6" xfId="37567" xr:uid="{00000000-0005-0000-0000-0000B4920000}"/>
    <cellStyle name="Normal 5 3 7" xfId="37568" xr:uid="{00000000-0005-0000-0000-0000B5920000}"/>
    <cellStyle name="Normal 5 3 7 2" xfId="37569" xr:uid="{00000000-0005-0000-0000-0000B6920000}"/>
    <cellStyle name="Normal 5 3 8" xfId="37570" xr:uid="{00000000-0005-0000-0000-0000B7920000}"/>
    <cellStyle name="Normal 5 3 9" xfId="37571" xr:uid="{00000000-0005-0000-0000-0000B8920000}"/>
    <cellStyle name="Normal 5 3_Implem" xfId="37572" xr:uid="{00000000-0005-0000-0000-0000B9920000}"/>
    <cellStyle name="Normal 5 30" xfId="37573" xr:uid="{00000000-0005-0000-0000-0000BA920000}"/>
    <cellStyle name="Normal 5 31" xfId="37574" xr:uid="{00000000-0005-0000-0000-0000BB920000}"/>
    <cellStyle name="Normal 5 32" xfId="37575" xr:uid="{00000000-0005-0000-0000-0000BC920000}"/>
    <cellStyle name="Normal 5 33" xfId="37576" xr:uid="{00000000-0005-0000-0000-0000BD920000}"/>
    <cellStyle name="Normal 5 34" xfId="37577" xr:uid="{00000000-0005-0000-0000-0000BE920000}"/>
    <cellStyle name="Normal 5 35" xfId="37578" xr:uid="{00000000-0005-0000-0000-0000BF920000}"/>
    <cellStyle name="Normal 5 36" xfId="37579" xr:uid="{00000000-0005-0000-0000-0000C0920000}"/>
    <cellStyle name="Normal 5 37" xfId="37580" xr:uid="{00000000-0005-0000-0000-0000C1920000}"/>
    <cellStyle name="Normal 5 38" xfId="37581" xr:uid="{00000000-0005-0000-0000-0000C2920000}"/>
    <cellStyle name="Normal 5 39" xfId="37582" xr:uid="{00000000-0005-0000-0000-0000C3920000}"/>
    <cellStyle name="Normal 5 4" xfId="42" xr:uid="{00000000-0005-0000-0000-0000C4920000}"/>
    <cellStyle name="Normal 5 4 2" xfId="37584" xr:uid="{00000000-0005-0000-0000-0000C5920000}"/>
    <cellStyle name="Normal 5 4 2 2" xfId="37585" xr:uid="{00000000-0005-0000-0000-0000C6920000}"/>
    <cellStyle name="Normal 5 4 3" xfId="37586" xr:uid="{00000000-0005-0000-0000-0000C7920000}"/>
    <cellStyle name="Normal 5 4 4" xfId="37587" xr:uid="{00000000-0005-0000-0000-0000C8920000}"/>
    <cellStyle name="Normal 5 4 5" xfId="37583" xr:uid="{00000000-0005-0000-0000-0000C9920000}"/>
    <cellStyle name="Normal 5 40" xfId="37588" xr:uid="{00000000-0005-0000-0000-0000CA920000}"/>
    <cellStyle name="Normal 5 41" xfId="37589" xr:uid="{00000000-0005-0000-0000-0000CB920000}"/>
    <cellStyle name="Normal 5 42" xfId="37590" xr:uid="{00000000-0005-0000-0000-0000CC920000}"/>
    <cellStyle name="Normal 5 43" xfId="37591" xr:uid="{00000000-0005-0000-0000-0000CD920000}"/>
    <cellStyle name="Normal 5 44" xfId="37592" xr:uid="{00000000-0005-0000-0000-0000CE920000}"/>
    <cellStyle name="Normal 5 45" xfId="37593" xr:uid="{00000000-0005-0000-0000-0000CF920000}"/>
    <cellStyle name="Normal 5 46" xfId="37594" xr:uid="{00000000-0005-0000-0000-0000D0920000}"/>
    <cellStyle name="Normal 5 47" xfId="37595" xr:uid="{00000000-0005-0000-0000-0000D1920000}"/>
    <cellStyle name="Normal 5 48" xfId="37596" xr:uid="{00000000-0005-0000-0000-0000D2920000}"/>
    <cellStyle name="Normal 5 49" xfId="37597" xr:uid="{00000000-0005-0000-0000-0000D3920000}"/>
    <cellStyle name="Normal 5 5" xfId="37598" xr:uid="{00000000-0005-0000-0000-0000D4920000}"/>
    <cellStyle name="Normal 5 5 2" xfId="37599" xr:uid="{00000000-0005-0000-0000-0000D5920000}"/>
    <cellStyle name="Normal 5 5 2 2" xfId="37600" xr:uid="{00000000-0005-0000-0000-0000D6920000}"/>
    <cellStyle name="Normal 5 5 3" xfId="37601" xr:uid="{00000000-0005-0000-0000-0000D7920000}"/>
    <cellStyle name="Normal 5 5 4" xfId="37602" xr:uid="{00000000-0005-0000-0000-0000D8920000}"/>
    <cellStyle name="Normal 5 50" xfId="37603" xr:uid="{00000000-0005-0000-0000-0000D9920000}"/>
    <cellStyle name="Normal 5 51" xfId="37604" xr:uid="{00000000-0005-0000-0000-0000DA920000}"/>
    <cellStyle name="Normal 5 52" xfId="37605" xr:uid="{00000000-0005-0000-0000-0000DB920000}"/>
    <cellStyle name="Normal 5 53" xfId="37606" xr:uid="{00000000-0005-0000-0000-0000DC920000}"/>
    <cellStyle name="Normal 5 54" xfId="37607" xr:uid="{00000000-0005-0000-0000-0000DD920000}"/>
    <cellStyle name="Normal 5 55" xfId="37608" xr:uid="{00000000-0005-0000-0000-0000DE920000}"/>
    <cellStyle name="Normal 5 56" xfId="37609" xr:uid="{00000000-0005-0000-0000-0000DF920000}"/>
    <cellStyle name="Normal 5 57" xfId="37610" xr:uid="{00000000-0005-0000-0000-0000E0920000}"/>
    <cellStyle name="Normal 5 58" xfId="37611" xr:uid="{00000000-0005-0000-0000-0000E1920000}"/>
    <cellStyle name="Normal 5 59" xfId="37612" xr:uid="{00000000-0005-0000-0000-0000E2920000}"/>
    <cellStyle name="Normal 5 6" xfId="37613" xr:uid="{00000000-0005-0000-0000-0000E3920000}"/>
    <cellStyle name="Normal 5 6 2" xfId="37614" xr:uid="{00000000-0005-0000-0000-0000E4920000}"/>
    <cellStyle name="Normal 5 6 2 2" xfId="37615" xr:uid="{00000000-0005-0000-0000-0000E5920000}"/>
    <cellStyle name="Normal 5 6 3" xfId="37616" xr:uid="{00000000-0005-0000-0000-0000E6920000}"/>
    <cellStyle name="Normal 5 6 4" xfId="37617" xr:uid="{00000000-0005-0000-0000-0000E7920000}"/>
    <cellStyle name="Normal 5 60" xfId="37618" xr:uid="{00000000-0005-0000-0000-0000E8920000}"/>
    <cellStyle name="Normal 5 7" xfId="37619" xr:uid="{00000000-0005-0000-0000-0000E9920000}"/>
    <cellStyle name="Normal 5 7 2" xfId="37620" xr:uid="{00000000-0005-0000-0000-0000EA920000}"/>
    <cellStyle name="Normal 5 7 2 2" xfId="37621" xr:uid="{00000000-0005-0000-0000-0000EB920000}"/>
    <cellStyle name="Normal 5 7 3" xfId="37622" xr:uid="{00000000-0005-0000-0000-0000EC920000}"/>
    <cellStyle name="Normal 5 7 4" xfId="37623" xr:uid="{00000000-0005-0000-0000-0000ED920000}"/>
    <cellStyle name="Normal 5 8" xfId="37624" xr:uid="{00000000-0005-0000-0000-0000EE920000}"/>
    <cellStyle name="Normal 5 8 2" xfId="37625" xr:uid="{00000000-0005-0000-0000-0000EF920000}"/>
    <cellStyle name="Normal 5 8 2 2" xfId="37626" xr:uid="{00000000-0005-0000-0000-0000F0920000}"/>
    <cellStyle name="Normal 5 8 3" xfId="37627" xr:uid="{00000000-0005-0000-0000-0000F1920000}"/>
    <cellStyle name="Normal 5 8 4" xfId="37628" xr:uid="{00000000-0005-0000-0000-0000F2920000}"/>
    <cellStyle name="Normal 5 9" xfId="37629" xr:uid="{00000000-0005-0000-0000-0000F3920000}"/>
    <cellStyle name="Normal 5 9 2" xfId="37630" xr:uid="{00000000-0005-0000-0000-0000F4920000}"/>
    <cellStyle name="Normal 5 9 2 2" xfId="37631" xr:uid="{00000000-0005-0000-0000-0000F5920000}"/>
    <cellStyle name="Normal 5 9 3" xfId="37632" xr:uid="{00000000-0005-0000-0000-0000F6920000}"/>
    <cellStyle name="Normal 5 9 4" xfId="37633" xr:uid="{00000000-0005-0000-0000-0000F7920000}"/>
    <cellStyle name="Normal 50" xfId="37634" xr:uid="{00000000-0005-0000-0000-0000F8920000}"/>
    <cellStyle name="Normal 50 10" xfId="37635" xr:uid="{00000000-0005-0000-0000-0000F9920000}"/>
    <cellStyle name="Normal 50 11" xfId="37636" xr:uid="{00000000-0005-0000-0000-0000FA920000}"/>
    <cellStyle name="Normal 50 12" xfId="37637" xr:uid="{00000000-0005-0000-0000-0000FB920000}"/>
    <cellStyle name="Normal 50 13" xfId="37638" xr:uid="{00000000-0005-0000-0000-0000FC920000}"/>
    <cellStyle name="Normal 50 14" xfId="37639" xr:uid="{00000000-0005-0000-0000-0000FD920000}"/>
    <cellStyle name="Normal 50 15" xfId="37640" xr:uid="{00000000-0005-0000-0000-0000FE920000}"/>
    <cellStyle name="Normal 50 16" xfId="37641" xr:uid="{00000000-0005-0000-0000-0000FF920000}"/>
    <cellStyle name="Normal 50 17" xfId="37642" xr:uid="{00000000-0005-0000-0000-000000930000}"/>
    <cellStyle name="Normal 50 18" xfId="37643" xr:uid="{00000000-0005-0000-0000-000001930000}"/>
    <cellStyle name="Normal 50 19" xfId="37644" xr:uid="{00000000-0005-0000-0000-000002930000}"/>
    <cellStyle name="Normal 50 2" xfId="37645" xr:uid="{00000000-0005-0000-0000-000003930000}"/>
    <cellStyle name="Normal 50 2 2" xfId="37646" xr:uid="{00000000-0005-0000-0000-000004930000}"/>
    <cellStyle name="Normal 50 20" xfId="37647" xr:uid="{00000000-0005-0000-0000-000005930000}"/>
    <cellStyle name="Normal 50 21" xfId="37648" xr:uid="{00000000-0005-0000-0000-000006930000}"/>
    <cellStyle name="Normal 50 22" xfId="37649" xr:uid="{00000000-0005-0000-0000-000007930000}"/>
    <cellStyle name="Normal 50 23" xfId="37650" xr:uid="{00000000-0005-0000-0000-000008930000}"/>
    <cellStyle name="Normal 50 24" xfId="37651" xr:uid="{00000000-0005-0000-0000-000009930000}"/>
    <cellStyle name="Normal 50 25" xfId="37652" xr:uid="{00000000-0005-0000-0000-00000A930000}"/>
    <cellStyle name="Normal 50 26" xfId="37653" xr:uid="{00000000-0005-0000-0000-00000B930000}"/>
    <cellStyle name="Normal 50 3" xfId="37654" xr:uid="{00000000-0005-0000-0000-00000C930000}"/>
    <cellStyle name="Normal 50 3 2" xfId="37655" xr:uid="{00000000-0005-0000-0000-00000D930000}"/>
    <cellStyle name="Normal 50 4" xfId="37656" xr:uid="{00000000-0005-0000-0000-00000E930000}"/>
    <cellStyle name="Normal 50 4 2" xfId="37657" xr:uid="{00000000-0005-0000-0000-00000F930000}"/>
    <cellStyle name="Normal 50 5" xfId="37658" xr:uid="{00000000-0005-0000-0000-000010930000}"/>
    <cellStyle name="Normal 50 5 2" xfId="37659" xr:uid="{00000000-0005-0000-0000-000011930000}"/>
    <cellStyle name="Normal 50 6" xfId="37660" xr:uid="{00000000-0005-0000-0000-000012930000}"/>
    <cellStyle name="Normal 50 7" xfId="37661" xr:uid="{00000000-0005-0000-0000-000013930000}"/>
    <cellStyle name="Normal 50 8" xfId="37662" xr:uid="{00000000-0005-0000-0000-000014930000}"/>
    <cellStyle name="Normal 50 9" xfId="37663" xr:uid="{00000000-0005-0000-0000-000015930000}"/>
    <cellStyle name="Normal 51" xfId="37664" xr:uid="{00000000-0005-0000-0000-000016930000}"/>
    <cellStyle name="Normal 52" xfId="37665" xr:uid="{00000000-0005-0000-0000-000017930000}"/>
    <cellStyle name="Normal 53" xfId="37666" xr:uid="{00000000-0005-0000-0000-000018930000}"/>
    <cellStyle name="Normal 54" xfId="37667" xr:uid="{00000000-0005-0000-0000-000019930000}"/>
    <cellStyle name="Normal 55" xfId="37668" xr:uid="{00000000-0005-0000-0000-00001A930000}"/>
    <cellStyle name="Normal 56" xfId="37669" xr:uid="{00000000-0005-0000-0000-00001B930000}"/>
    <cellStyle name="Normal 57" xfId="37670" xr:uid="{00000000-0005-0000-0000-00001C930000}"/>
    <cellStyle name="Normal 58" xfId="37671" xr:uid="{00000000-0005-0000-0000-00001D930000}"/>
    <cellStyle name="Normal 59" xfId="37672" xr:uid="{00000000-0005-0000-0000-00001E930000}"/>
    <cellStyle name="Normal 6" xfId="44" xr:uid="{00000000-0005-0000-0000-00001F930000}"/>
    <cellStyle name="Normal 6 10" xfId="37674" xr:uid="{00000000-0005-0000-0000-000020930000}"/>
    <cellStyle name="Normal 6 11" xfId="37675" xr:uid="{00000000-0005-0000-0000-000021930000}"/>
    <cellStyle name="Normal 6 12" xfId="37676" xr:uid="{00000000-0005-0000-0000-000022930000}"/>
    <cellStyle name="Normal 6 13" xfId="37677" xr:uid="{00000000-0005-0000-0000-000023930000}"/>
    <cellStyle name="Normal 6 14" xfId="37678" xr:uid="{00000000-0005-0000-0000-000024930000}"/>
    <cellStyle name="Normal 6 15" xfId="37679" xr:uid="{00000000-0005-0000-0000-000025930000}"/>
    <cellStyle name="Normal 6 16" xfId="37680" xr:uid="{00000000-0005-0000-0000-000026930000}"/>
    <cellStyle name="Normal 6 17" xfId="37681" xr:uid="{00000000-0005-0000-0000-000027930000}"/>
    <cellStyle name="Normal 6 18" xfId="37682" xr:uid="{00000000-0005-0000-0000-000028930000}"/>
    <cellStyle name="Normal 6 19" xfId="37683" xr:uid="{00000000-0005-0000-0000-000029930000}"/>
    <cellStyle name="Normal 6 2" xfId="37684" xr:uid="{00000000-0005-0000-0000-00002A930000}"/>
    <cellStyle name="Normal 6 2 10" xfId="37685" xr:uid="{00000000-0005-0000-0000-00002B930000}"/>
    <cellStyle name="Normal 6 2 11" xfId="37686" xr:uid="{00000000-0005-0000-0000-00002C930000}"/>
    <cellStyle name="Normal 6 2 12" xfId="37687" xr:uid="{00000000-0005-0000-0000-00002D930000}"/>
    <cellStyle name="Normal 6 2 13" xfId="37688" xr:uid="{00000000-0005-0000-0000-00002E930000}"/>
    <cellStyle name="Normal 6 2 14" xfId="37689" xr:uid="{00000000-0005-0000-0000-00002F930000}"/>
    <cellStyle name="Normal 6 2 15" xfId="37690" xr:uid="{00000000-0005-0000-0000-000030930000}"/>
    <cellStyle name="Normal 6 2 16" xfId="37691" xr:uid="{00000000-0005-0000-0000-000031930000}"/>
    <cellStyle name="Normal 6 2 17" xfId="37692" xr:uid="{00000000-0005-0000-0000-000032930000}"/>
    <cellStyle name="Normal 6 2 18" xfId="37693" xr:uid="{00000000-0005-0000-0000-000033930000}"/>
    <cellStyle name="Normal 6 2 19" xfId="37694" xr:uid="{00000000-0005-0000-0000-000034930000}"/>
    <cellStyle name="Normal 6 2 2" xfId="37695" xr:uid="{00000000-0005-0000-0000-000035930000}"/>
    <cellStyle name="Normal 6 2 20" xfId="37696" xr:uid="{00000000-0005-0000-0000-000036930000}"/>
    <cellStyle name="Normal 6 2 21" xfId="37697" xr:uid="{00000000-0005-0000-0000-000037930000}"/>
    <cellStyle name="Normal 6 2 22" xfId="37698" xr:uid="{00000000-0005-0000-0000-000038930000}"/>
    <cellStyle name="Normal 6 2 23" xfId="37699" xr:uid="{00000000-0005-0000-0000-000039930000}"/>
    <cellStyle name="Normal 6 2 24" xfId="37700" xr:uid="{00000000-0005-0000-0000-00003A930000}"/>
    <cellStyle name="Normal 6 2 25" xfId="37701" xr:uid="{00000000-0005-0000-0000-00003B930000}"/>
    <cellStyle name="Normal 6 2 26" xfId="37702" xr:uid="{00000000-0005-0000-0000-00003C930000}"/>
    <cellStyle name="Normal 6 2 27" xfId="37703" xr:uid="{00000000-0005-0000-0000-00003D930000}"/>
    <cellStyle name="Normal 6 2 28" xfId="37704" xr:uid="{00000000-0005-0000-0000-00003E930000}"/>
    <cellStyle name="Normal 6 2 29" xfId="37705" xr:uid="{00000000-0005-0000-0000-00003F930000}"/>
    <cellStyle name="Normal 6 2 3" xfId="37706" xr:uid="{00000000-0005-0000-0000-000040930000}"/>
    <cellStyle name="Normal 6 2 30" xfId="37707" xr:uid="{00000000-0005-0000-0000-000041930000}"/>
    <cellStyle name="Normal 6 2 31" xfId="37708" xr:uid="{00000000-0005-0000-0000-000042930000}"/>
    <cellStyle name="Normal 6 2 32" xfId="37709" xr:uid="{00000000-0005-0000-0000-000043930000}"/>
    <cellStyle name="Normal 6 2 33" xfId="37710" xr:uid="{00000000-0005-0000-0000-000044930000}"/>
    <cellStyle name="Normal 6 2 34" xfId="37711" xr:uid="{00000000-0005-0000-0000-000045930000}"/>
    <cellStyle name="Normal 6 2 35" xfId="37712" xr:uid="{00000000-0005-0000-0000-000046930000}"/>
    <cellStyle name="Normal 6 2 36" xfId="37713" xr:uid="{00000000-0005-0000-0000-000047930000}"/>
    <cellStyle name="Normal 6 2 37" xfId="37714" xr:uid="{00000000-0005-0000-0000-000048930000}"/>
    <cellStyle name="Normal 6 2 38" xfId="37715" xr:uid="{00000000-0005-0000-0000-000049930000}"/>
    <cellStyle name="Normal 6 2 39" xfId="37716" xr:uid="{00000000-0005-0000-0000-00004A930000}"/>
    <cellStyle name="Normal 6 2 4" xfId="37717" xr:uid="{00000000-0005-0000-0000-00004B930000}"/>
    <cellStyle name="Normal 6 2 40" xfId="37718" xr:uid="{00000000-0005-0000-0000-00004C930000}"/>
    <cellStyle name="Normal 6 2 41" xfId="37719" xr:uid="{00000000-0005-0000-0000-00004D930000}"/>
    <cellStyle name="Normal 6 2 42" xfId="37720" xr:uid="{00000000-0005-0000-0000-00004E930000}"/>
    <cellStyle name="Normal 6 2 43" xfId="37721" xr:uid="{00000000-0005-0000-0000-00004F930000}"/>
    <cellStyle name="Normal 6 2 44" xfId="37722" xr:uid="{00000000-0005-0000-0000-000050930000}"/>
    <cellStyle name="Normal 6 2 45" xfId="37723" xr:uid="{00000000-0005-0000-0000-000051930000}"/>
    <cellStyle name="Normal 6 2 46" xfId="37724" xr:uid="{00000000-0005-0000-0000-000052930000}"/>
    <cellStyle name="Normal 6 2 47" xfId="37725" xr:uid="{00000000-0005-0000-0000-000053930000}"/>
    <cellStyle name="Normal 6 2 48" xfId="37726" xr:uid="{00000000-0005-0000-0000-000054930000}"/>
    <cellStyle name="Normal 6 2 49" xfId="37727" xr:uid="{00000000-0005-0000-0000-000055930000}"/>
    <cellStyle name="Normal 6 2 5" xfId="37728" xr:uid="{00000000-0005-0000-0000-000056930000}"/>
    <cellStyle name="Normal 6 2 50" xfId="37729" xr:uid="{00000000-0005-0000-0000-000057930000}"/>
    <cellStyle name="Normal 6 2 51" xfId="37730" xr:uid="{00000000-0005-0000-0000-000058930000}"/>
    <cellStyle name="Normal 6 2 52" xfId="37731" xr:uid="{00000000-0005-0000-0000-000059930000}"/>
    <cellStyle name="Normal 6 2 53" xfId="37732" xr:uid="{00000000-0005-0000-0000-00005A930000}"/>
    <cellStyle name="Normal 6 2 54" xfId="37733" xr:uid="{00000000-0005-0000-0000-00005B930000}"/>
    <cellStyle name="Normal 6 2 55" xfId="37734" xr:uid="{00000000-0005-0000-0000-00005C930000}"/>
    <cellStyle name="Normal 6 2 56" xfId="37735" xr:uid="{00000000-0005-0000-0000-00005D930000}"/>
    <cellStyle name="Normal 6 2 57" xfId="37736" xr:uid="{00000000-0005-0000-0000-00005E930000}"/>
    <cellStyle name="Normal 6 2 58" xfId="37737" xr:uid="{00000000-0005-0000-0000-00005F930000}"/>
    <cellStyle name="Normal 6 2 59" xfId="37738" xr:uid="{00000000-0005-0000-0000-000060930000}"/>
    <cellStyle name="Normal 6 2 6" xfId="37739" xr:uid="{00000000-0005-0000-0000-000061930000}"/>
    <cellStyle name="Normal 6 2 60" xfId="37740" xr:uid="{00000000-0005-0000-0000-000062930000}"/>
    <cellStyle name="Normal 6 2 61" xfId="37741" xr:uid="{00000000-0005-0000-0000-000063930000}"/>
    <cellStyle name="Normal 6 2 62" xfId="37742" xr:uid="{00000000-0005-0000-0000-000064930000}"/>
    <cellStyle name="Normal 6 2 63" xfId="37743" xr:uid="{00000000-0005-0000-0000-000065930000}"/>
    <cellStyle name="Normal 6 2 64" xfId="37744" xr:uid="{00000000-0005-0000-0000-000066930000}"/>
    <cellStyle name="Normal 6 2 65" xfId="37745" xr:uid="{00000000-0005-0000-0000-000067930000}"/>
    <cellStyle name="Normal 6 2 66" xfId="37746" xr:uid="{00000000-0005-0000-0000-000068930000}"/>
    <cellStyle name="Normal 6 2 67" xfId="37747" xr:uid="{00000000-0005-0000-0000-000069930000}"/>
    <cellStyle name="Normal 6 2 68" xfId="37748" xr:uid="{00000000-0005-0000-0000-00006A930000}"/>
    <cellStyle name="Normal 6 2 69" xfId="37749" xr:uid="{00000000-0005-0000-0000-00006B930000}"/>
    <cellStyle name="Normal 6 2 7" xfId="37750" xr:uid="{00000000-0005-0000-0000-00006C930000}"/>
    <cellStyle name="Normal 6 2 70" xfId="37751" xr:uid="{00000000-0005-0000-0000-00006D930000}"/>
    <cellStyle name="Normal 6 2 71" xfId="37752" xr:uid="{00000000-0005-0000-0000-00006E930000}"/>
    <cellStyle name="Normal 6 2 72" xfId="37753" xr:uid="{00000000-0005-0000-0000-00006F930000}"/>
    <cellStyle name="Normal 6 2 73" xfId="37754" xr:uid="{00000000-0005-0000-0000-000070930000}"/>
    <cellStyle name="Normal 6 2 74" xfId="37755" xr:uid="{00000000-0005-0000-0000-000071930000}"/>
    <cellStyle name="Normal 6 2 75" xfId="37756" xr:uid="{00000000-0005-0000-0000-000072930000}"/>
    <cellStyle name="Normal 6 2 76" xfId="37757" xr:uid="{00000000-0005-0000-0000-000073930000}"/>
    <cellStyle name="Normal 6 2 77" xfId="37758" xr:uid="{00000000-0005-0000-0000-000074930000}"/>
    <cellStyle name="Normal 6 2 78" xfId="37759" xr:uid="{00000000-0005-0000-0000-000075930000}"/>
    <cellStyle name="Normal 6 2 79" xfId="37760" xr:uid="{00000000-0005-0000-0000-000076930000}"/>
    <cellStyle name="Normal 6 2 8" xfId="37761" xr:uid="{00000000-0005-0000-0000-000077930000}"/>
    <cellStyle name="Normal 6 2 80" xfId="37762" xr:uid="{00000000-0005-0000-0000-000078930000}"/>
    <cellStyle name="Normal 6 2 81" xfId="37763" xr:uid="{00000000-0005-0000-0000-000079930000}"/>
    <cellStyle name="Normal 6 2 82" xfId="37764" xr:uid="{00000000-0005-0000-0000-00007A930000}"/>
    <cellStyle name="Normal 6 2 83" xfId="37765" xr:uid="{00000000-0005-0000-0000-00007B930000}"/>
    <cellStyle name="Normal 6 2 84" xfId="37766" xr:uid="{00000000-0005-0000-0000-00007C930000}"/>
    <cellStyle name="Normal 6 2 85" xfId="37767" xr:uid="{00000000-0005-0000-0000-00007D930000}"/>
    <cellStyle name="Normal 6 2 86" xfId="37768" xr:uid="{00000000-0005-0000-0000-00007E930000}"/>
    <cellStyle name="Normal 6 2 9" xfId="37769" xr:uid="{00000000-0005-0000-0000-00007F930000}"/>
    <cellStyle name="Normal 6 2_Xa Parametrización de Usuarios" xfId="37770" xr:uid="{00000000-0005-0000-0000-000080930000}"/>
    <cellStyle name="Normal 6 20" xfId="37771" xr:uid="{00000000-0005-0000-0000-000081930000}"/>
    <cellStyle name="Normal 6 21" xfId="37772" xr:uid="{00000000-0005-0000-0000-000082930000}"/>
    <cellStyle name="Normal 6 22" xfId="37773" xr:uid="{00000000-0005-0000-0000-000083930000}"/>
    <cellStyle name="Normal 6 23" xfId="37774" xr:uid="{00000000-0005-0000-0000-000084930000}"/>
    <cellStyle name="Normal 6 24" xfId="37775" xr:uid="{00000000-0005-0000-0000-000085930000}"/>
    <cellStyle name="Normal 6 25" xfId="37776" xr:uid="{00000000-0005-0000-0000-000086930000}"/>
    <cellStyle name="Normal 6 26" xfId="37777" xr:uid="{00000000-0005-0000-0000-000087930000}"/>
    <cellStyle name="Normal 6 27" xfId="37778" xr:uid="{00000000-0005-0000-0000-000088930000}"/>
    <cellStyle name="Normal 6 28" xfId="37779" xr:uid="{00000000-0005-0000-0000-000089930000}"/>
    <cellStyle name="Normal 6 29" xfId="37780" xr:uid="{00000000-0005-0000-0000-00008A930000}"/>
    <cellStyle name="Normal 6 3" xfId="37781" xr:uid="{00000000-0005-0000-0000-00008B930000}"/>
    <cellStyle name="Normal 6 3 10" xfId="37782" xr:uid="{00000000-0005-0000-0000-00008C930000}"/>
    <cellStyle name="Normal 6 3 11" xfId="37783" xr:uid="{00000000-0005-0000-0000-00008D930000}"/>
    <cellStyle name="Normal 6 3 12" xfId="37784" xr:uid="{00000000-0005-0000-0000-00008E930000}"/>
    <cellStyle name="Normal 6 3 2" xfId="37785" xr:uid="{00000000-0005-0000-0000-00008F930000}"/>
    <cellStyle name="Normal 6 3 3" xfId="37786" xr:uid="{00000000-0005-0000-0000-000090930000}"/>
    <cellStyle name="Normal 6 3 4" xfId="37787" xr:uid="{00000000-0005-0000-0000-000091930000}"/>
    <cellStyle name="Normal 6 3 5" xfId="37788" xr:uid="{00000000-0005-0000-0000-000092930000}"/>
    <cellStyle name="Normal 6 3 6" xfId="37789" xr:uid="{00000000-0005-0000-0000-000093930000}"/>
    <cellStyle name="Normal 6 3 7" xfId="37790" xr:uid="{00000000-0005-0000-0000-000094930000}"/>
    <cellStyle name="Normal 6 3 8" xfId="37791" xr:uid="{00000000-0005-0000-0000-000095930000}"/>
    <cellStyle name="Normal 6 3 9" xfId="37792" xr:uid="{00000000-0005-0000-0000-000096930000}"/>
    <cellStyle name="Normal 6 3_Xa Parametrización de Usuarios" xfId="37793" xr:uid="{00000000-0005-0000-0000-000097930000}"/>
    <cellStyle name="Normal 6 30" xfId="39190" xr:uid="{00000000-0005-0000-0000-000098930000}"/>
    <cellStyle name="Normal 6 31" xfId="37673" xr:uid="{00000000-0005-0000-0000-000099930000}"/>
    <cellStyle name="Normal 6 4" xfId="37794" xr:uid="{00000000-0005-0000-0000-00009A930000}"/>
    <cellStyle name="Normal 6 5" xfId="37795" xr:uid="{00000000-0005-0000-0000-00009B930000}"/>
    <cellStyle name="Normal 6 6" xfId="37796" xr:uid="{00000000-0005-0000-0000-00009C930000}"/>
    <cellStyle name="Normal 6 7" xfId="37797" xr:uid="{00000000-0005-0000-0000-00009D930000}"/>
    <cellStyle name="Normal 6 8" xfId="37798" xr:uid="{00000000-0005-0000-0000-00009E930000}"/>
    <cellStyle name="Normal 6 9" xfId="37799" xr:uid="{00000000-0005-0000-0000-00009F930000}"/>
    <cellStyle name="Normal 60" xfId="37800" xr:uid="{00000000-0005-0000-0000-0000A0930000}"/>
    <cellStyle name="Normal 61" xfId="37801" xr:uid="{00000000-0005-0000-0000-0000A1930000}"/>
    <cellStyle name="Normal 61 2" xfId="37802" xr:uid="{00000000-0005-0000-0000-0000A2930000}"/>
    <cellStyle name="Normal 61 2 2" xfId="37803" xr:uid="{00000000-0005-0000-0000-0000A3930000}"/>
    <cellStyle name="Normal 61 2 3" xfId="37804" xr:uid="{00000000-0005-0000-0000-0000A4930000}"/>
    <cellStyle name="Normal 61 3" xfId="37805" xr:uid="{00000000-0005-0000-0000-0000A5930000}"/>
    <cellStyle name="Normal 62" xfId="37806" xr:uid="{00000000-0005-0000-0000-0000A6930000}"/>
    <cellStyle name="Normal 62 2" xfId="37807" xr:uid="{00000000-0005-0000-0000-0000A7930000}"/>
    <cellStyle name="Normal 62 3" xfId="37808" xr:uid="{00000000-0005-0000-0000-0000A8930000}"/>
    <cellStyle name="Normal 62 4" xfId="39191" xr:uid="{00000000-0005-0000-0000-0000A9930000}"/>
    <cellStyle name="Normal 63" xfId="37809" xr:uid="{00000000-0005-0000-0000-0000AA930000}"/>
    <cellStyle name="Normal 63 2" xfId="37810" xr:uid="{00000000-0005-0000-0000-0000AB930000}"/>
    <cellStyle name="Normal 63 3" xfId="37811" xr:uid="{00000000-0005-0000-0000-0000AC930000}"/>
    <cellStyle name="Normal 63 4" xfId="37812" xr:uid="{00000000-0005-0000-0000-0000AD930000}"/>
    <cellStyle name="Normal 63 5" xfId="39192" xr:uid="{00000000-0005-0000-0000-0000AE930000}"/>
    <cellStyle name="Normal 64" xfId="37813" xr:uid="{00000000-0005-0000-0000-0000AF930000}"/>
    <cellStyle name="Normal 64 2" xfId="37814" xr:uid="{00000000-0005-0000-0000-0000B0930000}"/>
    <cellStyle name="Normal 64 3" xfId="37815" xr:uid="{00000000-0005-0000-0000-0000B1930000}"/>
    <cellStyle name="Normal 64 4" xfId="37816" xr:uid="{00000000-0005-0000-0000-0000B2930000}"/>
    <cellStyle name="Normal 64 5" xfId="39193" xr:uid="{00000000-0005-0000-0000-0000B3930000}"/>
    <cellStyle name="Normal 65" xfId="37817" xr:uid="{00000000-0005-0000-0000-0000B4930000}"/>
    <cellStyle name="Normal 65 2" xfId="37818" xr:uid="{00000000-0005-0000-0000-0000B5930000}"/>
    <cellStyle name="Normal 65 3" xfId="37819" xr:uid="{00000000-0005-0000-0000-0000B6930000}"/>
    <cellStyle name="Normal 66" xfId="37820" xr:uid="{00000000-0005-0000-0000-0000B7930000}"/>
    <cellStyle name="Normal 66 2" xfId="37821" xr:uid="{00000000-0005-0000-0000-0000B8930000}"/>
    <cellStyle name="Normal 66 3" xfId="37822" xr:uid="{00000000-0005-0000-0000-0000B9930000}"/>
    <cellStyle name="Normal 66 4" xfId="39194" xr:uid="{00000000-0005-0000-0000-0000BA930000}"/>
    <cellStyle name="Normal 67" xfId="37823" xr:uid="{00000000-0005-0000-0000-0000BB930000}"/>
    <cellStyle name="Normal 67 2" xfId="37824" xr:uid="{00000000-0005-0000-0000-0000BC930000}"/>
    <cellStyle name="Normal 67 3" xfId="39195" xr:uid="{00000000-0005-0000-0000-0000BD930000}"/>
    <cellStyle name="Normal 68" xfId="37825" xr:uid="{00000000-0005-0000-0000-0000BE930000}"/>
    <cellStyle name="Normal 68 2" xfId="37826" xr:uid="{00000000-0005-0000-0000-0000BF930000}"/>
    <cellStyle name="Normal 68 3" xfId="39196" xr:uid="{00000000-0005-0000-0000-0000C0930000}"/>
    <cellStyle name="Normal 69" xfId="37827" xr:uid="{00000000-0005-0000-0000-0000C1930000}"/>
    <cellStyle name="Normal 69 2" xfId="37828" xr:uid="{00000000-0005-0000-0000-0000C2930000}"/>
    <cellStyle name="Normal 69 3" xfId="37829" xr:uid="{00000000-0005-0000-0000-0000C3930000}"/>
    <cellStyle name="Normal 69 4" xfId="39197" xr:uid="{00000000-0005-0000-0000-0000C4930000}"/>
    <cellStyle name="Normal 7" xfId="2" xr:uid="{00000000-0005-0000-0000-0000C5930000}"/>
    <cellStyle name="Normal 7 10" xfId="64" xr:uid="{00000000-0005-0000-0000-0000C6930000}"/>
    <cellStyle name="Normal 7 11" xfId="37830" xr:uid="{00000000-0005-0000-0000-0000C7930000}"/>
    <cellStyle name="Normal 7 12" xfId="37831" xr:uid="{00000000-0005-0000-0000-0000C8930000}"/>
    <cellStyle name="Normal 7 13" xfId="37832" xr:uid="{00000000-0005-0000-0000-0000C9930000}"/>
    <cellStyle name="Normal 7 14" xfId="37833" xr:uid="{00000000-0005-0000-0000-0000CA930000}"/>
    <cellStyle name="Normal 7 15" xfId="37834" xr:uid="{00000000-0005-0000-0000-0000CB930000}"/>
    <cellStyle name="Normal 7 16" xfId="37835" xr:uid="{00000000-0005-0000-0000-0000CC930000}"/>
    <cellStyle name="Normal 7 17" xfId="37836" xr:uid="{00000000-0005-0000-0000-0000CD930000}"/>
    <cellStyle name="Normal 7 18" xfId="37837" xr:uid="{00000000-0005-0000-0000-0000CE930000}"/>
    <cellStyle name="Normal 7 19" xfId="37838" xr:uid="{00000000-0005-0000-0000-0000CF930000}"/>
    <cellStyle name="Normal 7 2" xfId="7" xr:uid="{00000000-0005-0000-0000-0000D0930000}"/>
    <cellStyle name="Normal 7 2 10" xfId="37839" xr:uid="{00000000-0005-0000-0000-0000D1930000}"/>
    <cellStyle name="Normal 7 2 11" xfId="37840" xr:uid="{00000000-0005-0000-0000-0000D2930000}"/>
    <cellStyle name="Normal 7 2 12" xfId="37841" xr:uid="{00000000-0005-0000-0000-0000D3930000}"/>
    <cellStyle name="Normal 7 2 13" xfId="37842" xr:uid="{00000000-0005-0000-0000-0000D4930000}"/>
    <cellStyle name="Normal 7 2 14" xfId="37843" xr:uid="{00000000-0005-0000-0000-0000D5930000}"/>
    <cellStyle name="Normal 7 2 15" xfId="37844" xr:uid="{00000000-0005-0000-0000-0000D6930000}"/>
    <cellStyle name="Normal 7 2 16" xfId="37845" xr:uid="{00000000-0005-0000-0000-0000D7930000}"/>
    <cellStyle name="Normal 7 2 17" xfId="37846" xr:uid="{00000000-0005-0000-0000-0000D8930000}"/>
    <cellStyle name="Normal 7 2 18" xfId="37847" xr:uid="{00000000-0005-0000-0000-0000D9930000}"/>
    <cellStyle name="Normal 7 2 19" xfId="37848" xr:uid="{00000000-0005-0000-0000-0000DA930000}"/>
    <cellStyle name="Normal 7 2 2" xfId="37849" xr:uid="{00000000-0005-0000-0000-0000DB930000}"/>
    <cellStyle name="Normal 7 2 2 2" xfId="37850" xr:uid="{00000000-0005-0000-0000-0000DC930000}"/>
    <cellStyle name="Normal 7 2 2 2 2" xfId="37851" xr:uid="{00000000-0005-0000-0000-0000DD930000}"/>
    <cellStyle name="Normal 7 2 20" xfId="37852" xr:uid="{00000000-0005-0000-0000-0000DE930000}"/>
    <cellStyle name="Normal 7 2 21" xfId="37853" xr:uid="{00000000-0005-0000-0000-0000DF930000}"/>
    <cellStyle name="Normal 7 2 22" xfId="37854" xr:uid="{00000000-0005-0000-0000-0000E0930000}"/>
    <cellStyle name="Normal 7 2 23" xfId="37855" xr:uid="{00000000-0005-0000-0000-0000E1930000}"/>
    <cellStyle name="Normal 7 2 24" xfId="37856" xr:uid="{00000000-0005-0000-0000-0000E2930000}"/>
    <cellStyle name="Normal 7 2 25" xfId="37857" xr:uid="{00000000-0005-0000-0000-0000E3930000}"/>
    <cellStyle name="Normal 7 2 26" xfId="37858" xr:uid="{00000000-0005-0000-0000-0000E4930000}"/>
    <cellStyle name="Normal 7 2 27" xfId="37859" xr:uid="{00000000-0005-0000-0000-0000E5930000}"/>
    <cellStyle name="Normal 7 2 28" xfId="37860" xr:uid="{00000000-0005-0000-0000-0000E6930000}"/>
    <cellStyle name="Normal 7 2 29" xfId="37861" xr:uid="{00000000-0005-0000-0000-0000E7930000}"/>
    <cellStyle name="Normal 7 2 3" xfId="37862" xr:uid="{00000000-0005-0000-0000-0000E8930000}"/>
    <cellStyle name="Normal 7 2 30" xfId="37863" xr:uid="{00000000-0005-0000-0000-0000E9930000}"/>
    <cellStyle name="Normal 7 2 31" xfId="37864" xr:uid="{00000000-0005-0000-0000-0000EA930000}"/>
    <cellStyle name="Normal 7 2 32" xfId="37865" xr:uid="{00000000-0005-0000-0000-0000EB930000}"/>
    <cellStyle name="Normal 7 2 33" xfId="37866" xr:uid="{00000000-0005-0000-0000-0000EC930000}"/>
    <cellStyle name="Normal 7 2 34" xfId="37867" xr:uid="{00000000-0005-0000-0000-0000ED930000}"/>
    <cellStyle name="Normal 7 2 35" xfId="37868" xr:uid="{00000000-0005-0000-0000-0000EE930000}"/>
    <cellStyle name="Normal 7 2 36" xfId="37869" xr:uid="{00000000-0005-0000-0000-0000EF930000}"/>
    <cellStyle name="Normal 7 2 37" xfId="37870" xr:uid="{00000000-0005-0000-0000-0000F0930000}"/>
    <cellStyle name="Normal 7 2 38" xfId="37871" xr:uid="{00000000-0005-0000-0000-0000F1930000}"/>
    <cellStyle name="Normal 7 2 39" xfId="37872" xr:uid="{00000000-0005-0000-0000-0000F2930000}"/>
    <cellStyle name="Normal 7 2 4" xfId="37873" xr:uid="{00000000-0005-0000-0000-0000F3930000}"/>
    <cellStyle name="Normal 7 2 40" xfId="37874" xr:uid="{00000000-0005-0000-0000-0000F4930000}"/>
    <cellStyle name="Normal 7 2 41" xfId="37875" xr:uid="{00000000-0005-0000-0000-0000F5930000}"/>
    <cellStyle name="Normal 7 2 42" xfId="37876" xr:uid="{00000000-0005-0000-0000-0000F6930000}"/>
    <cellStyle name="Normal 7 2 43" xfId="37877" xr:uid="{00000000-0005-0000-0000-0000F7930000}"/>
    <cellStyle name="Normal 7 2 44" xfId="37878" xr:uid="{00000000-0005-0000-0000-0000F8930000}"/>
    <cellStyle name="Normal 7 2 45" xfId="37879" xr:uid="{00000000-0005-0000-0000-0000F9930000}"/>
    <cellStyle name="Normal 7 2 46" xfId="37880" xr:uid="{00000000-0005-0000-0000-0000FA930000}"/>
    <cellStyle name="Normal 7 2 47" xfId="37881" xr:uid="{00000000-0005-0000-0000-0000FB930000}"/>
    <cellStyle name="Normal 7 2 48" xfId="37882" xr:uid="{00000000-0005-0000-0000-0000FC930000}"/>
    <cellStyle name="Normal 7 2 49" xfId="37883" xr:uid="{00000000-0005-0000-0000-0000FD930000}"/>
    <cellStyle name="Normal 7 2 5" xfId="37884" xr:uid="{00000000-0005-0000-0000-0000FE930000}"/>
    <cellStyle name="Normal 7 2 50" xfId="37885" xr:uid="{00000000-0005-0000-0000-0000FF930000}"/>
    <cellStyle name="Normal 7 2 51" xfId="37886" xr:uid="{00000000-0005-0000-0000-000000940000}"/>
    <cellStyle name="Normal 7 2 52" xfId="37887" xr:uid="{00000000-0005-0000-0000-000001940000}"/>
    <cellStyle name="Normal 7 2 53" xfId="37888" xr:uid="{00000000-0005-0000-0000-000002940000}"/>
    <cellStyle name="Normal 7 2 54" xfId="37889" xr:uid="{00000000-0005-0000-0000-000003940000}"/>
    <cellStyle name="Normal 7 2 55" xfId="37890" xr:uid="{00000000-0005-0000-0000-000004940000}"/>
    <cellStyle name="Normal 7 2 56" xfId="37891" xr:uid="{00000000-0005-0000-0000-000005940000}"/>
    <cellStyle name="Normal 7 2 57" xfId="37892" xr:uid="{00000000-0005-0000-0000-000006940000}"/>
    <cellStyle name="Normal 7 2 58" xfId="37893" xr:uid="{00000000-0005-0000-0000-000007940000}"/>
    <cellStyle name="Normal 7 2 59" xfId="37894" xr:uid="{00000000-0005-0000-0000-000008940000}"/>
    <cellStyle name="Normal 7 2 6" xfId="37895" xr:uid="{00000000-0005-0000-0000-000009940000}"/>
    <cellStyle name="Normal 7 2 60" xfId="37896" xr:uid="{00000000-0005-0000-0000-00000A940000}"/>
    <cellStyle name="Normal 7 2 61" xfId="37897" xr:uid="{00000000-0005-0000-0000-00000B940000}"/>
    <cellStyle name="Normal 7 2 62" xfId="37898" xr:uid="{00000000-0005-0000-0000-00000C940000}"/>
    <cellStyle name="Normal 7 2 63" xfId="37899" xr:uid="{00000000-0005-0000-0000-00000D940000}"/>
    <cellStyle name="Normal 7 2 64" xfId="37900" xr:uid="{00000000-0005-0000-0000-00000E940000}"/>
    <cellStyle name="Normal 7 2 65" xfId="37901" xr:uid="{00000000-0005-0000-0000-00000F940000}"/>
    <cellStyle name="Normal 7 2 66" xfId="37902" xr:uid="{00000000-0005-0000-0000-000010940000}"/>
    <cellStyle name="Normal 7 2 67" xfId="37903" xr:uid="{00000000-0005-0000-0000-000011940000}"/>
    <cellStyle name="Normal 7 2 68" xfId="37904" xr:uid="{00000000-0005-0000-0000-000012940000}"/>
    <cellStyle name="Normal 7 2 69" xfId="37905" xr:uid="{00000000-0005-0000-0000-000013940000}"/>
    <cellStyle name="Normal 7 2 7" xfId="37906" xr:uid="{00000000-0005-0000-0000-000014940000}"/>
    <cellStyle name="Normal 7 2 70" xfId="37907" xr:uid="{00000000-0005-0000-0000-000015940000}"/>
    <cellStyle name="Normal 7 2 71" xfId="37908" xr:uid="{00000000-0005-0000-0000-000016940000}"/>
    <cellStyle name="Normal 7 2 72" xfId="37909" xr:uid="{00000000-0005-0000-0000-000017940000}"/>
    <cellStyle name="Normal 7 2 73" xfId="37910" xr:uid="{00000000-0005-0000-0000-000018940000}"/>
    <cellStyle name="Normal 7 2 74" xfId="37911" xr:uid="{00000000-0005-0000-0000-000019940000}"/>
    <cellStyle name="Normal 7 2 75" xfId="37912" xr:uid="{00000000-0005-0000-0000-00001A940000}"/>
    <cellStyle name="Normal 7 2 76" xfId="37913" xr:uid="{00000000-0005-0000-0000-00001B940000}"/>
    <cellStyle name="Normal 7 2 77" xfId="37914" xr:uid="{00000000-0005-0000-0000-00001C940000}"/>
    <cellStyle name="Normal 7 2 78" xfId="37915" xr:uid="{00000000-0005-0000-0000-00001D940000}"/>
    <cellStyle name="Normal 7 2 79" xfId="37916" xr:uid="{00000000-0005-0000-0000-00001E940000}"/>
    <cellStyle name="Normal 7 2 8" xfId="37917" xr:uid="{00000000-0005-0000-0000-00001F940000}"/>
    <cellStyle name="Normal 7 2 80" xfId="37918" xr:uid="{00000000-0005-0000-0000-000020940000}"/>
    <cellStyle name="Normal 7 2 81" xfId="37919" xr:uid="{00000000-0005-0000-0000-000021940000}"/>
    <cellStyle name="Normal 7 2 9" xfId="37920" xr:uid="{00000000-0005-0000-0000-000022940000}"/>
    <cellStyle name="Normal 7 2_Enlaces" xfId="37921" xr:uid="{00000000-0005-0000-0000-000023940000}"/>
    <cellStyle name="Normal 7 20" xfId="37922" xr:uid="{00000000-0005-0000-0000-000024940000}"/>
    <cellStyle name="Normal 7 21" xfId="37923" xr:uid="{00000000-0005-0000-0000-000025940000}"/>
    <cellStyle name="Normal 7 22" xfId="37924" xr:uid="{00000000-0005-0000-0000-000026940000}"/>
    <cellStyle name="Normal 7 23" xfId="37925" xr:uid="{00000000-0005-0000-0000-000027940000}"/>
    <cellStyle name="Normal 7 24" xfId="37926" xr:uid="{00000000-0005-0000-0000-000028940000}"/>
    <cellStyle name="Normal 7 25" xfId="37927" xr:uid="{00000000-0005-0000-0000-000029940000}"/>
    <cellStyle name="Normal 7 26" xfId="37928" xr:uid="{00000000-0005-0000-0000-00002A940000}"/>
    <cellStyle name="Normal 7 27" xfId="37929" xr:uid="{00000000-0005-0000-0000-00002B940000}"/>
    <cellStyle name="Normal 7 28" xfId="37930" xr:uid="{00000000-0005-0000-0000-00002C940000}"/>
    <cellStyle name="Normal 7 29" xfId="37931" xr:uid="{00000000-0005-0000-0000-00002D940000}"/>
    <cellStyle name="Normal 7 3" xfId="37932" xr:uid="{00000000-0005-0000-0000-00002E940000}"/>
    <cellStyle name="Normal 7 3 2" xfId="37933" xr:uid="{00000000-0005-0000-0000-00002F940000}"/>
    <cellStyle name="Normal 7 3 3" xfId="37934" xr:uid="{00000000-0005-0000-0000-000030940000}"/>
    <cellStyle name="Normal 7 3 4" xfId="37935" xr:uid="{00000000-0005-0000-0000-000031940000}"/>
    <cellStyle name="Normal 7 3 4 2" xfId="37936" xr:uid="{00000000-0005-0000-0000-000032940000}"/>
    <cellStyle name="Normal 7 3 4 2 2" xfId="37937" xr:uid="{00000000-0005-0000-0000-000033940000}"/>
    <cellStyle name="Normal 7 3 4 3" xfId="37938" xr:uid="{00000000-0005-0000-0000-000034940000}"/>
    <cellStyle name="Normal 7 3 5" xfId="37939" xr:uid="{00000000-0005-0000-0000-000035940000}"/>
    <cellStyle name="Normal 7 3 6" xfId="37940" xr:uid="{00000000-0005-0000-0000-000036940000}"/>
    <cellStyle name="Normal 7 3 7" xfId="37941" xr:uid="{00000000-0005-0000-0000-000037940000}"/>
    <cellStyle name="Normal 7 3 7 2" xfId="37942" xr:uid="{00000000-0005-0000-0000-000038940000}"/>
    <cellStyle name="Normal 7 3_Implem" xfId="37943" xr:uid="{00000000-0005-0000-0000-000039940000}"/>
    <cellStyle name="Normal 7 30" xfId="37944" xr:uid="{00000000-0005-0000-0000-00003A940000}"/>
    <cellStyle name="Normal 7 30 2" xfId="37945" xr:uid="{00000000-0005-0000-0000-00003B940000}"/>
    <cellStyle name="Normal 7 31" xfId="37946" xr:uid="{00000000-0005-0000-0000-00003C940000}"/>
    <cellStyle name="Normal 7 32" xfId="37947" xr:uid="{00000000-0005-0000-0000-00003D940000}"/>
    <cellStyle name="Normal 7 33" xfId="37948" xr:uid="{00000000-0005-0000-0000-00003E940000}"/>
    <cellStyle name="Normal 7 34" xfId="37949" xr:uid="{00000000-0005-0000-0000-00003F940000}"/>
    <cellStyle name="Normal 7 35" xfId="37950" xr:uid="{00000000-0005-0000-0000-000040940000}"/>
    <cellStyle name="Normal 7 36" xfId="37951" xr:uid="{00000000-0005-0000-0000-000041940000}"/>
    <cellStyle name="Normal 7 37" xfId="37952" xr:uid="{00000000-0005-0000-0000-000042940000}"/>
    <cellStyle name="Normal 7 38" xfId="37953" xr:uid="{00000000-0005-0000-0000-000043940000}"/>
    <cellStyle name="Normal 7 39" xfId="37954" xr:uid="{00000000-0005-0000-0000-000044940000}"/>
    <cellStyle name="Normal 7 4" xfId="65" xr:uid="{00000000-0005-0000-0000-000045940000}"/>
    <cellStyle name="Normal 7 4 2" xfId="37955" xr:uid="{00000000-0005-0000-0000-000046940000}"/>
    <cellStyle name="Normal 7 40" xfId="37956" xr:uid="{00000000-0005-0000-0000-000047940000}"/>
    <cellStyle name="Normal 7 41" xfId="37957" xr:uid="{00000000-0005-0000-0000-000048940000}"/>
    <cellStyle name="Normal 7 42" xfId="37958" xr:uid="{00000000-0005-0000-0000-000049940000}"/>
    <cellStyle name="Normal 7 43" xfId="37959" xr:uid="{00000000-0005-0000-0000-00004A940000}"/>
    <cellStyle name="Normal 7 44" xfId="37960" xr:uid="{00000000-0005-0000-0000-00004B940000}"/>
    <cellStyle name="Normal 7 45" xfId="37961" xr:uid="{00000000-0005-0000-0000-00004C940000}"/>
    <cellStyle name="Normal 7 46" xfId="37962" xr:uid="{00000000-0005-0000-0000-00004D940000}"/>
    <cellStyle name="Normal 7 5" xfId="37963" xr:uid="{00000000-0005-0000-0000-00004E940000}"/>
    <cellStyle name="Normal 7 6" xfId="37964" xr:uid="{00000000-0005-0000-0000-00004F940000}"/>
    <cellStyle name="Normal 7 7" xfId="37965" xr:uid="{00000000-0005-0000-0000-000050940000}"/>
    <cellStyle name="Normal 7 8" xfId="37966" xr:uid="{00000000-0005-0000-0000-000051940000}"/>
    <cellStyle name="Normal 7 9" xfId="37967" xr:uid="{00000000-0005-0000-0000-000052940000}"/>
    <cellStyle name="Normal 70" xfId="37968" xr:uid="{00000000-0005-0000-0000-000053940000}"/>
    <cellStyle name="Normal 70 2" xfId="37969" xr:uid="{00000000-0005-0000-0000-000054940000}"/>
    <cellStyle name="Normal 71" xfId="37970" xr:uid="{00000000-0005-0000-0000-000055940000}"/>
    <cellStyle name="Normal 71 2" xfId="37971" xr:uid="{00000000-0005-0000-0000-000056940000}"/>
    <cellStyle name="Normal 72" xfId="37972" xr:uid="{00000000-0005-0000-0000-000057940000}"/>
    <cellStyle name="Normal 72 2" xfId="37973" xr:uid="{00000000-0005-0000-0000-000058940000}"/>
    <cellStyle name="Normal 72 3" xfId="37974" xr:uid="{00000000-0005-0000-0000-000059940000}"/>
    <cellStyle name="Normal 72 4" xfId="39198" xr:uid="{00000000-0005-0000-0000-00005A940000}"/>
    <cellStyle name="Normal 73" xfId="37975" xr:uid="{00000000-0005-0000-0000-00005B940000}"/>
    <cellStyle name="Normal 73 2" xfId="37976" xr:uid="{00000000-0005-0000-0000-00005C940000}"/>
    <cellStyle name="Normal 74" xfId="37977" xr:uid="{00000000-0005-0000-0000-00005D940000}"/>
    <cellStyle name="Normal 74 2" xfId="37978" xr:uid="{00000000-0005-0000-0000-00005E940000}"/>
    <cellStyle name="Normal 75" xfId="37979" xr:uid="{00000000-0005-0000-0000-00005F940000}"/>
    <cellStyle name="Normal 75 2" xfId="37980" xr:uid="{00000000-0005-0000-0000-000060940000}"/>
    <cellStyle name="Normal 75 3" xfId="37981" xr:uid="{00000000-0005-0000-0000-000061940000}"/>
    <cellStyle name="Normal 75 4" xfId="39199" xr:uid="{00000000-0005-0000-0000-000062940000}"/>
    <cellStyle name="Normal 76" xfId="37982" xr:uid="{00000000-0005-0000-0000-000063940000}"/>
    <cellStyle name="Normal 76 2" xfId="37983" xr:uid="{00000000-0005-0000-0000-000064940000}"/>
    <cellStyle name="Normal 76 3" xfId="37984" xr:uid="{00000000-0005-0000-0000-000065940000}"/>
    <cellStyle name="Normal 76 4" xfId="39200" xr:uid="{00000000-0005-0000-0000-000066940000}"/>
    <cellStyle name="Normal 77" xfId="37985" xr:uid="{00000000-0005-0000-0000-000067940000}"/>
    <cellStyle name="Normal 77 2" xfId="37986" xr:uid="{00000000-0005-0000-0000-000068940000}"/>
    <cellStyle name="Normal 77 3" xfId="37987" xr:uid="{00000000-0005-0000-0000-000069940000}"/>
    <cellStyle name="Normal 77 4" xfId="39201" xr:uid="{00000000-0005-0000-0000-00006A940000}"/>
    <cellStyle name="Normal 78" xfId="37988" xr:uid="{00000000-0005-0000-0000-00006B940000}"/>
    <cellStyle name="Normal 78 2" xfId="37989" xr:uid="{00000000-0005-0000-0000-00006C940000}"/>
    <cellStyle name="Normal 79" xfId="37990" xr:uid="{00000000-0005-0000-0000-00006D940000}"/>
    <cellStyle name="Normal 79 2" xfId="37991" xr:uid="{00000000-0005-0000-0000-00006E940000}"/>
    <cellStyle name="Normal 8" xfId="1" xr:uid="{00000000-0005-0000-0000-00006F940000}"/>
    <cellStyle name="Normal 8 2" xfId="66" xr:uid="{00000000-0005-0000-0000-000070940000}"/>
    <cellStyle name="Normal 8 2 2" xfId="37994" xr:uid="{00000000-0005-0000-0000-000071940000}"/>
    <cellStyle name="Normal 8 2 2 2" xfId="37995" xr:uid="{00000000-0005-0000-0000-000072940000}"/>
    <cellStyle name="Normal 8 2 3" xfId="37996" xr:uid="{00000000-0005-0000-0000-000073940000}"/>
    <cellStyle name="Normal 8 2 3 2" xfId="37997" xr:uid="{00000000-0005-0000-0000-000074940000}"/>
    <cellStyle name="Normal 8 2 4" xfId="37993" xr:uid="{00000000-0005-0000-0000-000075940000}"/>
    <cellStyle name="Normal 8 3" xfId="38" xr:uid="{00000000-0005-0000-0000-000076940000}"/>
    <cellStyle name="Normal 8 3 2" xfId="37998" xr:uid="{00000000-0005-0000-0000-000077940000}"/>
    <cellStyle name="Normal 8 4" xfId="37999" xr:uid="{00000000-0005-0000-0000-000078940000}"/>
    <cellStyle name="Normal 8 5" xfId="38000" xr:uid="{00000000-0005-0000-0000-000079940000}"/>
    <cellStyle name="Normal 8 6" xfId="38001" xr:uid="{00000000-0005-0000-0000-00007A940000}"/>
    <cellStyle name="Normal 8 7" xfId="38002" xr:uid="{00000000-0005-0000-0000-00007B940000}"/>
    <cellStyle name="Normal 8 8" xfId="38003" xr:uid="{00000000-0005-0000-0000-00007C940000}"/>
    <cellStyle name="Normal 8 8 2" xfId="38004" xr:uid="{00000000-0005-0000-0000-00007D940000}"/>
    <cellStyle name="Normal 8 9" xfId="37992" xr:uid="{00000000-0005-0000-0000-00007E940000}"/>
    <cellStyle name="Normal 80" xfId="38005" xr:uid="{00000000-0005-0000-0000-00007F940000}"/>
    <cellStyle name="Normal 80 2" xfId="38006" xr:uid="{00000000-0005-0000-0000-000080940000}"/>
    <cellStyle name="Normal 80 3" xfId="38007" xr:uid="{00000000-0005-0000-0000-000081940000}"/>
    <cellStyle name="Normal 80 4" xfId="39202" xr:uid="{00000000-0005-0000-0000-000082940000}"/>
    <cellStyle name="Normal 81" xfId="3" xr:uid="{00000000-0005-0000-0000-000083940000}"/>
    <cellStyle name="Normal 81 2" xfId="38009" xr:uid="{00000000-0005-0000-0000-000084940000}"/>
    <cellStyle name="Normal 81 3" xfId="39203" xr:uid="{00000000-0005-0000-0000-000085940000}"/>
    <cellStyle name="Normal 81 4" xfId="38008" xr:uid="{00000000-0005-0000-0000-000086940000}"/>
    <cellStyle name="Normal 82" xfId="38010" xr:uid="{00000000-0005-0000-0000-000087940000}"/>
    <cellStyle name="Normal 82 2" xfId="38011" xr:uid="{00000000-0005-0000-0000-000088940000}"/>
    <cellStyle name="Normal 83" xfId="38012" xr:uid="{00000000-0005-0000-0000-000089940000}"/>
    <cellStyle name="Normal 83 2" xfId="38013" xr:uid="{00000000-0005-0000-0000-00008A940000}"/>
    <cellStyle name="Normal 83 3" xfId="38014" xr:uid="{00000000-0005-0000-0000-00008B940000}"/>
    <cellStyle name="Normal 83 4" xfId="39204" xr:uid="{00000000-0005-0000-0000-00008C940000}"/>
    <cellStyle name="Normal 84" xfId="38015" xr:uid="{00000000-0005-0000-0000-00008D940000}"/>
    <cellStyle name="Normal 84 2" xfId="38016" xr:uid="{00000000-0005-0000-0000-00008E940000}"/>
    <cellStyle name="Normal 85" xfId="38017" xr:uid="{00000000-0005-0000-0000-00008F940000}"/>
    <cellStyle name="Normal 85 2" xfId="38018" xr:uid="{00000000-0005-0000-0000-000090940000}"/>
    <cellStyle name="Normal 85 3" xfId="38019" xr:uid="{00000000-0005-0000-0000-000091940000}"/>
    <cellStyle name="Normal 86" xfId="38020" xr:uid="{00000000-0005-0000-0000-000092940000}"/>
    <cellStyle name="Normal 86 2" xfId="38021" xr:uid="{00000000-0005-0000-0000-000093940000}"/>
    <cellStyle name="Normal 86 3" xfId="38022" xr:uid="{00000000-0005-0000-0000-000094940000}"/>
    <cellStyle name="Normal 86 4" xfId="39205" xr:uid="{00000000-0005-0000-0000-000095940000}"/>
    <cellStyle name="Normal 87" xfId="38023" xr:uid="{00000000-0005-0000-0000-000096940000}"/>
    <cellStyle name="Normal 87 2" xfId="38024" xr:uid="{00000000-0005-0000-0000-000097940000}"/>
    <cellStyle name="Normal 88" xfId="38025" xr:uid="{00000000-0005-0000-0000-000098940000}"/>
    <cellStyle name="Normal 88 2" xfId="38026" xr:uid="{00000000-0005-0000-0000-000099940000}"/>
    <cellStyle name="Normal 88 3" xfId="38027" xr:uid="{00000000-0005-0000-0000-00009A940000}"/>
    <cellStyle name="Normal 88 4" xfId="39206" xr:uid="{00000000-0005-0000-0000-00009B940000}"/>
    <cellStyle name="Normal 89" xfId="38028" xr:uid="{00000000-0005-0000-0000-00009C940000}"/>
    <cellStyle name="Normal 89 2" xfId="38029" xr:uid="{00000000-0005-0000-0000-00009D940000}"/>
    <cellStyle name="Normal 9" xfId="39" xr:uid="{00000000-0005-0000-0000-00009E940000}"/>
    <cellStyle name="Normal 9 10" xfId="38031" xr:uid="{00000000-0005-0000-0000-00009F940000}"/>
    <cellStyle name="Normal 9 11" xfId="38032" xr:uid="{00000000-0005-0000-0000-0000A0940000}"/>
    <cellStyle name="Normal 9 12" xfId="38033" xr:uid="{00000000-0005-0000-0000-0000A1940000}"/>
    <cellStyle name="Normal 9 13" xfId="38034" xr:uid="{00000000-0005-0000-0000-0000A2940000}"/>
    <cellStyle name="Normal 9 14" xfId="38035" xr:uid="{00000000-0005-0000-0000-0000A3940000}"/>
    <cellStyle name="Normal 9 15" xfId="38036" xr:uid="{00000000-0005-0000-0000-0000A4940000}"/>
    <cellStyle name="Normal 9 16" xfId="38037" xr:uid="{00000000-0005-0000-0000-0000A5940000}"/>
    <cellStyle name="Normal 9 17" xfId="38038" xr:uid="{00000000-0005-0000-0000-0000A6940000}"/>
    <cellStyle name="Normal 9 18" xfId="38039" xr:uid="{00000000-0005-0000-0000-0000A7940000}"/>
    <cellStyle name="Normal 9 19" xfId="38040" xr:uid="{00000000-0005-0000-0000-0000A8940000}"/>
    <cellStyle name="Normal 9 2" xfId="67" xr:uid="{00000000-0005-0000-0000-0000A9940000}"/>
    <cellStyle name="Normal 9 2 10" xfId="38042" xr:uid="{00000000-0005-0000-0000-0000AA940000}"/>
    <cellStyle name="Normal 9 2 11" xfId="38043" xr:uid="{00000000-0005-0000-0000-0000AB940000}"/>
    <cellStyle name="Normal 9 2 12" xfId="38044" xr:uid="{00000000-0005-0000-0000-0000AC940000}"/>
    <cellStyle name="Normal 9 2 13" xfId="38045" xr:uid="{00000000-0005-0000-0000-0000AD940000}"/>
    <cellStyle name="Normal 9 2 14" xfId="38046" xr:uid="{00000000-0005-0000-0000-0000AE940000}"/>
    <cellStyle name="Normal 9 2 15" xfId="38047" xr:uid="{00000000-0005-0000-0000-0000AF940000}"/>
    <cellStyle name="Normal 9 2 16" xfId="38048" xr:uid="{00000000-0005-0000-0000-0000B0940000}"/>
    <cellStyle name="Normal 9 2 17" xfId="38049" xr:uid="{00000000-0005-0000-0000-0000B1940000}"/>
    <cellStyle name="Normal 9 2 18" xfId="38050" xr:uid="{00000000-0005-0000-0000-0000B2940000}"/>
    <cellStyle name="Normal 9 2 19" xfId="38051" xr:uid="{00000000-0005-0000-0000-0000B3940000}"/>
    <cellStyle name="Normal 9 2 2" xfId="38052" xr:uid="{00000000-0005-0000-0000-0000B4940000}"/>
    <cellStyle name="Normal 9 2 2 2" xfId="38053" xr:uid="{00000000-0005-0000-0000-0000B5940000}"/>
    <cellStyle name="Normal 9 2 2 2 2" xfId="38054" xr:uid="{00000000-0005-0000-0000-0000B6940000}"/>
    <cellStyle name="Normal 9 2 20" xfId="38055" xr:uid="{00000000-0005-0000-0000-0000B7940000}"/>
    <cellStyle name="Normal 9 2 21" xfId="38056" xr:uid="{00000000-0005-0000-0000-0000B8940000}"/>
    <cellStyle name="Normal 9 2 22" xfId="38057" xr:uid="{00000000-0005-0000-0000-0000B9940000}"/>
    <cellStyle name="Normal 9 2 23" xfId="38058" xr:uid="{00000000-0005-0000-0000-0000BA940000}"/>
    <cellStyle name="Normal 9 2 24" xfId="38059" xr:uid="{00000000-0005-0000-0000-0000BB940000}"/>
    <cellStyle name="Normal 9 2 25" xfId="38060" xr:uid="{00000000-0005-0000-0000-0000BC940000}"/>
    <cellStyle name="Normal 9 2 26" xfId="38061" xr:uid="{00000000-0005-0000-0000-0000BD940000}"/>
    <cellStyle name="Normal 9 2 27" xfId="38062" xr:uid="{00000000-0005-0000-0000-0000BE940000}"/>
    <cellStyle name="Normal 9 2 28" xfId="38063" xr:uid="{00000000-0005-0000-0000-0000BF940000}"/>
    <cellStyle name="Normal 9 2 29" xfId="38064" xr:uid="{00000000-0005-0000-0000-0000C0940000}"/>
    <cellStyle name="Normal 9 2 3" xfId="38065" xr:uid="{00000000-0005-0000-0000-0000C1940000}"/>
    <cellStyle name="Normal 9 2 30" xfId="38066" xr:uid="{00000000-0005-0000-0000-0000C2940000}"/>
    <cellStyle name="Normal 9 2 31" xfId="38067" xr:uid="{00000000-0005-0000-0000-0000C3940000}"/>
    <cellStyle name="Normal 9 2 32" xfId="38068" xr:uid="{00000000-0005-0000-0000-0000C4940000}"/>
    <cellStyle name="Normal 9 2 33" xfId="38069" xr:uid="{00000000-0005-0000-0000-0000C5940000}"/>
    <cellStyle name="Normal 9 2 34" xfId="38070" xr:uid="{00000000-0005-0000-0000-0000C6940000}"/>
    <cellStyle name="Normal 9 2 35" xfId="38071" xr:uid="{00000000-0005-0000-0000-0000C7940000}"/>
    <cellStyle name="Normal 9 2 36" xfId="38072" xr:uid="{00000000-0005-0000-0000-0000C8940000}"/>
    <cellStyle name="Normal 9 2 37" xfId="38073" xr:uid="{00000000-0005-0000-0000-0000C9940000}"/>
    <cellStyle name="Normal 9 2 38" xfId="38074" xr:uid="{00000000-0005-0000-0000-0000CA940000}"/>
    <cellStyle name="Normal 9 2 39" xfId="38075" xr:uid="{00000000-0005-0000-0000-0000CB940000}"/>
    <cellStyle name="Normal 9 2 4" xfId="38076" xr:uid="{00000000-0005-0000-0000-0000CC940000}"/>
    <cellStyle name="Normal 9 2 40" xfId="38077" xr:uid="{00000000-0005-0000-0000-0000CD940000}"/>
    <cellStyle name="Normal 9 2 41" xfId="38078" xr:uid="{00000000-0005-0000-0000-0000CE940000}"/>
    <cellStyle name="Normal 9 2 42" xfId="38079" xr:uid="{00000000-0005-0000-0000-0000CF940000}"/>
    <cellStyle name="Normal 9 2 43" xfId="38080" xr:uid="{00000000-0005-0000-0000-0000D0940000}"/>
    <cellStyle name="Normal 9 2 44" xfId="38081" xr:uid="{00000000-0005-0000-0000-0000D1940000}"/>
    <cellStyle name="Normal 9 2 45" xfId="38082" xr:uid="{00000000-0005-0000-0000-0000D2940000}"/>
    <cellStyle name="Normal 9 2 46" xfId="38083" xr:uid="{00000000-0005-0000-0000-0000D3940000}"/>
    <cellStyle name="Normal 9 2 47" xfId="38084" xr:uid="{00000000-0005-0000-0000-0000D4940000}"/>
    <cellStyle name="Normal 9 2 48" xfId="38085" xr:uid="{00000000-0005-0000-0000-0000D5940000}"/>
    <cellStyle name="Normal 9 2 49" xfId="38086" xr:uid="{00000000-0005-0000-0000-0000D6940000}"/>
    <cellStyle name="Normal 9 2 5" xfId="38087" xr:uid="{00000000-0005-0000-0000-0000D7940000}"/>
    <cellStyle name="Normal 9 2 50" xfId="38088" xr:uid="{00000000-0005-0000-0000-0000D8940000}"/>
    <cellStyle name="Normal 9 2 51" xfId="38089" xr:uid="{00000000-0005-0000-0000-0000D9940000}"/>
    <cellStyle name="Normal 9 2 52" xfId="38090" xr:uid="{00000000-0005-0000-0000-0000DA940000}"/>
    <cellStyle name="Normal 9 2 53" xfId="38091" xr:uid="{00000000-0005-0000-0000-0000DB940000}"/>
    <cellStyle name="Normal 9 2 54" xfId="38092" xr:uid="{00000000-0005-0000-0000-0000DC940000}"/>
    <cellStyle name="Normal 9 2 55" xfId="38093" xr:uid="{00000000-0005-0000-0000-0000DD940000}"/>
    <cellStyle name="Normal 9 2 56" xfId="38094" xr:uid="{00000000-0005-0000-0000-0000DE940000}"/>
    <cellStyle name="Normal 9 2 57" xfId="38095" xr:uid="{00000000-0005-0000-0000-0000DF940000}"/>
    <cellStyle name="Normal 9 2 58" xfId="38096" xr:uid="{00000000-0005-0000-0000-0000E0940000}"/>
    <cellStyle name="Normal 9 2 59" xfId="38097" xr:uid="{00000000-0005-0000-0000-0000E1940000}"/>
    <cellStyle name="Normal 9 2 6" xfId="38098" xr:uid="{00000000-0005-0000-0000-0000E2940000}"/>
    <cellStyle name="Normal 9 2 60" xfId="38099" xr:uid="{00000000-0005-0000-0000-0000E3940000}"/>
    <cellStyle name="Normal 9 2 61" xfId="38100" xr:uid="{00000000-0005-0000-0000-0000E4940000}"/>
    <cellStyle name="Normal 9 2 62" xfId="38101" xr:uid="{00000000-0005-0000-0000-0000E5940000}"/>
    <cellStyle name="Normal 9 2 63" xfId="38102" xr:uid="{00000000-0005-0000-0000-0000E6940000}"/>
    <cellStyle name="Normal 9 2 64" xfId="38103" xr:uid="{00000000-0005-0000-0000-0000E7940000}"/>
    <cellStyle name="Normal 9 2 65" xfId="38104" xr:uid="{00000000-0005-0000-0000-0000E8940000}"/>
    <cellStyle name="Normal 9 2 66" xfId="38105" xr:uid="{00000000-0005-0000-0000-0000E9940000}"/>
    <cellStyle name="Normal 9 2 67" xfId="38106" xr:uid="{00000000-0005-0000-0000-0000EA940000}"/>
    <cellStyle name="Normal 9 2 68" xfId="38107" xr:uid="{00000000-0005-0000-0000-0000EB940000}"/>
    <cellStyle name="Normal 9 2 69" xfId="38108" xr:uid="{00000000-0005-0000-0000-0000EC940000}"/>
    <cellStyle name="Normal 9 2 7" xfId="38109" xr:uid="{00000000-0005-0000-0000-0000ED940000}"/>
    <cellStyle name="Normal 9 2 70" xfId="38110" xr:uid="{00000000-0005-0000-0000-0000EE940000}"/>
    <cellStyle name="Normal 9 2 71" xfId="38111" xr:uid="{00000000-0005-0000-0000-0000EF940000}"/>
    <cellStyle name="Normal 9 2 72" xfId="38112" xr:uid="{00000000-0005-0000-0000-0000F0940000}"/>
    <cellStyle name="Normal 9 2 73" xfId="38113" xr:uid="{00000000-0005-0000-0000-0000F1940000}"/>
    <cellStyle name="Normal 9 2 74" xfId="38114" xr:uid="{00000000-0005-0000-0000-0000F2940000}"/>
    <cellStyle name="Normal 9 2 75" xfId="38115" xr:uid="{00000000-0005-0000-0000-0000F3940000}"/>
    <cellStyle name="Normal 9 2 76" xfId="38116" xr:uid="{00000000-0005-0000-0000-0000F4940000}"/>
    <cellStyle name="Normal 9 2 77" xfId="38117" xr:uid="{00000000-0005-0000-0000-0000F5940000}"/>
    <cellStyle name="Normal 9 2 78" xfId="38118" xr:uid="{00000000-0005-0000-0000-0000F6940000}"/>
    <cellStyle name="Normal 9 2 79" xfId="38119" xr:uid="{00000000-0005-0000-0000-0000F7940000}"/>
    <cellStyle name="Normal 9 2 8" xfId="38120" xr:uid="{00000000-0005-0000-0000-0000F8940000}"/>
    <cellStyle name="Normal 9 2 80" xfId="38041" xr:uid="{00000000-0005-0000-0000-0000F9940000}"/>
    <cellStyle name="Normal 9 2 9" xfId="38121" xr:uid="{00000000-0005-0000-0000-0000FA940000}"/>
    <cellStyle name="Normal 9 2_Enlaces" xfId="38122" xr:uid="{00000000-0005-0000-0000-0000FB940000}"/>
    <cellStyle name="Normal 9 20" xfId="38123" xr:uid="{00000000-0005-0000-0000-0000FC940000}"/>
    <cellStyle name="Normal 9 20 2" xfId="38124" xr:uid="{00000000-0005-0000-0000-0000FD940000}"/>
    <cellStyle name="Normal 9 20 2 2" xfId="38125" xr:uid="{00000000-0005-0000-0000-0000FE940000}"/>
    <cellStyle name="Normal 9 20 2 3" xfId="38126" xr:uid="{00000000-0005-0000-0000-0000FF940000}"/>
    <cellStyle name="Normal 9 20 3" xfId="38127" xr:uid="{00000000-0005-0000-0000-000000950000}"/>
    <cellStyle name="Normal 9 20 4" xfId="38128" xr:uid="{00000000-0005-0000-0000-000001950000}"/>
    <cellStyle name="Normal 9 21" xfId="38129" xr:uid="{00000000-0005-0000-0000-000002950000}"/>
    <cellStyle name="Normal 9 21 2" xfId="38130" xr:uid="{00000000-0005-0000-0000-000003950000}"/>
    <cellStyle name="Normal 9 21 2 2" xfId="38131" xr:uid="{00000000-0005-0000-0000-000004950000}"/>
    <cellStyle name="Normal 9 21 2 3" xfId="38132" xr:uid="{00000000-0005-0000-0000-000005950000}"/>
    <cellStyle name="Normal 9 21 3" xfId="38133" xr:uid="{00000000-0005-0000-0000-000006950000}"/>
    <cellStyle name="Normal 9 21 4" xfId="38134" xr:uid="{00000000-0005-0000-0000-000007950000}"/>
    <cellStyle name="Normal 9 22" xfId="38135" xr:uid="{00000000-0005-0000-0000-000008950000}"/>
    <cellStyle name="Normal 9 22 2" xfId="38136" xr:uid="{00000000-0005-0000-0000-000009950000}"/>
    <cellStyle name="Normal 9 22 2 2" xfId="38137" xr:uid="{00000000-0005-0000-0000-00000A950000}"/>
    <cellStyle name="Normal 9 22 2 3" xfId="38138" xr:uid="{00000000-0005-0000-0000-00000B950000}"/>
    <cellStyle name="Normal 9 22 3" xfId="38139" xr:uid="{00000000-0005-0000-0000-00000C950000}"/>
    <cellStyle name="Normal 9 22 4" xfId="38140" xr:uid="{00000000-0005-0000-0000-00000D950000}"/>
    <cellStyle name="Normal 9 23" xfId="38141" xr:uid="{00000000-0005-0000-0000-00000E950000}"/>
    <cellStyle name="Normal 9 23 2" xfId="38142" xr:uid="{00000000-0005-0000-0000-00000F950000}"/>
    <cellStyle name="Normal 9 23 2 2" xfId="38143" xr:uid="{00000000-0005-0000-0000-000010950000}"/>
    <cellStyle name="Normal 9 23 2 3" xfId="38144" xr:uid="{00000000-0005-0000-0000-000011950000}"/>
    <cellStyle name="Normal 9 23 3" xfId="38145" xr:uid="{00000000-0005-0000-0000-000012950000}"/>
    <cellStyle name="Normal 9 23 4" xfId="38146" xr:uid="{00000000-0005-0000-0000-000013950000}"/>
    <cellStyle name="Normal 9 24" xfId="38147" xr:uid="{00000000-0005-0000-0000-000014950000}"/>
    <cellStyle name="Normal 9 24 2" xfId="38148" xr:uid="{00000000-0005-0000-0000-000015950000}"/>
    <cellStyle name="Normal 9 24 2 2" xfId="38149" xr:uid="{00000000-0005-0000-0000-000016950000}"/>
    <cellStyle name="Normal 9 24 2 3" xfId="38150" xr:uid="{00000000-0005-0000-0000-000017950000}"/>
    <cellStyle name="Normal 9 24 3" xfId="38151" xr:uid="{00000000-0005-0000-0000-000018950000}"/>
    <cellStyle name="Normal 9 24 4" xfId="38152" xr:uid="{00000000-0005-0000-0000-000019950000}"/>
    <cellStyle name="Normal 9 25" xfId="38153" xr:uid="{00000000-0005-0000-0000-00001A950000}"/>
    <cellStyle name="Normal 9 25 2" xfId="38154" xr:uid="{00000000-0005-0000-0000-00001B950000}"/>
    <cellStyle name="Normal 9 25 2 2" xfId="38155" xr:uid="{00000000-0005-0000-0000-00001C950000}"/>
    <cellStyle name="Normal 9 25 2 3" xfId="38156" xr:uid="{00000000-0005-0000-0000-00001D950000}"/>
    <cellStyle name="Normal 9 25 3" xfId="38157" xr:uid="{00000000-0005-0000-0000-00001E950000}"/>
    <cellStyle name="Normal 9 25 4" xfId="38158" xr:uid="{00000000-0005-0000-0000-00001F950000}"/>
    <cellStyle name="Normal 9 26" xfId="38159" xr:uid="{00000000-0005-0000-0000-000020950000}"/>
    <cellStyle name="Normal 9 26 2" xfId="38160" xr:uid="{00000000-0005-0000-0000-000021950000}"/>
    <cellStyle name="Normal 9 26 2 2" xfId="38161" xr:uid="{00000000-0005-0000-0000-000022950000}"/>
    <cellStyle name="Normal 9 26 2 3" xfId="38162" xr:uid="{00000000-0005-0000-0000-000023950000}"/>
    <cellStyle name="Normal 9 26 3" xfId="38163" xr:uid="{00000000-0005-0000-0000-000024950000}"/>
    <cellStyle name="Normal 9 26 4" xfId="38164" xr:uid="{00000000-0005-0000-0000-000025950000}"/>
    <cellStyle name="Normal 9 27" xfId="38165" xr:uid="{00000000-0005-0000-0000-000026950000}"/>
    <cellStyle name="Normal 9 27 2" xfId="38166" xr:uid="{00000000-0005-0000-0000-000027950000}"/>
    <cellStyle name="Normal 9 27 2 2" xfId="38167" xr:uid="{00000000-0005-0000-0000-000028950000}"/>
    <cellStyle name="Normal 9 27 2 3" xfId="38168" xr:uid="{00000000-0005-0000-0000-000029950000}"/>
    <cellStyle name="Normal 9 27 3" xfId="38169" xr:uid="{00000000-0005-0000-0000-00002A950000}"/>
    <cellStyle name="Normal 9 27 4" xfId="38170" xr:uid="{00000000-0005-0000-0000-00002B950000}"/>
    <cellStyle name="Normal 9 28" xfId="38171" xr:uid="{00000000-0005-0000-0000-00002C950000}"/>
    <cellStyle name="Normal 9 28 2" xfId="38172" xr:uid="{00000000-0005-0000-0000-00002D950000}"/>
    <cellStyle name="Normal 9 28 2 2" xfId="38173" xr:uid="{00000000-0005-0000-0000-00002E950000}"/>
    <cellStyle name="Normal 9 28 2 3" xfId="38174" xr:uid="{00000000-0005-0000-0000-00002F950000}"/>
    <cellStyle name="Normal 9 28 3" xfId="38175" xr:uid="{00000000-0005-0000-0000-000030950000}"/>
    <cellStyle name="Normal 9 28 4" xfId="38176" xr:uid="{00000000-0005-0000-0000-000031950000}"/>
    <cellStyle name="Normal 9 29" xfId="38177" xr:uid="{00000000-0005-0000-0000-000032950000}"/>
    <cellStyle name="Normal 9 29 2" xfId="38178" xr:uid="{00000000-0005-0000-0000-000033950000}"/>
    <cellStyle name="Normal 9 29 2 2" xfId="38179" xr:uid="{00000000-0005-0000-0000-000034950000}"/>
    <cellStyle name="Normal 9 29 2 3" xfId="38180" xr:uid="{00000000-0005-0000-0000-000035950000}"/>
    <cellStyle name="Normal 9 29 3" xfId="38181" xr:uid="{00000000-0005-0000-0000-000036950000}"/>
    <cellStyle name="Normal 9 29 4" xfId="38182" xr:uid="{00000000-0005-0000-0000-000037950000}"/>
    <cellStyle name="Normal 9 3" xfId="38183" xr:uid="{00000000-0005-0000-0000-000038950000}"/>
    <cellStyle name="Normal 9 3 2" xfId="38184" xr:uid="{00000000-0005-0000-0000-000039950000}"/>
    <cellStyle name="Normal 9 3 2 2" xfId="38185" xr:uid="{00000000-0005-0000-0000-00003A950000}"/>
    <cellStyle name="Normal 9 3 2 2 2" xfId="38186" xr:uid="{00000000-0005-0000-0000-00003B950000}"/>
    <cellStyle name="Normal 9 3 2 2 3" xfId="38187" xr:uid="{00000000-0005-0000-0000-00003C950000}"/>
    <cellStyle name="Normal 9 3 2 3" xfId="38188" xr:uid="{00000000-0005-0000-0000-00003D950000}"/>
    <cellStyle name="Normal 9 3 2 4" xfId="38189" xr:uid="{00000000-0005-0000-0000-00003E950000}"/>
    <cellStyle name="Normal 9 3 3" xfId="38190" xr:uid="{00000000-0005-0000-0000-00003F950000}"/>
    <cellStyle name="Normal 9 3 3 2" xfId="38191" xr:uid="{00000000-0005-0000-0000-000040950000}"/>
    <cellStyle name="Normal 9 3 3 2 2" xfId="38192" xr:uid="{00000000-0005-0000-0000-000041950000}"/>
    <cellStyle name="Normal 9 3 3 2 3" xfId="38193" xr:uid="{00000000-0005-0000-0000-000042950000}"/>
    <cellStyle name="Normal 9 3 3 3" xfId="38194" xr:uid="{00000000-0005-0000-0000-000043950000}"/>
    <cellStyle name="Normal 9 3 3 4" xfId="38195" xr:uid="{00000000-0005-0000-0000-000044950000}"/>
    <cellStyle name="Normal 9 3 4" xfId="38196" xr:uid="{00000000-0005-0000-0000-000045950000}"/>
    <cellStyle name="Normal 9 3 4 2" xfId="38197" xr:uid="{00000000-0005-0000-0000-000046950000}"/>
    <cellStyle name="Normal 9 3 4 2 2" xfId="38198" xr:uid="{00000000-0005-0000-0000-000047950000}"/>
    <cellStyle name="Normal 9 3 4 2 2 2" xfId="38199" xr:uid="{00000000-0005-0000-0000-000048950000}"/>
    <cellStyle name="Normal 9 3 4 2 2 2 2" xfId="38200" xr:uid="{00000000-0005-0000-0000-000049950000}"/>
    <cellStyle name="Normal 9 3 4 2 2 2 3" xfId="38201" xr:uid="{00000000-0005-0000-0000-00004A950000}"/>
    <cellStyle name="Normal 9 3 4 2 2 3" xfId="38202" xr:uid="{00000000-0005-0000-0000-00004B950000}"/>
    <cellStyle name="Normal 9 3 4 2 2 4" xfId="38203" xr:uid="{00000000-0005-0000-0000-00004C950000}"/>
    <cellStyle name="Normal 9 3 4 3" xfId="38204" xr:uid="{00000000-0005-0000-0000-00004D950000}"/>
    <cellStyle name="Normal 9 3 4 3 2" xfId="38205" xr:uid="{00000000-0005-0000-0000-00004E950000}"/>
    <cellStyle name="Normal 9 3 4 3 2 2" xfId="38206" xr:uid="{00000000-0005-0000-0000-00004F950000}"/>
    <cellStyle name="Normal 9 3 4 3 2 3" xfId="38207" xr:uid="{00000000-0005-0000-0000-000050950000}"/>
    <cellStyle name="Normal 9 3 4 3 3" xfId="38208" xr:uid="{00000000-0005-0000-0000-000051950000}"/>
    <cellStyle name="Normal 9 3 4 3 4" xfId="38209" xr:uid="{00000000-0005-0000-0000-000052950000}"/>
    <cellStyle name="Normal 9 3 4 4" xfId="38210" xr:uid="{00000000-0005-0000-0000-000053950000}"/>
    <cellStyle name="Normal 9 3 4 4 2" xfId="38211" xr:uid="{00000000-0005-0000-0000-000054950000}"/>
    <cellStyle name="Normal 9 3 4 4 3" xfId="38212" xr:uid="{00000000-0005-0000-0000-000055950000}"/>
    <cellStyle name="Normal 9 3 4 5" xfId="38213" xr:uid="{00000000-0005-0000-0000-000056950000}"/>
    <cellStyle name="Normal 9 3 5" xfId="38214" xr:uid="{00000000-0005-0000-0000-000057950000}"/>
    <cellStyle name="Normal 9 3 5 2" xfId="38215" xr:uid="{00000000-0005-0000-0000-000058950000}"/>
    <cellStyle name="Normal 9 3 5 2 2" xfId="38216" xr:uid="{00000000-0005-0000-0000-000059950000}"/>
    <cellStyle name="Normal 9 3 5 2 3" xfId="38217" xr:uid="{00000000-0005-0000-0000-00005A950000}"/>
    <cellStyle name="Normal 9 3 5 3" xfId="38218" xr:uid="{00000000-0005-0000-0000-00005B950000}"/>
    <cellStyle name="Normal 9 3 5 4" xfId="38219" xr:uid="{00000000-0005-0000-0000-00005C950000}"/>
    <cellStyle name="Normal 9 3 6" xfId="38220" xr:uid="{00000000-0005-0000-0000-00005D950000}"/>
    <cellStyle name="Normal 9 3 6 2" xfId="38221" xr:uid="{00000000-0005-0000-0000-00005E950000}"/>
    <cellStyle name="Normal 9 3 6 2 2" xfId="38222" xr:uid="{00000000-0005-0000-0000-00005F950000}"/>
    <cellStyle name="Normal 9 3 6 2 3" xfId="38223" xr:uid="{00000000-0005-0000-0000-000060950000}"/>
    <cellStyle name="Normal 9 3 6 3" xfId="38224" xr:uid="{00000000-0005-0000-0000-000061950000}"/>
    <cellStyle name="Normal 9 3 6 4" xfId="38225" xr:uid="{00000000-0005-0000-0000-000062950000}"/>
    <cellStyle name="Normal 9 3 7" xfId="38226" xr:uid="{00000000-0005-0000-0000-000063950000}"/>
    <cellStyle name="Normal 9 3 7 2" xfId="38227" xr:uid="{00000000-0005-0000-0000-000064950000}"/>
    <cellStyle name="Normal 9 3 7 3" xfId="38228" xr:uid="{00000000-0005-0000-0000-000065950000}"/>
    <cellStyle name="Normal 9 3 7 3 2" xfId="38229" xr:uid="{00000000-0005-0000-0000-000066950000}"/>
    <cellStyle name="Normal 9 3 7 3 3" xfId="38230" xr:uid="{00000000-0005-0000-0000-000067950000}"/>
    <cellStyle name="Normal 9 3 7 4" xfId="38231" xr:uid="{00000000-0005-0000-0000-000068950000}"/>
    <cellStyle name="Normal 9 3 8" xfId="38232" xr:uid="{00000000-0005-0000-0000-000069950000}"/>
    <cellStyle name="Normal 9 3 9" xfId="38233" xr:uid="{00000000-0005-0000-0000-00006A950000}"/>
    <cellStyle name="Normal 9 3 9 2" xfId="38234" xr:uid="{00000000-0005-0000-0000-00006B950000}"/>
    <cellStyle name="Normal 9 3 9 2 2" xfId="38235" xr:uid="{00000000-0005-0000-0000-00006C950000}"/>
    <cellStyle name="Normal 9 3 9 2 3" xfId="38236" xr:uid="{00000000-0005-0000-0000-00006D950000}"/>
    <cellStyle name="Normal 9 3 9 3" xfId="38237" xr:uid="{00000000-0005-0000-0000-00006E950000}"/>
    <cellStyle name="Normal 9 3 9 4" xfId="38238" xr:uid="{00000000-0005-0000-0000-00006F950000}"/>
    <cellStyle name="Normal 9 3_Implem" xfId="38239" xr:uid="{00000000-0005-0000-0000-000070950000}"/>
    <cellStyle name="Normal 9 30" xfId="39189" xr:uid="{00000000-0005-0000-0000-000071950000}"/>
    <cellStyle name="Normal 9 31" xfId="38030" xr:uid="{00000000-0005-0000-0000-000072950000}"/>
    <cellStyle name="Normal 9 4" xfId="38240" xr:uid="{00000000-0005-0000-0000-000073950000}"/>
    <cellStyle name="Normal 9 4 2" xfId="38241" xr:uid="{00000000-0005-0000-0000-000074950000}"/>
    <cellStyle name="Normal 9 4 2 2" xfId="38242" xr:uid="{00000000-0005-0000-0000-000075950000}"/>
    <cellStyle name="Normal 9 4 2 3" xfId="38243" xr:uid="{00000000-0005-0000-0000-000076950000}"/>
    <cellStyle name="Normal 9 4 3" xfId="38244" xr:uid="{00000000-0005-0000-0000-000077950000}"/>
    <cellStyle name="Normal 9 4 4" xfId="38245" xr:uid="{00000000-0005-0000-0000-000078950000}"/>
    <cellStyle name="Normal 9 5" xfId="38246" xr:uid="{00000000-0005-0000-0000-000079950000}"/>
    <cellStyle name="Normal 9 5 2" xfId="38247" xr:uid="{00000000-0005-0000-0000-00007A950000}"/>
    <cellStyle name="Normal 9 5 2 2" xfId="38248" xr:uid="{00000000-0005-0000-0000-00007B950000}"/>
    <cellStyle name="Normal 9 5 2 3" xfId="38249" xr:uid="{00000000-0005-0000-0000-00007C950000}"/>
    <cellStyle name="Normal 9 5 3" xfId="38250" xr:uid="{00000000-0005-0000-0000-00007D950000}"/>
    <cellStyle name="Normal 9 5 4" xfId="38251" xr:uid="{00000000-0005-0000-0000-00007E950000}"/>
    <cellStyle name="Normal 9 6" xfId="38252" xr:uid="{00000000-0005-0000-0000-00007F950000}"/>
    <cellStyle name="Normal 9 6 2" xfId="38253" xr:uid="{00000000-0005-0000-0000-000080950000}"/>
    <cellStyle name="Normal 9 6 2 2" xfId="38254" xr:uid="{00000000-0005-0000-0000-000081950000}"/>
    <cellStyle name="Normal 9 6 2 3" xfId="38255" xr:uid="{00000000-0005-0000-0000-000082950000}"/>
    <cellStyle name="Normal 9 6 3" xfId="38256" xr:uid="{00000000-0005-0000-0000-000083950000}"/>
    <cellStyle name="Normal 9 6 4" xfId="38257" xr:uid="{00000000-0005-0000-0000-000084950000}"/>
    <cellStyle name="Normal 9 7" xfId="38258" xr:uid="{00000000-0005-0000-0000-000085950000}"/>
    <cellStyle name="Normal 9 7 2" xfId="38259" xr:uid="{00000000-0005-0000-0000-000086950000}"/>
    <cellStyle name="Normal 9 7 2 2" xfId="38260" xr:uid="{00000000-0005-0000-0000-000087950000}"/>
    <cellStyle name="Normal 9 7 2 3" xfId="38261" xr:uid="{00000000-0005-0000-0000-000088950000}"/>
    <cellStyle name="Normal 9 7 3" xfId="38262" xr:uid="{00000000-0005-0000-0000-000089950000}"/>
    <cellStyle name="Normal 9 7 4" xfId="38263" xr:uid="{00000000-0005-0000-0000-00008A950000}"/>
    <cellStyle name="Normal 9 8" xfId="38264" xr:uid="{00000000-0005-0000-0000-00008B950000}"/>
    <cellStyle name="Normal 9 8 2" xfId="38265" xr:uid="{00000000-0005-0000-0000-00008C950000}"/>
    <cellStyle name="Normal 9 8 2 2" xfId="38266" xr:uid="{00000000-0005-0000-0000-00008D950000}"/>
    <cellStyle name="Normal 9 8 2 3" xfId="38267" xr:uid="{00000000-0005-0000-0000-00008E950000}"/>
    <cellStyle name="Normal 9 8 3" xfId="38268" xr:uid="{00000000-0005-0000-0000-00008F950000}"/>
    <cellStyle name="Normal 9 8 4" xfId="38269" xr:uid="{00000000-0005-0000-0000-000090950000}"/>
    <cellStyle name="Normal 9 9" xfId="38270" xr:uid="{00000000-0005-0000-0000-000091950000}"/>
    <cellStyle name="Normal 9 9 2" xfId="38271" xr:uid="{00000000-0005-0000-0000-000092950000}"/>
    <cellStyle name="Normal 9 9 2 2" xfId="38272" xr:uid="{00000000-0005-0000-0000-000093950000}"/>
    <cellStyle name="Normal 9 9 2 3" xfId="38273" xr:uid="{00000000-0005-0000-0000-000094950000}"/>
    <cellStyle name="Normal 9 9 3" xfId="38274" xr:uid="{00000000-0005-0000-0000-000095950000}"/>
    <cellStyle name="Normal 9 9 4" xfId="38275" xr:uid="{00000000-0005-0000-0000-000096950000}"/>
    <cellStyle name="Normal 90" xfId="38276" xr:uid="{00000000-0005-0000-0000-000097950000}"/>
    <cellStyle name="Normal 90 2" xfId="38277" xr:uid="{00000000-0005-0000-0000-000098950000}"/>
    <cellStyle name="Normal 90 2 2" xfId="38278" xr:uid="{00000000-0005-0000-0000-000099950000}"/>
    <cellStyle name="Normal 90 2 2 2" xfId="38279" xr:uid="{00000000-0005-0000-0000-00009A950000}"/>
    <cellStyle name="Normal 90 2 2 3" xfId="38280" xr:uid="{00000000-0005-0000-0000-00009B950000}"/>
    <cellStyle name="Normal 90 2 3" xfId="38281" xr:uid="{00000000-0005-0000-0000-00009C950000}"/>
    <cellStyle name="Normal 90 2 4" xfId="38282" xr:uid="{00000000-0005-0000-0000-00009D950000}"/>
    <cellStyle name="Normal 90 3" xfId="38283" xr:uid="{00000000-0005-0000-0000-00009E950000}"/>
    <cellStyle name="Normal 90 3 2" xfId="38284" xr:uid="{00000000-0005-0000-0000-00009F950000}"/>
    <cellStyle name="Normal 90 3 3" xfId="38285" xr:uid="{00000000-0005-0000-0000-0000A0950000}"/>
    <cellStyle name="Normal 90 4" xfId="38286" xr:uid="{00000000-0005-0000-0000-0000A1950000}"/>
    <cellStyle name="Normal 90 5" xfId="38287" xr:uid="{00000000-0005-0000-0000-0000A2950000}"/>
    <cellStyle name="Normal 91" xfId="38288" xr:uid="{00000000-0005-0000-0000-0000A3950000}"/>
    <cellStyle name="Normal 91 2" xfId="38289" xr:uid="{00000000-0005-0000-0000-0000A4950000}"/>
    <cellStyle name="Normal 91 2 2" xfId="38290" xr:uid="{00000000-0005-0000-0000-0000A5950000}"/>
    <cellStyle name="Normal 91 2 2 2" xfId="38291" xr:uid="{00000000-0005-0000-0000-0000A6950000}"/>
    <cellStyle name="Normal 91 2 2 3" xfId="38292" xr:uid="{00000000-0005-0000-0000-0000A7950000}"/>
    <cellStyle name="Normal 91 2 3" xfId="38293" xr:uid="{00000000-0005-0000-0000-0000A8950000}"/>
    <cellStyle name="Normal 91 2 4" xfId="38294" xr:uid="{00000000-0005-0000-0000-0000A9950000}"/>
    <cellStyle name="Normal 91 3" xfId="38295" xr:uid="{00000000-0005-0000-0000-0000AA950000}"/>
    <cellStyle name="Normal 91 3 2" xfId="38296" xr:uid="{00000000-0005-0000-0000-0000AB950000}"/>
    <cellStyle name="Normal 91 3 3" xfId="38297" xr:uid="{00000000-0005-0000-0000-0000AC950000}"/>
    <cellStyle name="Normal 91 4" xfId="38298" xr:uid="{00000000-0005-0000-0000-0000AD950000}"/>
    <cellStyle name="Normal 91 5" xfId="38299" xr:uid="{00000000-0005-0000-0000-0000AE950000}"/>
    <cellStyle name="Normal 92" xfId="38300" xr:uid="{00000000-0005-0000-0000-0000AF950000}"/>
    <cellStyle name="Normal 92 2" xfId="38301" xr:uid="{00000000-0005-0000-0000-0000B0950000}"/>
    <cellStyle name="Normal 92 2 2" xfId="38302" xr:uid="{00000000-0005-0000-0000-0000B1950000}"/>
    <cellStyle name="Normal 92 2 2 2" xfId="38303" xr:uid="{00000000-0005-0000-0000-0000B2950000}"/>
    <cellStyle name="Normal 92 2 2 3" xfId="38304" xr:uid="{00000000-0005-0000-0000-0000B3950000}"/>
    <cellStyle name="Normal 92 2 3" xfId="38305" xr:uid="{00000000-0005-0000-0000-0000B4950000}"/>
    <cellStyle name="Normal 92 2 4" xfId="38306" xr:uid="{00000000-0005-0000-0000-0000B5950000}"/>
    <cellStyle name="Normal 92 3" xfId="38307" xr:uid="{00000000-0005-0000-0000-0000B6950000}"/>
    <cellStyle name="Normal 92 3 2" xfId="38308" xr:uid="{00000000-0005-0000-0000-0000B7950000}"/>
    <cellStyle name="Normal 92 3 3" xfId="38309" xr:uid="{00000000-0005-0000-0000-0000B8950000}"/>
    <cellStyle name="Normal 92 4" xfId="38310" xr:uid="{00000000-0005-0000-0000-0000B9950000}"/>
    <cellStyle name="Normal 92 5" xfId="38311" xr:uid="{00000000-0005-0000-0000-0000BA950000}"/>
    <cellStyle name="Normal 92 6" xfId="38312" xr:uid="{00000000-0005-0000-0000-0000BB950000}"/>
    <cellStyle name="Normal 92 7" xfId="39207" xr:uid="{00000000-0005-0000-0000-0000BC950000}"/>
    <cellStyle name="Normal 93" xfId="38313" xr:uid="{00000000-0005-0000-0000-0000BD950000}"/>
    <cellStyle name="Normal 93 2" xfId="38314" xr:uid="{00000000-0005-0000-0000-0000BE950000}"/>
    <cellStyle name="Normal 93 2 2" xfId="38315" xr:uid="{00000000-0005-0000-0000-0000BF950000}"/>
    <cellStyle name="Normal 93 2 2 2" xfId="38316" xr:uid="{00000000-0005-0000-0000-0000C0950000}"/>
    <cellStyle name="Normal 93 2 2 3" xfId="38317" xr:uid="{00000000-0005-0000-0000-0000C1950000}"/>
    <cellStyle name="Normal 93 2 3" xfId="38318" xr:uid="{00000000-0005-0000-0000-0000C2950000}"/>
    <cellStyle name="Normal 93 2 4" xfId="38319" xr:uid="{00000000-0005-0000-0000-0000C3950000}"/>
    <cellStyle name="Normal 93 3" xfId="38320" xr:uid="{00000000-0005-0000-0000-0000C4950000}"/>
    <cellStyle name="Normal 93 3 2" xfId="38321" xr:uid="{00000000-0005-0000-0000-0000C5950000}"/>
    <cellStyle name="Normal 93 3 3" xfId="38322" xr:uid="{00000000-0005-0000-0000-0000C6950000}"/>
    <cellStyle name="Normal 93 4" xfId="38323" xr:uid="{00000000-0005-0000-0000-0000C7950000}"/>
    <cellStyle name="Normal 93 5" xfId="38324" xr:uid="{00000000-0005-0000-0000-0000C8950000}"/>
    <cellStyle name="Normal 93 6" xfId="38325" xr:uid="{00000000-0005-0000-0000-0000C9950000}"/>
    <cellStyle name="Normal 93 7" xfId="39208" xr:uid="{00000000-0005-0000-0000-0000CA950000}"/>
    <cellStyle name="Normal 94" xfId="38326" xr:uid="{00000000-0005-0000-0000-0000CB950000}"/>
    <cellStyle name="Normal 94 2" xfId="38327" xr:uid="{00000000-0005-0000-0000-0000CC950000}"/>
    <cellStyle name="Normal 94 2 2" xfId="38328" xr:uid="{00000000-0005-0000-0000-0000CD950000}"/>
    <cellStyle name="Normal 94 2 2 2" xfId="38329" xr:uid="{00000000-0005-0000-0000-0000CE950000}"/>
    <cellStyle name="Normal 94 2 2 3" xfId="38330" xr:uid="{00000000-0005-0000-0000-0000CF950000}"/>
    <cellStyle name="Normal 94 2 3" xfId="38331" xr:uid="{00000000-0005-0000-0000-0000D0950000}"/>
    <cellStyle name="Normal 94 2 4" xfId="38332" xr:uid="{00000000-0005-0000-0000-0000D1950000}"/>
    <cellStyle name="Normal 94 3" xfId="38333" xr:uid="{00000000-0005-0000-0000-0000D2950000}"/>
    <cellStyle name="Normal 94 3 2" xfId="38334" xr:uid="{00000000-0005-0000-0000-0000D3950000}"/>
    <cellStyle name="Normal 94 3 3" xfId="38335" xr:uid="{00000000-0005-0000-0000-0000D4950000}"/>
    <cellStyle name="Normal 94 4" xfId="38336" xr:uid="{00000000-0005-0000-0000-0000D5950000}"/>
    <cellStyle name="Normal 94 5" xfId="38337" xr:uid="{00000000-0005-0000-0000-0000D6950000}"/>
    <cellStyle name="Normal 94 6" xfId="38338" xr:uid="{00000000-0005-0000-0000-0000D7950000}"/>
    <cellStyle name="Normal 95" xfId="38339" xr:uid="{00000000-0005-0000-0000-0000D8950000}"/>
    <cellStyle name="Normal 95 2" xfId="38340" xr:uid="{00000000-0005-0000-0000-0000D9950000}"/>
    <cellStyle name="Normal 95 2 2" xfId="38341" xr:uid="{00000000-0005-0000-0000-0000DA950000}"/>
    <cellStyle name="Normal 95 2 2 2" xfId="38342" xr:uid="{00000000-0005-0000-0000-0000DB950000}"/>
    <cellStyle name="Normal 95 2 2 3" xfId="38343" xr:uid="{00000000-0005-0000-0000-0000DC950000}"/>
    <cellStyle name="Normal 95 2 3" xfId="38344" xr:uid="{00000000-0005-0000-0000-0000DD950000}"/>
    <cellStyle name="Normal 95 2 4" xfId="38345" xr:uid="{00000000-0005-0000-0000-0000DE950000}"/>
    <cellStyle name="Normal 95 3" xfId="38346" xr:uid="{00000000-0005-0000-0000-0000DF950000}"/>
    <cellStyle name="Normal 95 3 2" xfId="38347" xr:uid="{00000000-0005-0000-0000-0000E0950000}"/>
    <cellStyle name="Normal 95 3 3" xfId="38348" xr:uid="{00000000-0005-0000-0000-0000E1950000}"/>
    <cellStyle name="Normal 95 4" xfId="38349" xr:uid="{00000000-0005-0000-0000-0000E2950000}"/>
    <cellStyle name="Normal 95 5" xfId="38350" xr:uid="{00000000-0005-0000-0000-0000E3950000}"/>
    <cellStyle name="Normal 96" xfId="38351" xr:uid="{00000000-0005-0000-0000-0000E4950000}"/>
    <cellStyle name="Normal 96 2" xfId="38352" xr:uid="{00000000-0005-0000-0000-0000E5950000}"/>
    <cellStyle name="Normal 96 2 2" xfId="38353" xr:uid="{00000000-0005-0000-0000-0000E6950000}"/>
    <cellStyle name="Normal 96 2 2 2" xfId="38354" xr:uid="{00000000-0005-0000-0000-0000E7950000}"/>
    <cellStyle name="Normal 96 2 2 3" xfId="38355" xr:uid="{00000000-0005-0000-0000-0000E8950000}"/>
    <cellStyle name="Normal 96 2 3" xfId="38356" xr:uid="{00000000-0005-0000-0000-0000E9950000}"/>
    <cellStyle name="Normal 96 2 4" xfId="38357" xr:uid="{00000000-0005-0000-0000-0000EA950000}"/>
    <cellStyle name="Normal 96 3" xfId="38358" xr:uid="{00000000-0005-0000-0000-0000EB950000}"/>
    <cellStyle name="Normal 96 3 2" xfId="38359" xr:uid="{00000000-0005-0000-0000-0000EC950000}"/>
    <cellStyle name="Normal 96 3 3" xfId="38360" xr:uid="{00000000-0005-0000-0000-0000ED950000}"/>
    <cellStyle name="Normal 96 4" xfId="38361" xr:uid="{00000000-0005-0000-0000-0000EE950000}"/>
    <cellStyle name="Normal 96 5" xfId="38362" xr:uid="{00000000-0005-0000-0000-0000EF950000}"/>
    <cellStyle name="Normal 96 6" xfId="38363" xr:uid="{00000000-0005-0000-0000-0000F0950000}"/>
    <cellStyle name="Normal 97" xfId="38364" xr:uid="{00000000-0005-0000-0000-0000F1950000}"/>
    <cellStyle name="Normal 97 2" xfId="38365" xr:uid="{00000000-0005-0000-0000-0000F2950000}"/>
    <cellStyle name="Normal 97 2 2" xfId="38366" xr:uid="{00000000-0005-0000-0000-0000F3950000}"/>
    <cellStyle name="Normal 97 2 2 2" xfId="38367" xr:uid="{00000000-0005-0000-0000-0000F4950000}"/>
    <cellStyle name="Normal 97 2 2 3" xfId="38368" xr:uid="{00000000-0005-0000-0000-0000F5950000}"/>
    <cellStyle name="Normal 97 2 3" xfId="38369" xr:uid="{00000000-0005-0000-0000-0000F6950000}"/>
    <cellStyle name="Normal 97 2 4" xfId="38370" xr:uid="{00000000-0005-0000-0000-0000F7950000}"/>
    <cellStyle name="Normal 97 3" xfId="38371" xr:uid="{00000000-0005-0000-0000-0000F8950000}"/>
    <cellStyle name="Normal 97 3 2" xfId="38372" xr:uid="{00000000-0005-0000-0000-0000F9950000}"/>
    <cellStyle name="Normal 97 3 3" xfId="38373" xr:uid="{00000000-0005-0000-0000-0000FA950000}"/>
    <cellStyle name="Normal 97 4" xfId="38374" xr:uid="{00000000-0005-0000-0000-0000FB950000}"/>
    <cellStyle name="Normal 97 5" xfId="38375" xr:uid="{00000000-0005-0000-0000-0000FC950000}"/>
    <cellStyle name="Normal 98" xfId="38376" xr:uid="{00000000-0005-0000-0000-0000FD950000}"/>
    <cellStyle name="Normal 98 2" xfId="38377" xr:uid="{00000000-0005-0000-0000-0000FE950000}"/>
    <cellStyle name="Normal 98 2 2" xfId="38378" xr:uid="{00000000-0005-0000-0000-0000FF950000}"/>
    <cellStyle name="Normal 98 2 2 2" xfId="38379" xr:uid="{00000000-0005-0000-0000-000000960000}"/>
    <cellStyle name="Normal 98 2 2 3" xfId="38380" xr:uid="{00000000-0005-0000-0000-000001960000}"/>
    <cellStyle name="Normal 98 2 3" xfId="38381" xr:uid="{00000000-0005-0000-0000-000002960000}"/>
    <cellStyle name="Normal 98 2 4" xfId="38382" xr:uid="{00000000-0005-0000-0000-000003960000}"/>
    <cellStyle name="Normal 98 3" xfId="38383" xr:uid="{00000000-0005-0000-0000-000004960000}"/>
    <cellStyle name="Normal 98 3 2" xfId="38384" xr:uid="{00000000-0005-0000-0000-000005960000}"/>
    <cellStyle name="Normal 98 3 3" xfId="38385" xr:uid="{00000000-0005-0000-0000-000006960000}"/>
    <cellStyle name="Normal 98 4" xfId="38386" xr:uid="{00000000-0005-0000-0000-000007960000}"/>
    <cellStyle name="Normal 98 5" xfId="38387" xr:uid="{00000000-0005-0000-0000-000008960000}"/>
    <cellStyle name="Normal 99" xfId="38388" xr:uid="{00000000-0005-0000-0000-000009960000}"/>
    <cellStyle name="Normal 99 2" xfId="38389" xr:uid="{00000000-0005-0000-0000-00000A960000}"/>
    <cellStyle name="Normal 99 2 2" xfId="38390" xr:uid="{00000000-0005-0000-0000-00000B960000}"/>
    <cellStyle name="Normal 99 2 2 2" xfId="38391" xr:uid="{00000000-0005-0000-0000-00000C960000}"/>
    <cellStyle name="Normal 99 2 2 3" xfId="38392" xr:uid="{00000000-0005-0000-0000-00000D960000}"/>
    <cellStyle name="Normal 99 2 3" xfId="38393" xr:uid="{00000000-0005-0000-0000-00000E960000}"/>
    <cellStyle name="Normal 99 2 4" xfId="38394" xr:uid="{00000000-0005-0000-0000-00000F960000}"/>
    <cellStyle name="Normal 99 3" xfId="38395" xr:uid="{00000000-0005-0000-0000-000010960000}"/>
    <cellStyle name="Normal 99 3 2" xfId="38396" xr:uid="{00000000-0005-0000-0000-000011960000}"/>
    <cellStyle name="Normal 99 3 3" xfId="38397" xr:uid="{00000000-0005-0000-0000-000012960000}"/>
    <cellStyle name="Normal 99 4" xfId="38398" xr:uid="{00000000-0005-0000-0000-000013960000}"/>
    <cellStyle name="Normal 99 5" xfId="38399" xr:uid="{00000000-0005-0000-0000-000014960000}"/>
    <cellStyle name="Normal 99 6" xfId="38400" xr:uid="{00000000-0005-0000-0000-000015960000}"/>
    <cellStyle name="Notas 10" xfId="38401" xr:uid="{00000000-0005-0000-0000-000016960000}"/>
    <cellStyle name="Notas 2" xfId="38402" xr:uid="{00000000-0005-0000-0000-000017960000}"/>
    <cellStyle name="Notas 2 2" xfId="38403" xr:uid="{00000000-0005-0000-0000-000018960000}"/>
    <cellStyle name="Notas 2 2 2" xfId="38404" xr:uid="{00000000-0005-0000-0000-000019960000}"/>
    <cellStyle name="Notas 2 2 2 2" xfId="38405" xr:uid="{00000000-0005-0000-0000-00001A960000}"/>
    <cellStyle name="Notas 2 2 2 2 2" xfId="38406" xr:uid="{00000000-0005-0000-0000-00001B960000}"/>
    <cellStyle name="Notas 2 2 2 2 2 2" xfId="38407" xr:uid="{00000000-0005-0000-0000-00001C960000}"/>
    <cellStyle name="Notas 2 2 2 2 2 2 2" xfId="38408" xr:uid="{00000000-0005-0000-0000-00001D960000}"/>
    <cellStyle name="Notas 2 2 2 2 2 2 3" xfId="38409" xr:uid="{00000000-0005-0000-0000-00001E960000}"/>
    <cellStyle name="Notas 2 2 2 2 2 3" xfId="38410" xr:uid="{00000000-0005-0000-0000-00001F960000}"/>
    <cellStyle name="Notas 2 2 2 2 2 4" xfId="38411" xr:uid="{00000000-0005-0000-0000-000020960000}"/>
    <cellStyle name="Notas 2 2 2 2 3" xfId="38412" xr:uid="{00000000-0005-0000-0000-000021960000}"/>
    <cellStyle name="Notas 2 2 2 2 3 2" xfId="38413" xr:uid="{00000000-0005-0000-0000-000022960000}"/>
    <cellStyle name="Notas 2 2 2 2 3 3" xfId="38414" xr:uid="{00000000-0005-0000-0000-000023960000}"/>
    <cellStyle name="Notas 2 2 2 2 4" xfId="38415" xr:uid="{00000000-0005-0000-0000-000024960000}"/>
    <cellStyle name="Notas 2 2 2 2 5" xfId="38416" xr:uid="{00000000-0005-0000-0000-000025960000}"/>
    <cellStyle name="Notas 2 2 2 3" xfId="38417" xr:uid="{00000000-0005-0000-0000-000026960000}"/>
    <cellStyle name="Notas 2 2 2 3 2" xfId="38418" xr:uid="{00000000-0005-0000-0000-000027960000}"/>
    <cellStyle name="Notas 2 2 2 3 3" xfId="38419" xr:uid="{00000000-0005-0000-0000-000028960000}"/>
    <cellStyle name="Notas 2 2 2 4" xfId="38420" xr:uid="{00000000-0005-0000-0000-000029960000}"/>
    <cellStyle name="Notas 2 2 2 5" xfId="38421" xr:uid="{00000000-0005-0000-0000-00002A960000}"/>
    <cellStyle name="Notas 2 2 3" xfId="38422" xr:uid="{00000000-0005-0000-0000-00002B960000}"/>
    <cellStyle name="Notas 2 2 3 2" xfId="38423" xr:uid="{00000000-0005-0000-0000-00002C960000}"/>
    <cellStyle name="Notas 2 2 3 2 2" xfId="38424" xr:uid="{00000000-0005-0000-0000-00002D960000}"/>
    <cellStyle name="Notas 2 2 3 2 3" xfId="38425" xr:uid="{00000000-0005-0000-0000-00002E960000}"/>
    <cellStyle name="Notas 2 2 3 3" xfId="38426" xr:uid="{00000000-0005-0000-0000-00002F960000}"/>
    <cellStyle name="Notas 2 2 3 4" xfId="38427" xr:uid="{00000000-0005-0000-0000-000030960000}"/>
    <cellStyle name="Notas 2 2 4" xfId="38428" xr:uid="{00000000-0005-0000-0000-000031960000}"/>
    <cellStyle name="Notas 2 2 4 2" xfId="38429" xr:uid="{00000000-0005-0000-0000-000032960000}"/>
    <cellStyle name="Notas 2 2 4 2 2" xfId="38430" xr:uid="{00000000-0005-0000-0000-000033960000}"/>
    <cellStyle name="Notas 2 2 4 2 3" xfId="38431" xr:uid="{00000000-0005-0000-0000-000034960000}"/>
    <cellStyle name="Notas 2 2 4 3" xfId="38432" xr:uid="{00000000-0005-0000-0000-000035960000}"/>
    <cellStyle name="Notas 2 2 4 4" xfId="38433" xr:uid="{00000000-0005-0000-0000-000036960000}"/>
    <cellStyle name="Notas 2 2 5" xfId="38434" xr:uid="{00000000-0005-0000-0000-000037960000}"/>
    <cellStyle name="Notas 2 2 5 2" xfId="38435" xr:uid="{00000000-0005-0000-0000-000038960000}"/>
    <cellStyle name="Notas 2 2 5 3" xfId="38436" xr:uid="{00000000-0005-0000-0000-000039960000}"/>
    <cellStyle name="Notas 2 2 6" xfId="38437" xr:uid="{00000000-0005-0000-0000-00003A960000}"/>
    <cellStyle name="Notas 2 2 7" xfId="38438" xr:uid="{00000000-0005-0000-0000-00003B960000}"/>
    <cellStyle name="Notas 2 3" xfId="38439" xr:uid="{00000000-0005-0000-0000-00003C960000}"/>
    <cellStyle name="Notas 2 3 2" xfId="38440" xr:uid="{00000000-0005-0000-0000-00003D960000}"/>
    <cellStyle name="Notas 2 3 2 2" xfId="38441" xr:uid="{00000000-0005-0000-0000-00003E960000}"/>
    <cellStyle name="Notas 2 3 2 3" xfId="38442" xr:uid="{00000000-0005-0000-0000-00003F960000}"/>
    <cellStyle name="Notas 2 3 3" xfId="38443" xr:uid="{00000000-0005-0000-0000-000040960000}"/>
    <cellStyle name="Notas 2 3 4" xfId="38444" xr:uid="{00000000-0005-0000-0000-000041960000}"/>
    <cellStyle name="Notas 2 4" xfId="38445" xr:uid="{00000000-0005-0000-0000-000042960000}"/>
    <cellStyle name="Notas 2 4 2" xfId="38446" xr:uid="{00000000-0005-0000-0000-000043960000}"/>
    <cellStyle name="Notas 2 4 2 2" xfId="38447" xr:uid="{00000000-0005-0000-0000-000044960000}"/>
    <cellStyle name="Notas 2 4 2 3" xfId="38448" xr:uid="{00000000-0005-0000-0000-000045960000}"/>
    <cellStyle name="Notas 2 4 3" xfId="38449" xr:uid="{00000000-0005-0000-0000-000046960000}"/>
    <cellStyle name="Notas 2 4 4" xfId="38450" xr:uid="{00000000-0005-0000-0000-000047960000}"/>
    <cellStyle name="Notas 2 5" xfId="38451" xr:uid="{00000000-0005-0000-0000-000048960000}"/>
    <cellStyle name="Notas 2 5 2" xfId="38452" xr:uid="{00000000-0005-0000-0000-000049960000}"/>
    <cellStyle name="Notas 2 5 2 2" xfId="38453" xr:uid="{00000000-0005-0000-0000-00004A960000}"/>
    <cellStyle name="Notas 2 5 2 3" xfId="38454" xr:uid="{00000000-0005-0000-0000-00004B960000}"/>
    <cellStyle name="Notas 2 5 3" xfId="38455" xr:uid="{00000000-0005-0000-0000-00004C960000}"/>
    <cellStyle name="Notas 2 5 4" xfId="38456" xr:uid="{00000000-0005-0000-0000-00004D960000}"/>
    <cellStyle name="Notas 2 6" xfId="38457" xr:uid="{00000000-0005-0000-0000-00004E960000}"/>
    <cellStyle name="Notas 2 6 2" xfId="38458" xr:uid="{00000000-0005-0000-0000-00004F960000}"/>
    <cellStyle name="Notas 2 6 3" xfId="38459" xr:uid="{00000000-0005-0000-0000-000050960000}"/>
    <cellStyle name="Notas 2 7" xfId="38460" xr:uid="{00000000-0005-0000-0000-000051960000}"/>
    <cellStyle name="Notas 2 8" xfId="38461" xr:uid="{00000000-0005-0000-0000-000052960000}"/>
    <cellStyle name="Notas 3" xfId="38462" xr:uid="{00000000-0005-0000-0000-000053960000}"/>
    <cellStyle name="Notas 3 2" xfId="38463" xr:uid="{00000000-0005-0000-0000-000054960000}"/>
    <cellStyle name="Notas 3 2 2" xfId="38464" xr:uid="{00000000-0005-0000-0000-000055960000}"/>
    <cellStyle name="Notas 3 2 2 2" xfId="38465" xr:uid="{00000000-0005-0000-0000-000056960000}"/>
    <cellStyle name="Notas 3 2 2 3" xfId="38466" xr:uid="{00000000-0005-0000-0000-000057960000}"/>
    <cellStyle name="Notas 3 2 3" xfId="38467" xr:uid="{00000000-0005-0000-0000-000058960000}"/>
    <cellStyle name="Notas 3 2 4" xfId="38468" xr:uid="{00000000-0005-0000-0000-000059960000}"/>
    <cellStyle name="Notas 3 2 5" xfId="38469" xr:uid="{00000000-0005-0000-0000-00005A960000}"/>
    <cellStyle name="Notas 3 3" xfId="38470" xr:uid="{00000000-0005-0000-0000-00005B960000}"/>
    <cellStyle name="Notas 3 3 2" xfId="38471" xr:uid="{00000000-0005-0000-0000-00005C960000}"/>
    <cellStyle name="Notas 3 3 3" xfId="38472" xr:uid="{00000000-0005-0000-0000-00005D960000}"/>
    <cellStyle name="Notas 3 4" xfId="38473" xr:uid="{00000000-0005-0000-0000-00005E960000}"/>
    <cellStyle name="Notas 3 5" xfId="38474" xr:uid="{00000000-0005-0000-0000-00005F960000}"/>
    <cellStyle name="Notas 4" xfId="38475" xr:uid="{00000000-0005-0000-0000-000060960000}"/>
    <cellStyle name="Notas 4 2" xfId="38476" xr:uid="{00000000-0005-0000-0000-000061960000}"/>
    <cellStyle name="Notas 4 2 2" xfId="38477" xr:uid="{00000000-0005-0000-0000-000062960000}"/>
    <cellStyle name="Notas 4 2 3" xfId="38478" xr:uid="{00000000-0005-0000-0000-000063960000}"/>
    <cellStyle name="Notas 4 3" xfId="38479" xr:uid="{00000000-0005-0000-0000-000064960000}"/>
    <cellStyle name="Notas 4 4" xfId="38480" xr:uid="{00000000-0005-0000-0000-000065960000}"/>
    <cellStyle name="Notas 5" xfId="38481" xr:uid="{00000000-0005-0000-0000-000066960000}"/>
    <cellStyle name="Notas 5 2" xfId="38482" xr:uid="{00000000-0005-0000-0000-000067960000}"/>
    <cellStyle name="Notas 5 2 2" xfId="38483" xr:uid="{00000000-0005-0000-0000-000068960000}"/>
    <cellStyle name="Notas 5 2 3" xfId="38484" xr:uid="{00000000-0005-0000-0000-000069960000}"/>
    <cellStyle name="Notas 5 3" xfId="38485" xr:uid="{00000000-0005-0000-0000-00006A960000}"/>
    <cellStyle name="Notas 5 4" xfId="38486" xr:uid="{00000000-0005-0000-0000-00006B960000}"/>
    <cellStyle name="Notas 6" xfId="38487" xr:uid="{00000000-0005-0000-0000-00006C960000}"/>
    <cellStyle name="Notas 6 2" xfId="38488" xr:uid="{00000000-0005-0000-0000-00006D960000}"/>
    <cellStyle name="Notas 6 2 2" xfId="38489" xr:uid="{00000000-0005-0000-0000-00006E960000}"/>
    <cellStyle name="Notas 6 2 3" xfId="38490" xr:uid="{00000000-0005-0000-0000-00006F960000}"/>
    <cellStyle name="Notas 6 3" xfId="38491" xr:uid="{00000000-0005-0000-0000-000070960000}"/>
    <cellStyle name="Notas 6 4" xfId="38492" xr:uid="{00000000-0005-0000-0000-000071960000}"/>
    <cellStyle name="Notas 7" xfId="38493" xr:uid="{00000000-0005-0000-0000-000072960000}"/>
    <cellStyle name="Notas 7 2" xfId="38494" xr:uid="{00000000-0005-0000-0000-000073960000}"/>
    <cellStyle name="Notas 7 2 2" xfId="38495" xr:uid="{00000000-0005-0000-0000-000074960000}"/>
    <cellStyle name="Notas 7 2 3" xfId="38496" xr:uid="{00000000-0005-0000-0000-000075960000}"/>
    <cellStyle name="Notas 7 3" xfId="38497" xr:uid="{00000000-0005-0000-0000-000076960000}"/>
    <cellStyle name="Notas 7 4" xfId="38498" xr:uid="{00000000-0005-0000-0000-000077960000}"/>
    <cellStyle name="Notas 8" xfId="38499" xr:uid="{00000000-0005-0000-0000-000078960000}"/>
    <cellStyle name="Notas 8 2" xfId="38500" xr:uid="{00000000-0005-0000-0000-000079960000}"/>
    <cellStyle name="Notas 8 2 2" xfId="38501" xr:uid="{00000000-0005-0000-0000-00007A960000}"/>
    <cellStyle name="Notas 8 2 3" xfId="38502" xr:uid="{00000000-0005-0000-0000-00007B960000}"/>
    <cellStyle name="Notas 8 3" xfId="38503" xr:uid="{00000000-0005-0000-0000-00007C960000}"/>
    <cellStyle name="Notas 8 4" xfId="38504" xr:uid="{00000000-0005-0000-0000-00007D960000}"/>
    <cellStyle name="Notas 9" xfId="38505" xr:uid="{00000000-0005-0000-0000-00007E960000}"/>
    <cellStyle name="Notas 9 2" xfId="38506" xr:uid="{00000000-0005-0000-0000-00007F960000}"/>
    <cellStyle name="Notas 9 2 2" xfId="38507" xr:uid="{00000000-0005-0000-0000-000080960000}"/>
    <cellStyle name="Notas 9 2 3" xfId="38508" xr:uid="{00000000-0005-0000-0000-000081960000}"/>
    <cellStyle name="Notas 9 3" xfId="38509" xr:uid="{00000000-0005-0000-0000-000082960000}"/>
    <cellStyle name="Notas 9 4" xfId="38510" xr:uid="{00000000-0005-0000-0000-000083960000}"/>
    <cellStyle name="Note" xfId="38511" xr:uid="{00000000-0005-0000-0000-000084960000}"/>
    <cellStyle name="Note 10" xfId="38512" xr:uid="{00000000-0005-0000-0000-000085960000}"/>
    <cellStyle name="Note 11" xfId="38513" xr:uid="{00000000-0005-0000-0000-000086960000}"/>
    <cellStyle name="Note 2" xfId="38514" xr:uid="{00000000-0005-0000-0000-000087960000}"/>
    <cellStyle name="Note 2 2" xfId="38515" xr:uid="{00000000-0005-0000-0000-000088960000}"/>
    <cellStyle name="Note 2 2 2" xfId="38516" xr:uid="{00000000-0005-0000-0000-000089960000}"/>
    <cellStyle name="Note 2 2 2 2" xfId="38517" xr:uid="{00000000-0005-0000-0000-00008A960000}"/>
    <cellStyle name="Note 2 2 2 3" xfId="38518" xr:uid="{00000000-0005-0000-0000-00008B960000}"/>
    <cellStyle name="Note 2 2 3" xfId="38519" xr:uid="{00000000-0005-0000-0000-00008C960000}"/>
    <cellStyle name="Note 2 2 4" xfId="38520" xr:uid="{00000000-0005-0000-0000-00008D960000}"/>
    <cellStyle name="Note 2 3" xfId="38521" xr:uid="{00000000-0005-0000-0000-00008E960000}"/>
    <cellStyle name="Note 2 3 2" xfId="38522" xr:uid="{00000000-0005-0000-0000-00008F960000}"/>
    <cellStyle name="Note 2 3 2 2" xfId="38523" xr:uid="{00000000-0005-0000-0000-000090960000}"/>
    <cellStyle name="Note 2 3 2 3" xfId="38524" xr:uid="{00000000-0005-0000-0000-000091960000}"/>
    <cellStyle name="Note 2 3 3" xfId="38525" xr:uid="{00000000-0005-0000-0000-000092960000}"/>
    <cellStyle name="Note 2 3 4" xfId="38526" xr:uid="{00000000-0005-0000-0000-000093960000}"/>
    <cellStyle name="Note 2 4" xfId="38527" xr:uid="{00000000-0005-0000-0000-000094960000}"/>
    <cellStyle name="Note 2 4 2" xfId="38528" xr:uid="{00000000-0005-0000-0000-000095960000}"/>
    <cellStyle name="Note 2 4 2 2" xfId="38529" xr:uid="{00000000-0005-0000-0000-000096960000}"/>
    <cellStyle name="Note 2 4 2 3" xfId="38530" xr:uid="{00000000-0005-0000-0000-000097960000}"/>
    <cellStyle name="Note 2 4 3" xfId="38531" xr:uid="{00000000-0005-0000-0000-000098960000}"/>
    <cellStyle name="Note 2 4 4" xfId="38532" xr:uid="{00000000-0005-0000-0000-000099960000}"/>
    <cellStyle name="Note 2 5" xfId="38533" xr:uid="{00000000-0005-0000-0000-00009A960000}"/>
    <cellStyle name="Note 2 5 2" xfId="38534" xr:uid="{00000000-0005-0000-0000-00009B960000}"/>
    <cellStyle name="Note 2 5 3" xfId="38535" xr:uid="{00000000-0005-0000-0000-00009C960000}"/>
    <cellStyle name="Note 2 6" xfId="38536" xr:uid="{00000000-0005-0000-0000-00009D960000}"/>
    <cellStyle name="Note 2 7" xfId="38537" xr:uid="{00000000-0005-0000-0000-00009E960000}"/>
    <cellStyle name="Note 3" xfId="38538" xr:uid="{00000000-0005-0000-0000-00009F960000}"/>
    <cellStyle name="Note 3 2" xfId="38539" xr:uid="{00000000-0005-0000-0000-0000A0960000}"/>
    <cellStyle name="Note 3 2 2" xfId="38540" xr:uid="{00000000-0005-0000-0000-0000A1960000}"/>
    <cellStyle name="Note 3 2 2 2" xfId="38541" xr:uid="{00000000-0005-0000-0000-0000A2960000}"/>
    <cellStyle name="Note 3 2 2 3" xfId="38542" xr:uid="{00000000-0005-0000-0000-0000A3960000}"/>
    <cellStyle name="Note 3 2 3" xfId="38543" xr:uid="{00000000-0005-0000-0000-0000A4960000}"/>
    <cellStyle name="Note 3 2 4" xfId="38544" xr:uid="{00000000-0005-0000-0000-0000A5960000}"/>
    <cellStyle name="Note 3 3" xfId="38545" xr:uid="{00000000-0005-0000-0000-0000A6960000}"/>
    <cellStyle name="Note 3 3 2" xfId="38546" xr:uid="{00000000-0005-0000-0000-0000A7960000}"/>
    <cellStyle name="Note 3 3 2 2" xfId="38547" xr:uid="{00000000-0005-0000-0000-0000A8960000}"/>
    <cellStyle name="Note 3 3 2 3" xfId="38548" xr:uid="{00000000-0005-0000-0000-0000A9960000}"/>
    <cellStyle name="Note 3 3 3" xfId="38549" xr:uid="{00000000-0005-0000-0000-0000AA960000}"/>
    <cellStyle name="Note 3 3 4" xfId="38550" xr:uid="{00000000-0005-0000-0000-0000AB960000}"/>
    <cellStyle name="Note 3 4" xfId="38551" xr:uid="{00000000-0005-0000-0000-0000AC960000}"/>
    <cellStyle name="Note 3 4 2" xfId="38552" xr:uid="{00000000-0005-0000-0000-0000AD960000}"/>
    <cellStyle name="Note 3 4 2 2" xfId="38553" xr:uid="{00000000-0005-0000-0000-0000AE960000}"/>
    <cellStyle name="Note 3 4 2 3" xfId="38554" xr:uid="{00000000-0005-0000-0000-0000AF960000}"/>
    <cellStyle name="Note 3 4 3" xfId="38555" xr:uid="{00000000-0005-0000-0000-0000B0960000}"/>
    <cellStyle name="Note 3 4 4" xfId="38556" xr:uid="{00000000-0005-0000-0000-0000B1960000}"/>
    <cellStyle name="Note 3 5" xfId="38557" xr:uid="{00000000-0005-0000-0000-0000B2960000}"/>
    <cellStyle name="Note 3 5 2" xfId="38558" xr:uid="{00000000-0005-0000-0000-0000B3960000}"/>
    <cellStyle name="Note 3 5 3" xfId="38559" xr:uid="{00000000-0005-0000-0000-0000B4960000}"/>
    <cellStyle name="Note 3 6" xfId="38560" xr:uid="{00000000-0005-0000-0000-0000B5960000}"/>
    <cellStyle name="Note 3 7" xfId="38561" xr:uid="{00000000-0005-0000-0000-0000B6960000}"/>
    <cellStyle name="Note 4" xfId="38562" xr:uid="{00000000-0005-0000-0000-0000B7960000}"/>
    <cellStyle name="Note 4 2" xfId="38563" xr:uid="{00000000-0005-0000-0000-0000B8960000}"/>
    <cellStyle name="Note 4 2 2" xfId="38564" xr:uid="{00000000-0005-0000-0000-0000B9960000}"/>
    <cellStyle name="Note 4 2 2 2" xfId="38565" xr:uid="{00000000-0005-0000-0000-0000BA960000}"/>
    <cellStyle name="Note 4 2 2 3" xfId="38566" xr:uid="{00000000-0005-0000-0000-0000BB960000}"/>
    <cellStyle name="Note 4 2 3" xfId="38567" xr:uid="{00000000-0005-0000-0000-0000BC960000}"/>
    <cellStyle name="Note 4 2 4" xfId="38568" xr:uid="{00000000-0005-0000-0000-0000BD960000}"/>
    <cellStyle name="Note 4 3" xfId="38569" xr:uid="{00000000-0005-0000-0000-0000BE960000}"/>
    <cellStyle name="Note 4 3 2" xfId="38570" xr:uid="{00000000-0005-0000-0000-0000BF960000}"/>
    <cellStyle name="Note 4 3 2 2" xfId="38571" xr:uid="{00000000-0005-0000-0000-0000C0960000}"/>
    <cellStyle name="Note 4 3 2 3" xfId="38572" xr:uid="{00000000-0005-0000-0000-0000C1960000}"/>
    <cellStyle name="Note 4 3 3" xfId="38573" xr:uid="{00000000-0005-0000-0000-0000C2960000}"/>
    <cellStyle name="Note 4 3 4" xfId="38574" xr:uid="{00000000-0005-0000-0000-0000C3960000}"/>
    <cellStyle name="Note 4 4" xfId="38575" xr:uid="{00000000-0005-0000-0000-0000C4960000}"/>
    <cellStyle name="Note 4 4 2" xfId="38576" xr:uid="{00000000-0005-0000-0000-0000C5960000}"/>
    <cellStyle name="Note 4 4 2 2" xfId="38577" xr:uid="{00000000-0005-0000-0000-0000C6960000}"/>
    <cellStyle name="Note 4 4 2 3" xfId="38578" xr:uid="{00000000-0005-0000-0000-0000C7960000}"/>
    <cellStyle name="Note 4 4 3" xfId="38579" xr:uid="{00000000-0005-0000-0000-0000C8960000}"/>
    <cellStyle name="Note 4 4 4" xfId="38580" xr:uid="{00000000-0005-0000-0000-0000C9960000}"/>
    <cellStyle name="Note 4 5" xfId="38581" xr:uid="{00000000-0005-0000-0000-0000CA960000}"/>
    <cellStyle name="Note 4 5 2" xfId="38582" xr:uid="{00000000-0005-0000-0000-0000CB960000}"/>
    <cellStyle name="Note 4 5 3" xfId="38583" xr:uid="{00000000-0005-0000-0000-0000CC960000}"/>
    <cellStyle name="Note 4 6" xfId="38584" xr:uid="{00000000-0005-0000-0000-0000CD960000}"/>
    <cellStyle name="Note 4 7" xfId="38585" xr:uid="{00000000-0005-0000-0000-0000CE960000}"/>
    <cellStyle name="Note 5" xfId="38586" xr:uid="{00000000-0005-0000-0000-0000CF960000}"/>
    <cellStyle name="Note 5 2" xfId="38587" xr:uid="{00000000-0005-0000-0000-0000D0960000}"/>
    <cellStyle name="Note 5 2 2" xfId="38588" xr:uid="{00000000-0005-0000-0000-0000D1960000}"/>
    <cellStyle name="Note 5 2 2 2" xfId="38589" xr:uid="{00000000-0005-0000-0000-0000D2960000}"/>
    <cellStyle name="Note 5 2 2 3" xfId="38590" xr:uid="{00000000-0005-0000-0000-0000D3960000}"/>
    <cellStyle name="Note 5 2 3" xfId="38591" xr:uid="{00000000-0005-0000-0000-0000D4960000}"/>
    <cellStyle name="Note 5 2 4" xfId="38592" xr:uid="{00000000-0005-0000-0000-0000D5960000}"/>
    <cellStyle name="Note 5 3" xfId="38593" xr:uid="{00000000-0005-0000-0000-0000D6960000}"/>
    <cellStyle name="Note 5 3 2" xfId="38594" xr:uid="{00000000-0005-0000-0000-0000D7960000}"/>
    <cellStyle name="Note 5 3 2 2" xfId="38595" xr:uid="{00000000-0005-0000-0000-0000D8960000}"/>
    <cellStyle name="Note 5 3 2 3" xfId="38596" xr:uid="{00000000-0005-0000-0000-0000D9960000}"/>
    <cellStyle name="Note 5 3 3" xfId="38597" xr:uid="{00000000-0005-0000-0000-0000DA960000}"/>
    <cellStyle name="Note 5 3 4" xfId="38598" xr:uid="{00000000-0005-0000-0000-0000DB960000}"/>
    <cellStyle name="Note 5 4" xfId="38599" xr:uid="{00000000-0005-0000-0000-0000DC960000}"/>
    <cellStyle name="Note 5 4 2" xfId="38600" xr:uid="{00000000-0005-0000-0000-0000DD960000}"/>
    <cellStyle name="Note 5 4 2 2" xfId="38601" xr:uid="{00000000-0005-0000-0000-0000DE960000}"/>
    <cellStyle name="Note 5 4 2 3" xfId="38602" xr:uid="{00000000-0005-0000-0000-0000DF960000}"/>
    <cellStyle name="Note 5 4 3" xfId="38603" xr:uid="{00000000-0005-0000-0000-0000E0960000}"/>
    <cellStyle name="Note 5 4 4" xfId="38604" xr:uid="{00000000-0005-0000-0000-0000E1960000}"/>
    <cellStyle name="Note 5 5" xfId="38605" xr:uid="{00000000-0005-0000-0000-0000E2960000}"/>
    <cellStyle name="Note 5 5 2" xfId="38606" xr:uid="{00000000-0005-0000-0000-0000E3960000}"/>
    <cellStyle name="Note 5 5 3" xfId="38607" xr:uid="{00000000-0005-0000-0000-0000E4960000}"/>
    <cellStyle name="Note 5 6" xfId="38608" xr:uid="{00000000-0005-0000-0000-0000E5960000}"/>
    <cellStyle name="Note 5 7" xfId="38609" xr:uid="{00000000-0005-0000-0000-0000E6960000}"/>
    <cellStyle name="Note 6" xfId="38610" xr:uid="{00000000-0005-0000-0000-0000E7960000}"/>
    <cellStyle name="Note 6 2" xfId="38611" xr:uid="{00000000-0005-0000-0000-0000E8960000}"/>
    <cellStyle name="Note 6 2 2" xfId="38612" xr:uid="{00000000-0005-0000-0000-0000E9960000}"/>
    <cellStyle name="Note 6 2 3" xfId="38613" xr:uid="{00000000-0005-0000-0000-0000EA960000}"/>
    <cellStyle name="Note 6 3" xfId="38614" xr:uid="{00000000-0005-0000-0000-0000EB960000}"/>
    <cellStyle name="Note 6 4" xfId="38615" xr:uid="{00000000-0005-0000-0000-0000EC960000}"/>
    <cellStyle name="Note 7" xfId="38616" xr:uid="{00000000-0005-0000-0000-0000ED960000}"/>
    <cellStyle name="Note 7 2" xfId="38617" xr:uid="{00000000-0005-0000-0000-0000EE960000}"/>
    <cellStyle name="Note 7 2 2" xfId="38618" xr:uid="{00000000-0005-0000-0000-0000EF960000}"/>
    <cellStyle name="Note 7 2 3" xfId="38619" xr:uid="{00000000-0005-0000-0000-0000F0960000}"/>
    <cellStyle name="Note 7 3" xfId="38620" xr:uid="{00000000-0005-0000-0000-0000F1960000}"/>
    <cellStyle name="Note 7 4" xfId="38621" xr:uid="{00000000-0005-0000-0000-0000F2960000}"/>
    <cellStyle name="Note 8" xfId="38622" xr:uid="{00000000-0005-0000-0000-0000F3960000}"/>
    <cellStyle name="Note 8 2" xfId="38623" xr:uid="{00000000-0005-0000-0000-0000F4960000}"/>
    <cellStyle name="Note 8 2 2" xfId="38624" xr:uid="{00000000-0005-0000-0000-0000F5960000}"/>
    <cellStyle name="Note 8 2 3" xfId="38625" xr:uid="{00000000-0005-0000-0000-0000F6960000}"/>
    <cellStyle name="Note 8 3" xfId="38626" xr:uid="{00000000-0005-0000-0000-0000F7960000}"/>
    <cellStyle name="Note 8 4" xfId="38627" xr:uid="{00000000-0005-0000-0000-0000F8960000}"/>
    <cellStyle name="Note 9" xfId="38628" xr:uid="{00000000-0005-0000-0000-0000F9960000}"/>
    <cellStyle name="Note 9 2" xfId="38629" xr:uid="{00000000-0005-0000-0000-0000FA960000}"/>
    <cellStyle name="Note 9 3" xfId="38630" xr:uid="{00000000-0005-0000-0000-0000FB960000}"/>
    <cellStyle name="Output" xfId="38631" xr:uid="{00000000-0005-0000-0000-0000FC960000}"/>
    <cellStyle name="Output 2" xfId="38632" xr:uid="{00000000-0005-0000-0000-0000FD960000}"/>
    <cellStyle name="Output 2 2" xfId="38633" xr:uid="{00000000-0005-0000-0000-0000FE960000}"/>
    <cellStyle name="Output 2 2 2" xfId="38634" xr:uid="{00000000-0005-0000-0000-0000FF960000}"/>
    <cellStyle name="Output 2 2 3" xfId="38635" xr:uid="{00000000-0005-0000-0000-000000970000}"/>
    <cellStyle name="Output 2 3" xfId="38636" xr:uid="{00000000-0005-0000-0000-000001970000}"/>
    <cellStyle name="Output 2 4" xfId="38637" xr:uid="{00000000-0005-0000-0000-000002970000}"/>
    <cellStyle name="Output 3" xfId="38638" xr:uid="{00000000-0005-0000-0000-000003970000}"/>
    <cellStyle name="Output 3 2" xfId="38639" xr:uid="{00000000-0005-0000-0000-000004970000}"/>
    <cellStyle name="Output 3 2 2" xfId="38640" xr:uid="{00000000-0005-0000-0000-000005970000}"/>
    <cellStyle name="Output 3 2 3" xfId="38641" xr:uid="{00000000-0005-0000-0000-000006970000}"/>
    <cellStyle name="Output 3 3" xfId="38642" xr:uid="{00000000-0005-0000-0000-000007970000}"/>
    <cellStyle name="Output 3 4" xfId="38643" xr:uid="{00000000-0005-0000-0000-000008970000}"/>
    <cellStyle name="Output 4" xfId="38644" xr:uid="{00000000-0005-0000-0000-000009970000}"/>
    <cellStyle name="Output 4 2" xfId="38645" xr:uid="{00000000-0005-0000-0000-00000A970000}"/>
    <cellStyle name="Output 4 2 2" xfId="38646" xr:uid="{00000000-0005-0000-0000-00000B970000}"/>
    <cellStyle name="Output 4 2 3" xfId="38647" xr:uid="{00000000-0005-0000-0000-00000C970000}"/>
    <cellStyle name="Output 4 3" xfId="38648" xr:uid="{00000000-0005-0000-0000-00000D970000}"/>
    <cellStyle name="Output 4 4" xfId="38649" xr:uid="{00000000-0005-0000-0000-00000E970000}"/>
    <cellStyle name="Output 5" xfId="38650" xr:uid="{00000000-0005-0000-0000-00000F970000}"/>
    <cellStyle name="Output 5 2" xfId="38651" xr:uid="{00000000-0005-0000-0000-000010970000}"/>
    <cellStyle name="Output 5 2 2" xfId="38652" xr:uid="{00000000-0005-0000-0000-000011970000}"/>
    <cellStyle name="Output 5 2 3" xfId="38653" xr:uid="{00000000-0005-0000-0000-000012970000}"/>
    <cellStyle name="Output 5 3" xfId="38654" xr:uid="{00000000-0005-0000-0000-000013970000}"/>
    <cellStyle name="Output 5 4" xfId="38655" xr:uid="{00000000-0005-0000-0000-000014970000}"/>
    <cellStyle name="Output 6" xfId="38656" xr:uid="{00000000-0005-0000-0000-000015970000}"/>
    <cellStyle name="Output 6 2" xfId="38657" xr:uid="{00000000-0005-0000-0000-000016970000}"/>
    <cellStyle name="Output 6 3" xfId="38658" xr:uid="{00000000-0005-0000-0000-000017970000}"/>
    <cellStyle name="Output 7" xfId="38659" xr:uid="{00000000-0005-0000-0000-000018970000}"/>
    <cellStyle name="Output 8" xfId="38660" xr:uid="{00000000-0005-0000-0000-000019970000}"/>
    <cellStyle name="Porcentaje 2" xfId="38661" xr:uid="{00000000-0005-0000-0000-00001A970000}"/>
    <cellStyle name="Porcentual 2" xfId="38662" xr:uid="{00000000-0005-0000-0000-00001B970000}"/>
    <cellStyle name="Porcentual 2 2" xfId="38663" xr:uid="{00000000-0005-0000-0000-00001C970000}"/>
    <cellStyle name="Porcentual 2 2 2" xfId="38664" xr:uid="{00000000-0005-0000-0000-00001D970000}"/>
    <cellStyle name="Porcentual 2 2 2 2" xfId="38665" xr:uid="{00000000-0005-0000-0000-00001E970000}"/>
    <cellStyle name="Porcentual 2 2 2 3" xfId="38666" xr:uid="{00000000-0005-0000-0000-00001F970000}"/>
    <cellStyle name="Porcentual 2 2 3" xfId="38667" xr:uid="{00000000-0005-0000-0000-000020970000}"/>
    <cellStyle name="Porcentual 2 2 4" xfId="38668" xr:uid="{00000000-0005-0000-0000-000021970000}"/>
    <cellStyle name="Porcentual 2 3" xfId="38669" xr:uid="{00000000-0005-0000-0000-000022970000}"/>
    <cellStyle name="Porcentual 2 3 2" xfId="38670" xr:uid="{00000000-0005-0000-0000-000023970000}"/>
    <cellStyle name="Porcentual 2 3 2 2" xfId="38671" xr:uid="{00000000-0005-0000-0000-000024970000}"/>
    <cellStyle name="Porcentual 2 3 2 3" xfId="38672" xr:uid="{00000000-0005-0000-0000-000025970000}"/>
    <cellStyle name="Porcentual 2 3 3" xfId="38673" xr:uid="{00000000-0005-0000-0000-000026970000}"/>
    <cellStyle name="Porcentual 2 3 4" xfId="38674" xr:uid="{00000000-0005-0000-0000-000027970000}"/>
    <cellStyle name="Porcentual 2 4" xfId="38675" xr:uid="{00000000-0005-0000-0000-000028970000}"/>
    <cellStyle name="Porcentual 2 4 2" xfId="38676" xr:uid="{00000000-0005-0000-0000-000029970000}"/>
    <cellStyle name="Porcentual 2 4 2 2" xfId="38677" xr:uid="{00000000-0005-0000-0000-00002A970000}"/>
    <cellStyle name="Porcentual 2 4 2 3" xfId="38678" xr:uid="{00000000-0005-0000-0000-00002B970000}"/>
    <cellStyle name="Porcentual 2 4 3" xfId="38679" xr:uid="{00000000-0005-0000-0000-00002C970000}"/>
    <cellStyle name="Porcentual 2 4 4" xfId="38680" xr:uid="{00000000-0005-0000-0000-00002D970000}"/>
    <cellStyle name="Porcentual 2 5" xfId="38681" xr:uid="{00000000-0005-0000-0000-00002E970000}"/>
    <cellStyle name="Porcentual 2 5 2" xfId="38682" xr:uid="{00000000-0005-0000-0000-00002F970000}"/>
    <cellStyle name="Porcentual 2 5 2 2" xfId="38683" xr:uid="{00000000-0005-0000-0000-000030970000}"/>
    <cellStyle name="Porcentual 2 5 2 3" xfId="38684" xr:uid="{00000000-0005-0000-0000-000031970000}"/>
    <cellStyle name="Porcentual 2 5 3" xfId="38685" xr:uid="{00000000-0005-0000-0000-000032970000}"/>
    <cellStyle name="Porcentual 2 5 4" xfId="38686" xr:uid="{00000000-0005-0000-0000-000033970000}"/>
    <cellStyle name="Salida 10" xfId="38687" xr:uid="{00000000-0005-0000-0000-000034970000}"/>
    <cellStyle name="Salida 11" xfId="38688" xr:uid="{00000000-0005-0000-0000-000035970000}"/>
    <cellStyle name="Salida 2" xfId="38689" xr:uid="{00000000-0005-0000-0000-000036970000}"/>
    <cellStyle name="Salida 2 2" xfId="38690" xr:uid="{00000000-0005-0000-0000-000037970000}"/>
    <cellStyle name="Salida 2 2 2" xfId="38691" xr:uid="{00000000-0005-0000-0000-000038970000}"/>
    <cellStyle name="Salida 2 2 3" xfId="38692" xr:uid="{00000000-0005-0000-0000-000039970000}"/>
    <cellStyle name="Salida 2 2 4" xfId="38693" xr:uid="{00000000-0005-0000-0000-00003A970000}"/>
    <cellStyle name="Salida 2 3" xfId="38694" xr:uid="{00000000-0005-0000-0000-00003B970000}"/>
    <cellStyle name="Salida 2 4" xfId="38695" xr:uid="{00000000-0005-0000-0000-00003C970000}"/>
    <cellStyle name="Salida 3" xfId="38696" xr:uid="{00000000-0005-0000-0000-00003D970000}"/>
    <cellStyle name="Salida 3 2" xfId="38697" xr:uid="{00000000-0005-0000-0000-00003E970000}"/>
    <cellStyle name="Salida 3 2 2" xfId="38698" xr:uid="{00000000-0005-0000-0000-00003F970000}"/>
    <cellStyle name="Salida 3 2 3" xfId="38699" xr:uid="{00000000-0005-0000-0000-000040970000}"/>
    <cellStyle name="Salida 3 3" xfId="38700" xr:uid="{00000000-0005-0000-0000-000041970000}"/>
    <cellStyle name="Salida 3 4" xfId="38701" xr:uid="{00000000-0005-0000-0000-000042970000}"/>
    <cellStyle name="Salida 4" xfId="38702" xr:uid="{00000000-0005-0000-0000-000043970000}"/>
    <cellStyle name="Salida 4 2" xfId="38703" xr:uid="{00000000-0005-0000-0000-000044970000}"/>
    <cellStyle name="Salida 4 2 2" xfId="38704" xr:uid="{00000000-0005-0000-0000-000045970000}"/>
    <cellStyle name="Salida 4 2 3" xfId="38705" xr:uid="{00000000-0005-0000-0000-000046970000}"/>
    <cellStyle name="Salida 4 3" xfId="38706" xr:uid="{00000000-0005-0000-0000-000047970000}"/>
    <cellStyle name="Salida 4 4" xfId="38707" xr:uid="{00000000-0005-0000-0000-000048970000}"/>
    <cellStyle name="Salida 5" xfId="38708" xr:uid="{00000000-0005-0000-0000-000049970000}"/>
    <cellStyle name="Salida 5 2" xfId="38709" xr:uid="{00000000-0005-0000-0000-00004A970000}"/>
    <cellStyle name="Salida 5 2 2" xfId="38710" xr:uid="{00000000-0005-0000-0000-00004B970000}"/>
    <cellStyle name="Salida 5 2 3" xfId="38711" xr:uid="{00000000-0005-0000-0000-00004C970000}"/>
    <cellStyle name="Salida 5 3" xfId="38712" xr:uid="{00000000-0005-0000-0000-00004D970000}"/>
    <cellStyle name="Salida 5 4" xfId="38713" xr:uid="{00000000-0005-0000-0000-00004E970000}"/>
    <cellStyle name="Salida 6" xfId="38714" xr:uid="{00000000-0005-0000-0000-00004F970000}"/>
    <cellStyle name="Salida 6 2" xfId="38715" xr:uid="{00000000-0005-0000-0000-000050970000}"/>
    <cellStyle name="Salida 6 2 2" xfId="38716" xr:uid="{00000000-0005-0000-0000-000051970000}"/>
    <cellStyle name="Salida 6 2 3" xfId="38717" xr:uid="{00000000-0005-0000-0000-000052970000}"/>
    <cellStyle name="Salida 6 3" xfId="38718" xr:uid="{00000000-0005-0000-0000-000053970000}"/>
    <cellStyle name="Salida 6 4" xfId="38719" xr:uid="{00000000-0005-0000-0000-000054970000}"/>
    <cellStyle name="Salida 7" xfId="38720" xr:uid="{00000000-0005-0000-0000-000055970000}"/>
    <cellStyle name="Salida 7 2" xfId="38721" xr:uid="{00000000-0005-0000-0000-000056970000}"/>
    <cellStyle name="Salida 7 2 2" xfId="38722" xr:uid="{00000000-0005-0000-0000-000057970000}"/>
    <cellStyle name="Salida 7 2 3" xfId="38723" xr:uid="{00000000-0005-0000-0000-000058970000}"/>
    <cellStyle name="Salida 7 3" xfId="38724" xr:uid="{00000000-0005-0000-0000-000059970000}"/>
    <cellStyle name="Salida 7 4" xfId="38725" xr:uid="{00000000-0005-0000-0000-00005A970000}"/>
    <cellStyle name="Salida 8" xfId="38726" xr:uid="{00000000-0005-0000-0000-00005B970000}"/>
    <cellStyle name="Salida 8 2" xfId="38727" xr:uid="{00000000-0005-0000-0000-00005C970000}"/>
    <cellStyle name="Salida 8 2 2" xfId="38728" xr:uid="{00000000-0005-0000-0000-00005D970000}"/>
    <cellStyle name="Salida 8 2 3" xfId="38729" xr:uid="{00000000-0005-0000-0000-00005E970000}"/>
    <cellStyle name="Salida 8 3" xfId="38730" xr:uid="{00000000-0005-0000-0000-00005F970000}"/>
    <cellStyle name="Salida 8 4" xfId="38731" xr:uid="{00000000-0005-0000-0000-000060970000}"/>
    <cellStyle name="Salida 9" xfId="38732" xr:uid="{00000000-0005-0000-0000-000061970000}"/>
    <cellStyle name="Salida 9 2" xfId="38733" xr:uid="{00000000-0005-0000-0000-000062970000}"/>
    <cellStyle name="Salida 9 3" xfId="38734" xr:uid="{00000000-0005-0000-0000-000063970000}"/>
    <cellStyle name="TableStyleLight1" xfId="38735" xr:uid="{00000000-0005-0000-0000-000064970000}"/>
    <cellStyle name="TableStyleLight1 2" xfId="38736" xr:uid="{00000000-0005-0000-0000-000065970000}"/>
    <cellStyle name="TableStyleLight1 2 2" xfId="38737" xr:uid="{00000000-0005-0000-0000-000066970000}"/>
    <cellStyle name="TableStyleLight1 2 3" xfId="38738" xr:uid="{00000000-0005-0000-0000-000067970000}"/>
    <cellStyle name="TableStyleLight1 3" xfId="38739" xr:uid="{00000000-0005-0000-0000-000068970000}"/>
    <cellStyle name="TableStyleLight1 4" xfId="38740" xr:uid="{00000000-0005-0000-0000-000069970000}"/>
    <cellStyle name="Texto de advertencia 10" xfId="38741" xr:uid="{00000000-0005-0000-0000-00006A970000}"/>
    <cellStyle name="Texto de advertencia 10 2" xfId="38742" xr:uid="{00000000-0005-0000-0000-00006B970000}"/>
    <cellStyle name="Texto de advertencia 10 3" xfId="38743" xr:uid="{00000000-0005-0000-0000-00006C970000}"/>
    <cellStyle name="Texto de advertencia 11" xfId="38744" xr:uid="{00000000-0005-0000-0000-00006D970000}"/>
    <cellStyle name="Texto de advertencia 12" xfId="38745" xr:uid="{00000000-0005-0000-0000-00006E970000}"/>
    <cellStyle name="Texto de advertencia 2" xfId="38746" xr:uid="{00000000-0005-0000-0000-00006F970000}"/>
    <cellStyle name="Texto de advertencia 2 2" xfId="38747" xr:uid="{00000000-0005-0000-0000-000070970000}"/>
    <cellStyle name="Texto de advertencia 2 2 2" xfId="38748" xr:uid="{00000000-0005-0000-0000-000071970000}"/>
    <cellStyle name="Texto de advertencia 2 2 2 2" xfId="38749" xr:uid="{00000000-0005-0000-0000-000072970000}"/>
    <cellStyle name="Texto de advertencia 2 2 2 2 2" xfId="38750" xr:uid="{00000000-0005-0000-0000-000073970000}"/>
    <cellStyle name="Texto de advertencia 2 2 2 2 2 2" xfId="38751" xr:uid="{00000000-0005-0000-0000-000074970000}"/>
    <cellStyle name="Texto de advertencia 2 2 2 2 2 2 2" xfId="38752" xr:uid="{00000000-0005-0000-0000-000075970000}"/>
    <cellStyle name="Texto de advertencia 2 2 2 2 2 2 3" xfId="38753" xr:uid="{00000000-0005-0000-0000-000076970000}"/>
    <cellStyle name="Texto de advertencia 2 2 2 2 2 3" xfId="38754" xr:uid="{00000000-0005-0000-0000-000077970000}"/>
    <cellStyle name="Texto de advertencia 2 2 2 2 2 4" xfId="38755" xr:uid="{00000000-0005-0000-0000-000078970000}"/>
    <cellStyle name="Texto de advertencia 2 2 2 2 3" xfId="38756" xr:uid="{00000000-0005-0000-0000-000079970000}"/>
    <cellStyle name="Texto de advertencia 2 2 2 2 3 2" xfId="38757" xr:uid="{00000000-0005-0000-0000-00007A970000}"/>
    <cellStyle name="Texto de advertencia 2 2 2 2 3 3" xfId="38758" xr:uid="{00000000-0005-0000-0000-00007B970000}"/>
    <cellStyle name="Texto de advertencia 2 2 2 2 4" xfId="38759" xr:uid="{00000000-0005-0000-0000-00007C970000}"/>
    <cellStyle name="Texto de advertencia 2 2 2 2 5" xfId="38760" xr:uid="{00000000-0005-0000-0000-00007D970000}"/>
    <cellStyle name="Texto de advertencia 2 2 2 3" xfId="38761" xr:uid="{00000000-0005-0000-0000-00007E970000}"/>
    <cellStyle name="Texto de advertencia 2 2 2 3 2" xfId="38762" xr:uid="{00000000-0005-0000-0000-00007F970000}"/>
    <cellStyle name="Texto de advertencia 2 2 2 3 3" xfId="38763" xr:uid="{00000000-0005-0000-0000-000080970000}"/>
    <cellStyle name="Texto de advertencia 2 2 2 4" xfId="38764" xr:uid="{00000000-0005-0000-0000-000081970000}"/>
    <cellStyle name="Texto de advertencia 2 2 2 5" xfId="38765" xr:uid="{00000000-0005-0000-0000-000082970000}"/>
    <cellStyle name="Texto de advertencia 2 2 3" xfId="38766" xr:uid="{00000000-0005-0000-0000-000083970000}"/>
    <cellStyle name="Texto de advertencia 2 2 3 2" xfId="38767" xr:uid="{00000000-0005-0000-0000-000084970000}"/>
    <cellStyle name="Texto de advertencia 2 2 3 2 2" xfId="38768" xr:uid="{00000000-0005-0000-0000-000085970000}"/>
    <cellStyle name="Texto de advertencia 2 2 3 2 3" xfId="38769" xr:uid="{00000000-0005-0000-0000-000086970000}"/>
    <cellStyle name="Texto de advertencia 2 2 3 3" xfId="38770" xr:uid="{00000000-0005-0000-0000-000087970000}"/>
    <cellStyle name="Texto de advertencia 2 2 3 4" xfId="38771" xr:uid="{00000000-0005-0000-0000-000088970000}"/>
    <cellStyle name="Texto de advertencia 2 2 4" xfId="38772" xr:uid="{00000000-0005-0000-0000-000089970000}"/>
    <cellStyle name="Texto de advertencia 2 2 4 2" xfId="38773" xr:uid="{00000000-0005-0000-0000-00008A970000}"/>
    <cellStyle name="Texto de advertencia 2 2 4 2 2" xfId="38774" xr:uid="{00000000-0005-0000-0000-00008B970000}"/>
    <cellStyle name="Texto de advertencia 2 2 4 2 3" xfId="38775" xr:uid="{00000000-0005-0000-0000-00008C970000}"/>
    <cellStyle name="Texto de advertencia 2 2 4 3" xfId="38776" xr:uid="{00000000-0005-0000-0000-00008D970000}"/>
    <cellStyle name="Texto de advertencia 2 2 4 4" xfId="38777" xr:uid="{00000000-0005-0000-0000-00008E970000}"/>
    <cellStyle name="Texto de advertencia 2 2 5" xfId="38778" xr:uid="{00000000-0005-0000-0000-00008F970000}"/>
    <cellStyle name="Texto de advertencia 2 2 5 2" xfId="38779" xr:uid="{00000000-0005-0000-0000-000090970000}"/>
    <cellStyle name="Texto de advertencia 2 2 5 3" xfId="38780" xr:uid="{00000000-0005-0000-0000-000091970000}"/>
    <cellStyle name="Texto de advertencia 2 2 6" xfId="38781" xr:uid="{00000000-0005-0000-0000-000092970000}"/>
    <cellStyle name="Texto de advertencia 2 2 7" xfId="38782" xr:uid="{00000000-0005-0000-0000-000093970000}"/>
    <cellStyle name="Texto de advertencia 2 3" xfId="38783" xr:uid="{00000000-0005-0000-0000-000094970000}"/>
    <cellStyle name="Texto de advertencia 2 3 2" xfId="38784" xr:uid="{00000000-0005-0000-0000-000095970000}"/>
    <cellStyle name="Texto de advertencia 2 3 2 2" xfId="38785" xr:uid="{00000000-0005-0000-0000-000096970000}"/>
    <cellStyle name="Texto de advertencia 2 3 2 3" xfId="38786" xr:uid="{00000000-0005-0000-0000-000097970000}"/>
    <cellStyle name="Texto de advertencia 2 3 3" xfId="38787" xr:uid="{00000000-0005-0000-0000-000098970000}"/>
    <cellStyle name="Texto de advertencia 2 3 4" xfId="38788" xr:uid="{00000000-0005-0000-0000-000099970000}"/>
    <cellStyle name="Texto de advertencia 2 4" xfId="38789" xr:uid="{00000000-0005-0000-0000-00009A970000}"/>
    <cellStyle name="Texto de advertencia 2 4 2" xfId="38790" xr:uid="{00000000-0005-0000-0000-00009B970000}"/>
    <cellStyle name="Texto de advertencia 2 4 2 2" xfId="38791" xr:uid="{00000000-0005-0000-0000-00009C970000}"/>
    <cellStyle name="Texto de advertencia 2 4 2 3" xfId="38792" xr:uid="{00000000-0005-0000-0000-00009D970000}"/>
    <cellStyle name="Texto de advertencia 2 4 3" xfId="38793" xr:uid="{00000000-0005-0000-0000-00009E970000}"/>
    <cellStyle name="Texto de advertencia 2 4 4" xfId="38794" xr:uid="{00000000-0005-0000-0000-00009F970000}"/>
    <cellStyle name="Texto de advertencia 2 5" xfId="38795" xr:uid="{00000000-0005-0000-0000-0000A0970000}"/>
    <cellStyle name="Texto de advertencia 2 5 2" xfId="38796" xr:uid="{00000000-0005-0000-0000-0000A1970000}"/>
    <cellStyle name="Texto de advertencia 2 5 3" xfId="38797" xr:uid="{00000000-0005-0000-0000-0000A2970000}"/>
    <cellStyle name="Texto de advertencia 2 6" xfId="38798" xr:uid="{00000000-0005-0000-0000-0000A3970000}"/>
    <cellStyle name="Texto de advertencia 2 7" xfId="38799" xr:uid="{00000000-0005-0000-0000-0000A4970000}"/>
    <cellStyle name="Texto de advertencia 3" xfId="38800" xr:uid="{00000000-0005-0000-0000-0000A5970000}"/>
    <cellStyle name="Texto de advertencia 3 2" xfId="38801" xr:uid="{00000000-0005-0000-0000-0000A6970000}"/>
    <cellStyle name="Texto de advertencia 3 2 2" xfId="38802" xr:uid="{00000000-0005-0000-0000-0000A7970000}"/>
    <cellStyle name="Texto de advertencia 3 2 3" xfId="38803" xr:uid="{00000000-0005-0000-0000-0000A8970000}"/>
    <cellStyle name="Texto de advertencia 3 3" xfId="38804" xr:uid="{00000000-0005-0000-0000-0000A9970000}"/>
    <cellStyle name="Texto de advertencia 3 4" xfId="38805" xr:uid="{00000000-0005-0000-0000-0000AA970000}"/>
    <cellStyle name="Texto de advertencia 4" xfId="38806" xr:uid="{00000000-0005-0000-0000-0000AB970000}"/>
    <cellStyle name="Texto de advertencia 4 2" xfId="38807" xr:uid="{00000000-0005-0000-0000-0000AC970000}"/>
    <cellStyle name="Texto de advertencia 4 2 2" xfId="38808" xr:uid="{00000000-0005-0000-0000-0000AD970000}"/>
    <cellStyle name="Texto de advertencia 4 2 3" xfId="38809" xr:uid="{00000000-0005-0000-0000-0000AE970000}"/>
    <cellStyle name="Texto de advertencia 4 3" xfId="38810" xr:uid="{00000000-0005-0000-0000-0000AF970000}"/>
    <cellStyle name="Texto de advertencia 4 4" xfId="38811" xr:uid="{00000000-0005-0000-0000-0000B0970000}"/>
    <cellStyle name="Texto de advertencia 5" xfId="38812" xr:uid="{00000000-0005-0000-0000-0000B1970000}"/>
    <cellStyle name="Texto de advertencia 5 2" xfId="38813" xr:uid="{00000000-0005-0000-0000-0000B2970000}"/>
    <cellStyle name="Texto de advertencia 5 2 2" xfId="38814" xr:uid="{00000000-0005-0000-0000-0000B3970000}"/>
    <cellStyle name="Texto de advertencia 5 2 3" xfId="38815" xr:uid="{00000000-0005-0000-0000-0000B4970000}"/>
    <cellStyle name="Texto de advertencia 5 3" xfId="38816" xr:uid="{00000000-0005-0000-0000-0000B5970000}"/>
    <cellStyle name="Texto de advertencia 5 4" xfId="38817" xr:uid="{00000000-0005-0000-0000-0000B6970000}"/>
    <cellStyle name="Texto de advertencia 6" xfId="38818" xr:uid="{00000000-0005-0000-0000-0000B7970000}"/>
    <cellStyle name="Texto de advertencia 6 2" xfId="38819" xr:uid="{00000000-0005-0000-0000-0000B8970000}"/>
    <cellStyle name="Texto de advertencia 6 2 2" xfId="38820" xr:uid="{00000000-0005-0000-0000-0000B9970000}"/>
    <cellStyle name="Texto de advertencia 6 2 3" xfId="38821" xr:uid="{00000000-0005-0000-0000-0000BA970000}"/>
    <cellStyle name="Texto de advertencia 6 3" xfId="38822" xr:uid="{00000000-0005-0000-0000-0000BB970000}"/>
    <cellStyle name="Texto de advertencia 6 4" xfId="38823" xr:uid="{00000000-0005-0000-0000-0000BC970000}"/>
    <cellStyle name="Texto de advertencia 7" xfId="38824" xr:uid="{00000000-0005-0000-0000-0000BD970000}"/>
    <cellStyle name="Texto de advertencia 7 2" xfId="38825" xr:uid="{00000000-0005-0000-0000-0000BE970000}"/>
    <cellStyle name="Texto de advertencia 7 2 2" xfId="38826" xr:uid="{00000000-0005-0000-0000-0000BF970000}"/>
    <cellStyle name="Texto de advertencia 7 2 3" xfId="38827" xr:uid="{00000000-0005-0000-0000-0000C0970000}"/>
    <cellStyle name="Texto de advertencia 7 3" xfId="38828" xr:uid="{00000000-0005-0000-0000-0000C1970000}"/>
    <cellStyle name="Texto de advertencia 7 4" xfId="38829" xr:uid="{00000000-0005-0000-0000-0000C2970000}"/>
    <cellStyle name="Texto de advertencia 8" xfId="38830" xr:uid="{00000000-0005-0000-0000-0000C3970000}"/>
    <cellStyle name="Texto de advertencia 8 2" xfId="38831" xr:uid="{00000000-0005-0000-0000-0000C4970000}"/>
    <cellStyle name="Texto de advertencia 8 2 2" xfId="38832" xr:uid="{00000000-0005-0000-0000-0000C5970000}"/>
    <cellStyle name="Texto de advertencia 8 2 3" xfId="38833" xr:uid="{00000000-0005-0000-0000-0000C6970000}"/>
    <cellStyle name="Texto de advertencia 8 3" xfId="38834" xr:uid="{00000000-0005-0000-0000-0000C7970000}"/>
    <cellStyle name="Texto de advertencia 8 4" xfId="38835" xr:uid="{00000000-0005-0000-0000-0000C8970000}"/>
    <cellStyle name="Texto de advertencia 9" xfId="38836" xr:uid="{00000000-0005-0000-0000-0000C9970000}"/>
    <cellStyle name="Texto de advertencia 9 2" xfId="38837" xr:uid="{00000000-0005-0000-0000-0000CA970000}"/>
    <cellStyle name="Texto de advertencia 9 2 2" xfId="38838" xr:uid="{00000000-0005-0000-0000-0000CB970000}"/>
    <cellStyle name="Texto de advertencia 9 2 3" xfId="38839" xr:uid="{00000000-0005-0000-0000-0000CC970000}"/>
    <cellStyle name="Texto de advertencia 9 3" xfId="38840" xr:uid="{00000000-0005-0000-0000-0000CD970000}"/>
    <cellStyle name="Texto de advertencia 9 4" xfId="38841" xr:uid="{00000000-0005-0000-0000-0000CE970000}"/>
    <cellStyle name="Texto explicativo 10" xfId="38842" xr:uid="{00000000-0005-0000-0000-0000CF970000}"/>
    <cellStyle name="Texto explicativo 11" xfId="38843" xr:uid="{00000000-0005-0000-0000-0000D0970000}"/>
    <cellStyle name="Texto explicativo 2" xfId="38844" xr:uid="{00000000-0005-0000-0000-0000D1970000}"/>
    <cellStyle name="Texto explicativo 2 2" xfId="38845" xr:uid="{00000000-0005-0000-0000-0000D2970000}"/>
    <cellStyle name="Texto explicativo 2 2 2" xfId="38846" xr:uid="{00000000-0005-0000-0000-0000D3970000}"/>
    <cellStyle name="Texto explicativo 2 2 3" xfId="38847" xr:uid="{00000000-0005-0000-0000-0000D4970000}"/>
    <cellStyle name="Texto explicativo 2 2 4" xfId="38848" xr:uid="{00000000-0005-0000-0000-0000D5970000}"/>
    <cellStyle name="Texto explicativo 2 3" xfId="38849" xr:uid="{00000000-0005-0000-0000-0000D6970000}"/>
    <cellStyle name="Texto explicativo 2 4" xfId="38850" xr:uid="{00000000-0005-0000-0000-0000D7970000}"/>
    <cellStyle name="Texto explicativo 3" xfId="38851" xr:uid="{00000000-0005-0000-0000-0000D8970000}"/>
    <cellStyle name="Texto explicativo 3 2" xfId="38852" xr:uid="{00000000-0005-0000-0000-0000D9970000}"/>
    <cellStyle name="Texto explicativo 3 2 2" xfId="38853" xr:uid="{00000000-0005-0000-0000-0000DA970000}"/>
    <cellStyle name="Texto explicativo 3 2 3" xfId="38854" xr:uid="{00000000-0005-0000-0000-0000DB970000}"/>
    <cellStyle name="Texto explicativo 3 3" xfId="38855" xr:uid="{00000000-0005-0000-0000-0000DC970000}"/>
    <cellStyle name="Texto explicativo 3 4" xfId="38856" xr:uid="{00000000-0005-0000-0000-0000DD970000}"/>
    <cellStyle name="Texto explicativo 4" xfId="38857" xr:uid="{00000000-0005-0000-0000-0000DE970000}"/>
    <cellStyle name="Texto explicativo 4 2" xfId="38858" xr:uid="{00000000-0005-0000-0000-0000DF970000}"/>
    <cellStyle name="Texto explicativo 4 2 2" xfId="38859" xr:uid="{00000000-0005-0000-0000-0000E0970000}"/>
    <cellStyle name="Texto explicativo 4 2 3" xfId="38860" xr:uid="{00000000-0005-0000-0000-0000E1970000}"/>
    <cellStyle name="Texto explicativo 4 3" xfId="38861" xr:uid="{00000000-0005-0000-0000-0000E2970000}"/>
    <cellStyle name="Texto explicativo 4 4" xfId="38862" xr:uid="{00000000-0005-0000-0000-0000E3970000}"/>
    <cellStyle name="Texto explicativo 5" xfId="38863" xr:uid="{00000000-0005-0000-0000-0000E4970000}"/>
    <cellStyle name="Texto explicativo 5 2" xfId="38864" xr:uid="{00000000-0005-0000-0000-0000E5970000}"/>
    <cellStyle name="Texto explicativo 5 2 2" xfId="38865" xr:uid="{00000000-0005-0000-0000-0000E6970000}"/>
    <cellStyle name="Texto explicativo 5 2 3" xfId="38866" xr:uid="{00000000-0005-0000-0000-0000E7970000}"/>
    <cellStyle name="Texto explicativo 5 3" xfId="38867" xr:uid="{00000000-0005-0000-0000-0000E8970000}"/>
    <cellStyle name="Texto explicativo 5 4" xfId="38868" xr:uid="{00000000-0005-0000-0000-0000E9970000}"/>
    <cellStyle name="Texto explicativo 6" xfId="38869" xr:uid="{00000000-0005-0000-0000-0000EA970000}"/>
    <cellStyle name="Texto explicativo 6 2" xfId="38870" xr:uid="{00000000-0005-0000-0000-0000EB970000}"/>
    <cellStyle name="Texto explicativo 6 2 2" xfId="38871" xr:uid="{00000000-0005-0000-0000-0000EC970000}"/>
    <cellStyle name="Texto explicativo 6 2 3" xfId="38872" xr:uid="{00000000-0005-0000-0000-0000ED970000}"/>
    <cellStyle name="Texto explicativo 6 3" xfId="38873" xr:uid="{00000000-0005-0000-0000-0000EE970000}"/>
    <cellStyle name="Texto explicativo 6 4" xfId="38874" xr:uid="{00000000-0005-0000-0000-0000EF970000}"/>
    <cellStyle name="Texto explicativo 7" xfId="38875" xr:uid="{00000000-0005-0000-0000-0000F0970000}"/>
    <cellStyle name="Texto explicativo 7 2" xfId="38876" xr:uid="{00000000-0005-0000-0000-0000F1970000}"/>
    <cellStyle name="Texto explicativo 7 2 2" xfId="38877" xr:uid="{00000000-0005-0000-0000-0000F2970000}"/>
    <cellStyle name="Texto explicativo 7 2 3" xfId="38878" xr:uid="{00000000-0005-0000-0000-0000F3970000}"/>
    <cellStyle name="Texto explicativo 7 3" xfId="38879" xr:uid="{00000000-0005-0000-0000-0000F4970000}"/>
    <cellStyle name="Texto explicativo 7 4" xfId="38880" xr:uid="{00000000-0005-0000-0000-0000F5970000}"/>
    <cellStyle name="Texto explicativo 8" xfId="38881" xr:uid="{00000000-0005-0000-0000-0000F6970000}"/>
    <cellStyle name="Texto explicativo 8 2" xfId="38882" xr:uid="{00000000-0005-0000-0000-0000F7970000}"/>
    <cellStyle name="Texto explicativo 8 2 2" xfId="38883" xr:uid="{00000000-0005-0000-0000-0000F8970000}"/>
    <cellStyle name="Texto explicativo 8 2 3" xfId="38884" xr:uid="{00000000-0005-0000-0000-0000F9970000}"/>
    <cellStyle name="Texto explicativo 8 3" xfId="38885" xr:uid="{00000000-0005-0000-0000-0000FA970000}"/>
    <cellStyle name="Texto explicativo 8 4" xfId="38886" xr:uid="{00000000-0005-0000-0000-0000FB970000}"/>
    <cellStyle name="Texto explicativo 9" xfId="38887" xr:uid="{00000000-0005-0000-0000-0000FC970000}"/>
    <cellStyle name="Texto explicativo 9 2" xfId="38888" xr:uid="{00000000-0005-0000-0000-0000FD970000}"/>
    <cellStyle name="Texto explicativo 9 3" xfId="38889" xr:uid="{00000000-0005-0000-0000-0000FE970000}"/>
    <cellStyle name="Title" xfId="38890" xr:uid="{00000000-0005-0000-0000-0000FF970000}"/>
    <cellStyle name="Title 2" xfId="38891" xr:uid="{00000000-0005-0000-0000-000000980000}"/>
    <cellStyle name="Title 2 2" xfId="38892" xr:uid="{00000000-0005-0000-0000-000001980000}"/>
    <cellStyle name="Title 2 2 2" xfId="38893" xr:uid="{00000000-0005-0000-0000-000002980000}"/>
    <cellStyle name="Title 2 2 3" xfId="38894" xr:uid="{00000000-0005-0000-0000-000003980000}"/>
    <cellStyle name="Title 2 3" xfId="38895" xr:uid="{00000000-0005-0000-0000-000004980000}"/>
    <cellStyle name="Title 2 4" xfId="38896" xr:uid="{00000000-0005-0000-0000-000005980000}"/>
    <cellStyle name="Title 3" xfId="38897" xr:uid="{00000000-0005-0000-0000-000006980000}"/>
    <cellStyle name="Title 3 2" xfId="38898" xr:uid="{00000000-0005-0000-0000-000007980000}"/>
    <cellStyle name="Title 3 2 2" xfId="38899" xr:uid="{00000000-0005-0000-0000-000008980000}"/>
    <cellStyle name="Title 3 2 3" xfId="38900" xr:uid="{00000000-0005-0000-0000-000009980000}"/>
    <cellStyle name="Title 3 3" xfId="38901" xr:uid="{00000000-0005-0000-0000-00000A980000}"/>
    <cellStyle name="Title 3 4" xfId="38902" xr:uid="{00000000-0005-0000-0000-00000B980000}"/>
    <cellStyle name="Title 4" xfId="38903" xr:uid="{00000000-0005-0000-0000-00000C980000}"/>
    <cellStyle name="Title 4 2" xfId="38904" xr:uid="{00000000-0005-0000-0000-00000D980000}"/>
    <cellStyle name="Title 4 2 2" xfId="38905" xr:uid="{00000000-0005-0000-0000-00000E980000}"/>
    <cellStyle name="Title 4 2 3" xfId="38906" xr:uid="{00000000-0005-0000-0000-00000F980000}"/>
    <cellStyle name="Title 4 3" xfId="38907" xr:uid="{00000000-0005-0000-0000-000010980000}"/>
    <cellStyle name="Title 4 4" xfId="38908" xr:uid="{00000000-0005-0000-0000-000011980000}"/>
    <cellStyle name="Title 5" xfId="38909" xr:uid="{00000000-0005-0000-0000-000012980000}"/>
    <cellStyle name="Title 5 2" xfId="38910" xr:uid="{00000000-0005-0000-0000-000013980000}"/>
    <cellStyle name="Title 5 2 2" xfId="38911" xr:uid="{00000000-0005-0000-0000-000014980000}"/>
    <cellStyle name="Title 5 2 3" xfId="38912" xr:uid="{00000000-0005-0000-0000-000015980000}"/>
    <cellStyle name="Title 5 3" xfId="38913" xr:uid="{00000000-0005-0000-0000-000016980000}"/>
    <cellStyle name="Title 5 4" xfId="38914" xr:uid="{00000000-0005-0000-0000-000017980000}"/>
    <cellStyle name="Title 6" xfId="38915" xr:uid="{00000000-0005-0000-0000-000018980000}"/>
    <cellStyle name="Title 6 2" xfId="38916" xr:uid="{00000000-0005-0000-0000-000019980000}"/>
    <cellStyle name="Title 6 3" xfId="38917" xr:uid="{00000000-0005-0000-0000-00001A980000}"/>
    <cellStyle name="Title 7" xfId="38918" xr:uid="{00000000-0005-0000-0000-00001B980000}"/>
    <cellStyle name="Title 8" xfId="38919" xr:uid="{00000000-0005-0000-0000-00001C980000}"/>
    <cellStyle name="Título 1 10" xfId="38920" xr:uid="{00000000-0005-0000-0000-00001D980000}"/>
    <cellStyle name="Título 1 11" xfId="38921" xr:uid="{00000000-0005-0000-0000-00001E980000}"/>
    <cellStyle name="Título 1 2" xfId="38922" xr:uid="{00000000-0005-0000-0000-00001F980000}"/>
    <cellStyle name="Título 1 2 2" xfId="38923" xr:uid="{00000000-0005-0000-0000-000020980000}"/>
    <cellStyle name="Título 1 2 2 2" xfId="38924" xr:uid="{00000000-0005-0000-0000-000021980000}"/>
    <cellStyle name="Título 1 2 2 3" xfId="38925" xr:uid="{00000000-0005-0000-0000-000022980000}"/>
    <cellStyle name="Título 1 2 3" xfId="38926" xr:uid="{00000000-0005-0000-0000-000023980000}"/>
    <cellStyle name="Título 1 2 4" xfId="38927" xr:uid="{00000000-0005-0000-0000-000024980000}"/>
    <cellStyle name="Título 1 3" xfId="38928" xr:uid="{00000000-0005-0000-0000-000025980000}"/>
    <cellStyle name="Título 1 3 2" xfId="38929" xr:uid="{00000000-0005-0000-0000-000026980000}"/>
    <cellStyle name="Título 1 3 2 2" xfId="38930" xr:uid="{00000000-0005-0000-0000-000027980000}"/>
    <cellStyle name="Título 1 3 2 3" xfId="38931" xr:uid="{00000000-0005-0000-0000-000028980000}"/>
    <cellStyle name="Título 1 3 3" xfId="38932" xr:uid="{00000000-0005-0000-0000-000029980000}"/>
    <cellStyle name="Título 1 3 4" xfId="38933" xr:uid="{00000000-0005-0000-0000-00002A980000}"/>
    <cellStyle name="Título 1 4" xfId="38934" xr:uid="{00000000-0005-0000-0000-00002B980000}"/>
    <cellStyle name="Título 1 4 2" xfId="38935" xr:uid="{00000000-0005-0000-0000-00002C980000}"/>
    <cellStyle name="Título 1 4 2 2" xfId="38936" xr:uid="{00000000-0005-0000-0000-00002D980000}"/>
    <cellStyle name="Título 1 4 2 3" xfId="38937" xr:uid="{00000000-0005-0000-0000-00002E980000}"/>
    <cellStyle name="Título 1 4 3" xfId="38938" xr:uid="{00000000-0005-0000-0000-00002F980000}"/>
    <cellStyle name="Título 1 4 4" xfId="38939" xr:uid="{00000000-0005-0000-0000-000030980000}"/>
    <cellStyle name="Título 1 5" xfId="38940" xr:uid="{00000000-0005-0000-0000-000031980000}"/>
    <cellStyle name="Título 1 5 2" xfId="38941" xr:uid="{00000000-0005-0000-0000-000032980000}"/>
    <cellStyle name="Título 1 5 2 2" xfId="38942" xr:uid="{00000000-0005-0000-0000-000033980000}"/>
    <cellStyle name="Título 1 5 2 3" xfId="38943" xr:uid="{00000000-0005-0000-0000-000034980000}"/>
    <cellStyle name="Título 1 5 3" xfId="38944" xr:uid="{00000000-0005-0000-0000-000035980000}"/>
    <cellStyle name="Título 1 5 4" xfId="38945" xr:uid="{00000000-0005-0000-0000-000036980000}"/>
    <cellStyle name="Título 1 6" xfId="38946" xr:uid="{00000000-0005-0000-0000-000037980000}"/>
    <cellStyle name="Título 1 6 2" xfId="38947" xr:uid="{00000000-0005-0000-0000-000038980000}"/>
    <cellStyle name="Título 1 6 2 2" xfId="38948" xr:uid="{00000000-0005-0000-0000-000039980000}"/>
    <cellStyle name="Título 1 6 2 3" xfId="38949" xr:uid="{00000000-0005-0000-0000-00003A980000}"/>
    <cellStyle name="Título 1 6 3" xfId="38950" xr:uid="{00000000-0005-0000-0000-00003B980000}"/>
    <cellStyle name="Título 1 6 4" xfId="38951" xr:uid="{00000000-0005-0000-0000-00003C980000}"/>
    <cellStyle name="Título 1 7" xfId="38952" xr:uid="{00000000-0005-0000-0000-00003D980000}"/>
    <cellStyle name="Título 1 7 2" xfId="38953" xr:uid="{00000000-0005-0000-0000-00003E980000}"/>
    <cellStyle name="Título 1 7 2 2" xfId="38954" xr:uid="{00000000-0005-0000-0000-00003F980000}"/>
    <cellStyle name="Título 1 7 2 3" xfId="38955" xr:uid="{00000000-0005-0000-0000-000040980000}"/>
    <cellStyle name="Título 1 7 3" xfId="38956" xr:uid="{00000000-0005-0000-0000-000041980000}"/>
    <cellStyle name="Título 1 7 4" xfId="38957" xr:uid="{00000000-0005-0000-0000-000042980000}"/>
    <cellStyle name="Título 1 8" xfId="38958" xr:uid="{00000000-0005-0000-0000-000043980000}"/>
    <cellStyle name="Título 1 8 2" xfId="38959" xr:uid="{00000000-0005-0000-0000-000044980000}"/>
    <cellStyle name="Título 1 8 2 2" xfId="38960" xr:uid="{00000000-0005-0000-0000-000045980000}"/>
    <cellStyle name="Título 1 8 2 3" xfId="38961" xr:uid="{00000000-0005-0000-0000-000046980000}"/>
    <cellStyle name="Título 1 8 3" xfId="38962" xr:uid="{00000000-0005-0000-0000-000047980000}"/>
    <cellStyle name="Título 1 8 4" xfId="38963" xr:uid="{00000000-0005-0000-0000-000048980000}"/>
    <cellStyle name="Título 1 9" xfId="38964" xr:uid="{00000000-0005-0000-0000-000049980000}"/>
    <cellStyle name="Título 1 9 2" xfId="38965" xr:uid="{00000000-0005-0000-0000-00004A980000}"/>
    <cellStyle name="Título 1 9 3" xfId="38966" xr:uid="{00000000-0005-0000-0000-00004B980000}"/>
    <cellStyle name="Título 10" xfId="38967" xr:uid="{00000000-0005-0000-0000-00004C980000}"/>
    <cellStyle name="Título 10 2" xfId="38968" xr:uid="{00000000-0005-0000-0000-00004D980000}"/>
    <cellStyle name="Título 10 2 2" xfId="38969" xr:uid="{00000000-0005-0000-0000-00004E980000}"/>
    <cellStyle name="Título 10 2 3" xfId="38970" xr:uid="{00000000-0005-0000-0000-00004F980000}"/>
    <cellStyle name="Título 10 3" xfId="38971" xr:uid="{00000000-0005-0000-0000-000050980000}"/>
    <cellStyle name="Título 10 4" xfId="38972" xr:uid="{00000000-0005-0000-0000-000051980000}"/>
    <cellStyle name="Título 11" xfId="38973" xr:uid="{00000000-0005-0000-0000-000052980000}"/>
    <cellStyle name="Título 11 2" xfId="38974" xr:uid="{00000000-0005-0000-0000-000053980000}"/>
    <cellStyle name="Título 11 3" xfId="38975" xr:uid="{00000000-0005-0000-0000-000054980000}"/>
    <cellStyle name="Título 12" xfId="38976" xr:uid="{00000000-0005-0000-0000-000055980000}"/>
    <cellStyle name="Título 13" xfId="38977" xr:uid="{00000000-0005-0000-0000-000056980000}"/>
    <cellStyle name="Título 2 10" xfId="38978" xr:uid="{00000000-0005-0000-0000-000057980000}"/>
    <cellStyle name="Título 2 11" xfId="38979" xr:uid="{00000000-0005-0000-0000-000058980000}"/>
    <cellStyle name="Título 2 2" xfId="38980" xr:uid="{00000000-0005-0000-0000-000059980000}"/>
    <cellStyle name="Título 2 2 2" xfId="38981" xr:uid="{00000000-0005-0000-0000-00005A980000}"/>
    <cellStyle name="Título 2 2 2 2" xfId="38982" xr:uid="{00000000-0005-0000-0000-00005B980000}"/>
    <cellStyle name="Título 2 2 2 3" xfId="38983" xr:uid="{00000000-0005-0000-0000-00005C980000}"/>
    <cellStyle name="Título 2 2 2 4" xfId="38984" xr:uid="{00000000-0005-0000-0000-00005D980000}"/>
    <cellStyle name="Título 2 2 3" xfId="38985" xr:uid="{00000000-0005-0000-0000-00005E980000}"/>
    <cellStyle name="Título 2 2 4" xfId="38986" xr:uid="{00000000-0005-0000-0000-00005F980000}"/>
    <cellStyle name="Título 2 3" xfId="38987" xr:uid="{00000000-0005-0000-0000-000060980000}"/>
    <cellStyle name="Título 2 3 2" xfId="38988" xr:uid="{00000000-0005-0000-0000-000061980000}"/>
    <cellStyle name="Título 2 3 2 2" xfId="38989" xr:uid="{00000000-0005-0000-0000-000062980000}"/>
    <cellStyle name="Título 2 3 2 3" xfId="38990" xr:uid="{00000000-0005-0000-0000-000063980000}"/>
    <cellStyle name="Título 2 3 3" xfId="38991" xr:uid="{00000000-0005-0000-0000-000064980000}"/>
    <cellStyle name="Título 2 3 4" xfId="38992" xr:uid="{00000000-0005-0000-0000-000065980000}"/>
    <cellStyle name="Título 2 4" xfId="38993" xr:uid="{00000000-0005-0000-0000-000066980000}"/>
    <cellStyle name="Título 2 4 2" xfId="38994" xr:uid="{00000000-0005-0000-0000-000067980000}"/>
    <cellStyle name="Título 2 4 2 2" xfId="38995" xr:uid="{00000000-0005-0000-0000-000068980000}"/>
    <cellStyle name="Título 2 4 2 3" xfId="38996" xr:uid="{00000000-0005-0000-0000-000069980000}"/>
    <cellStyle name="Título 2 4 3" xfId="38997" xr:uid="{00000000-0005-0000-0000-00006A980000}"/>
    <cellStyle name="Título 2 4 4" xfId="38998" xr:uid="{00000000-0005-0000-0000-00006B980000}"/>
    <cellStyle name="Título 2 5" xfId="38999" xr:uid="{00000000-0005-0000-0000-00006C980000}"/>
    <cellStyle name="Título 2 5 2" xfId="39000" xr:uid="{00000000-0005-0000-0000-00006D980000}"/>
    <cellStyle name="Título 2 5 2 2" xfId="39001" xr:uid="{00000000-0005-0000-0000-00006E980000}"/>
    <cellStyle name="Título 2 5 2 3" xfId="39002" xr:uid="{00000000-0005-0000-0000-00006F980000}"/>
    <cellStyle name="Título 2 5 3" xfId="39003" xr:uid="{00000000-0005-0000-0000-000070980000}"/>
    <cellStyle name="Título 2 5 4" xfId="39004" xr:uid="{00000000-0005-0000-0000-000071980000}"/>
    <cellStyle name="Título 2 6" xfId="39005" xr:uid="{00000000-0005-0000-0000-000072980000}"/>
    <cellStyle name="Título 2 6 2" xfId="39006" xr:uid="{00000000-0005-0000-0000-000073980000}"/>
    <cellStyle name="Título 2 6 2 2" xfId="39007" xr:uid="{00000000-0005-0000-0000-000074980000}"/>
    <cellStyle name="Título 2 6 2 3" xfId="39008" xr:uid="{00000000-0005-0000-0000-000075980000}"/>
    <cellStyle name="Título 2 6 3" xfId="39009" xr:uid="{00000000-0005-0000-0000-000076980000}"/>
    <cellStyle name="Título 2 6 4" xfId="39010" xr:uid="{00000000-0005-0000-0000-000077980000}"/>
    <cellStyle name="Título 2 7" xfId="39011" xr:uid="{00000000-0005-0000-0000-000078980000}"/>
    <cellStyle name="Título 2 7 2" xfId="39012" xr:uid="{00000000-0005-0000-0000-000079980000}"/>
    <cellStyle name="Título 2 7 2 2" xfId="39013" xr:uid="{00000000-0005-0000-0000-00007A980000}"/>
    <cellStyle name="Título 2 7 2 3" xfId="39014" xr:uid="{00000000-0005-0000-0000-00007B980000}"/>
    <cellStyle name="Título 2 7 3" xfId="39015" xr:uid="{00000000-0005-0000-0000-00007C980000}"/>
    <cellStyle name="Título 2 7 4" xfId="39016" xr:uid="{00000000-0005-0000-0000-00007D980000}"/>
    <cellStyle name="Título 2 8" xfId="39017" xr:uid="{00000000-0005-0000-0000-00007E980000}"/>
    <cellStyle name="Título 2 8 2" xfId="39018" xr:uid="{00000000-0005-0000-0000-00007F980000}"/>
    <cellStyle name="Título 2 8 2 2" xfId="39019" xr:uid="{00000000-0005-0000-0000-000080980000}"/>
    <cellStyle name="Título 2 8 2 3" xfId="39020" xr:uid="{00000000-0005-0000-0000-000081980000}"/>
    <cellStyle name="Título 2 8 3" xfId="39021" xr:uid="{00000000-0005-0000-0000-000082980000}"/>
    <cellStyle name="Título 2 8 4" xfId="39022" xr:uid="{00000000-0005-0000-0000-000083980000}"/>
    <cellStyle name="Título 2 9" xfId="39023" xr:uid="{00000000-0005-0000-0000-000084980000}"/>
    <cellStyle name="Título 2 9 2" xfId="39024" xr:uid="{00000000-0005-0000-0000-000085980000}"/>
    <cellStyle name="Título 2 9 3" xfId="39025" xr:uid="{00000000-0005-0000-0000-000086980000}"/>
    <cellStyle name="Título 3 10" xfId="39026" xr:uid="{00000000-0005-0000-0000-000087980000}"/>
    <cellStyle name="Título 3 11" xfId="39027" xr:uid="{00000000-0005-0000-0000-000088980000}"/>
    <cellStyle name="Título 3 2" xfId="39028" xr:uid="{00000000-0005-0000-0000-000089980000}"/>
    <cellStyle name="Título 3 2 2" xfId="39029" xr:uid="{00000000-0005-0000-0000-00008A980000}"/>
    <cellStyle name="Título 3 2 2 2" xfId="39030" xr:uid="{00000000-0005-0000-0000-00008B980000}"/>
    <cellStyle name="Título 3 2 2 3" xfId="39031" xr:uid="{00000000-0005-0000-0000-00008C980000}"/>
    <cellStyle name="Título 3 2 2 4" xfId="39032" xr:uid="{00000000-0005-0000-0000-00008D980000}"/>
    <cellStyle name="Título 3 2 3" xfId="39033" xr:uid="{00000000-0005-0000-0000-00008E980000}"/>
    <cellStyle name="Título 3 2 4" xfId="39034" xr:uid="{00000000-0005-0000-0000-00008F980000}"/>
    <cellStyle name="Título 3 3" xfId="39035" xr:uid="{00000000-0005-0000-0000-000090980000}"/>
    <cellStyle name="Título 3 3 2" xfId="39036" xr:uid="{00000000-0005-0000-0000-000091980000}"/>
    <cellStyle name="Título 3 3 2 2" xfId="39037" xr:uid="{00000000-0005-0000-0000-000092980000}"/>
    <cellStyle name="Título 3 3 2 3" xfId="39038" xr:uid="{00000000-0005-0000-0000-000093980000}"/>
    <cellStyle name="Título 3 3 3" xfId="39039" xr:uid="{00000000-0005-0000-0000-000094980000}"/>
    <cellStyle name="Título 3 3 4" xfId="39040" xr:uid="{00000000-0005-0000-0000-000095980000}"/>
    <cellStyle name="Título 3 4" xfId="39041" xr:uid="{00000000-0005-0000-0000-000096980000}"/>
    <cellStyle name="Título 3 4 2" xfId="39042" xr:uid="{00000000-0005-0000-0000-000097980000}"/>
    <cellStyle name="Título 3 4 2 2" xfId="39043" xr:uid="{00000000-0005-0000-0000-000098980000}"/>
    <cellStyle name="Título 3 4 2 3" xfId="39044" xr:uid="{00000000-0005-0000-0000-000099980000}"/>
    <cellStyle name="Título 3 4 3" xfId="39045" xr:uid="{00000000-0005-0000-0000-00009A980000}"/>
    <cellStyle name="Título 3 4 4" xfId="39046" xr:uid="{00000000-0005-0000-0000-00009B980000}"/>
    <cellStyle name="Título 3 5" xfId="39047" xr:uid="{00000000-0005-0000-0000-00009C980000}"/>
    <cellStyle name="Título 3 5 2" xfId="39048" xr:uid="{00000000-0005-0000-0000-00009D980000}"/>
    <cellStyle name="Título 3 5 2 2" xfId="39049" xr:uid="{00000000-0005-0000-0000-00009E980000}"/>
    <cellStyle name="Título 3 5 2 3" xfId="39050" xr:uid="{00000000-0005-0000-0000-00009F980000}"/>
    <cellStyle name="Título 3 5 3" xfId="39051" xr:uid="{00000000-0005-0000-0000-0000A0980000}"/>
    <cellStyle name="Título 3 5 4" xfId="39052" xr:uid="{00000000-0005-0000-0000-0000A1980000}"/>
    <cellStyle name="Título 3 6" xfId="39053" xr:uid="{00000000-0005-0000-0000-0000A2980000}"/>
    <cellStyle name="Título 3 6 2" xfId="39054" xr:uid="{00000000-0005-0000-0000-0000A3980000}"/>
    <cellStyle name="Título 3 6 2 2" xfId="39055" xr:uid="{00000000-0005-0000-0000-0000A4980000}"/>
    <cellStyle name="Título 3 6 2 3" xfId="39056" xr:uid="{00000000-0005-0000-0000-0000A5980000}"/>
    <cellStyle name="Título 3 6 3" xfId="39057" xr:uid="{00000000-0005-0000-0000-0000A6980000}"/>
    <cellStyle name="Título 3 6 4" xfId="39058" xr:uid="{00000000-0005-0000-0000-0000A7980000}"/>
    <cellStyle name="Título 3 7" xfId="39059" xr:uid="{00000000-0005-0000-0000-0000A8980000}"/>
    <cellStyle name="Título 3 7 2" xfId="39060" xr:uid="{00000000-0005-0000-0000-0000A9980000}"/>
    <cellStyle name="Título 3 7 2 2" xfId="39061" xr:uid="{00000000-0005-0000-0000-0000AA980000}"/>
    <cellStyle name="Título 3 7 2 3" xfId="39062" xr:uid="{00000000-0005-0000-0000-0000AB980000}"/>
    <cellStyle name="Título 3 7 3" xfId="39063" xr:uid="{00000000-0005-0000-0000-0000AC980000}"/>
    <cellStyle name="Título 3 7 4" xfId="39064" xr:uid="{00000000-0005-0000-0000-0000AD980000}"/>
    <cellStyle name="Título 3 8" xfId="39065" xr:uid="{00000000-0005-0000-0000-0000AE980000}"/>
    <cellStyle name="Título 3 8 2" xfId="39066" xr:uid="{00000000-0005-0000-0000-0000AF980000}"/>
    <cellStyle name="Título 3 8 2 2" xfId="39067" xr:uid="{00000000-0005-0000-0000-0000B0980000}"/>
    <cellStyle name="Título 3 8 2 3" xfId="39068" xr:uid="{00000000-0005-0000-0000-0000B1980000}"/>
    <cellStyle name="Título 3 8 3" xfId="39069" xr:uid="{00000000-0005-0000-0000-0000B2980000}"/>
    <cellStyle name="Título 3 8 4" xfId="39070" xr:uid="{00000000-0005-0000-0000-0000B3980000}"/>
    <cellStyle name="Título 3 9" xfId="39071" xr:uid="{00000000-0005-0000-0000-0000B4980000}"/>
    <cellStyle name="Título 3 9 2" xfId="39072" xr:uid="{00000000-0005-0000-0000-0000B5980000}"/>
    <cellStyle name="Título 3 9 3" xfId="39073" xr:uid="{00000000-0005-0000-0000-0000B6980000}"/>
    <cellStyle name="Título 4" xfId="39074" xr:uid="{00000000-0005-0000-0000-0000B7980000}"/>
    <cellStyle name="Título 4 2" xfId="39075" xr:uid="{00000000-0005-0000-0000-0000B8980000}"/>
    <cellStyle name="Título 4 2 2" xfId="39076" xr:uid="{00000000-0005-0000-0000-0000B9980000}"/>
    <cellStyle name="Título 4 2 3" xfId="39077" xr:uid="{00000000-0005-0000-0000-0000BA980000}"/>
    <cellStyle name="Título 4 2 4" xfId="39078" xr:uid="{00000000-0005-0000-0000-0000BB980000}"/>
    <cellStyle name="Título 4 3" xfId="39079" xr:uid="{00000000-0005-0000-0000-0000BC980000}"/>
    <cellStyle name="Título 4 4" xfId="39080" xr:uid="{00000000-0005-0000-0000-0000BD980000}"/>
    <cellStyle name="Título 5" xfId="39081" xr:uid="{00000000-0005-0000-0000-0000BE980000}"/>
    <cellStyle name="Título 5 2" xfId="39082" xr:uid="{00000000-0005-0000-0000-0000BF980000}"/>
    <cellStyle name="Título 5 2 2" xfId="39083" xr:uid="{00000000-0005-0000-0000-0000C0980000}"/>
    <cellStyle name="Título 5 2 3" xfId="39084" xr:uid="{00000000-0005-0000-0000-0000C1980000}"/>
    <cellStyle name="Título 5 2 4" xfId="39085" xr:uid="{00000000-0005-0000-0000-0000C2980000}"/>
    <cellStyle name="Título 5 3" xfId="39086" xr:uid="{00000000-0005-0000-0000-0000C3980000}"/>
    <cellStyle name="Título 5 4" xfId="39087" xr:uid="{00000000-0005-0000-0000-0000C4980000}"/>
    <cellStyle name="Título 6" xfId="39088" xr:uid="{00000000-0005-0000-0000-0000C5980000}"/>
    <cellStyle name="Título 6 2" xfId="39089" xr:uid="{00000000-0005-0000-0000-0000C6980000}"/>
    <cellStyle name="Título 6 2 2" xfId="39090" xr:uid="{00000000-0005-0000-0000-0000C7980000}"/>
    <cellStyle name="Título 6 2 3" xfId="39091" xr:uid="{00000000-0005-0000-0000-0000C8980000}"/>
    <cellStyle name="Título 6 3" xfId="39092" xr:uid="{00000000-0005-0000-0000-0000C9980000}"/>
    <cellStyle name="Título 6 4" xfId="39093" xr:uid="{00000000-0005-0000-0000-0000CA980000}"/>
    <cellStyle name="Título 7" xfId="39094" xr:uid="{00000000-0005-0000-0000-0000CB980000}"/>
    <cellStyle name="Título 7 2" xfId="39095" xr:uid="{00000000-0005-0000-0000-0000CC980000}"/>
    <cellStyle name="Título 7 2 2" xfId="39096" xr:uid="{00000000-0005-0000-0000-0000CD980000}"/>
    <cellStyle name="Título 7 2 3" xfId="39097" xr:uid="{00000000-0005-0000-0000-0000CE980000}"/>
    <cellStyle name="Título 7 3" xfId="39098" xr:uid="{00000000-0005-0000-0000-0000CF980000}"/>
    <cellStyle name="Título 7 4" xfId="39099" xr:uid="{00000000-0005-0000-0000-0000D0980000}"/>
    <cellStyle name="Título 8" xfId="39100" xr:uid="{00000000-0005-0000-0000-0000D1980000}"/>
    <cellStyle name="Título 8 2" xfId="39101" xr:uid="{00000000-0005-0000-0000-0000D2980000}"/>
    <cellStyle name="Título 8 2 2" xfId="39102" xr:uid="{00000000-0005-0000-0000-0000D3980000}"/>
    <cellStyle name="Título 8 2 3" xfId="39103" xr:uid="{00000000-0005-0000-0000-0000D4980000}"/>
    <cellStyle name="Título 8 3" xfId="39104" xr:uid="{00000000-0005-0000-0000-0000D5980000}"/>
    <cellStyle name="Título 8 4" xfId="39105" xr:uid="{00000000-0005-0000-0000-0000D6980000}"/>
    <cellStyle name="Título 9" xfId="39106" xr:uid="{00000000-0005-0000-0000-0000D7980000}"/>
    <cellStyle name="Título 9 2" xfId="39107" xr:uid="{00000000-0005-0000-0000-0000D8980000}"/>
    <cellStyle name="Título 9 2 2" xfId="39108" xr:uid="{00000000-0005-0000-0000-0000D9980000}"/>
    <cellStyle name="Título 9 2 3" xfId="39109" xr:uid="{00000000-0005-0000-0000-0000DA980000}"/>
    <cellStyle name="Título 9 3" xfId="39110" xr:uid="{00000000-0005-0000-0000-0000DB980000}"/>
    <cellStyle name="Título 9 4" xfId="39111" xr:uid="{00000000-0005-0000-0000-0000DC980000}"/>
    <cellStyle name="Total 2" xfId="39112" xr:uid="{00000000-0005-0000-0000-0000DD980000}"/>
    <cellStyle name="Total 2 2" xfId="39113" xr:uid="{00000000-0005-0000-0000-0000DE980000}"/>
    <cellStyle name="Total 2 2 2" xfId="39114" xr:uid="{00000000-0005-0000-0000-0000DF980000}"/>
    <cellStyle name="Total 2 2 3" xfId="39115" xr:uid="{00000000-0005-0000-0000-0000E0980000}"/>
    <cellStyle name="Total 2 3" xfId="39116" xr:uid="{00000000-0005-0000-0000-0000E1980000}"/>
    <cellStyle name="Total 2 4" xfId="39117" xr:uid="{00000000-0005-0000-0000-0000E2980000}"/>
    <cellStyle name="Total 3" xfId="39118" xr:uid="{00000000-0005-0000-0000-0000E3980000}"/>
    <cellStyle name="Total 3 2" xfId="39119" xr:uid="{00000000-0005-0000-0000-0000E4980000}"/>
    <cellStyle name="Total 3 2 2" xfId="39120" xr:uid="{00000000-0005-0000-0000-0000E5980000}"/>
    <cellStyle name="Total 3 2 3" xfId="39121" xr:uid="{00000000-0005-0000-0000-0000E6980000}"/>
    <cellStyle name="Total 3 3" xfId="39122" xr:uid="{00000000-0005-0000-0000-0000E7980000}"/>
    <cellStyle name="Total 3 4" xfId="39123" xr:uid="{00000000-0005-0000-0000-0000E8980000}"/>
    <cellStyle name="Total 4" xfId="39124" xr:uid="{00000000-0005-0000-0000-0000E9980000}"/>
    <cellStyle name="Total 4 2" xfId="39125" xr:uid="{00000000-0005-0000-0000-0000EA980000}"/>
    <cellStyle name="Total 4 2 2" xfId="39126" xr:uid="{00000000-0005-0000-0000-0000EB980000}"/>
    <cellStyle name="Total 4 2 3" xfId="39127" xr:uid="{00000000-0005-0000-0000-0000EC980000}"/>
    <cellStyle name="Total 4 3" xfId="39128" xr:uid="{00000000-0005-0000-0000-0000ED980000}"/>
    <cellStyle name="Total 4 4" xfId="39129" xr:uid="{00000000-0005-0000-0000-0000EE980000}"/>
    <cellStyle name="Total 5" xfId="39130" xr:uid="{00000000-0005-0000-0000-0000EF980000}"/>
    <cellStyle name="Total 5 2" xfId="39131" xr:uid="{00000000-0005-0000-0000-0000F0980000}"/>
    <cellStyle name="Total 5 3" xfId="39132" xr:uid="{00000000-0005-0000-0000-0000F1980000}"/>
    <cellStyle name="Total 6" xfId="39133" xr:uid="{00000000-0005-0000-0000-0000F2980000}"/>
    <cellStyle name="Total 7" xfId="39134" xr:uid="{00000000-0005-0000-0000-0000F3980000}"/>
    <cellStyle name="Warning Text" xfId="39135" xr:uid="{00000000-0005-0000-0000-0000F4980000}"/>
    <cellStyle name="Warning Text 2" xfId="39136" xr:uid="{00000000-0005-0000-0000-0000F5980000}"/>
    <cellStyle name="Warning Text 2 2" xfId="39137" xr:uid="{00000000-0005-0000-0000-0000F6980000}"/>
    <cellStyle name="Warning Text 2 2 2" xfId="39138" xr:uid="{00000000-0005-0000-0000-0000F7980000}"/>
    <cellStyle name="Warning Text 2 2 3" xfId="39139" xr:uid="{00000000-0005-0000-0000-0000F8980000}"/>
    <cellStyle name="Warning Text 2 3" xfId="39140" xr:uid="{00000000-0005-0000-0000-0000F9980000}"/>
    <cellStyle name="Warning Text 2 4" xfId="39141" xr:uid="{00000000-0005-0000-0000-0000FA980000}"/>
    <cellStyle name="Warning Text 3" xfId="39142" xr:uid="{00000000-0005-0000-0000-0000FB980000}"/>
    <cellStyle name="Warning Text 3 2" xfId="39143" xr:uid="{00000000-0005-0000-0000-0000FC980000}"/>
    <cellStyle name="Warning Text 3 2 2" xfId="39144" xr:uid="{00000000-0005-0000-0000-0000FD980000}"/>
    <cellStyle name="Warning Text 3 2 3" xfId="39145" xr:uid="{00000000-0005-0000-0000-0000FE980000}"/>
    <cellStyle name="Warning Text 3 3" xfId="39146" xr:uid="{00000000-0005-0000-0000-0000FF980000}"/>
    <cellStyle name="Warning Text 3 4" xfId="39147" xr:uid="{00000000-0005-0000-0000-000000990000}"/>
    <cellStyle name="Warning Text 4" xfId="39148" xr:uid="{00000000-0005-0000-0000-000001990000}"/>
    <cellStyle name="Warning Text 4 2" xfId="39149" xr:uid="{00000000-0005-0000-0000-000002990000}"/>
    <cellStyle name="Warning Text 4 2 2" xfId="39150" xr:uid="{00000000-0005-0000-0000-000003990000}"/>
    <cellStyle name="Warning Text 4 2 3" xfId="39151" xr:uid="{00000000-0005-0000-0000-000004990000}"/>
    <cellStyle name="Warning Text 4 3" xfId="39152" xr:uid="{00000000-0005-0000-0000-000005990000}"/>
    <cellStyle name="Warning Text 4 4" xfId="39153" xr:uid="{00000000-0005-0000-0000-000006990000}"/>
    <cellStyle name="Warning Text 5" xfId="39154" xr:uid="{00000000-0005-0000-0000-000007990000}"/>
    <cellStyle name="Warning Text 5 2" xfId="39155" xr:uid="{00000000-0005-0000-0000-000008990000}"/>
    <cellStyle name="Warning Text 5 2 2" xfId="39156" xr:uid="{00000000-0005-0000-0000-000009990000}"/>
    <cellStyle name="Warning Text 5 2 3" xfId="39157" xr:uid="{00000000-0005-0000-0000-00000A990000}"/>
    <cellStyle name="Warning Text 5 3" xfId="39158" xr:uid="{00000000-0005-0000-0000-00000B990000}"/>
    <cellStyle name="Warning Text 5 4" xfId="39159" xr:uid="{00000000-0005-0000-0000-00000C990000}"/>
    <cellStyle name="Warning Text 6" xfId="39160" xr:uid="{00000000-0005-0000-0000-00000D990000}"/>
    <cellStyle name="Warning Text 6 2" xfId="39161" xr:uid="{00000000-0005-0000-0000-00000E990000}"/>
    <cellStyle name="Warning Text 6 3" xfId="39162" xr:uid="{00000000-0005-0000-0000-00000F990000}"/>
    <cellStyle name="Warning Text 7" xfId="39163" xr:uid="{00000000-0005-0000-0000-000010990000}"/>
    <cellStyle name="Warning Text 8" xfId="39164" xr:uid="{00000000-0005-0000-0000-000011990000}"/>
    <cellStyle name="好" xfId="39165" xr:uid="{00000000-0005-0000-0000-000012990000}"/>
    <cellStyle name="差" xfId="39166" xr:uid="{00000000-0005-0000-0000-000013990000}"/>
    <cellStyle name="强调文字颜色 1" xfId="39167" xr:uid="{00000000-0005-0000-0000-000014990000}"/>
    <cellStyle name="强调文字颜色 2" xfId="39168" xr:uid="{00000000-0005-0000-0000-000015990000}"/>
    <cellStyle name="强调文字颜色 3" xfId="39169" xr:uid="{00000000-0005-0000-0000-000016990000}"/>
    <cellStyle name="强调文字颜色 4" xfId="39170" xr:uid="{00000000-0005-0000-0000-000017990000}"/>
    <cellStyle name="强调文字颜色 5" xfId="39171" xr:uid="{00000000-0005-0000-0000-000018990000}"/>
    <cellStyle name="强调文字颜色 6" xfId="39172" xr:uid="{00000000-0005-0000-0000-000019990000}"/>
    <cellStyle name="标题" xfId="39173" xr:uid="{00000000-0005-0000-0000-00001A990000}"/>
    <cellStyle name="标题 1" xfId="39174" xr:uid="{00000000-0005-0000-0000-00001B990000}"/>
    <cellStyle name="标题 2" xfId="39175" xr:uid="{00000000-0005-0000-0000-00001C990000}"/>
    <cellStyle name="标题 3" xfId="39176" xr:uid="{00000000-0005-0000-0000-00001D990000}"/>
    <cellStyle name="标题 4" xfId="39177" xr:uid="{00000000-0005-0000-0000-00001E990000}"/>
    <cellStyle name="检查单元格" xfId="39178" xr:uid="{00000000-0005-0000-0000-00001F990000}"/>
    <cellStyle name="汇总" xfId="39179" xr:uid="{00000000-0005-0000-0000-000020990000}"/>
    <cellStyle name="注释" xfId="39180" xr:uid="{00000000-0005-0000-0000-000021990000}"/>
    <cellStyle name="解释性文本" xfId="39181" xr:uid="{00000000-0005-0000-0000-000022990000}"/>
    <cellStyle name="警告文本" xfId="39182" xr:uid="{00000000-0005-0000-0000-000023990000}"/>
    <cellStyle name="计算" xfId="39183" xr:uid="{00000000-0005-0000-0000-000024990000}"/>
    <cellStyle name="输入" xfId="39184" xr:uid="{00000000-0005-0000-0000-000025990000}"/>
    <cellStyle name="输出" xfId="39185" xr:uid="{00000000-0005-0000-0000-000026990000}"/>
    <cellStyle name="适中" xfId="39186" xr:uid="{00000000-0005-0000-0000-000027990000}"/>
    <cellStyle name="链接单元格" xfId="39187" xr:uid="{00000000-0005-0000-0000-00002899000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BAF50A"/>
      <color rgb="FF9B9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pivotCacheDefinition" Target="pivotCache/pivotCacheDefinition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pivotCacheDefinition" Target="pivotCache/pivotCacheDefinition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pivotCacheDefinition" Target="pivotCache/pivotCacheDefinition1.xml"/><Relationship Id="rId28"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14</xdr:col>
      <xdr:colOff>752475</xdr:colOff>
      <xdr:row>0</xdr:row>
      <xdr:rowOff>0</xdr:rowOff>
    </xdr:from>
    <xdr:to>
      <xdr:col>15</xdr:col>
      <xdr:colOff>0</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699AD928-0736-45A9-9FC6-EA474280D3DA}"/>
            </a:ext>
          </a:extLst>
        </xdr:cNvPr>
        <xdr:cNvSpPr/>
      </xdr:nvSpPr>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0</xdr:row>
      <xdr:rowOff>0</xdr:rowOff>
    </xdr:from>
    <xdr:to>
      <xdr:col>15</xdr:col>
      <xdr:colOff>0</xdr:colOff>
      <xdr:row>0</xdr:row>
      <xdr:rowOff>76200</xdr:rowOff>
    </xdr:to>
    <xdr:pic>
      <xdr:nvPicPr>
        <xdr:cNvPr id="3" name="Picture 3">
          <a:extLst>
            <a:ext uri="{FF2B5EF4-FFF2-40B4-BE49-F238E27FC236}">
              <a16:creationId xmlns:a16="http://schemas.microsoft.com/office/drawing/2014/main" id="{639B13D9-0940-4F7F-8997-BC8F5D56346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15</xdr:col>
      <xdr:colOff>0</xdr:colOff>
      <xdr:row>0</xdr:row>
      <xdr:rowOff>76200</xdr:rowOff>
    </xdr:to>
    <xdr:pic>
      <xdr:nvPicPr>
        <xdr:cNvPr id="4" name="Picture 4">
          <a:extLst>
            <a:ext uri="{FF2B5EF4-FFF2-40B4-BE49-F238E27FC236}">
              <a16:creationId xmlns:a16="http://schemas.microsoft.com/office/drawing/2014/main" id="{CC912BB6-997D-4872-A40C-721CEEFE35D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15</xdr:col>
      <xdr:colOff>0</xdr:colOff>
      <xdr:row>0</xdr:row>
      <xdr:rowOff>76200</xdr:rowOff>
    </xdr:to>
    <xdr:pic>
      <xdr:nvPicPr>
        <xdr:cNvPr id="5" name="ComboBox1">
          <a:extLst>
            <a:ext uri="{FF2B5EF4-FFF2-40B4-BE49-F238E27FC236}">
              <a16:creationId xmlns:a16="http://schemas.microsoft.com/office/drawing/2014/main" id="{4604447A-8D91-455B-A54B-C3CDE537CF35}"/>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1</xdr:row>
      <xdr:rowOff>0</xdr:rowOff>
    </xdr:from>
    <xdr:to>
      <xdr:col>15</xdr:col>
      <xdr:colOff>0</xdr:colOff>
      <xdr:row>1</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4E270EAF-A3A9-482B-8F33-551B802BA1BF}"/>
            </a:ext>
          </a:extLst>
        </xdr:cNvPr>
        <xdr:cNvSpPr/>
      </xdr:nvSpPr>
      <xdr:spPr bwMode="auto">
        <a:xfrm>
          <a:off x="3859090" y="644769"/>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0</xdr:row>
      <xdr:rowOff>0</xdr:rowOff>
    </xdr:from>
    <xdr:to>
      <xdr:col>14</xdr:col>
      <xdr:colOff>752475</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4F697C57-BD8B-47BA-B7AB-B880A855854A}"/>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14</xdr:col>
      <xdr:colOff>752475</xdr:colOff>
      <xdr:row>0</xdr:row>
      <xdr:rowOff>0</xdr:rowOff>
    </xdr:from>
    <xdr:to>
      <xdr:col>14</xdr:col>
      <xdr:colOff>752475</xdr:colOff>
      <xdr:row>0</xdr:row>
      <xdr:rowOff>76200</xdr:rowOff>
    </xdr:to>
    <xdr:pic>
      <xdr:nvPicPr>
        <xdr:cNvPr id="8" name="Picture 3">
          <a:extLst>
            <a:ext uri="{FF2B5EF4-FFF2-40B4-BE49-F238E27FC236}">
              <a16:creationId xmlns:a16="http://schemas.microsoft.com/office/drawing/2014/main" id="{F46DA1F9-8C03-4CFE-B12C-437B065B872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14</xdr:col>
      <xdr:colOff>752475</xdr:colOff>
      <xdr:row>0</xdr:row>
      <xdr:rowOff>76200</xdr:rowOff>
    </xdr:to>
    <xdr:pic>
      <xdr:nvPicPr>
        <xdr:cNvPr id="9" name="Picture 4">
          <a:extLst>
            <a:ext uri="{FF2B5EF4-FFF2-40B4-BE49-F238E27FC236}">
              <a16:creationId xmlns:a16="http://schemas.microsoft.com/office/drawing/2014/main" id="{DCBFF065-EF3B-4DB0-94C8-35FBAE7193CA}"/>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14</xdr:col>
      <xdr:colOff>752475</xdr:colOff>
      <xdr:row>0</xdr:row>
      <xdr:rowOff>76200</xdr:rowOff>
    </xdr:to>
    <xdr:pic>
      <xdr:nvPicPr>
        <xdr:cNvPr id="10" name="ComboBox1">
          <a:extLst>
            <a:ext uri="{FF2B5EF4-FFF2-40B4-BE49-F238E27FC236}">
              <a16:creationId xmlns:a16="http://schemas.microsoft.com/office/drawing/2014/main" id="{2AB2D9FB-564C-4383-988E-219758D46C5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14</xdr:col>
      <xdr:colOff>752475</xdr:colOff>
      <xdr:row>0</xdr:row>
      <xdr:rowOff>0</xdr:rowOff>
    </xdr:from>
    <xdr:to>
      <xdr:col>14</xdr:col>
      <xdr:colOff>752475</xdr:colOff>
      <xdr:row>0</xdr:row>
      <xdr:rowOff>76200</xdr:rowOff>
    </xdr:to>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4CC92376-D5F2-44BE-9CBB-EAE5FFC0C516}"/>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14</xdr:col>
      <xdr:colOff>752475</xdr:colOff>
      <xdr:row>0</xdr:row>
      <xdr:rowOff>0</xdr:rowOff>
    </xdr:from>
    <xdr:ext cx="32385" cy="76200"/>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D433DFED-370C-4308-AD43-77F921211551}"/>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2EB819AA-17CB-4D21-A673-297A7463E11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14</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F0E892FF-19C6-4ABA-BD75-D0D5B2B4DE4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13</xdr:col>
      <xdr:colOff>752475</xdr:colOff>
      <xdr:row>0</xdr:row>
      <xdr:rowOff>0</xdr:rowOff>
    </xdr:from>
    <xdr:to>
      <xdr:col>13</xdr:col>
      <xdr:colOff>754380</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6CE5105A-B11E-4150-AC10-A89F34283BAD}"/>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pic>
      <xdr:nvPicPr>
        <xdr:cNvPr id="3" name="Picture 3">
          <a:extLst>
            <a:ext uri="{FF2B5EF4-FFF2-40B4-BE49-F238E27FC236}">
              <a16:creationId xmlns:a16="http://schemas.microsoft.com/office/drawing/2014/main" id="{8C34B49A-05B9-4DBB-9873-1658DBB0E2A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4" name="Picture 4">
          <a:extLst>
            <a:ext uri="{FF2B5EF4-FFF2-40B4-BE49-F238E27FC236}">
              <a16:creationId xmlns:a16="http://schemas.microsoft.com/office/drawing/2014/main" id="{C92BCDD8-79E6-4BF0-9262-A0876081DFD4}"/>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5" name="ComboBox1">
          <a:extLst>
            <a:ext uri="{FF2B5EF4-FFF2-40B4-BE49-F238E27FC236}">
              <a16:creationId xmlns:a16="http://schemas.microsoft.com/office/drawing/2014/main" id="{EA1DACF1-C938-4205-B65D-71D32D3D3FF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6" name="ComboBox1" hidden="1">
          <a:extLst>
            <a:ext uri="{63B3BB69-23CF-44E3-9099-C40C66FF867C}">
              <a14:compatExt xmlns:a14="http://schemas.microsoft.com/office/drawing/2010/main" spid="_x0000_s1028"/>
            </a:ext>
            <a:ext uri="{FF2B5EF4-FFF2-40B4-BE49-F238E27FC236}">
              <a16:creationId xmlns:a16="http://schemas.microsoft.com/office/drawing/2014/main" id="{933B2825-A7E8-4786-B322-1C137E52C1DF}"/>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56DD9924-1051-4ED2-B589-041835665C80}"/>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8" name="ComboBox1" hidden="1">
          <a:extLst>
            <a:ext uri="{63B3BB69-23CF-44E3-9099-C40C66FF867C}">
              <a14:compatExt xmlns:a14="http://schemas.microsoft.com/office/drawing/2010/main" spid="_x0000_s1028"/>
            </a:ext>
            <a:ext uri="{FF2B5EF4-FFF2-40B4-BE49-F238E27FC236}">
              <a16:creationId xmlns:a16="http://schemas.microsoft.com/office/drawing/2014/main" id="{8244DD94-F7B9-42D5-A6BE-0BC043D589FE}"/>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F8EA7147-64FA-487E-B973-4B4495DB5B6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0" name="ComboBox1" hidden="1">
          <a:extLst>
            <a:ext uri="{63B3BB69-23CF-44E3-9099-C40C66FF867C}">
              <a14:compatExt xmlns:a14="http://schemas.microsoft.com/office/drawing/2010/main" spid="_x0000_s1028"/>
            </a:ext>
            <a:ext uri="{FF2B5EF4-FFF2-40B4-BE49-F238E27FC236}">
              <a16:creationId xmlns:a16="http://schemas.microsoft.com/office/drawing/2014/main" id="{392837EC-6F05-49BF-9A1A-F2AE3CD128C3}"/>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1" name="ComboBox1" hidden="1">
          <a:extLst>
            <a:ext uri="{63B3BB69-23CF-44E3-9099-C40C66FF867C}">
              <a14:compatExt xmlns:a14="http://schemas.microsoft.com/office/drawing/2010/main" spid="_x0000_s1028"/>
            </a:ext>
            <a:ext uri="{FF2B5EF4-FFF2-40B4-BE49-F238E27FC236}">
              <a16:creationId xmlns:a16="http://schemas.microsoft.com/office/drawing/2014/main" id="{CAEB2274-D46F-4152-AAEB-927CF9CBF67B}"/>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11</xdr:col>
      <xdr:colOff>0</xdr:colOff>
      <xdr:row>0</xdr:row>
      <xdr:rowOff>0</xdr:rowOff>
    </xdr:from>
    <xdr:to>
      <xdr:col>11</xdr:col>
      <xdr:colOff>20955</xdr:colOff>
      <xdr:row>0</xdr:row>
      <xdr:rowOff>76200</xdr:rowOff>
    </xdr:to>
    <xdr:sp macro="" textlink="">
      <xdr:nvSpPr>
        <xdr:cNvPr id="12" name="ComboBox1" hidden="1">
          <a:extLst>
            <a:ext uri="{63B3BB69-23CF-44E3-9099-C40C66FF867C}">
              <a14:compatExt xmlns:a14="http://schemas.microsoft.com/office/drawing/2010/main" spid="_x0000_s1028"/>
            </a:ext>
            <a:ext uri="{FF2B5EF4-FFF2-40B4-BE49-F238E27FC236}">
              <a16:creationId xmlns:a16="http://schemas.microsoft.com/office/drawing/2014/main" id="{AA57D175-07BE-4455-8DE0-5E81B81EB163}"/>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20955</xdr:colOff>
      <xdr:row>0</xdr:row>
      <xdr:rowOff>76200</xdr:rowOff>
    </xdr:to>
    <xdr:pic>
      <xdr:nvPicPr>
        <xdr:cNvPr id="13" name="Picture 3">
          <a:extLst>
            <a:ext uri="{FF2B5EF4-FFF2-40B4-BE49-F238E27FC236}">
              <a16:creationId xmlns:a16="http://schemas.microsoft.com/office/drawing/2014/main" id="{C9B1AC99-A1CD-41CF-A11D-8C156E814C52}"/>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14" name="Picture 4">
          <a:extLst>
            <a:ext uri="{FF2B5EF4-FFF2-40B4-BE49-F238E27FC236}">
              <a16:creationId xmlns:a16="http://schemas.microsoft.com/office/drawing/2014/main" id="{E6770868-8501-4A83-856F-7206D58C9D4C}"/>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pic>
      <xdr:nvPicPr>
        <xdr:cNvPr id="15" name="ComboBox1">
          <a:extLst>
            <a:ext uri="{FF2B5EF4-FFF2-40B4-BE49-F238E27FC236}">
              <a16:creationId xmlns:a16="http://schemas.microsoft.com/office/drawing/2014/main" id="{2083C7F7-9BD1-4CF7-9EBE-0EE893F858B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20955</xdr:colOff>
      <xdr:row>0</xdr:row>
      <xdr:rowOff>76200</xdr:rowOff>
    </xdr:to>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F9231C24-8D1F-4953-BC0D-1E37876FB1AC}"/>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8</xdr:col>
      <xdr:colOff>304800</xdr:colOff>
      <xdr:row>0</xdr:row>
      <xdr:rowOff>777946</xdr:rowOff>
    </xdr:to>
    <xdr:sp macro="" textlink="">
      <xdr:nvSpPr>
        <xdr:cNvPr id="2" name="AutoShape 1" descr="image.png">
          <a:extLst>
            <a:ext uri="{FF2B5EF4-FFF2-40B4-BE49-F238E27FC236}">
              <a16:creationId xmlns:a16="http://schemas.microsoft.com/office/drawing/2014/main" id="{8E103D70-9614-4799-949E-623F9247EA3E}"/>
            </a:ext>
          </a:extLst>
        </xdr:cNvPr>
        <xdr:cNvSpPr>
          <a:spLocks noChangeAspect="1" noChangeArrowheads="1"/>
        </xdr:cNvSpPr>
      </xdr:nvSpPr>
      <xdr:spPr bwMode="auto">
        <a:xfrm>
          <a:off x="11658600" y="182880"/>
          <a:ext cx="304800" cy="76842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0</xdr:row>
      <xdr:rowOff>0</xdr:rowOff>
    </xdr:from>
    <xdr:to>
      <xdr:col>11</xdr:col>
      <xdr:colOff>17145</xdr:colOff>
      <xdr:row>0</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1BD657FE-59E5-4458-89B1-4172DD46AC44}"/>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11</xdr:col>
      <xdr:colOff>0</xdr:colOff>
      <xdr:row>0</xdr:row>
      <xdr:rowOff>0</xdr:rowOff>
    </xdr:from>
    <xdr:to>
      <xdr:col>11</xdr:col>
      <xdr:colOff>17145</xdr:colOff>
      <xdr:row>0</xdr:row>
      <xdr:rowOff>76200</xdr:rowOff>
    </xdr:to>
    <xdr:pic>
      <xdr:nvPicPr>
        <xdr:cNvPr id="4" name="Picture 3">
          <a:extLst>
            <a:ext uri="{FF2B5EF4-FFF2-40B4-BE49-F238E27FC236}">
              <a16:creationId xmlns:a16="http://schemas.microsoft.com/office/drawing/2014/main" id="{3FB3D62E-C5D9-48E8-A64B-C7948DE858D2}"/>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5" name="Picture 4">
          <a:extLst>
            <a:ext uri="{FF2B5EF4-FFF2-40B4-BE49-F238E27FC236}">
              <a16:creationId xmlns:a16="http://schemas.microsoft.com/office/drawing/2014/main" id="{56510E09-EFAD-4B29-8F6D-3E791D1D78A6}"/>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pic>
      <xdr:nvPicPr>
        <xdr:cNvPr id="6" name="ComboBox1">
          <a:extLst>
            <a:ext uri="{FF2B5EF4-FFF2-40B4-BE49-F238E27FC236}">
              <a16:creationId xmlns:a16="http://schemas.microsoft.com/office/drawing/2014/main" id="{E842630E-75E3-4DB6-8192-9F35A93D0BEB}"/>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0</xdr:row>
      <xdr:rowOff>0</xdr:rowOff>
    </xdr:from>
    <xdr:to>
      <xdr:col>11</xdr:col>
      <xdr:colOff>17145</xdr:colOff>
      <xdr:row>0</xdr:row>
      <xdr:rowOff>76200</xdr:rowOff>
    </xdr:to>
    <xdr:sp macro="" textlink="">
      <xdr:nvSpPr>
        <xdr:cNvPr id="7" name="ComboBox1" hidden="1">
          <a:extLst>
            <a:ext uri="{63B3BB69-23CF-44E3-9099-C40C66FF867C}">
              <a14:compatExt xmlns:a14="http://schemas.microsoft.com/office/drawing/2010/main" spid="_x0000_s1028"/>
            </a:ext>
            <a:ext uri="{FF2B5EF4-FFF2-40B4-BE49-F238E27FC236}">
              <a16:creationId xmlns:a16="http://schemas.microsoft.com/office/drawing/2014/main" id="{D74AD8E2-E397-4090-BA74-456BA307CC70}"/>
            </a:ext>
          </a:extLst>
        </xdr:cNvPr>
        <xdr:cNvSpPr/>
      </xdr:nvSpPr>
      <xdr:spPr bwMode="auto">
        <a:xfrm>
          <a:off x="14013180" y="182880"/>
          <a:ext cx="1714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10</xdr:col>
      <xdr:colOff>0</xdr:colOff>
      <xdr:row>0</xdr:row>
      <xdr:rowOff>0</xdr:rowOff>
    </xdr:from>
    <xdr:ext cx="304800" cy="772443"/>
    <xdr:sp macro="" textlink="">
      <xdr:nvSpPr>
        <xdr:cNvPr id="8" name="AutoShape 1" descr="image.png">
          <a:extLst>
            <a:ext uri="{FF2B5EF4-FFF2-40B4-BE49-F238E27FC236}">
              <a16:creationId xmlns:a16="http://schemas.microsoft.com/office/drawing/2014/main" id="{840FBA1C-E1F5-4844-AB4F-48C272C66199}"/>
            </a:ext>
          </a:extLst>
        </xdr:cNvPr>
        <xdr:cNvSpPr>
          <a:spLocks noChangeAspect="1" noChangeArrowheads="1"/>
        </xdr:cNvSpPr>
      </xdr:nvSpPr>
      <xdr:spPr bwMode="auto">
        <a:xfrm>
          <a:off x="13228320" y="182880"/>
          <a:ext cx="304800" cy="77244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13</xdr:col>
      <xdr:colOff>752475</xdr:colOff>
      <xdr:row>0</xdr:row>
      <xdr:rowOff>0</xdr:rowOff>
    </xdr:from>
    <xdr:to>
      <xdr:col>13</xdr:col>
      <xdr:colOff>754380</xdr:colOff>
      <xdr:row>0</xdr:row>
      <xdr:rowOff>76200</xdr:rowOff>
    </xdr:to>
    <xdr:sp macro="" textlink="">
      <xdr:nvSpPr>
        <xdr:cNvPr id="9" name="ComboBox1" hidden="1">
          <a:extLst>
            <a:ext uri="{63B3BB69-23CF-44E3-9099-C40C66FF867C}">
              <a14:compatExt xmlns:a14="http://schemas.microsoft.com/office/drawing/2010/main" spid="_x0000_s1028"/>
            </a:ext>
            <a:ext uri="{FF2B5EF4-FFF2-40B4-BE49-F238E27FC236}">
              <a16:creationId xmlns:a16="http://schemas.microsoft.com/office/drawing/2014/main" id="{79C52303-BE27-4C3C-BD3B-631FD6035009}"/>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0</xdr:row>
      <xdr:rowOff>0</xdr:rowOff>
    </xdr:from>
    <xdr:to>
      <xdr:col>13</xdr:col>
      <xdr:colOff>754380</xdr:colOff>
      <xdr:row>0</xdr:row>
      <xdr:rowOff>76200</xdr:rowOff>
    </xdr:to>
    <xdr:pic>
      <xdr:nvPicPr>
        <xdr:cNvPr id="10" name="Picture 3">
          <a:extLst>
            <a:ext uri="{FF2B5EF4-FFF2-40B4-BE49-F238E27FC236}">
              <a16:creationId xmlns:a16="http://schemas.microsoft.com/office/drawing/2014/main" id="{4C407814-7728-4951-97F8-FEA7EB96F023}"/>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1" name="Picture 4">
          <a:extLst>
            <a:ext uri="{FF2B5EF4-FFF2-40B4-BE49-F238E27FC236}">
              <a16:creationId xmlns:a16="http://schemas.microsoft.com/office/drawing/2014/main" id="{E50CD8D1-2C84-438B-B814-2CED6ECA0028}"/>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pic>
      <xdr:nvPicPr>
        <xdr:cNvPr id="12" name="ComboBox1">
          <a:extLst>
            <a:ext uri="{FF2B5EF4-FFF2-40B4-BE49-F238E27FC236}">
              <a16:creationId xmlns:a16="http://schemas.microsoft.com/office/drawing/2014/main" id="{3D520CC6-B35C-4886-B63E-8E4C6FC34590}"/>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13</xdr:col>
      <xdr:colOff>752475</xdr:colOff>
      <xdr:row>0</xdr:row>
      <xdr:rowOff>0</xdr:rowOff>
    </xdr:from>
    <xdr:to>
      <xdr:col>13</xdr:col>
      <xdr:colOff>754380</xdr:colOff>
      <xdr:row>0</xdr:row>
      <xdr:rowOff>76200</xdr:rowOff>
    </xdr:to>
    <xdr:sp macro="" textlink="">
      <xdr:nvSpPr>
        <xdr:cNvPr id="13" name="ComboBox1" hidden="1">
          <a:extLst>
            <a:ext uri="{63B3BB69-23CF-44E3-9099-C40C66FF867C}">
              <a14:compatExt xmlns:a14="http://schemas.microsoft.com/office/drawing/2010/main" spid="_x0000_s1028"/>
            </a:ext>
            <a:ext uri="{FF2B5EF4-FFF2-40B4-BE49-F238E27FC236}">
              <a16:creationId xmlns:a16="http://schemas.microsoft.com/office/drawing/2014/main" id="{759192F1-BECC-4DEE-85F5-0709DC7242AF}"/>
            </a:ext>
          </a:extLst>
        </xdr:cNvPr>
        <xdr:cNvSpPr/>
      </xdr:nvSpPr>
      <xdr:spPr bwMode="auto">
        <a:xfrm>
          <a:off x="1633537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13</xdr:col>
      <xdr:colOff>752475</xdr:colOff>
      <xdr:row>0</xdr:row>
      <xdr:rowOff>0</xdr:rowOff>
    </xdr:from>
    <xdr:ext cx="32385" cy="76200"/>
    <xdr:sp macro="" textlink="">
      <xdr:nvSpPr>
        <xdr:cNvPr id="14" name="ComboBox1" hidden="1">
          <a:extLst>
            <a:ext uri="{63B3BB69-23CF-44E3-9099-C40C66FF867C}">
              <a14:compatExt xmlns:a14="http://schemas.microsoft.com/office/drawing/2010/main" spid="_x0000_s1028"/>
            </a:ext>
            <a:ext uri="{FF2B5EF4-FFF2-40B4-BE49-F238E27FC236}">
              <a16:creationId xmlns:a16="http://schemas.microsoft.com/office/drawing/2014/main" id="{68587C6A-21AC-4E47-90E3-DDB7B0D81387}"/>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5" name="ComboBox1" hidden="1">
          <a:extLst>
            <a:ext uri="{63B3BB69-23CF-44E3-9099-C40C66FF867C}">
              <a14:compatExt xmlns:a14="http://schemas.microsoft.com/office/drawing/2010/main" spid="_x0000_s1028"/>
            </a:ext>
            <a:ext uri="{FF2B5EF4-FFF2-40B4-BE49-F238E27FC236}">
              <a16:creationId xmlns:a16="http://schemas.microsoft.com/office/drawing/2014/main" id="{474B4908-8269-462F-965A-350221F3C0EA}"/>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6" name="ComboBox1" hidden="1">
          <a:extLst>
            <a:ext uri="{63B3BB69-23CF-44E3-9099-C40C66FF867C}">
              <a14:compatExt xmlns:a14="http://schemas.microsoft.com/office/drawing/2010/main" spid="_x0000_s1028"/>
            </a:ext>
            <a:ext uri="{FF2B5EF4-FFF2-40B4-BE49-F238E27FC236}">
              <a16:creationId xmlns:a16="http://schemas.microsoft.com/office/drawing/2014/main" id="{2E2EAB3E-C335-477D-8DCF-D129E8344418}"/>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7" name="ComboBox1" hidden="1">
          <a:extLst>
            <a:ext uri="{63B3BB69-23CF-44E3-9099-C40C66FF867C}">
              <a14:compatExt xmlns:a14="http://schemas.microsoft.com/office/drawing/2010/main" spid="_x0000_s1028"/>
            </a:ext>
            <a:ext uri="{FF2B5EF4-FFF2-40B4-BE49-F238E27FC236}">
              <a16:creationId xmlns:a16="http://schemas.microsoft.com/office/drawing/2014/main" id="{F2B7BC47-C775-4D6A-AEEB-1E40930F3533}"/>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oneCellAnchor>
    <xdr:from>
      <xdr:col>13</xdr:col>
      <xdr:colOff>752475</xdr:colOff>
      <xdr:row>0</xdr:row>
      <xdr:rowOff>0</xdr:rowOff>
    </xdr:from>
    <xdr:ext cx="32385" cy="76200"/>
    <xdr:sp macro="" textlink="">
      <xdr:nvSpPr>
        <xdr:cNvPr id="18" name="ComboBox1" hidden="1">
          <a:extLst>
            <a:ext uri="{63B3BB69-23CF-44E3-9099-C40C66FF867C}">
              <a14:compatExt xmlns:a14="http://schemas.microsoft.com/office/drawing/2010/main" spid="_x0000_s1028"/>
            </a:ext>
            <a:ext uri="{FF2B5EF4-FFF2-40B4-BE49-F238E27FC236}">
              <a16:creationId xmlns:a16="http://schemas.microsoft.com/office/drawing/2014/main" id="{51E0278C-367B-43D1-B850-1FF2FBF8BDB6}"/>
            </a:ext>
          </a:extLst>
        </xdr:cNvPr>
        <xdr:cNvSpPr/>
      </xdr:nvSpPr>
      <xdr:spPr bwMode="auto">
        <a:xfrm>
          <a:off x="16335375" y="182880"/>
          <a:ext cx="3238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19</xdr:col>
      <xdr:colOff>752475</xdr:colOff>
      <xdr:row>0</xdr:row>
      <xdr:rowOff>0</xdr:rowOff>
    </xdr:from>
    <xdr:to>
      <xdr:col>19</xdr:col>
      <xdr:colOff>752475</xdr:colOff>
      <xdr:row>0</xdr:row>
      <xdr:rowOff>76200</xdr:rowOff>
    </xdr:to>
    <xdr:sp macro="" textlink="">
      <xdr:nvSpPr>
        <xdr:cNvPr id="19" name="ComboBox1" hidden="1">
          <a:extLst>
            <a:ext uri="{63B3BB69-23CF-44E3-9099-C40C66FF867C}">
              <a14:compatExt xmlns:a14="http://schemas.microsoft.com/office/drawing/2010/main" spid="_x0000_s1028"/>
            </a:ext>
            <a:ext uri="{FF2B5EF4-FFF2-40B4-BE49-F238E27FC236}">
              <a16:creationId xmlns:a16="http://schemas.microsoft.com/office/drawing/2014/main" id="{DD609B43-9617-4C92-9E56-C1A02164A183}"/>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19</xdr:col>
      <xdr:colOff>752475</xdr:colOff>
      <xdr:row>0</xdr:row>
      <xdr:rowOff>0</xdr:rowOff>
    </xdr:from>
    <xdr:to>
      <xdr:col>19</xdr:col>
      <xdr:colOff>752475</xdr:colOff>
      <xdr:row>0</xdr:row>
      <xdr:rowOff>76200</xdr:rowOff>
    </xdr:to>
    <xdr:pic>
      <xdr:nvPicPr>
        <xdr:cNvPr id="20" name="Picture 3">
          <a:extLst>
            <a:ext uri="{FF2B5EF4-FFF2-40B4-BE49-F238E27FC236}">
              <a16:creationId xmlns:a16="http://schemas.microsoft.com/office/drawing/2014/main" id="{57A71F44-7DE4-44EB-BD16-4469CEA7E788}"/>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pic>
      <xdr:nvPicPr>
        <xdr:cNvPr id="21" name="Picture 4">
          <a:extLst>
            <a:ext uri="{FF2B5EF4-FFF2-40B4-BE49-F238E27FC236}">
              <a16:creationId xmlns:a16="http://schemas.microsoft.com/office/drawing/2014/main" id="{2C59FFD8-2446-4694-AEC6-DEB1CF4993E1}"/>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pic>
      <xdr:nvPicPr>
        <xdr:cNvPr id="22" name="ComboBox1">
          <a:extLst>
            <a:ext uri="{FF2B5EF4-FFF2-40B4-BE49-F238E27FC236}">
              <a16:creationId xmlns:a16="http://schemas.microsoft.com/office/drawing/2014/main" id="{10337D78-A566-47B2-8E9B-7B39BEB17B1E}"/>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oneCell">
    <xdr:from>
      <xdr:col>19</xdr:col>
      <xdr:colOff>752475</xdr:colOff>
      <xdr:row>0</xdr:row>
      <xdr:rowOff>0</xdr:rowOff>
    </xdr:from>
    <xdr:to>
      <xdr:col>19</xdr:col>
      <xdr:colOff>752475</xdr:colOff>
      <xdr:row>0</xdr:row>
      <xdr:rowOff>76200</xdr:rowOff>
    </xdr:to>
    <xdr:sp macro="" textlink="">
      <xdr:nvSpPr>
        <xdr:cNvPr id="23" name="ComboBox1" hidden="1">
          <a:extLst>
            <a:ext uri="{63B3BB69-23CF-44E3-9099-C40C66FF867C}">
              <a14:compatExt xmlns:a14="http://schemas.microsoft.com/office/drawing/2010/main" spid="_x0000_s1028"/>
            </a:ext>
            <a:ext uri="{FF2B5EF4-FFF2-40B4-BE49-F238E27FC236}">
              <a16:creationId xmlns:a16="http://schemas.microsoft.com/office/drawing/2014/main" id="{3AFD2717-80C8-4203-B239-AF1A98D705D7}"/>
            </a:ext>
          </a:extLst>
        </xdr:cNvPr>
        <xdr:cNvSpPr/>
      </xdr:nvSpPr>
      <xdr:spPr bwMode="auto">
        <a:xfrm>
          <a:off x="21829395" y="182880"/>
          <a:ext cx="571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INCIDENTES\Informe%20Gesti&#243;n%20OC%20CB%20Redeban,%20con%20corte%20al%2030%20abri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desplegables"/>
      <sheetName val="Consolidado"/>
    </sheetNames>
    <sheetDataSet>
      <sheetData sheetId="0"/>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873.994984259261" createdVersion="8" refreshedVersion="8" minRefreshableVersion="3" recordCount="71" xr:uid="{49401B00-3E50-4015-9A0C-BE1FAC138DCB}">
  <cacheSource type="worksheet">
    <worksheetSource ref="A1:AE1048576" sheet="ADECUACIONES"/>
  </cacheSource>
  <cacheFields count="31">
    <cacheField name="CIUDAD SEDE" numFmtId="0">
      <sharedItems containsBlank="1"/>
    </cacheField>
    <cacheField name="COORDINADOR" numFmtId="0">
      <sharedItems containsBlank="1" count="7">
        <s v="JUAN SEBASTIÁN RÍOS CASTRILLÓN"/>
        <s v="JOSE MAURICIO HERNANDEZ ROJAS"/>
        <s v="DIEGO FERNANDO HENAO CARDONA"/>
        <s v="WILLIAM ASDRUBAL ROZO ROZO"/>
        <s v="KEVIN ALEXIS CORZO BUSTOS"/>
        <s v="MIGUEL JULIÁN HERNÁNDEZ GUARÍN"/>
        <m/>
      </sharedItems>
    </cacheField>
    <cacheField name="CENTRO DE COSTOS LÍNEACOM" numFmtId="0">
      <sharedItems containsBlank="1" count="8">
        <s v="0004-0005"/>
        <s v="0004-0001"/>
        <s v="0004-0002"/>
        <s v="0004-0003"/>
        <s v="0004-0004"/>
        <s v="0004-0007"/>
        <s v="0004-0008"/>
        <m/>
      </sharedItems>
    </cacheField>
    <cacheField name="CÓDIGO DANE" numFmtId="0">
      <sharedItems containsString="0" containsBlank="1" containsNumber="1" containsInteger="1" minValue="5001" maxValue="95001"/>
    </cacheField>
    <cacheField name="TA/CODIGO ACTIVIDAD" numFmtId="0">
      <sharedItems containsBlank="1"/>
    </cacheField>
    <cacheField name="CODIGO CB" numFmtId="0">
      <sharedItems containsString="0" containsBlank="1" containsNumber="1" containsInteger="1" minValue="13412" maxValue="80741"/>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06-13T00:00:00" maxDate="2025-07-31T00:00:00"/>
    </cacheField>
    <cacheField name="FECHA ULTIMA ACTUALIZACION" numFmtId="14">
      <sharedItems containsNonDate="0" containsDate="1" containsString="0" containsBlank="1" minDate="2025-07-01T00:00:00" maxDate="2025-08-01T00:00:00"/>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FORMA DE ATENCIÓ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ACOMETIDA DATOS_x000a_" numFmtId="0">
      <sharedItems containsString="0" containsBlank="1" containsNumber="1" containsInteger="1" minValue="0" maxValue="16"/>
    </cacheField>
    <cacheField name="ACOMETIDA ELECTRICA " numFmtId="0">
      <sharedItems containsString="0" containsBlank="1" containsNumber="1" containsInteger="1" minValue="0" maxValue="0"/>
    </cacheField>
    <cacheField name="SWITCH" numFmtId="0">
      <sharedItems containsString="0" containsBlank="1" containsNumber="1" containsInteger="1" minValue="0" maxValue="1"/>
    </cacheField>
    <cacheField name="ROUTER" numFmtId="0">
      <sharedItems containsString="0" containsBlank="1" containsNumber="1" containsInteger="1" minValue="0" maxValue="1"/>
    </cacheField>
    <cacheField name="VALOR DIAS ACTIVIDAD FACTURABLES" numFmtId="0">
      <sharedItems containsString="0" containsBlank="1" containsNumber="1" containsInteger="1" minValue="0" maxValue="1"/>
    </cacheField>
    <cacheField name="DIAS ACTIVIDAD FACTURABLES" numFmtId="0">
      <sharedItems containsString="0" containsBlank="1" containsNumber="1" minValue="44559.984800000006" maxValue="464809.03136000002"/>
    </cacheField>
    <cacheField name="VALOR TOTAL INSTALACION DE PUBLICIDAD" numFmtId="0">
      <sharedItems containsString="0" containsBlank="1" containsNumber="1" minValue="44559.984800000006" maxValue="13282762.7155999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873.995024189811" createdVersion="8" refreshedVersion="8" minRefreshableVersion="3" recordCount="210" xr:uid="{35502586-7CEF-44AA-82D1-AD22BB84D56F}">
  <cacheSource type="worksheet">
    <worksheetSource ref="A1:AG1048576" sheet="INCIDENTES"/>
  </cacheSource>
  <cacheFields count="33">
    <cacheField name="CIUDAD SEDE" numFmtId="0">
      <sharedItems containsBlank="1"/>
    </cacheField>
    <cacheField name="COORDINADOR" numFmtId="0">
      <sharedItems containsBlank="1" count="7">
        <s v="MIGUEL JULIÁN HERNÁNDEZ GUARÍN"/>
        <s v="KEVIN ALEXIS CORZO BUSTOS"/>
        <s v="JUAN SEBASTIÁN RÍOS CASTRILLÓN"/>
        <s v="JOSE MAURICIO HERNANDEZ ROJAS"/>
        <s v="DIEGO FERNANDO HENAO CARDONA"/>
        <s v="WILLIAM ASDRUBAL ROZO ROZO"/>
        <m/>
      </sharedItems>
    </cacheField>
    <cacheField name="CENTRO DE COSTOS LÍNEACOM" numFmtId="0">
      <sharedItems containsBlank="1" count="8">
        <s v="0004-0008"/>
        <s v="0004-0007"/>
        <s v="0004-0005"/>
        <s v="0004-0001"/>
        <s v="0004-0003"/>
        <s v="0004-0002"/>
        <s v="0004-0004"/>
        <m/>
      </sharedItems>
    </cacheField>
    <cacheField name="CÓDIGO DANE" numFmtId="0">
      <sharedItems containsString="0" containsBlank="1" containsNumber="1" containsInteger="1" minValue="5001" maxValue="95001"/>
    </cacheField>
    <cacheField name="TA/CODIGO ACTIVIDAD" numFmtId="0">
      <sharedItems containsBlank="1" containsMixedTypes="1" containsNumber="1" containsInteger="1" minValue="2359858" maxValue="2533244"/>
    </cacheField>
    <cacheField name="CODIGO CB" numFmtId="0">
      <sharedItems containsString="0" containsBlank="1" containsNumber="1" containsInteger="1" minValue="10193" maxValue="80416"/>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ontainsMixedTypes="1" containsNumber="1" containsInteger="1" minValue="0" maxValue="0"/>
    </cacheField>
    <cacheField name="RED" numFmtId="0">
      <sharedItems containsBlank="1"/>
    </cacheField>
    <cacheField name="FO" numFmtId="0">
      <sharedItems containsBlank="1"/>
    </cacheField>
    <cacheField name="FECHA ASIGNACIÓN A LÍNEA COMUNICACIONES (DD/MM/AAAA HH:MM)" numFmtId="0">
      <sharedItems containsNonDate="0" containsDate="1" containsString="0" containsBlank="1" minDate="2025-06-26T11:56:00" maxDate="2025-07-31T11:28:00"/>
    </cacheField>
    <cacheField name="FECHA CIERRE DEL TICKET (DD/MM/AAAA HH:MM)" numFmtId="0">
      <sharedItems containsNonDate="0" containsDate="1" containsString="0" containsBlank="1" minDate="2025-07-01T14:55:00" maxDate="2025-07-31T13:45:00"/>
    </cacheField>
    <cacheField name="ACOMETIDA" numFmtId="0">
      <sharedItems containsBlank="1"/>
    </cacheField>
    <cacheField name="GRUPO_FALLA" numFmtId="0">
      <sharedItems containsBlank="1"/>
    </cacheField>
    <cacheField name="CATEGORÍA" numFmtId="0">
      <sharedItems containsBlank="1"/>
    </cacheField>
    <cacheField name="FALLA" numFmtId="0">
      <sharedItems containsBlank="1"/>
    </cacheField>
    <cacheField name="FORMATO" numFmtId="0">
      <sharedItems containsBlank="1"/>
    </cacheField>
    <cacheField name="CADENA" numFmtId="0">
      <sharedItems containsNonDate="0" containsString="0" containsBlank="1"/>
    </cacheField>
    <cacheField name="ESTADO" numFmtId="0">
      <sharedItems containsBlank="1"/>
    </cacheField>
    <cacheField name="OBSERVACION" numFmtId="0">
      <sharedItems containsBlank="1" longText="1"/>
    </cacheField>
    <cacheField name="FORMA DE ATENCIÓN" numFmtId="0">
      <sharedItems containsBlank="1"/>
    </cacheField>
    <cacheField name="TERMINAL" numFmtId="0">
      <sharedItems containsBlank="1" containsMixedTypes="1" containsNumber="1" containsInteger="1" minValue="0" maxValue="11115886"/>
    </cacheField>
    <cacheField name="TIPIFICACION" numFmtId="0">
      <sharedItems containsBlank="1"/>
    </cacheField>
    <cacheField name="TIPO DE TRAYECTO" numFmtId="0">
      <sharedItems containsBlank="1"/>
    </cacheField>
    <cacheField name="NOMBRE DEL TECNICO " numFmtId="0">
      <sharedItems containsBlank="1" containsMixedTypes="1" containsNumber="1" containsInteger="1" minValue="0" maxValue="0"/>
    </cacheField>
    <cacheField name="DIAS DE VISITA" numFmtId="0">
      <sharedItems containsString="0" containsBlank="1" containsNumber="1" containsInteger="1" minValue="0" maxValue="2"/>
    </cacheField>
    <cacheField name="ACOMETIDA DATOS" numFmtId="0">
      <sharedItems containsString="0" containsBlank="1" containsNumber="1" containsInteger="1" minValue="0" maxValue="0"/>
    </cacheField>
    <cacheField name="ACOMETIDA ELÉCTRICA" numFmtId="0">
      <sharedItems containsString="0" containsBlank="1" containsNumber="1" containsInteger="1" minValue="0" maxValue="0"/>
    </cacheField>
    <cacheField name="SWITCH" numFmtId="0">
      <sharedItems containsString="0" containsBlank="1" containsNumber="1" containsInteger="1" minValue="0" maxValue="0"/>
    </cacheField>
    <cacheField name="VALOR DIAS ACTIVIDAD FACTURABLES" numFmtId="0">
      <sharedItems containsString="0" containsBlank="1" containsNumber="1" minValue="37904.65408" maxValue="479589.73656000005"/>
    </cacheField>
    <cacheField name="VALOR DIAS ACOMPAÑAMIENTO FACTURABLES" numFmtId="0">
      <sharedItems containsString="0" containsBlank="1" containsNumber="1" minValue="37904.65408" maxValue="18322377.74175998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873.995058449073" createdVersion="8" refreshedVersion="8" minRefreshableVersion="3" recordCount="10" xr:uid="{275F2F00-0B0C-411E-8F7C-4EE0420A037A}">
  <cacheSource type="worksheet">
    <worksheetSource ref="A1:AG1048576" sheet="OC"/>
  </cacheSource>
  <cacheFields count="33">
    <cacheField name="CIUDAD SEDE" numFmtId="0">
      <sharedItems containsBlank="1"/>
    </cacheField>
    <cacheField name="COORDINADOR" numFmtId="0">
      <sharedItems containsBlank="1" count="7">
        <s v="MIGUEL JULIÁN HERNÁNDEZ GUARÍN"/>
        <s v="WILLIAM ASDRUBAL ROZO ROZO"/>
        <s v="JOSE MAURICIO HERNANDEZ ROJAS"/>
        <s v="DIEGO FERNANDO HENAO CARDONA"/>
        <s v="JUAN SEBASTIÁN RÍOS CASTRILLÓN"/>
        <m/>
        <s v="KEVIN ALEXIS CORZO BUSTOS" u="1"/>
      </sharedItems>
    </cacheField>
    <cacheField name="CENTRO DE COSTOS LÍNEACOM" numFmtId="0">
      <sharedItems containsBlank="1" count="8">
        <s v="0004-0008"/>
        <s v="0004-0004"/>
        <s v="0004-0001"/>
        <s v="0004-0002"/>
        <s v="0004-0005"/>
        <s v="0004-0003"/>
        <m/>
        <s v="0004-0007" u="1"/>
      </sharedItems>
    </cacheField>
    <cacheField name="CÓDIGO DANE" numFmtId="0">
      <sharedItems containsString="0" containsBlank="1" containsNumber="1" containsInteger="1" minValue="5736" maxValue="68745"/>
    </cacheField>
    <cacheField name="TA/CODIGO ACTIVIDAD" numFmtId="0">
      <sharedItems containsString="0" containsBlank="1" containsNumber="1" containsInteger="1" minValue="13365127" maxValue="13727668"/>
    </cacheField>
    <cacheField name="CODIGO CB" numFmtId="0">
      <sharedItems containsString="0" containsBlank="1" containsNumber="1" containsInteger="1" minValue="39748" maxValue="78387"/>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06-18T08:30:00" maxDate="2025-07-17T17:21:00"/>
    </cacheField>
    <cacheField name="FECHA DEL CIERRE DEL TICKET (DD/MM/AAAA)" numFmtId="0">
      <sharedItems containsNonDate="0" containsDate="1" containsString="0" containsBlank="1" minDate="2025-07-07T16:15:00" maxDate="2025-07-23T08:50:08"/>
    </cacheField>
    <cacheField name="ACOMETIDA" numFmtId="0">
      <sharedItems containsNonDate="0" containsString="0" containsBlank="1"/>
    </cacheField>
    <cacheField name="SOLICITUD" numFmtId="0">
      <sharedItems containsBlank="1"/>
    </cacheField>
    <cacheField name="DESCRIPCIÓ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TERMINAL " numFmtId="0">
      <sharedItems containsBlank="1" containsMixedTypes="1" containsNumber="1" containsInteger="1" minValue="0" maxValue="0"/>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1"/>
    </cacheField>
    <cacheField name="SWITCH" numFmtId="0">
      <sharedItems containsString="0" containsBlank="1" containsNumber="1" containsInteger="1" minValue="0" maxValue="0"/>
    </cacheField>
    <cacheField name="ACOMETIDA DATOS" numFmtId="0">
      <sharedItems containsString="0" containsBlank="1" containsNumber="1" containsInteger="1" minValue="0" maxValue="0"/>
    </cacheField>
    <cacheField name="ACOMETIDA ELECTRICA" numFmtId="0">
      <sharedItems containsString="0" containsBlank="1" containsNumber="1" containsInteger="1" minValue="0" maxValue="0"/>
    </cacheField>
    <cacheField name="VALOR ACTIVIDAD" numFmtId="0">
      <sharedItems containsString="0" containsBlank="1" containsNumber="1" minValue="37904.65408" maxValue="479589.73656000005"/>
    </cacheField>
    <cacheField name="VALOR TOTAL" numFmtId="0">
      <sharedItems containsString="0" containsBlank="1" containsNumber="1" minValue="37904.65408" maxValue="1010801.86003999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873.995088425923" createdVersion="8" refreshedVersion="8" minRefreshableVersion="3" recordCount="34" xr:uid="{AEC258F5-244D-474F-81AB-196A67CC0BEE}">
  <cacheSource type="worksheet">
    <worksheetSource ref="E3:F37" sheet="Tablas dinámicas"/>
  </cacheSource>
  <cacheFields count="2">
    <cacheField name="NOMBRE CC" numFmtId="0">
      <sharedItems containsBlank="1" count="10">
        <s v="Redeban Eje Cafetero (Pereira)"/>
        <s v="Redeban Suroccidente (Cali)"/>
        <s v="Redeban Costa (Barranqullla)"/>
        <s v="Redeban Noroccidente (Medellín)"/>
        <s v="Redeban Oriente (Otros)"/>
        <s v="Redeban Santander"/>
        <s v="Redeban Centro ( Bogotá)"/>
        <m/>
        <s v="NOMBRE CC"/>
        <e v="#N/A" u="1"/>
      </sharedItems>
    </cacheField>
    <cacheField name="VALOR" numFmtId="0">
      <sharedItems containsString="0" containsBlank="1" containsNumber="1" minValue="37904.65408" maxValue="7710387.54796001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s v="MEDELLIN"/>
    <x v="0"/>
    <x v="0"/>
    <n v="5091"/>
    <s v="TA-25-792913"/>
    <n v="79058"/>
    <s v="APERTURA"/>
    <s v="CB CRECIMIENTO - OTRAS LISTAS"/>
    <s v="ANTIOQUIA"/>
    <s v="BETANIA"/>
    <s v="BARRIO BETANIA ANTIOQUIA BETANIA"/>
    <s v="REDEBAN"/>
    <s v="FO-25-1167345"/>
    <d v="2025-06-13T00:00:00"/>
    <d v="2025-07-04T00:00:00"/>
    <s v="UNO A UNO"/>
    <s v="UNO A UNO"/>
    <s v="EJECUTADO"/>
    <s v="13-06 SE ESTABLECE COMUNICACIÓN CON EL USUARIO EL CUAL IDNICA QUE EL NECESITA ES UN CORRESPONSAL CON UN CUPO BASTANTES GRANDE, QUE SI EL CORRESPONSAL ES SOLO POR 10 MILLONES NO LE INTERESA - COMUNICACIÓN POR WPP 13/6/2025 ESTE PUNTO FUE ENVIADO EN LA LISTA DE AYER, ME APOYAN POR FAVOR DEJÁNDOLO PENDIENTE HASTA LAS HORAS DE LA TARDE, ES DECIR, NO PROCESEN LA PROGRAMACIÓN, PERO TAMPOCO LO CANCELEN. 19/6/2025 POR FAVOR PROCEDER CON LA IMPLEMENTACIÓN, AGRADEZCO NOS CONFIRMEN CUANDO SE PROGRAME EL PUNTO. 26/6/2025 SE REALIZÓ VISITA NO SE LOGRA INSTALAR YA QUE EL CUPO ASIGNADO ES DE 10 MILLONES EL CB SOLICITO QUE FUERA MÁS ALTO, SE ESCALO TEMA A BANCO Y NO BRINDAN INFORMACIÓN OPORTUNA ADICIONAL NOS INDICA QUE SE DEBE CORREGIR EL CORREO ELECTRÓNICO RDESCOBARARANGO@YAHOO.ES SE POSPONE ACTIVIDAD 4/7/2025 SE REALIZA INSTALACIÓN DE CORRESPONSAL, SE INSTALAN EQUIPOS CON PRUEBAS EXITOSAS, SE CAPACITA Y SE EVALÚA AL CLIENTE, SE INSTALA PUBLICIDAD COMPLETA, CB QUEDA OPERATIVO. USUARIO SOMOS BANCOLOMBIA ACTIVO"/>
    <s v="VISITA _TECNICA"/>
    <s v="SASZZ633"/>
    <s v="TIPO III"/>
    <s v="TERRESTRE"/>
    <s v="QUINTERO SANCHEZ JUAN SEBASTIAN"/>
    <n v="0"/>
    <n v="0"/>
    <n v="0"/>
    <n v="0"/>
    <n v="1"/>
    <n v="222904.27188000001"/>
    <n v="222904.27188000001"/>
  </r>
  <r>
    <s v="SANTA MARTA"/>
    <x v="1"/>
    <x v="1"/>
    <n v="44430"/>
    <s v="TA-25-790987"/>
    <n v="79898"/>
    <s v="APERTURA"/>
    <s v="CB CRECIMIENTO ALIANZA - NUEVO"/>
    <s v="LA GUAJIRA"/>
    <s v="MAICAO"/>
    <s v="DISTRICOL COMERCIALIZADORA"/>
    <s v="REDEBAN"/>
    <s v="FO-25-1186686"/>
    <d v="2025-06-18T00:00:00"/>
    <d v="2025-07-05T00:00:00"/>
    <s v="AGREGADOR"/>
    <s v="DISTRICOL"/>
    <s v="EJECUTADO"/>
    <s v="18-06 PROGRAMACIÓN REALIZADA POR LA ALIANZA 21/6/2025 EN COMUNICACIÓN CON EL SEÑOR FRANCISCO VELÁZQUEZ AL NÚMERO 3003299172, ME INFORMA QUE EL PEAJE ENTRE MAICAO Y RIOHACHA FUE VOLADO POR EL ELN, Y QUE EL SECTOR ESTÁ EN ZONA ROJA POR PROBLEMAS DE ORDEN PÚBLICO , SE REPROGRAMA LA VISITA PARA LA PRÓXIMA SEMANA QUE SE RESTABLEZCA EL ORDEN EN EL SECTOR  26/6/2025 LA ALTERACIÓN AUN CONTINUA POR ESTE MOTIVO NO SE HA PODIDO REALIZAR IMPLEMENTACIÓN 2/7/2025 SE PROGRAMA VISITA PARA EL 04-07  04-07 NO SE LOGRA COMPLETAR LA APERTURA YA QUE EL CLIENTE MANIFIESTA NO TENER DISPOSICIÓN POR COMPROMISO FAMILIAR, QUEDA PENDIENTE LA CAPACITACIÓN ESTÁ QUEDA APLAZADA PARA EL DÍA SÁBADO 5 DE JULIO 5/7/2025 SE REALIZA INSTALACIÓN DE CORRESPONSAL, SE INSTALAN EQUIPOS CON PRUEBAS EXITOSAS, SE CAPACITA Y SE EVALÚA AL CLIENTE, SE INSTALA PUBLICIDAD COMPLETA, CB QUEDA OPERATIVO. USUARIO SOMOS BANCOLOMBIA ACTIVO"/>
    <s v="VISITA _TECNICA"/>
    <s v="SAUZZ961"/>
    <s v="TIPO IV"/>
    <s v="TERRESTRE"/>
    <s v="THOMAS  CAMPO SIGIFREDO SEGUNDO"/>
    <n v="0"/>
    <n v="0"/>
    <n v="0"/>
    <n v="0"/>
    <n v="1"/>
    <n v="464809.03136000002"/>
    <n v="464809.03136000002"/>
  </r>
  <r>
    <s v="PEREIRA"/>
    <x v="2"/>
    <x v="2"/>
    <n v="66318"/>
    <s v="TA-25-799134"/>
    <n v="80021"/>
    <s v="APERTURA"/>
    <s v="CB CRECIMIENTO - NUEVO"/>
    <s v="RISARALDA"/>
    <s v="GUATICA"/>
    <s v="BARRIO CENTRO GUATICA  4"/>
    <s v="REDEBAN"/>
    <s v="FO-25-1158501"/>
    <d v="2025-06-24T00:00:00"/>
    <d v="2025-07-09T00:00:00"/>
    <s v="UNO A UNO"/>
    <s v="UNO A UNO"/>
    <s v="EJECUTADO"/>
    <s v="24-06-2025 SE REALIZA LLAMADA AL CLIENTE, SE HABLA CON LA SRA ZHARICK QUINTERO TABARES  SE VALIDA DIRECCIÓN OK, CANAL OK, DISPONIBILIDAD TOTAL, LLAMAR EL DÍA LA INSTALACIÓN PARA CONFIRMAR VISITA, AVISO EXTERIOR ALTURA APROX 3 METROS; TOMACORRIENTE CERCANO: SI; TIENE CABINA DE SEGURIDAD: SI // CONTACTO REALIZADO POR LA APP 27/6/2025 SE REALIZA VISITA DE APERTURA AL CB UNO A UNO CON CÓDIGO 3007080021 BARRIO CENTRO GUATICA 44, DIRECCIÓN  CR 5 12 32   , COORDENADAS  5.315427, -75.798033, PERO SE ENCUENTRA CERCANÍA CON  CORRESPONSAL DISTRICOL INSTALADO CON CÓDIGO 3007070765 DISTRICOL UNIVERSO ESCOLAR , DIRECCIÓN CL 13  12 66,  COORDENADAS 5.315486, -75.797833, QUEDANDO A MENOS DE 25 MTS DE DISTANCIA UNO DEL OTRO A DOS CASAS EN LA MISMA CUADRA,  SE REALIZA ESCALAMIENTO POR CERCANÍA EN ESPERA DE  COMO PROCEDER. / ENTIDAD APRUEBA INSTALACIÓN 9/7/2025 SE REALIZA INSTALACIÓN DE CORRESPONSAL, SE INSTALAN EQUIPOS CON PRUEBAS EXITOSAS, SE CAPACITA Y SE EVALÚA AL CLIENTE, SE INSTALA PUBLICIDAD COMPLETA, CB QUEDA OPERATIVO. USUARIO SOMOS BANCOLOMBIA ACTIVO"/>
    <s v="VISITA _TECNICA"/>
    <s v="SAXZZ471"/>
    <s v="TIPO II"/>
    <s v="TERRESTRE"/>
    <s v="ARROYAVE CANO MANUEL GUILLERMO"/>
    <n v="0"/>
    <n v="0"/>
    <n v="0"/>
    <n v="0"/>
    <n v="1"/>
    <n v="134410.38956000001"/>
    <n v="134410.38956000001"/>
  </r>
  <r>
    <s v="PEREIRA"/>
    <x v="2"/>
    <x v="2"/>
    <n v="66001"/>
    <s v="TA-25-803999"/>
    <n v="23092"/>
    <s v="APERTURA"/>
    <s v="DATAFONO ADICIONAL - ALIANZA"/>
    <s v="RISARALDA"/>
    <s v="PEREIRA"/>
    <s v="MULTIPAGAS  PLAZA DE BOLIVAR PEREIRA"/>
    <s v="REDEBAN"/>
    <s v="FO-25-1138992"/>
    <d v="2025-06-26T00:00:00"/>
    <d v="2025-07-01T00:00:00"/>
    <s v="ROBUSTO"/>
    <s v="MULTIPAGAS"/>
    <s v="EJECUTADO/CANCELADO"/>
    <s v="26-06 SE REALIZA LLAMADA AL CLIENTE, SE HABLA CON LA SRA CLAUDIA OSORIO  SE VALIDA DIRECCIÓN OK, CANAL OK, DISPONIBILIDAD TOTAL, LLAMAR EL DÍA LA INSTALACIÓN PARA CONFIRMAR VISITA, 1/7/2025 SE REALIZA VISITA, EL CLIENTE INDICA QUE NO SE PUEDE DAR INGRESO YA QUE DE CENTRO DE GESTIÓN DE MULTIPAGAS SOLICITAN UN ERRADICADO PARA EL INGRESO, SE LE INDICA AL CLIENTE QUE SE VA A REALIZAR UNA INSTALACIÓN DE DATÁFONO ADICIONAL POR PETICIÓN DE MULTIPAGAS, PERO INDICA QUE UNA VEZ VALIDEN CON EL CENTRO DE GESTIÓN LLAMAN NUEVAMENTE A SOLICITAR LA INSTALACIÓN."/>
    <s v="VISITA _TECNICA"/>
    <s v="V1ZZZ965"/>
    <s v="TIPO I"/>
    <s v="TERRESTRE"/>
    <s v="FRANCO CAÑAVERAL YAMID RAUL"/>
    <n v="0"/>
    <n v="0"/>
    <n v="0"/>
    <n v="0"/>
    <n v="1"/>
    <n v="44559.984800000006"/>
    <n v="44559.984800000006"/>
  </r>
  <r>
    <s v="SINCELEJO"/>
    <x v="1"/>
    <x v="1"/>
    <n v="70742"/>
    <s v="TA-25-820441"/>
    <n v="80190"/>
    <s v="APERTURA"/>
    <s v="CB CRECIMIENTO - NUEVO"/>
    <s v="SUCRE"/>
    <s v="SAN LUIS DE SINCE"/>
    <s v="BARRIO EL TREBOL SAN LUIS DE SINCE"/>
    <s v="REDEBAN"/>
    <s v="FO-25-1161762"/>
    <d v="2025-07-01T00:00:00"/>
    <d v="2025-07-03T00:00:00"/>
    <s v="UNO A UNO"/>
    <s v="UNO A UNO"/>
    <s v="EJECUTADO/CANCELADO"/>
    <s v="28-06 SE REALIZA LLAMADA AL CLIENTE, SE HABLA CON EL SR  HECTOR MAURICIO HERAZO GALVAN, SE VALIDA DIRECCIÓN OK, CANAL OK, DISPONIBILIDAD TOTAL, LLAMAR EL DÍA LA INSTALACIÓN PARA CONFIRMAR VISITA, AVISO EXTERIOR ALTURA APROX 3 METROS; TOMACORRIENTE CERCANO: SI; TIENE CABINA DE SEGURIDAD: NO 3/7/2025 SE LLEGA A LA DIRECCIÓN RELACIONADA EN LA LISTA DE CHEQUEO CRA 14 12 5,EL TRÉBOL, PERO SE EVIDENCIA QUE EN ESA DIRECCIÓN NO ESTÁ EL COMERCIO, EL COMERCIO ESTA UBICADO EN LA CRA 13 12 03. POR TAL MOTIVO SE CANCELA."/>
    <s v="VISITA _TECNICA"/>
    <s v="F1ZZZ689"/>
    <s v="TIPO II"/>
    <s v="TERRESTRE"/>
    <s v="SANTOS GUZMAN CHRISTIAN FELIPE"/>
    <n v="0"/>
    <n v="0"/>
    <n v="0"/>
    <n v="0"/>
    <n v="1"/>
    <n v="134410.38956000001"/>
    <n v="134410.38956000001"/>
  </r>
  <r>
    <s v="CALI"/>
    <x v="2"/>
    <x v="3"/>
    <n v="19001"/>
    <s v="TA-25-820966"/>
    <n v="80185"/>
    <s v="APERTURA"/>
    <s v="CB CRECIMIENTO - NUEVO"/>
    <s v="CAUCA"/>
    <s v="POPAYAN"/>
    <s v="BARRIO ESMERALDA POPAYAN 5"/>
    <s v="REDEBAN"/>
    <s v="FO-25-1174585"/>
    <d v="2025-07-01T00:00:00"/>
    <d v="2025-07-12T00:00:00"/>
    <s v="UNO A UNO"/>
    <s v="UNO A UNO"/>
    <s v="EJECUTADO"/>
    <s v="01-07-2025 SE REALIZA LLAMADA AL CLIENTE, SE HABLA CON LA SRA SANDRA LORENA PAMPLONA DORADO SE VALIDA DIRECCIÓN OK, CANAL OK, DISPONIBILIDAD TOTAL, LLAMAR EL DÍA LA INSTALACIÓN PARA CONFIRMAR VISITA, AVISO EXTERIOR ALTURA APROX CLIENTE NO TIENE CONOCIMIENTO DE MEDIDAS; TOMACORRIENTE CERCANO: SI; TIENE CABINA DE SEGURIDAD: SI // CONTACTO REALIZADO POR LA APP 2/7/2025 SE REALIZA VISITA DE APERTURA AL CB UNO A UNO CON CÓDIGO 3007080021 BARRIO ESMERALDA POPAYAN 5  , DIRECCIÓN  CR 18 7 B 11 LC 1 , COORDENADAS  2.442165, -76.616340, PERO SE ENCUENTRA CERCANÍA CON  CORRESPONSAL PTM INSTALADO CON CÓDIGO 3007072845 PTM POPAYAN VARIEDADES , DIRECCIÓN CR 18 7 A 15,  COORDENADAS 2.442495, -76.616620, QUEDANDO A MENOS DE 30 MTS DE DISTANCIA UNO DEL OTRO ,  SE REALIZA ESCALAMIENTO POR CERCANÍA EN ESPERA DE  COMO PROCEDER. 2/7/2025 ENTIDAD APRUEBA INSTALACIÓN 02-07 SE REALIZÓ LLAMADA DE VALIDACIÓN Y EL CLIENTE, EL SEÑOR JONATHAN MORA ME COMENTÓ QUE NO PUEDE ATENDERNOS EL DÍA DE HOY PORQUE NO LE HABÍAN INFORMADO NADA, QUE PORFA PARA EL DÍA VIERNES POR LA TARDE O PARA LA OTRA SEMANA PERO QUE SE LE INFORME ANTES PARA ÉL ESTAR PREPARADO. 11/7/2025 EN NUEVA COMUNICACIÓN CON EL USUARIO INDICA QUE NOS ATIENDE EL DIA DE MAÑANA  12-07 SE REALIZA INSTALACIÓN DE CORRESPONSAL, SE INSTALAN EQUIPOS CON PRUEBAS EXITOSAS, SE CAPACITA Y SE EVALÚA AL CLIENTE, SE INSTALA PUBLICIDAD COMPLETA, CB QUEDA OPERATIVO. USUARIO SOMOS BANCOLOMBIA ACTIVO"/>
    <s v="VISITA _TECNICA"/>
    <s v="F1ZZZ726"/>
    <s v="TIPO III"/>
    <s v="TERRESTRE"/>
    <s v="GIMBUEL LASSO LUIS GERMAN"/>
    <n v="0"/>
    <n v="0"/>
    <n v="0"/>
    <n v="0"/>
    <n v="1"/>
    <n v="222904.27188000001"/>
    <n v="222904.27188000001"/>
  </r>
  <r>
    <s v="BOGOTA"/>
    <x v="3"/>
    <x v="4"/>
    <n v="25320"/>
    <s v="TA-25-821243"/>
    <n v="80152"/>
    <s v="APERTURA"/>
    <s v="CB CRECIMIENTO - NUEVO"/>
    <s v="CUNDINAMARCA"/>
    <s v="GUADUAS"/>
    <s v="BARRIO CENTRO GUADUAS 5"/>
    <s v="REDEBAN"/>
    <s v="FO-25-1180211"/>
    <d v="2025-07-01T00:00:00"/>
    <d v="2025-07-09T00:00:00"/>
    <s v="UNO A UNO"/>
    <s v="UNO A UNO"/>
    <s v="EJECUTADO"/>
    <s v="1-07-2025 SE REALIZA COMUNICACION CON CLIENTE, SE HABLA CON LA SRA ARAMINTA GALINDO ROJAS SE VALIDA DIRECCIÓN OK, CANAL OK, DISPONIBILIDAD TOTAL, LLAMAR EL DÍA DE LA INSTALACIÓN PARA CONFIRMAR VISITA, ALTURA APROX 2 METROS; TOMACORRIENTE CERCANO: SI; TIENE CABINA DE SEGURIDAD: NO // CONTACTO REALIZADO POR WHATSAPP 10:49 a. m. 3/7/2025 SE VISITA COMERCIO, SE EVIDENCIA QUE EL CLIENTE NO TIENE UN PUNTO DE RED LISTO PARA CONECTAR EL EQUIPO CB BANCOLOMBIA A INSTALAR, EL CLIENTE INDICA QUE SI PODEMOS REPROGRAMAR LA VISITA PARA EL DÍA MIERCOLES 9 DE JULIO QUE YA TENDRÍA EL PUNTO DE INTERNET, SE INFORMA AL COORDINADOR QUIEN INDICA REPROGRAMAR VISITA PARA DICHA FECHA. 09-07 SE REALIZA INSTALACIÓN DE CORRESPONSAL, SE INSTALAN EQUIPOS CON PRUEBAS EXITOSAS, SE CAPACITA Y SE EVALÚA AL CLIENTE, SE INSTALA PUBLICIDAD COMPLETA, CB QUEDA OPERATIVO. USUARIO SOMOS BANCOLOMBIA ACTIVO"/>
    <s v="VISITA _TECNICA"/>
    <s v="F1ZZZ749"/>
    <s v="TIPO III"/>
    <s v="TERRESTRE"/>
    <s v="BUSTOS MORA DIEGO MANUEL"/>
    <n v="0"/>
    <n v="0"/>
    <n v="0"/>
    <n v="0"/>
    <n v="1"/>
    <n v="222904.27188000001"/>
    <n v="222904.27188000001"/>
  </r>
  <r>
    <s v="NEIVA"/>
    <x v="4"/>
    <x v="5"/>
    <n v="18001"/>
    <s v="TA-25-821658"/>
    <n v="79863"/>
    <s v="APERTURA"/>
    <s v="CB CRECIMIENTO - OTRAS LISTAS"/>
    <s v="CAQUETA"/>
    <s v="FLORENCIA"/>
    <s v="BARRIO CENTRO FLORENCIA 38"/>
    <s v="REDEBAN"/>
    <s v="FO-25-1163140"/>
    <d v="2025-07-01T00:00:00"/>
    <d v="2025-07-02T00:00:00"/>
    <s v="UNO A UNO"/>
    <s v="UNO A UNO"/>
    <s v="EJECUTADO/CANCELADO"/>
    <s v="01-07 SE REALIZA LLAMADA AL CLIENTE, SE HABLA CON LA SR JUAN CAMILO SANCHEZ SILVASE VALIDA DIRECCIÓN OK, CANAL OK, DISPONIBILIDAD TOTAL, LLAMAR EL DÍA LA INSTALACIÓN PARA CONFIRMAR VISITA, AVISO EXTERIOR ALTURA APROX 2.50 METROS; TOMACORRIENTE CERCANO: SI; TIENE CABINA DE SEGURIDAD: NO 2/7/2025 SALIÓ NUEVAMENTE ESTA APERTURA, SE REALIZÓ VISITA PARA IMPLEMENTACIÓN DEL CB 79863, PERO SE EVIDENCIA QUE EL COMERCIO ESTÁ UBICADO EN LA CARRERA 16 # 15 – 37 EN UN LOCAL DE ESA DIRECCIÓN, SIN EMBARGO EL USUARIO INDICA QUE AHÍ LA DIRECCIÓN ES CARRERA 16 # 15 – 36, NOS INDICA QUE  CÁMARA DE COMERCIO Y RECIBO DE SERVICIOS PÚBLICOS APARECEN DE ESA FORMA, SE VALIDA  LA ACERA DONDE EL USUARIO INDICA Y ESTA ES LA ACERA  DONDE VAN LAS DIRECCIONES DE NÚMEROS IMPARES, ADICIONAL SE EVIDENCIA QUE PARA ESTA VISITA PEGARON UNA NOMENCLATURA CON LA DIRECCIÓN CARRERA 16 # 15 – 36 DONDE ESTA DEBE IR EN LA ACERA DEL FRENTE, PUES LA DEL FRENTE VAN LAS DIRECCIONES PARES TAMBIÉN SE VALIDAN EN LOS LOCALES QUE ESTÁN EN LA DIRECCIÓN Y SE EVIDENCIA QUE HAY UNO DICE QUE CARRERA 16 # 15 – 37 LOCAL 4,  ADEMÁS DONDE EL USUARIO DICE INSTALAR TIENE OTRO NOMBRE DE COMERCIO DIFERENTE AL QUE SE RELACIONA EN LISTA DE CHEQUEO. SEGÚN LO CONVERSADO SE PROCEDE CON LA CANCELACIÓN DE LA APERTURA"/>
    <s v="VISITA _TECNICA"/>
    <s v="F1ZZZ594"/>
    <s v="TIPO IV"/>
    <s v="TERRESTRE"/>
    <s v="BERMUDEZ SANCHEZ JOSE NEYBER"/>
    <n v="0"/>
    <n v="0"/>
    <n v="0"/>
    <n v="0"/>
    <n v="1"/>
    <n v="464809.03136000002"/>
    <n v="464809.03136000002"/>
  </r>
  <r>
    <s v="NEIVA"/>
    <x v="4"/>
    <x v="5"/>
    <n v="41001"/>
    <s v="TA-25-821800"/>
    <n v="76738"/>
    <s v="APERTURA"/>
    <s v="DATAFONO ADICIONAL"/>
    <s v="HUILA"/>
    <s v="NEIVA"/>
    <s v="BARRIO IPANEMA NEIVA 2"/>
    <s v="REDEBAN"/>
    <s v="FO-25-1163305"/>
    <d v="2025-07-01T00:00:00"/>
    <d v="2025-07-03T00:00:00"/>
    <s v="UNO A UNO"/>
    <s v="UNO A UNO"/>
    <s v="EJECUTADO/CANCELADO"/>
    <s v="01-07 SE REALIZA LLAMADA AL CLIENTE, SE HABLA CON LA SR ERIK JESCE PERDOMO RODRIGUEZ  SE VALIDA DIRECCIÓN OK, CANAL OK, DISPONIBILIDAD TOTAL, LLAMAR EL DÍA LA INSTALACIÓN PARA CONFIRMAR VISITA 3/7/2025 SE LLEGA A SITIO, SE ENCUENTRA LOCAL DESOCUPADO, SE LLAMA A CLIENTE E INDICA QUE YA NO NECESITA EL DATAFONO ADICIONAL."/>
    <s v="VISITA _TECNICA"/>
    <s v="F1ZZZ785"/>
    <s v="TIPO I"/>
    <s v="TERRESTRE"/>
    <s v="DIAZ VARGAS JONATHAN MIGUEL"/>
    <n v="0"/>
    <n v="0"/>
    <n v="0"/>
    <n v="0"/>
    <n v="1"/>
    <n v="44559.984800000006"/>
    <n v="44559.984800000006"/>
  </r>
  <r>
    <s v="PEREIRA"/>
    <x v="2"/>
    <x v="2"/>
    <n v="66001"/>
    <s v="TA-25-831668"/>
    <n v="80221"/>
    <s v="APERTURA"/>
    <s v="CB CRECIMIENTO ALIANZA - NUEVO"/>
    <s v="RISARALDA"/>
    <s v="PEREIRA"/>
    <s v="PTM PEREIRA SUPER SERVICIOS PU"/>
    <s v="REDEBAN"/>
    <s v="FO-25-1195655"/>
    <d v="2025-07-03T00:00:00"/>
    <d v="2025-07-08T00:00:00"/>
    <s v="AGREGADOR"/>
    <s v="COMCARD - PTM"/>
    <s v="EJECUTADO"/>
    <s v="03-07 PROGRAMACIÓN REALIZADA POR LA ALIANZA 7/7/2025 SE REALIZA VISITA DE APERTURA AL CB PTM CON CÓDIGO 3007080221 PTM PEREIRA SUPERSERVICIOS  , DIRECCIÓN  CR 8 NO 15-20 LC 74 , COORDENADAS  4.813491, -75.691164, PERO SE ENCUENTRA CERCANÍA CON  CORRESPONSAL UNO A UNO INSTALADO CON CÓDIGO 3007075477 BARRIO CENTRO PEREIRA 49  , DIRECCIÓN CR 8 14 73,  COORDENADAS 4.813375,-75.690848, QUEDANDO A MENOS DE 30 MTS DE DISTANCIA UNO DEL OTRO , Y SE ENCUENTRA CERCANIA CON CORRESPONSAL DISTRICOL INSTALADO  CON CODIGO 3007079902 DISTRICOL MULTICENTER, DIRECCION  CR 8 15 62, CORDENADAS 4.813540,-75.691522, QUEDANDO A MENOS DE 40 MTS,   SE REALIZA ESCALAMIENTO POR DOBLE CERCANÍA EN ESPERA DE  COMO PROCEDER. / ENTIDAD APRUEBA INSTALACIÓN 8/7/2025 SE REALIZA INSTALACIÓN DE CORRESPONSAL, SE INSTALAN EQUIPOS CON PRUEBAS EXITOSAS, SE CAPACITA Y SE EVALÚA AL CLIENTE, SE INSTALA PUBLICIDAD COMPLETA, CB QUEDA OPERATIVO. USUARIO SOMOS BANCOLOMBIA ACTIVO"/>
    <s v="VISITA _TECNICA"/>
    <s v="F4ZZZ852"/>
    <s v="TIPO I"/>
    <s v="TERRESTRE"/>
    <s v="FRANCO CAÑAVERAL YAMID RAUL"/>
    <n v="0"/>
    <n v="0"/>
    <n v="0"/>
    <n v="0"/>
    <n v="1"/>
    <n v="44559.984800000006"/>
    <n v="44559.984800000006"/>
  </r>
  <r>
    <s v="SINCELEJO"/>
    <x v="1"/>
    <x v="1"/>
    <n v="70001"/>
    <s v="TA-25-837839"/>
    <n v="80305"/>
    <s v="APERTURA"/>
    <s v="CB CRECIMIENTO - NUEVO"/>
    <s v="SUCRE"/>
    <s v="SINCELEJO"/>
    <s v="BARRIO LA FE SINCELEJO 1"/>
    <s v="REDEBAN"/>
    <s v="FO-25-1193644"/>
    <d v="2025-07-07T00:00:00"/>
    <d v="2025-07-08T00:00:00"/>
    <s v="UNO A UNO"/>
    <s v="UNO A UNO"/>
    <s v="EJECUTADO/CANCELADO"/>
    <s v="5-07 SE REALIZA LLAMADA AL CLIENTE, SE HABLA CON  EL  FABIAN LIEVANO ROJAS,  SE VALIDA DIRECCIÓN OK, CANAL OK, DISPONIBILIDAD TOTAL, LLAMAR EL DÍA LA INSTALACIÓN PARA CONFIRMAR VISITA, AVISO EXTERIOR ALTURA APROX  DONDE EL TECNICO LO VEA CONVENIENTE, TOMACORRIENTE CERCANO: SI; TIENE CABINA DE SEGURIDAD: SI 8/7/2025 SE REALIZA VISITA PARA IMPLEMENTACIÓN DEL CB, PERO SE EVIDENCIA QUE EL PUNTO ESTÁ UBICADO EN LA DIRECCIÓN CRA 24 # 5 – 53, AUNQUE EL USUARIO MUESTRA CÁMARA DE COMERCIO Y RECIBO DE ENERGÍA ESTOS NO CORRESPONDEN A LA RELACIONADA EN LA LISTA DE CHEQUEO CR 24 24C 11,LA FE, POR TAL RAZÓN SE CANCELA ACTIVIDAD"/>
    <s v="VISITA _TECNICA"/>
    <s v="FAZZZ513"/>
    <s v="TIPO I"/>
    <s v="TERRESTRE"/>
    <s v="SANTOS GUZMAN CHRISTIAN FELIPE"/>
    <n v="0"/>
    <n v="0"/>
    <n v="0"/>
    <n v="0"/>
    <n v="1"/>
    <n v="44559.984800000006"/>
    <n v="44559.984800000006"/>
  </r>
  <r>
    <s v="CALI"/>
    <x v="2"/>
    <x v="3"/>
    <n v="76670"/>
    <s v="TA-25-837933"/>
    <n v="80302"/>
    <s v="APERTURA"/>
    <s v="CB CRECIMIENTO - NUEVO"/>
    <s v="VALLE DEL CAUCA"/>
    <s v="SAN PEDRO"/>
    <s v="BARRIO JARDIN SAN PEDRO"/>
    <s v="REDEBAN"/>
    <s v="FO-25-1193861"/>
    <d v="2025-07-07T00:00:00"/>
    <d v="2025-07-09T00:00:00"/>
    <s v="UNO A UNO"/>
    <s v="UNO A UNO"/>
    <s v="EJECUTADO/CANCELADO"/>
    <s v="07-07-2025 SE REALIZA LLAMADA AL CLIENTE, SE HABLA CON LA SRA ANDREA VILLALOBOS VAZQUEZOROZCO SE VALIDA DIRECCIÓN OK, CANAL OK, DISPONIBILIDAD TOTAL, LLAMAR EL DÍA LA INSTALACIÓN PARA CONFIRMAR VISITA, AVISO EXTERIOR ALTURA APROX 2 METROS; TOMACORRIENTE CERCANO: SI; TIENE CABINA DE SEGURIDAD: SI // CONTACTO REALIZADO POR LA APP 9/7/2025 SE VISITÓ COMERCIO, CLIENTE SIN ADECUACIÓN PARA INSTALACIÓN; NO HAY PUERTOS DE RED  DISPONIBLES PARA INSTALACION DEL EQUIPO EN UBICACIÓN ASIGNADA. EN OFICINA PRINCIPAL NO ES POSIBLE INSTALAR DEBIDO A QUE NO PUEDE ATENDER A CLIENTES ALLÁ PORQUE ES RIESGOSO PARA EL COMERCIO A DEMÁS ES ZONA ADMINISTRATIVA NO ADECUADA PARA PARA ATENCIÓN. A DEMÁS TAMPOCO SE PUDO DEJAR PARCIALMENTE EQUIPO ALLÁ DEBIDO QUE TAMPOCO HAY PUERTOS DISPONIBLE. CLIENTE TOMA LA DECISIÓN DE RE PROGRAMAR E INDICA QUE VA REALIZAR LA ADECUACIÓN PARA QUE QUEDE OPERATIVO DE LA FORMA CORRECTA."/>
    <s v="VISITA _TECNICA"/>
    <s v="FAZZZ539"/>
    <s v="TIPO II"/>
    <s v="TERRESTRE"/>
    <s v="BOLAÑOS TABORDA JORGE ENRIQUE"/>
    <n v="0"/>
    <n v="0"/>
    <n v="0"/>
    <n v="0"/>
    <n v="1"/>
    <n v="134410.38956000001"/>
    <n v="134410.38956000001"/>
  </r>
  <r>
    <s v="MEDELLIN"/>
    <x v="0"/>
    <x v="0"/>
    <n v="5001"/>
    <s v="TA-25-847178"/>
    <n v="24600"/>
    <s v="APERTURA"/>
    <s v="DATAFONO ADICIONAL - ALIANZA"/>
    <s v="ANTIOQUIA"/>
    <s v="MEDELLIN"/>
    <s v="REDY MEDELLIN MORAVIA"/>
    <s v="REDEBAN"/>
    <s v="FO-25-1206808"/>
    <d v="2025-07-09T00:00:00"/>
    <d v="2025-07-11T00:00:00"/>
    <s v="ROBUSTO"/>
    <s v="REDY"/>
    <s v="EJECUTADO/CANCELADO"/>
    <s v="09-07 SE REALIZA LLAMADA AL CLIENTE, SE HABLA CON LA SRA CAMILA DAVID CASAS SE VALIDA DIRECCIÓN OK, CANAL OK, DISPONIBILIDAD TOTAL, LLAMAR EL DÍA LA INSTALACIÓN PARA CONFIRMAR VISITA 11/7/2025 SE LLEGA AL SITIO Y EL USUARIO NO TIENE CONOCIMIENTO DE LA INSTALACIÓN DEL DATAFONO ADICIONAL, SE ESCALA CON EL SUPERVISIÓN Y EL INDICA QUE NO SE PUEDE INSTALAR YA QUE NO HAY ESPACIO PARA PONER EL EQUIPO , SE CANCELA INSTALACIÓN"/>
    <s v="VISITA _TECNICA"/>
    <s v="FFZZZ050"/>
    <s v="TIPO I"/>
    <s v="TERRESTRE"/>
    <s v="ZAPATA LOPEZ EDWARD ASDRUBAL"/>
    <n v="0"/>
    <n v="0"/>
    <n v="0"/>
    <n v="0"/>
    <n v="1"/>
    <n v="44559.984800000006"/>
    <n v="44559.984800000006"/>
  </r>
  <r>
    <s v="CUCUTA"/>
    <x v="5"/>
    <x v="6"/>
    <n v="54001"/>
    <s v="TA-25-853056"/>
    <n v="80366"/>
    <s v="APERTURA"/>
    <s v="CB CRECIMIENTO - NUEVO"/>
    <s v="NORTE DE SANTANDER"/>
    <s v="CUCUTA"/>
    <s v="BARRIO TASAJERO CUCUTA 1"/>
    <s v="REDEBAN"/>
    <s v="FO-25-1228438"/>
    <d v="2025-07-11T00:00:00"/>
    <d v="2025-07-15T00:00:00"/>
    <s v="UNO A UNO"/>
    <s v="UNO A UNO"/>
    <s v="EJECUTADO"/>
    <s v="11-07-2025 SE REALIZA LLAMADA AL CLIENTE, SE HABLA CON EL SR LUIS FERNANDO MEDINA TAVERA SE VALIDA DIRECCIÓN OK, CANAL OK, DISPONIBILIDAD TOTAL, LLAMAR EL DÍA LA INSTALACIÓN PARA CONFIRMAR VISITA, AVISO EXTERIOR ALTURA APROX 1 METRO, TOMACORRIENTE CERCANO: SI; TIENE CABINA DE SEGURIDAD: SI// CONTACTO REALIZADO POR LA APP  14/7/2025 SE LLEGA AL SITIO   DE LA ORDEN, DONDE SE IDENTIFICA QUE A POCOS METROS SE ENCUENTRA YA UN CORRESPONSAL EN LA   NOA GALP  N BLC 301 Y CB:58266 DISTRICOL CALDERON SUM SE ESCALA APERTURA PARA CONFIRMAR SI PODEMOS PROCEDER CON LA ORDEN O SI CANCELARNOS. / ENTIDAD APRUEBA INSTALACIÓN 15/7/2025 SE REALIZA INSTALACIÓN DE CORRESPONSAL, SE INSTALAN EQUIPOS CON PRUEBAS EXITOSAS, SE CAPACITA Y SE EVALÚA AL CLIENTE, SE INSTALA PUBLICIDAD COMPLETA, CB QUEDA OPERATIVO. USUARIO SOMOS BANCOLOMBIA ACTIVO"/>
    <s v="VISITA _TECNICA"/>
    <s v="LBZZZ624"/>
    <s v="TIPO I"/>
    <s v="TERRESTRE"/>
    <s v="DURAN ACOSTA FRANK YONNY"/>
    <n v="0"/>
    <n v="0"/>
    <n v="0"/>
    <n v="0"/>
    <n v="1"/>
    <n v="44559.984800000006"/>
    <n v="44559.984800000006"/>
  </r>
  <r>
    <s v="CALI"/>
    <x v="2"/>
    <x v="3"/>
    <n v="76520"/>
    <s v="TA-25-853089"/>
    <n v="80386"/>
    <s v="APERTURA"/>
    <s v="CB CRECIMIENTO - NUEVO"/>
    <s v="VALLE DEL CAUCA"/>
    <s v="PALMIRA"/>
    <s v="BARRIO CIUDAD DEL CAMPO PALMIRA 2"/>
    <s v="REDEBAN"/>
    <s v="FO-25-1217928"/>
    <d v="2025-07-11T00:00:00"/>
    <d v="2025-07-14T00:00:00"/>
    <s v="UNO A UNO"/>
    <s v="UNO A UNO"/>
    <s v="EJECUTADO"/>
    <s v="11-07 SE REALIZA LLAMADA AL CLIENTE, SE HABLA CON LA SR DIEGO ALEXANDER CERVERA PAZ SE VALIDA DIRECCIÓN OK, CANAL OK, DISPONIBILIDAD TOTAL, LLAMAR EL DÍA LA INSTALACIÓN PARA CONFIRMAR VISITA, AVISO EXTERIOR ALTURA APROX 2 METROS; TOMACORRIENTE CERCANO: SI; TIENE CABINA DE SEGURIDAD: NO - COMUNICACIÓN POR WPP 14-07 SE REALIZA INSTALACIÓN DE CORRESPONSAL, SE INSTALAN EQUIPOS CON PRUEBAS EXITOSAS, SE CAPACITA Y SE EVALÚA AL CLIENTE, SE INSTALA PUBLICIDAD COMPLETA, CB QUEDA OPERATIVO. USUARIO SOMOS BANCOLOMBIA ACTIVO. SE REALIZA INSTALACIÓN DE 12 MT DE CABLE UTP"/>
    <s v="VISITA _TECNICA"/>
    <s v="LBZZZ644"/>
    <s v="TIPO I"/>
    <s v="TERRESTRE"/>
    <s v="BOLAÑOS TABORDA JORGE ENRIQUE"/>
    <n v="12"/>
    <n v="0"/>
    <n v="0"/>
    <n v="0"/>
    <n v="1"/>
    <n v="44559.984800000006"/>
    <n v="239376.33008000001"/>
  </r>
  <r>
    <s v="BOGOTA"/>
    <x v="3"/>
    <x v="4"/>
    <n v="11001"/>
    <s v="TA-25-853187"/>
    <n v="80243"/>
    <s v="APERTURA"/>
    <s v="CB CRECIMIENTO - OTRAS LISTAS"/>
    <s v="CUNDINAMARCA"/>
    <s v="BOGOTA"/>
    <s v="BARRIO LOMITAS BOGOTA 1"/>
    <s v="REDEBAN"/>
    <s v="FO-25-1218094"/>
    <d v="2025-07-11T00:00:00"/>
    <d v="2025-07-15T00:00:00"/>
    <s v="UNO A UNO"/>
    <s v="UNO A UNO"/>
    <s v="EJECUTADO/CANCELADO"/>
    <s v="11-07 SE REALIZA LLAMADA AL CLIENTE, SE HABLA CON LA SRA CARMEN MELCIDA CASTILLO ORTIZ SE VALIDA DIRECCIÓN OK, CANAL OK, DISPONIBILIDAD TOTAL, LLAMAR EL DÍA LA INSTALACIÓN PARA CONFIRMAR VISITA, AVISO EXTERIOR ALTURA APROX 2 METROS; TOMACORRIENTE CERCANO: SI; TIENE CABINA DE SEGURIDAD: NO 15/7/2025 SE REALIZA VISITA A CB PARA REALIZAR IMPLEMENTACIÓN SE REPORTA CON ENTIDAD SOBRE LA DIRECCIÓN YA QUE NO CUENTA CON LA DIRECCIÓN COMPLETA  Y INDICAN CANCELACIÓN DE LA INSTALACIÓN"/>
    <s v="VISITA _TECNICA"/>
    <s v="FAZZZ214"/>
    <s v="TIPO I"/>
    <s v="TERRESTRE"/>
    <s v="GALINDO ROJAS LUIS FELIPE"/>
    <n v="0"/>
    <n v="0"/>
    <n v="0"/>
    <n v="0"/>
    <n v="1"/>
    <n v="44559.984800000006"/>
    <n v="44559.984800000006"/>
  </r>
  <r>
    <s v="SINCELEJO"/>
    <x v="1"/>
    <x v="1"/>
    <n v="70820"/>
    <s v="TA-25-853193"/>
    <n v="80303"/>
    <s v="APERTURA"/>
    <s v="CB CRECIMIENTO - OTRAS LISTAS"/>
    <s v="SUCRE"/>
    <s v="SANTIAGO DE TOLU"/>
    <s v="BARRIO ARROYITO SANTIAGO DE TOLU"/>
    <s v="REDEBAN"/>
    <s v="FO-25-1218103"/>
    <d v="2025-07-11T00:00:00"/>
    <d v="2025-07-14T00:00:00"/>
    <s v="UNO A UNO"/>
    <s v="UNO A UNO"/>
    <s v="EJECUTADO/CANCELADO"/>
    <s v="11-07 SE REALIZA LLAMADA AL CLIENTE, SE HABLA CON LA SRA JESSICA JULIETH BETIN VERGARA SE VALIDA DIRECCIÓN OK, CANAL OK, DISPONIBILIDAD TOTAL, LLAMAR EL DÍA LA INSTALACIÓN PARA CONFIRMAR VISITA, AVISO EXTERIOR ALTURA APROX 2.5 METROS; TOMACORRIENTE CERCANO: SI; TIENE CABINA DE SEGURIDAD: SI 14/7/2025 SE REALIZA VISITA PARA LA INSTALACIÓN APERTURA, Y SE EVIDENCIA QUE EL COMERCIO ESTA UBICADO EN LA CRA 2 # 18 – 27, LA CUAL NO CORRESPONDE A LA RELACIONADA EN LA LISTA DE CHEQUEO, CR 2 CL 2 8 P 2 AP 02,ARROYITO, POR TAL RAZÓN SE CANCELA"/>
    <s v="VISITA _TECNICA"/>
    <s v="FAZZZ274"/>
    <s v="TIPO II"/>
    <s v="TERRESTRE"/>
    <s v="SANTOS GUZMAN CHRISTIAN FELIPE"/>
    <n v="0"/>
    <n v="0"/>
    <n v="0"/>
    <n v="0"/>
    <n v="1"/>
    <n v="134410.38956000001"/>
    <n v="134410.38956000001"/>
  </r>
  <r>
    <s v="VILLAVICENCIO"/>
    <x v="4"/>
    <x v="5"/>
    <n v="50001"/>
    <s v="TA-25-853215"/>
    <n v="55873"/>
    <s v="APERTURA"/>
    <s v="DATAFONO ADICIONAL"/>
    <s v="META"/>
    <s v="VILLAVICENCIO"/>
    <s v="BARRIO ESMERALDA VILLAVICENCIO"/>
    <s v="REDEBAN"/>
    <s v="FO-25-1218137"/>
    <d v="2025-07-11T00:00:00"/>
    <d v="2025-07-14T00:00:00"/>
    <s v="UNO A UNO"/>
    <s v="UNO A UNO"/>
    <s v="EJECUTADO/CANCELADO"/>
    <s v="11-07 SE REALIZA LLAMADA AL CLIENTE, SE HABLA CON LA SRA CLAUDIA MILENA GUTIERREZ HERNANDEZ  SE VALIDA DIRECCIÓN OK, CANAL OK, DISPONIBILIDAD TOTAL, LLAMAR EL DÍA LA INSTALACIÓN PARA CONFIRMAR VISITA 14/7/2025 SE REALIZA VISITA PARA LA IMPLEMENTACIÓN DE DATAFONO ADICIONAL, PERO EL COMERCIO ESTÁ UBICADO EN CALLE 44 38-08, LA CUAL NO CORRESPONDE A LA RELACIONADA EN LA LISTA DE CHEQUEO CR 38 N. 44 - 54 LC 1 ESMERALDA . POR TAL MOTIVO SE CANCELA."/>
    <s v="VISITA _TECNICA"/>
    <s v="LBZZZ681"/>
    <s v="TIPO I"/>
    <s v="TERRESTRE"/>
    <s v="CASTRILLON URREA LONDIER LEANDRO"/>
    <n v="0"/>
    <n v="0"/>
    <n v="0"/>
    <n v="0"/>
    <n v="1"/>
    <n v="44559.984800000006"/>
    <n v="44559.984800000006"/>
  </r>
  <r>
    <s v="BUCARAMANGA"/>
    <x v="5"/>
    <x v="6"/>
    <n v="68001"/>
    <s v="TA-25-856103"/>
    <n v="80422"/>
    <s v="APERTURA"/>
    <s v="CB CRECIMIENTO - NUEVO"/>
    <s v="SANTANDER"/>
    <s v="BUCARAMANGA"/>
    <s v="BARRIO LAS AMERICAS BUCARAMANGA"/>
    <s v="REDEBAN"/>
    <s v="FO-25-1247114"/>
    <d v="2025-07-14T00:00:00"/>
    <d v="2025-07-18T00:00:00"/>
    <s v="UNO A UNO"/>
    <s v="UNO A UNO"/>
    <s v="EJECUTADO"/>
    <s v="14-07 SE REALIZA LLAMADA AL CLIENTE, SE HABLA CON LA SRA LOTTY JAIDIN BRACHO MUÑOZ SE VALIDA DIRECCIÓN OK, CANAL OK, DISPONIBILIDAD TOTAL, LLAMAR EL DÍA LA INSTALACIÓN PARA CONFIRMAR VISITA, AVISO EXTERIOR ALTURA APROX  DONDE EL TECNICO LO VEA CONVENIENTE; TOMACORRIENTE CERCANO: SI; TIENE CABINA DE SEGURIDAD: SI 16-07 EN COMUNICACIÓN CON LA SEÑORA LOTTI AL NUMERO 3006705118, NOS INFORMA POR FAVOR Q LA VISITEMOS MAÑANA 17 DE JULIO DESPUES DE LAS 9AM QUE SE ENCONTRARA DISPONIBLE  17/7/2025 ACTIVIDAD PENDIENTE POR ESCALAMIENTO DE CERCANÍA, SE REALIZA RETIRO DE SITIO CON AUTORIZACIÓN DE COORDINACIÓN. / ENTIDAD APRUEBA INSTALACIÓN 18/7/2025 SE REALIZA INSTALACIÓN DE CORRESPONSAL, SE INSTALAN EQUIPOS CON PRUEBAS EXITOSAS, SE CAPACITA Y SE EVALÚA AL CLIENTE, SE INSTALA PUBLICIDAD COMPLETA, CB QUEDA OPERATIVO. USUARIO SOMOS BANCOLOMBIA ACTIVO"/>
    <s v="VISITA _TECNICA"/>
    <s v="LDZZZ368"/>
    <s v="TIPO I"/>
    <s v="TERRESTRE"/>
    <s v="SANTOS GONZALEZ JOHAN FABIAN"/>
    <n v="0"/>
    <n v="0"/>
    <n v="0"/>
    <n v="0"/>
    <n v="1"/>
    <n v="44559.984800000006"/>
    <n v="44559.984800000006"/>
  </r>
  <r>
    <s v="MEDELLIN"/>
    <x v="0"/>
    <x v="0"/>
    <n v="5001"/>
    <s v="TA-25-870446"/>
    <n v="80507"/>
    <s v="APERTURA"/>
    <s v="CB CRECIMIENTO ALIANZA - NUEVO"/>
    <s v="ANTIOQUIA"/>
    <s v="MEDELLIN"/>
    <s v="DISTRICOL MONARCA"/>
    <s v="REDEBAN"/>
    <s v="FO-25-1264569"/>
    <d v="2025-07-18T00:00:00"/>
    <d v="2025-07-23T00:00:00"/>
    <s v="AGREGADOR"/>
    <s v="DISTRICOL"/>
    <s v="EJECUTADO"/>
    <s v="18-07 PROGRAMACIÓN REALIZADA POR LA ALIANZA 21/7/2025 VISITAMOS PUNTO ENCONTRANDO CB EXISTENTE 26786 COMCARD MED ROBLON. SE ESCALA POR CERCANÍA. EXISTENTE: 6.208720, -75.587986 NUEVO: 6.208521, -75.588074  / ENTIDAD APRUEBA INSTALACIÓN 23/07/2025 SE REALIZA INSTALACIÓN DE CORRESPONSAL, SE INSTALAN EQUIPOS CON PRUEBAS EXITOSAS, SE CAPACITA Y SE EVALÚA AL CLIENTE, SE INSTALA PUBLICIDAD COMPLETA, CB QUEDA OPERATIVO. USUARIO SOMOS BANCOLOMBIA ACTIVO"/>
    <s v="VISITA _TECNICA"/>
    <s v="SDZZZ900"/>
    <s v="TIPO I"/>
    <s v="TERRESTRE"/>
    <s v="PAREJA ECHAVARRIA JHON DAVID"/>
    <n v="0"/>
    <n v="0"/>
    <n v="0"/>
    <n v="0"/>
    <n v="1"/>
    <n v="44559.984800000006"/>
    <n v="44559.984800000006"/>
  </r>
  <r>
    <s v="MEDELLIN"/>
    <x v="0"/>
    <x v="0"/>
    <n v="5120"/>
    <s v="TA-25-870452"/>
    <n v="80488"/>
    <s v="APERTURA"/>
    <s v="CB CRECIMIENTO ALIANZA - NUEVO"/>
    <s v="ANTIOQUIA"/>
    <s v="CACERES"/>
    <s v="DISTRICOL DROGUERIA MAGDALENA"/>
    <s v="REDEBAN"/>
    <s v="FO-25-1250904"/>
    <d v="2025-07-18T00:00:00"/>
    <d v="2025-07-22T00:00:00"/>
    <s v="AGREGADOR"/>
    <s v="DISTRICOL"/>
    <s v="EJECUTADO/CANCELADO"/>
    <s v="18-07 PROGRAMACIÓN REALIZADA POR LA ALIANZA 22/7/2025 VISITAMOS PUNTO ENCONTRANDO INCONSISTENCIA CON LA DIRECCIÓN. COMERCIO ESTÁ SOBRE LA CARRERA 52 NO SOBRE LA CALLE 47."/>
    <s v="VISITA _TECNICA"/>
    <s v="SDZZZ903"/>
    <s v="TIPO IV"/>
    <s v="TERRESTRE"/>
    <s v="BARRIENTOS HERNANDEZ CRISTIAN HORACIO"/>
    <n v="0"/>
    <n v="0"/>
    <n v="0"/>
    <n v="0"/>
    <n v="1"/>
    <n v="464809.03136000002"/>
    <n v="464809.03136000002"/>
  </r>
  <r>
    <s v="NEIVA"/>
    <x v="4"/>
    <x v="5"/>
    <n v="18001"/>
    <s v="TA-25-870463"/>
    <n v="80487"/>
    <s v="APERTURA"/>
    <s v="CB CRECIMIENTO ALIANZA - NUEVO"/>
    <s v="CAQUETA"/>
    <s v="FLORENCIA"/>
    <s v="DISTRICOL LA BARRA DE LEIDY"/>
    <s v="REDEBAN"/>
    <s v="FO-25-1250940"/>
    <d v="2025-07-18T00:00:00"/>
    <d v="2025-07-21T00:00:00"/>
    <s v="AGREGADOR"/>
    <s v="DISTRICOL"/>
    <s v="EJECUTADO/CANCELADO"/>
    <s v="18-07 PROGRAMACIÓN REALIZADA POR LA ALIANZA 21/7/2025 SE REALIZA VISITA PARA IMPLEMENTACIÓN DEL CB 80487, PERO SE EVIDENCIA QUE EL COMERCIO ESTA UBICADO EN LA DIRECCIÓN CALLE 17 # 3 -42, LA CUAL NO CORRESPONDE A LA RELACIONADA EN LA LISTA DE CHEQUEO CL 17 # 21 – 66, POR TAL RAZÓN SE CANCELA"/>
    <s v="VISITA _TECNICA"/>
    <s v="SDZZZ914"/>
    <s v="TIPO IV"/>
    <s v="TERRESTRE"/>
    <s v="BERMUDEZ SANCHEZ JOSE NEYBER"/>
    <n v="0"/>
    <n v="0"/>
    <n v="0"/>
    <n v="0"/>
    <n v="1"/>
    <n v="464809.03136000002"/>
    <n v="464809.03136000002"/>
  </r>
  <r>
    <s v="VALLEDUPAR"/>
    <x v="1"/>
    <x v="1"/>
    <n v="20001"/>
    <s v="TA-25-870465"/>
    <n v="80503"/>
    <s v="APERTURA"/>
    <s v="CB CRECIMIENTO ALIANZA - NUEVO"/>
    <s v="CESAR"/>
    <s v="VALLEDUPAR"/>
    <s v="DISTRICOL SOLUCIONES Y SERVICI"/>
    <s v="REDEBAN"/>
    <s v="FO-25-1250945"/>
    <d v="2025-07-18T00:00:00"/>
    <d v="2025-07-21T00:00:00"/>
    <s v="AGREGADOR"/>
    <s v="DISTRICOL"/>
    <s v="EJECUTADO/CANCELADO"/>
    <s v="18-07 PROGRAMACIÓN REALIZADA POR LA ALIANZA 21-07 SE REALIZA VISITA PARA IMPLEMENTACIÓN DEL CB 80503, PERO SE EVIDENCIA QUE EL COMERCIO ESTÁ UBICADO EN LA DIRECCIÓN CLL 16#17A-89 LA CUAL NO CORRESPONDE A LA RELACIONADA EN LA LISTA DE CHEQUEO CLL 16 # 18 – 89. POR TAL RAZÓN SE CANCELA ACTIVIDAD."/>
    <s v="VISITA _TECNICA"/>
    <s v="SDZZZ916"/>
    <s v="TIPO I"/>
    <s v="TERRESTRE"/>
    <s v="BENITEZ CARVAJAL ALVARO JAVIER"/>
    <n v="0"/>
    <n v="0"/>
    <n v="0"/>
    <n v="0"/>
    <n v="1"/>
    <n v="44559.984800000006"/>
    <n v="44559.984800000006"/>
  </r>
  <r>
    <s v="MONTERIA"/>
    <x v="1"/>
    <x v="1"/>
    <n v="23555"/>
    <s v="TA-25-870471"/>
    <n v="80498"/>
    <s v="APERTURA"/>
    <s v="CB CRECIMIENTO ALIANZA - NUEVO"/>
    <s v="CORDOBA"/>
    <s v="PLANETA RICA"/>
    <s v="DISTRICOL VARIEDADES Y MISCELA"/>
    <s v="REDEBAN"/>
    <s v="FO-25-1274072"/>
    <d v="2025-07-18T00:00:00"/>
    <d v="2025-07-28T00:00:00"/>
    <s v="AGREGADOR"/>
    <s v="DISTRICOL"/>
    <s v="EJECUTADO"/>
    <s v="18-07 PROGRAMACIÓN REALIZADA POR LA ALIANZA 22-07 SE ENCUENTRA BLOQUEO EN LA VIA A LA ALTURA DEL KILÓMETRO 12 ENTRE MONTERÍA Y PLANETA RICA, BLOQUEADO DE INDÍGENAS 23/07/2025 SE LLEGA A SITIO PARA HACER INSTALACIÓN DEL CB, NO SE PUEDE REALIZAR INSTALACIÓN YA QUE EN EL PUNTO ESTÁN SIN INTERNET, FALLA DEL PROVEEDOR A NIVEL GENERAL EN EL CORREGIMIENTO, FECHA 25/07/2025 25-07 EN COMUNICACIÓN CON EL CLIENTE INFORMA QUE PERSISTE LA FALLA DEL INTERNET, POR ESE MOTIVO SOLICITA QUE LA INSTALACIÓN SE LA REALICEN EL DÍA 28-07-2025 28/07/2025 SE REALIZA INSTALACIÓN DE CORRESPONSAL, SE INSTALAN EQUIPOS CON PRUEBAS EXITOSAS, SE CAPACITA Y SE EVALÚA AL CLIENTE, SE INSTALA PUBLICIDAD COMPLETA, CB QUEDA OPERATIVO. USUARIO SOMOS BANCOLOMBIA ACTIVO"/>
    <s v="VISITA _TECNICA"/>
    <s v="SDZZZ920"/>
    <s v="TIPO II"/>
    <s v="TERRESTRE"/>
    <s v="COGOLLO ROSSO CAMILO ANDRES"/>
    <n v="0"/>
    <n v="0"/>
    <n v="0"/>
    <n v="0"/>
    <n v="1"/>
    <n v="134410.38956000001"/>
    <n v="134410.38956000001"/>
  </r>
  <r>
    <s v="SANTA MARTA"/>
    <x v="1"/>
    <x v="1"/>
    <n v="44001"/>
    <s v="TA-25-870474"/>
    <n v="80499"/>
    <s v="APERTURA"/>
    <s v="CB CRECIMIENTO ALIANZA - NUEVO"/>
    <s v="LA GUAJIRA"/>
    <s v="RIOHACHA"/>
    <s v="DISTRICOL TIENDA LA CENTRAL N1"/>
    <s v="REDEBAN"/>
    <s v="FO-25-1250969"/>
    <d v="2025-07-18T00:00:00"/>
    <d v="2025-07-22T00:00:00"/>
    <s v="AGREGADOR"/>
    <s v="DISTRICOL"/>
    <s v="EJECUTADO/CANCELADO"/>
    <s v="18-07 PROGRAMACIÓN REALIZADA POR LA ALIANZA 22/7/2025 VISITAMOS PUNTO ENCONTRANDO ERROR EN LA DIRECCIÓN. LA RELACIONADA EN LISTA DE CHEQUEO ES CL 28 A # 22 – 10. PERO LA DIRECCIÓN REAL DE DONDE ESTÁ UBICADO EL COMERCIO ES: CALLE 28A CRA 22 01."/>
    <s v="VISITA _TECNICA"/>
    <s v="SDZZZ922"/>
    <s v="TIPO III"/>
    <s v="TERRESTRE"/>
    <s v="THOMAS  CAMPO SIGIFREDO SEGUNDO"/>
    <n v="0"/>
    <n v="0"/>
    <n v="0"/>
    <n v="0"/>
    <n v="1"/>
    <n v="222904.27188000001"/>
    <n v="222904.27188000001"/>
  </r>
  <r>
    <s v="BUCARAMANGA"/>
    <x v="5"/>
    <x v="6"/>
    <n v="68001"/>
    <s v="TA-25-870492"/>
    <n v="80472"/>
    <s v="APERTURA"/>
    <s v="CB CRECIMIENTO ALIANZA - NUEVO"/>
    <s v="SANTANDER"/>
    <s v="BUCARAMANGA"/>
    <s v="DISTRICOL ADRIANA Y JUNIOR"/>
    <s v="REDEBAN"/>
    <s v="FO-25-1251023"/>
    <d v="2025-07-18T00:00:00"/>
    <d v="2025-07-21T00:00:00"/>
    <s v="AGREGADOR"/>
    <s v="DISTRICOL"/>
    <s v="EJECUTADO/CANCELADO"/>
    <s v="18-07 PROGRAMACIÓN REALIZADA POR LA ALIANZA 21/7/2025 SE LLEGA AL PUNTO BANCOLOMBIA Y SE IDENTIFICA QUE EL CORRESPONSAL COMPARTE EN LA MISMA DIRECCIÓN CON UN PUNTO EFECTY SE PROCEDE CON LA CANCELACIÓN DE LA ORDEN"/>
    <s v="VISITA _TECNICA"/>
    <s v="SDZZZ935"/>
    <s v="TIPO I"/>
    <s v="TERRESTRE"/>
    <s v="MARIÑO PABON JORGE ENRIQUE"/>
    <n v="0"/>
    <n v="0"/>
    <n v="0"/>
    <n v="0"/>
    <n v="1"/>
    <n v="44559.984800000006"/>
    <n v="44559.984800000006"/>
  </r>
  <r>
    <s v="CALI"/>
    <x v="2"/>
    <x v="3"/>
    <n v="76001"/>
    <s v="TA-25-870499"/>
    <n v="80474"/>
    <s v="APERTURA"/>
    <s v="CB CRECIMIENTO ALIANZA - NUEVO"/>
    <s v="VALLE DEL CAUCA"/>
    <s v="CALI"/>
    <s v="DISTRICOL BRYART ARTE DIGITAL"/>
    <s v="REDEBAN"/>
    <s v="FO-25-1251039"/>
    <d v="2025-07-18T00:00:00"/>
    <d v="2025-07-22T00:00:00"/>
    <s v="AGREGADOR"/>
    <s v="DISTRICOL"/>
    <s v="EJECUTADO/CANCELADO"/>
    <s v="18-07 PROGRAMACIÓN REALIZADA POR LA ALIANZA 22/7/2025 SE REALIZA LLAMADA AL CORRESPONSAL Y ESTE CONFIRMA DIRECCIÓN DE LA INSTALACIÓN CR 80 A # 22 - 136, SE VISITA DIRECCIÓN PERO ESTA NO COINCIDE CON LA ORDEN DE TRABAJO. SE LE PREGUNTA AL COMERCIO E INDICA QUE LA DIRECCIÓN ASOCIADA AL OT LA ESPOSA TIENE UN CORRESPONSAL PERO LA DIRECCIÓN CORRECTA ES LA VISITADA CR 80 A # 22 -136. SE ESCALA CON EL COORDINADOR E INDICA QUE NO SE PUEDE INSTALAR EN DIRECCIÓN CR 80 A # 22 -136 NO COINCIDE CON LA DE LA OT. SE CIERRE POR DIRECCIÓN ERRADA"/>
    <s v="VISITA _TECNICA"/>
    <s v="SDZZZ938"/>
    <s v="TIPO I"/>
    <s v="TERRESTRE"/>
    <s v="BOLAÑOS TABORDA JORGE ENRIQUE"/>
    <n v="0"/>
    <n v="0"/>
    <n v="0"/>
    <n v="0"/>
    <n v="1"/>
    <n v="44559.984800000006"/>
    <n v="44559.984800000006"/>
  </r>
  <r>
    <s v="APARTADO"/>
    <x v="0"/>
    <x v="0"/>
    <n v="5045"/>
    <s v="TA-25-870521"/>
    <n v="80466"/>
    <s v="APERTURA"/>
    <s v="CB CRECIMIENTO ALIANZA - NUEVO"/>
    <s v="ANTIOQUIA"/>
    <s v="APARTADO"/>
    <s v="DISTRICOL SWISS LUXURY"/>
    <s v="REDEBAN"/>
    <s v="FO-25-1251061"/>
    <d v="2025-07-18T00:00:00"/>
    <d v="2025-07-22T00:00:00"/>
    <s v="AGREGADOR"/>
    <s v="DISTRICOL"/>
    <s v="EJECUTADO/CANCELADO"/>
    <s v="18-07 PROGRAMACIÓN REALIZADA POR LA ALIANZA 22/7/2025 COMERCIO SE ENCUENTRA EN REMODELACION TOTAL. COMERCIO NO CUENTA CON ADECUACION DE VENTANAL NI PUNTO DE RED."/>
    <s v="VISITA _TECNICA"/>
    <s v="SDZZZ941"/>
    <s v="TIPO I"/>
    <s v="TERRESTRE"/>
    <s v="SALDARRIAGA MIRANDA SANTIAGO"/>
    <n v="0"/>
    <n v="0"/>
    <n v="0"/>
    <n v="0"/>
    <n v="1"/>
    <n v="44559.984800000006"/>
    <n v="44559.984800000006"/>
  </r>
  <r>
    <s v="APARTADO"/>
    <x v="0"/>
    <x v="0"/>
    <n v="5045"/>
    <s v="TA-25-870522"/>
    <n v="80476"/>
    <s v="APERTURA"/>
    <s v="CB CRECIMIENTO ALIANZA - NUEVO"/>
    <s v="ANTIOQUIA"/>
    <s v="APARTADO"/>
    <s v="DISTRICOL FERRELECTRICOS"/>
    <s v="REDEBAN"/>
    <s v="FO-25-1251064"/>
    <d v="2025-07-18T00:00:00"/>
    <d v="2025-07-22T00:00:00"/>
    <s v="AGREGADOR"/>
    <s v="DISTRICOL"/>
    <s v="EJECUTADO/CANCELADO"/>
    <s v="18-07 PROGRAMACIÓN REALIZADA POR LA ALIANZA 22/7/2025 NO SE HACE APERTURA YA QUE EL CB NO CUENTA CON ADECUACIÓN CABINA Y PREFIERE ESPERAR A INSTALAR LA CABINA POR TEMA DE SEGURIDAD."/>
    <s v="VISITA _TECNICA"/>
    <s v="SDZZZ942"/>
    <s v="TIPO I"/>
    <s v="TERRESTRE"/>
    <s v="SALDARRIAGA MIRANDA SANTIAGO"/>
    <n v="0"/>
    <n v="0"/>
    <n v="0"/>
    <n v="0"/>
    <n v="1"/>
    <n v="44559.984800000006"/>
    <n v="44559.984800000006"/>
  </r>
  <r>
    <s v="VILLAVICENCIO"/>
    <x v="4"/>
    <x v="5"/>
    <n v="50287"/>
    <s v="TA-25-870027"/>
    <n v="80524"/>
    <s v="APERTURA"/>
    <s v="CB CRECIMIENTO - NUEVO"/>
    <s v="META"/>
    <s v="FUENTE DE ORO"/>
    <s v="BARRIO CENTRO FUENTE DE ORO 6"/>
    <s v="REDEBAN"/>
    <s v="FO-25-1249776"/>
    <d v="2025-07-18T00:00:00"/>
    <d v="2025-07-22T00:00:00"/>
    <s v="UNO A UNO"/>
    <s v="UNO A UNO"/>
    <s v="EJECUTADO/CANCELADO"/>
    <s v="18-07-2025 SE REALIZA LLAMADA AL CLIENTE, SE HABLA CON LA SRA BLANCA MARGARITA QUIROGA SE VALIDA DIRECCIÓN OK, CANAL OK, DISPONIBILIDAD TOTAL, LLAMAR EL DÍA LA INSTALACIÓN PARA CONFIRMAR VISITA, AVISO EXTERIOR ALTURA APROX 2 - 2,50 METROS; TOMACORRIENTE CERCANO: SI; TIENE CABINA DE SEGURIDAD: SI // CONTACTO REALIZADO POR LA APP 22/7/2025 SE REALIZA VISITA LA SITIO, PERO EN ESA DIRECCIÓN EL MES PASADO SE INSTALÓ UN CB AVAL CON CU 89261977, NO SE EVIDENCIA PUBLICIDAD, SIN EMBARGO ANEXO TIRILLAS DE LAS  PRUEBAS REALIZADAS EL DÍA DE LA INSTALACIÓN DEL AVAL. POR FAVOR NOS INDICA COMO PROCEDER.  / POR FAVOR CANCELAR ACTIVIDAD PORQUE EN MISMO COMERCIO (MISMA DIRECCIÓN) EXISTE CB DE OTROS BANCOS, EN ESTE CASO AVAL."/>
    <s v="VISITA _TECNICA"/>
    <s v="SEZZZ135"/>
    <s v="TIPO III"/>
    <s v="TERRESTRE"/>
    <s v="PEDREROS CONTRERAS MICHAEL STEVENS"/>
    <n v="0"/>
    <n v="0"/>
    <n v="0"/>
    <n v="0"/>
    <n v="1"/>
    <n v="222904.27188000001"/>
    <n v="222904.27188000001"/>
  </r>
  <r>
    <s v="MEDELLIN"/>
    <x v="0"/>
    <x v="0"/>
    <n v="5790"/>
    <s v="TA-25-870066"/>
    <n v="80542"/>
    <s v="APERTURA"/>
    <s v="CB CRECIMIENTO - NUEVO"/>
    <s v="ANTIOQUIA"/>
    <s v="TARAZA"/>
    <s v="BARRIO CENTRO TARAZA 1"/>
    <s v="REDEBAN"/>
    <s v="FO-25-1249919"/>
    <d v="2025-07-18T00:00:00"/>
    <d v="2025-07-22T00:00:00"/>
    <s v="UNO A UNO"/>
    <s v="UNO A UNO"/>
    <s v="EJECUTADO/CANCELADO"/>
    <s v="18-07 SE REALIZA LLAMADA AL CLIENTE, SE HABLA CON  EL SR FERNEY ANTONIO CASTILLO PASTRANA, SE VALIDA DIRECCIÓN OK, CANAL OK, DISPONIBILIDAD TOTAL, LLAMAR EL DÍA LA INSTALACIÓN PARA CONFIRMAR VISITA, AVISO EXTERIOR ALTURA APROX 2 METROS; TOMACORRIENTE CERCANO: SI; TIENE CABINA DE SEGURIDAD: NO 22/7/2025 LLEGAMOS A PUNTO DONDE ESTÁ UBICADO EL COMERCIO, Y SEGÚN VALIDACIONES DE TÉCNICO EL PUNTO ARROJA QUE ESTÁ EN OTRA DIRECCIÓN DISTINTA, SOBRE LA 30. TÉCNICO BUSCA DIRECCIÓN QUE TRAE LA LISTA DE CHEQUEO (CR 29 A 34 – 03) Y NO ENCUENTRA ESTA ESPECÍFICAMENTE PERO SI UNA MUY SIMILAR, Y EFECTIVAMENTE ESTÁ EN OTRA CUADRA DISTINTA A LA DE DONDE ESTÁ UBICADO COMERCIO. COMERCIO ESTÁ EN DIRECCIÓN Y NOMENCLATURA ERRADA. SE CANCELA INSTALACIÓN POR DIRECCIÓN ERRADA."/>
    <s v="VISITA _TECNICA"/>
    <s v="SEZZZ157"/>
    <s v="TIPO IV"/>
    <s v="TERRESTRE"/>
    <s v="BARRIENTOS HERNANDEZ CRISTIAN HORACIO"/>
    <n v="0"/>
    <n v="0"/>
    <n v="0"/>
    <n v="0"/>
    <n v="1"/>
    <n v="464809.03136000002"/>
    <n v="464809.03136000002"/>
  </r>
  <r>
    <s v="CARTAGENA"/>
    <x v="1"/>
    <x v="1"/>
    <n v="13430"/>
    <s v="TA-25-870084"/>
    <n v="80532"/>
    <s v="APERTURA"/>
    <s v="CB CRECIMIENTO - NUEVO"/>
    <s v="BOLIVAR"/>
    <s v="MAGANGUE"/>
    <s v="BARRIO VEREDA JUAN ARIAS MAGANGUE"/>
    <s v="REDEBAN"/>
    <s v="FO-25-1276652"/>
    <d v="2025-07-18T00:00:00"/>
    <d v="2025-07-24T00:00:00"/>
    <s v="UNO A UNO"/>
    <s v="UNO A UNO"/>
    <s v="EJECUTADO"/>
    <s v="18-07 SE REALIZA LLAMADA AL CLIENTE, SE HABLA CON LA SR MAURO JOSE CHAVEZ MERCADO SE VALIDA DIRECCIÓN OK, CANAL OK, DISPONIBILIDAD TOTAL, LLAMAR EL DÍA LA INSTALACIÓN PARA CONFIRMAR VISITA, AVISO EXTERIOR ALTURA: NO INDICA ALTURA; TOMACORRIENTE CERCANO: SI; TIENE CABINA DE SEGURIDAD: NO - EL MODEM ESTA A 8 MT  21-07 EN COMUNICACIÓN CON EL SEÑOR MAURO JOSE CHAVEZ, ME INFORMA QUE NO ES POSIBLE RECIBIRME EL DÍA DE HOY YA QUE NO SE ENCUENTRA EN EL PUNTO, SE REPROGRAMA PARA EL DÍA MIÉRCOLES A PETICIÓN DEL CLIENTE. 23-07 SE VISITA EL COMERCIO PARA LA INSTALACIÓN DEL CB, PERO NO ES POSIBLE REALIZAR LA INSTALACIÓN YA QUE HABÍA UNA NOVEDAD CON LA DIRECCIÓN Y LOS DOCUMENTOS, SE ESCALA EL CASO CON RBM Y APRUEBAN LA IMPLEMENTACIÓN PERO DEBIDO A QUE LA RESPUESTA FUE TARDÍA, SE REPROGRAMA PARA EL DÍA DE MAÑANA. 24-07 SE REALIZA INSTALACIÓN DE CORRESPONSAL, SE INSTALAN EQUIPOS CON PRUEBAS EXITOSAS, SE CAPACITA Y SE EVALÚA AL CLIENTE, SE INSTALA PUBLICIDAD COMPLETA, CB QUEDA OPERATIVO. USUARIO SOMOS BANCOLOMBIA ACTIVO"/>
    <s v="VISITA _TECNICA"/>
    <s v="SEZZZ171"/>
    <s v="TIPO IV"/>
    <s v="TERRESTRE"/>
    <s v="CACERES HERNANDEZ ANDRES"/>
    <n v="0"/>
    <n v="0"/>
    <n v="0"/>
    <n v="0"/>
    <n v="1"/>
    <n v="464809.03136000002"/>
    <n v="464809.03136000002"/>
  </r>
  <r>
    <s v="NEIVA"/>
    <x v="4"/>
    <x v="5"/>
    <n v="18001"/>
    <s v="TA-25-876900"/>
    <n v="80558"/>
    <s v="APERTURA"/>
    <s v="CB CRECIMIENTO - NUEVO"/>
    <s v="CAQUETA"/>
    <s v="FLORENCIA"/>
    <s v="BARRIO SIETE DE AGOSTO FLORENCIA 6"/>
    <s v="REDEBAN"/>
    <s v="FO-25-1259515"/>
    <d v="2025-07-21T00:00:00"/>
    <d v="2025-07-24T00:00:00"/>
    <s v="UNO A UNO"/>
    <s v="UNO A UNO"/>
    <s v="EJECUTADO/CANCELADO"/>
    <s v="19-07 SE REALIZA LLAMADA AL CLIENTE, SE HABLA CON LA SRA CLARIBED MENDIETA PINILLA, SE VALIDA DIRECCIÓN OK, CANAL OK, DISPONIBILIDAD TOTAL, LLAMAR EL DÍA LA INSTALACIÓN PARA CONFIRMAR VISITA, AVISO EXTERIOR ALTURA APROX DONDE EL TECNICO LO VEA CONVENIENTE; TOMACORRIENTE CERCANO: SI; TIENE CABINA DE SEGURIDAD: NO 23-07 EN COMUNICACIÓN CON LA CLIENTA CLARIBED MENDIETA PINILLA AL NÚMERO 3202330996 MANIFESTÓ QUE EL DÍA DE HOY NO ME PUEDE ATENDER YA QUE SE ENCUENTRA EN LA CIUDAD DE NEIVA EN UNOS EXÁMENES MÉDICOS Y NO ALCANZA A LLEGAR A FLORENCIA PARA ATENDER LA VISITA, MANIFIESTA QUE EL DÍA DE MAÑANA PUEDE ATENER LA VISITA, PARA QUE LE HAGA LA INSTALACIÓN 24/07/2025 SE REALIZA VISITA PARA IMPLEMENTACIÓN DEL CB , PERO SE EVIDENCIA QUE EL COMERCIO ESTA UBICADO EN LA DIRECCIÓN CRA 5 #14 – 75, LA CUAL NO CORRESPONDE A LA RELACIONADA EN LA LISTA DE CHEQUEO CR 5 # 17 77 75,SIETE DE AGOSTO, POR TAL RAZÓN SE CANCELA ACTIVIDAD."/>
    <s v="VISITA _TECNICA"/>
    <s v="SEZZZ704"/>
    <s v="TIPO IV"/>
    <s v="TERRESTRE"/>
    <s v="BERMUDEZ SANCHEZ JOSE NEYBER"/>
    <n v="0"/>
    <n v="0"/>
    <n v="0"/>
    <n v="0"/>
    <n v="1"/>
    <n v="464809.03136000002"/>
    <n v="464809.03136000002"/>
  </r>
  <r>
    <s v="CALI"/>
    <x v="2"/>
    <x v="3"/>
    <n v="19001"/>
    <s v="TA-25-885305"/>
    <n v="33708"/>
    <s v="APERTURA"/>
    <s v="DATAFONO ADICIONAL"/>
    <s v="CAUCA"/>
    <s v="POPAYAN"/>
    <s v="BARRIO LA ESTANCIA POPAYAN 2"/>
    <s v="REDEBAN"/>
    <s v="FO-25-1273050"/>
    <d v="2025-07-23T00:00:00"/>
    <d v="2025-07-25T00:00:00"/>
    <s v="UNO A UNO"/>
    <s v="UNO A UNO"/>
    <s v="EJECUTADO/CANCELADO"/>
    <s v="23-07 SE REALIZA LLAMADA AL CLIENTE, SE HABLA CON LA SR JESUS ALBERTO ARTEAGA PALACIO SE VALIDA DIRECCIÓN OK, CANAL OK, DISPONIBILIDAD TOTAL, LLAMAR EL DÍA LA INSTALACIÓN PARA CONFIRMAR VISITA 25/07/2025 SE INGRESA SE ENCUENTRA NOVEDAD CLIENTE NO RECIBE EL DATÁFONO ADICIONAL YA QUE INFORMA QUE NO LE ASESORARON EN LA LÍNEA INDICÁNDOLE QUE CON ESTE DATÁFONO EL CUPO NO SE LO AGRANDABAN EL CUPO SIGUE SIENDO IGUAL POR TANTO NO DESEA LA IMPLEMENTACIÓN DEL NUEVO DATÁFONO"/>
    <s v="VISITA _TECNICA"/>
    <s v="V6ZZZ849"/>
    <s v="TIPO III"/>
    <s v="TERRESTRE"/>
    <s v="GIMBUEL LASSO LUIS GERMAN"/>
    <n v="0"/>
    <n v="0"/>
    <n v="0"/>
    <n v="0"/>
    <n v="1"/>
    <n v="222904.27188000001"/>
    <n v="222904.27188000001"/>
  </r>
  <r>
    <s v="IBAGUE"/>
    <x v="4"/>
    <x v="5"/>
    <n v="73001"/>
    <s v="TA-25-897285"/>
    <n v="80671"/>
    <s v="APERTURA"/>
    <s v="CB CRECIMIENTO - NUEVO"/>
    <s v="TOLIMA"/>
    <s v="IBAGUE"/>
    <s v="BARRIO COLINAS DEL SUR  1  ETAPA"/>
    <s v="REDEBAN"/>
    <s v="FO-25-1293652"/>
    <d v="2025-07-28T00:00:00"/>
    <d v="2025-07-29T00:00:00"/>
    <s v="UNO A UNO"/>
    <s v="UNO A UNO"/>
    <s v="EJECUTADO/CANCELADO"/>
    <s v="28-07-2025 SE REALIZA LLAMADA AL CLIENTE, SE HABLA CON CON LA SRA ANGIEE LIZETH RODRÍGUEZ TRASLAVIÑA SE VALIDA DIRECCIÓN OK, CANAL OK, DISPONIBILIDAD TOTAL, LLAMAR EL DÍA LA INSTALACIÓN PARA CONFIRMAR VISITA, AVISO EXTERIOR ALTURA APROX A LA MEDIDA QUE UNO PROPONGA O SE PUEDA; TOMACORRIENTE CERCANO: SI; TIENE CABINA DE SEGURIDAD: SI // CONTACTO REALIZADO POR LA APP 29/07/2025 SE REALIZA VISITA PARA IMPLEMENTACIÓN DEL CB, PERO SE EVIDENCIA QUE ESTÁ EN ADECUACIÓN, EL USUARIO ESTA SE TRASLADÓ AL LOCAL QUE ESTÁ AL FRENTE, SE LE INDICA QUE NO SE PUEDE INSTALAR EN UNA DIRECCIÓN DIFERENTE A LA RELACIONADA EN LA ORDEN, TAMBIÉN SE LE INFORME QUE SE COMUNIQUE CON LA ENTIDAD UNA VEZ TENGA EL LOCAL LISTO PARA QUE SE RETOME LA GESTIÓN DEL PUNTO. POR TAL RAZÓN SE CANCELA."/>
    <s v="VISITA _TECNICA"/>
    <s v="V8ZZZ350"/>
    <s v="TIPO I"/>
    <s v="TERRESTRE"/>
    <s v="BARRAGAN TAFUR EDWIN ESTEBAN"/>
    <n v="0"/>
    <n v="0"/>
    <n v="0"/>
    <n v="0"/>
    <n v="1"/>
    <n v="44559.984800000006"/>
    <n v="44559.984800000006"/>
  </r>
  <r>
    <s v="MEDELLIN"/>
    <x v="0"/>
    <x v="0"/>
    <n v="5001"/>
    <s v="TA-25-897422"/>
    <n v="13412"/>
    <s v="APERTURA"/>
    <s v="DATAFONO ADICIONAL"/>
    <s v="ANTIOQUIA"/>
    <s v="MEDELLIN"/>
    <s v="BARRIO CAICEDO VII MEDELLIN"/>
    <s v="REDEBAN"/>
    <s v="FO-25-1293923"/>
    <d v="2025-07-28T00:00:00"/>
    <d v="2025-07-29T00:00:00"/>
    <s v="UNO A UNO"/>
    <s v="UNO A UNO"/>
    <s v="EJECUTADO/CANCELADO"/>
    <s v="26-07 SE REALIZA LLAMADA AL CLIENTE, SE HABLA CON LA SR arley de jesus lopez betancur  SE VALIDA DIRECCIÓN OK, CANAL OK, DISPONIBILIDAD TOTAL, LLAMAR EL DÍA LA INSTALACIÓN PARA CONFIRMAR VISITA 29/07/2025 SE CANCELA ACTIVIDAD YA QUE CLIENTE NO RECIBE TECNOLOGÍA, CLIENTE INDICA QUE YA TIENE 2 EQUIPOS Y PIDIO CON NUEVA TECNOLOGÍA QUE PUEDA ENTREGAR BAUCHER FISICO YA QUE ESTÁ TENIENDO INCONVENIENTE CON LOS CLIENTES. "/>
    <s v="VISITA _TECNICA"/>
    <s v="V8ZZZ412"/>
    <s v="TIPO I"/>
    <s v="TERRESTRE"/>
    <s v="BADEL ACUÑA LUIS ALBERTO"/>
    <n v="0"/>
    <n v="0"/>
    <n v="0"/>
    <n v="0"/>
    <n v="1"/>
    <n v="44559.984800000006"/>
    <n v="44559.984800000006"/>
  </r>
  <r>
    <s v="MONTERIA"/>
    <x v="1"/>
    <x v="1"/>
    <n v="23001"/>
    <s v="TA-25-904099"/>
    <n v="80741"/>
    <s v="APERTURA"/>
    <s v="CB CRECIMIENTO - NUEVO"/>
    <s v="CORDOBA"/>
    <s v="MONTERIA"/>
    <s v="BARRIO VILLA ROCIO MONTERIA 1"/>
    <s v="REDEBAN"/>
    <s v="FO-25-1305089"/>
    <d v="2025-07-30T00:00:00"/>
    <d v="2025-07-31T00:00:00"/>
    <s v="UNO A UNO"/>
    <s v="UNO A UNO"/>
    <s v="EJECUTADO/CANCELADO"/>
    <s v="30-07-2025 SE REALIZA LLAMADA AL CLIENTE, SE HABLA CON EL SR EXNEIDER ANTONIO HERRERA NARVAEZ, VALIDA DIRECCIÓN OK, CANAL OK, DISPONIBILIDAD TOTAL, LLAMAR EL DÍA LA INSTALACIÓN PARA CONFIRMAR VISITA, AVISO EXTERIOR ALTURA APROX  2 METROS; TOMACORRIENTE CERCANO: SI; TIENE CABINA DE SEGURIDAD: NO 31/07/2025 INSTALACIÓN FALLIDA, SE LLEGÓ HASTA LA DIRECCIÓN Y EL LOCAL COMERCIAL TIENE UN NOMBRE DIFERENTE AL QUE SE RELACIONA EN LA LISTA DE CHEQUEO, SE ESCALÓ EL CASO A RBM Y SE LE INFORMA AL CLIENTE QUE DEBE ACTUALIZAR LA CÁMARA DE COMERCIO CON EL NOMBRE ACTUAL Y ESTE INFORMA QUE NO VA A REALIZAR EL PROCESO PORQUE LE GENERA GASTOS, ADICIONAL INFORMA QUE NO TIENE LA PERSONA PARA QUE LE ATIENDA EL CB Y DEBE CONTRATAR INTERNET Y ES COSTOSO."/>
    <s v="VISITA _TECNICA"/>
    <s v="VAZZZ387"/>
    <s v="TIPO I"/>
    <s v="TERRESTRE"/>
    <s v="CALDERA SALCEDO CARLOS JULIO"/>
    <n v="0"/>
    <n v="0"/>
    <n v="0"/>
    <n v="0"/>
    <n v="1"/>
    <n v="44559.984800000006"/>
    <n v="44559.984800000006"/>
  </r>
  <r>
    <s v="VILLAVICENCIO"/>
    <x v="4"/>
    <x v="5"/>
    <n v="95001"/>
    <s v="TA-25-799127"/>
    <n v="80059"/>
    <s v="APERTURA"/>
    <s v="CB CRECIMIENTO - NUEVO"/>
    <s v="GUAVIARE"/>
    <s v="SAN JOSE DEL GUAVIARE"/>
    <s v="BARRIO EL PORVENIR SAN JOSE DEL GUAVIARE 4"/>
    <s v="REDEBAN"/>
    <s v="FO-25-1128664"/>
    <d v="2025-06-24T00:00:00"/>
    <d v="2025-07-01T00:00:00"/>
    <s v="UNO A UNO"/>
    <s v="UNO A UNO"/>
    <s v="EJECUTADO"/>
    <s v="21-06 SE REALIZA LLAMADA AL CLIENTE, SE HABLA CON LA SRA CLAUDIA FERNANDA PERDOMO GONZALEZ, SE VALIDA DIRECCIÓN OK, CANAL OK, DISPONIBILIDAD TOTAL, LLAMAR EL DÍA LA INSTALACIÓN PARA CONFIRMAR VISITA, AVISO EXTERIOR ALTURA APROX DONDE EL TECNICO LO VEA CONVENIENTE; TOMACORRIENTE CERCANO:SI; TIENE CABINA DE SEGURIDAD:NO//  MODEM NO TIENE PUERTOS DISPONIBLES 26-6 EN COMUNICACIÓN CON EL USUARIO INDICA QUE NOS ATIENDE EL DIA MARTES POR QUE AUN ESTA ADECUANDO EL LOCAL 1/7/2025 SE REALIZA INSTALACIÓN DE CORRESPONSAL, SE INSTALAN EQUIPOS CON PRUEBAS EXITOSAS, SE CAPACITA Y SE EVALÚA AL CLIENTE, SE INSTALA PUBLICIDAD COMPLETA, CB QUEDA OPERATIVO. USUARIO SOMOS BANCOLOMBIA ACTIVO. SE INSTAAN 15 MT DE CABLE UTP"/>
    <s v="VISITA _TECNICA"/>
    <s v="SAXZZ468"/>
    <s v="TIPO IV"/>
    <s v="TERRESTRE"/>
    <s v="PEDREROS CONTRERAS MICHAEL STEVENS"/>
    <n v="15"/>
    <n v="0"/>
    <n v="0"/>
    <n v="0"/>
    <n v="0"/>
    <n v="464809.03136000002"/>
    <n v="243520.43159999998"/>
  </r>
  <r>
    <s v="CALI"/>
    <x v="2"/>
    <x v="3"/>
    <n v="76130"/>
    <s v="TA-25-820718"/>
    <n v="80125"/>
    <s v="APERTURA"/>
    <s v="CB CRECIMIENTO - NUEVO"/>
    <s v="VALLE DEL CAUCA"/>
    <s v="CANDELARIA"/>
    <s v="BARRIO MOLINOS 2 CANDELARIA"/>
    <s v="REDEBAN"/>
    <s v="FO-25-1162061"/>
    <d v="2025-07-01T00:00:00"/>
    <d v="2025-07-03T00:00:00"/>
    <s v="UNO A UNO"/>
    <s v="UNO A UNO"/>
    <s v="EJECUTADO"/>
    <s v="01-07-2025 SE REALIZA LLAMADA AL CLIENTE, SE HABLA CON EL SR DAVID FERNANDO PEREZ CERON SE VALIDA DIRECCIÓN OK, CANAL OK, DISPONIBILIDAD TOTAL, LLAMAR EL DÍA LA INSTALACIÓN PARA CONFIRMAR VISITA, AVISO EXTERIOR ALTURA APROX 2,50 METROS; TOMACORRIENTE CERCANO: SI; TIENE CABINA DE SEGURIDAD: SI // CONTACTO REALIZADO POR LA APP 3/7/2025 SE REALIZA INSTALACIÓN DE CORRESPONSAL, SE INSTALAN EQUIPOS CON PRUEBAS EXITOSAS, SE CAPACITA Y SE EVALÚA AL CLIENTE, SE INSTALA PUBLICIDAD COMPLETA, CB QUEDA OPERATIVO. USUARIO SOMOS BANCOLOMBIA ACTIVO. SE INSTALAN 10 MT DE CABLE UTP"/>
    <s v="VISITA _TECNICA"/>
    <s v="F1ZZZ708"/>
    <s v="TIPO II"/>
    <s v="TERRESTRE"/>
    <s v="TORRES GARCIA JENDRY JOSE"/>
    <n v="10"/>
    <n v="0"/>
    <n v="0"/>
    <n v="0"/>
    <n v="0"/>
    <n v="134410.38956000001"/>
    <n v="162346.95439999999"/>
  </r>
  <r>
    <s v="CALI"/>
    <x v="2"/>
    <x v="3"/>
    <n v="76001"/>
    <s v="TA-25-821140"/>
    <n v="80124"/>
    <s v="APERTURA"/>
    <s v="CB CRECIMIENTO - NUEVO"/>
    <s v="VALLE DEL CAUCA"/>
    <s v="CALI"/>
    <s v="BARRIO POBLADO 1 CALI 2"/>
    <s v="REDEBAN"/>
    <s v="FO-25-1162562"/>
    <d v="2025-07-01T00:00:00"/>
    <d v="2025-07-02T00:00:00"/>
    <s v="UNO A UNO"/>
    <s v="UNO A UNO"/>
    <s v="EJECUTADO"/>
    <s v="1-07-2025 SE REALIZA COMUNICACION CON CLIENTE, SE HABLA CON LA SRA KAROLL VIVIANA SALAZAR VARGAS SE VALIDA DIRECCIÓN OK, CANAL OK, DISPONIBILIDAD TOTAL, LLAMAR EL DÍA DE LA INSTALACIÓN PARA CONFIRMAR VISITA, ALTURA APROX 3 METROS; TOMACORRIENTE CERCANO: SI; TIENE CABINA DE SEGURIDAD: SI // CONTACTO REALIZADO POR WHATSAPP 9:12 a. m. 2/7/2025 SE REALIZA INSTALACIÓN DE CORRESPONSAL, SE INSTALAN EQUIPOS CON PRUEBAS EXITOSAS, SE CAPACITA Y SE EVALÚA AL CLIENTE, SE INSTALA PUBLICIDAD COMPLETA, CB QUEDA OPERATIVO. USUARIO SOMOS BANCOLOMBIA ACTIVO. SE INSTALAN 10 MT DE CABLE UTP"/>
    <s v="VISITA _TECNICA"/>
    <s v="F1ZZZ742"/>
    <s v="TIPO I"/>
    <s v="TERRESTRE"/>
    <s v="BOLAÑOS TABORDA JORGE ENRIQUE"/>
    <n v="10"/>
    <n v="0"/>
    <n v="0"/>
    <n v="0"/>
    <n v="0"/>
    <n v="44559.984800000006"/>
    <n v="162346.95439999999"/>
  </r>
  <r>
    <s v="TUNJA"/>
    <x v="5"/>
    <x v="6"/>
    <n v="15814"/>
    <s v="TA-25-821770"/>
    <n v="66400"/>
    <s v="APERTURA"/>
    <s v="DATAFONO ADICIONAL"/>
    <s v="BOYACA"/>
    <s v="TOCA"/>
    <s v="BARRIO CENTRO TOCA 2"/>
    <s v="REDEBAN"/>
    <s v="FO-25-1163268"/>
    <d v="2025-07-01T00:00:00"/>
    <d v="2025-07-03T00:00:00"/>
    <s v="UNO A UNO"/>
    <s v="UNO A UNO"/>
    <s v="EJECUTADO"/>
    <s v="01-07 SE REALIZA LLAMADA AL CLIENTE, SE HABLA CON LA SRA LIA PATRICIA MORALES ALZATE SE VALIDA DIRECCIÓN OK, CANAL OK, DISPONIBILIDAD TOTAL, LLAMAR EL DÍA LA INSTALACIÓN PARA CONFIRMAR VISITA, 3/7/2025 SE REALIZA INSTALACIÓN DE DAT ADICIONAL, PRUEBAS EXITOSAS, CB QUEDA OPERATIVO. SE INSTALAN 15 MT DE CABLE UTP"/>
    <s v="VISITA _TECNICA"/>
    <s v="F1ZZZ783"/>
    <s v="TIPO II"/>
    <s v="TERRESTRE"/>
    <s v="RODRIGUEZ MURCIA YERSON IVAN"/>
    <n v="15"/>
    <n v="0"/>
    <n v="0"/>
    <n v="0"/>
    <n v="0"/>
    <n v="134410.38956000001"/>
    <n v="243520.43159999998"/>
  </r>
  <r>
    <s v="MEDELLIN"/>
    <x v="0"/>
    <x v="0"/>
    <n v="5030"/>
    <s v="TA-25-837749"/>
    <n v="80254"/>
    <s v="APERTURA"/>
    <s v="CB CRECIMIENTO - NUEVO"/>
    <s v="ANTIOQUIA"/>
    <s v="AMAGA"/>
    <s v="BARRIO VRD VILLA DIANA AMAGA"/>
    <s v="REDEBAN"/>
    <s v="FO-25-1193526"/>
    <d v="2025-07-07T00:00:00"/>
    <d v="2025-07-10T00:00:00"/>
    <s v="UNO A UNO"/>
    <s v="UNO A UNO"/>
    <s v="EJECUTADO"/>
    <s v="05-07 SE REALIZA LLAMADA AL CLIENTE, SE HABLA CON LA SR JUAN CAMILO MONCADA GOMEZ SE VALIDA DIRECCIÓN OK, CANAL OK, DISPONIBILIDAD TOTAL, LLAMAR EL DÍA LA INSTALACIÓN PARA CONFIRMAR VISITA, AVISO EXTERIOR ALTURA APROX 2.5 METROS; TOMACORRIENTE CERCANO: SI; TIENE CABINA DE SEGURIDAD: NO - EL MODEM ESTA A 10 MT / PROGRAMADO PARA DICHA FECHA POR SOLICITUD DEL USUARIO 10/7/2025 SE REALIZA INSTALACIÓN DE CORRESPONSAL, SE INSTALAN EQUIPOS CON PRUEBAS EXITOSAS, SE CAPACITA Y SE EVALÚA AL CLIENTE, SE INSTALA PUBLICIDAD COMPLETA, CB QUEDA OPERATIVO. USUARIO SOMOS BANCOLOMBIA ACTIVO. SE INSTALAN 15 MT DE CABLE UTP"/>
    <s v="VISITA _TECNICA"/>
    <s v="FAZZZ495"/>
    <s v="TIPO II"/>
    <s v="TERRESTRE"/>
    <s v="ZAPATA LOPEZ EDWARD ASDRUBAL"/>
    <n v="15"/>
    <n v="0"/>
    <n v="0"/>
    <n v="0"/>
    <n v="0"/>
    <n v="134410.38956000001"/>
    <n v="243520.43159999998"/>
  </r>
  <r>
    <s v="CALI"/>
    <x v="2"/>
    <x v="3"/>
    <n v="76111"/>
    <s v="TA-25-837819"/>
    <n v="80268"/>
    <s v="APERTURA"/>
    <s v="CB CRECIMIENTO - NUEVO"/>
    <s v="VALLE DEL CAUCA"/>
    <s v="GUADALAJARA DE BUGA"/>
    <s v="BARRIO DIVINO NIÑO GUADALAJARA DE BUGA 1"/>
    <s v="REDEBAN"/>
    <s v="FO-25-1193576"/>
    <d v="2025-07-07T00:00:00"/>
    <d v="2025-07-08T00:00:00"/>
    <s v="UNO A UNO"/>
    <s v="UNO A UNO"/>
    <s v="EJECUTADO"/>
    <s v="07-07-2025 SE REALIZA LLAMADA AL CLIENTE, SE HABLA CON LA SRA ALBA NUBIA CARMONA DUQUE SE VALIDA DIRECCIÓN OK, CANAL OK, DISPONIBILIDAD TOTAL, LLAMAR EL DÍA LA INSTALACIÓN PARA CONFIRMAR VISITA, AVISO EXTERIOR ALTURA APROX 2 METROS; TOMACORRIENTE CERCANO: SI; TIENE CABINA DE SEGURIDAD: SI // CONTACTO REALIZADO POR LA APP 08-07 SE REALIZA INSTALACIÓN DE CORRESPONSAL, SE INSTALAN EQUIPOS CON PRUEBAS EXITOSAS, SE CAPACITA Y SE EVALÚA AL CLIENTE, SE INSTALA PUBLICIDAD COMPLETA, CB QUEDA OPERATIVO. USUARIO SOMOS BANCOLOMBIA ACTIVO. SE  INSTALANB 15 MT DE CABLE UPT "/>
    <s v="VISITA _TECNICA"/>
    <s v="FAZZZ502"/>
    <s v="TIPO II"/>
    <s v="TERRESTRE"/>
    <s v="TORRES GARCIA JENDRY JOSE"/>
    <n v="15"/>
    <n v="0"/>
    <n v="0"/>
    <n v="0"/>
    <n v="0"/>
    <n v="134410.38956000001"/>
    <n v="243520.43159999998"/>
  </r>
  <r>
    <s v="BUCARAMANGA"/>
    <x v="5"/>
    <x v="6"/>
    <n v="68001"/>
    <s v="TA-25-837942"/>
    <n v="80246"/>
    <s v="APERTURA"/>
    <s v="CB CRECIMIENTO - NUEVO"/>
    <s v="SANTANDER"/>
    <s v="BUCARAMANGA"/>
    <s v="BARRIO GUAYACANES BUCARAMANGA"/>
    <s v="REDEBAN"/>
    <s v="FO-25-1193916"/>
    <d v="2025-07-07T00:00:00"/>
    <d v="2025-07-08T00:00:00"/>
    <s v="UNO A UNO"/>
    <s v="UNO A UNO"/>
    <s v="EJECUTADO"/>
    <s v="07-07-2025 SE REALIZA LLAMADA AL CLIENTE, SE HABLA CON  LA SRA NIDIA SANABRIA LEON, SE VALIDA DIRECCIÓN OK, CANAL OK, DISPONIBILIDAD TOTAL, LLAMAR EL DÍA LA INSTALACIÓN PARA CONFIRMAR VISITA, AVISO EXTERIOR ALTURA APROX 3 METROS; TOMACORRIENTE CERCANO: SI; TIENE CABINA DE SEGURIDAD:NO 8/7/2025 SE REALIZA INSTALACIÓN DE CORRESPONSAL, SE INSTALAN EQUIPOS CON PRUEBAS EXITOSAS, SE CAPACITA Y SE EVALÚA AL CLIENTE, SE INSTALA PUBLICIDAD COMPLETA, CB QUEDA OPERATIVO. USUARIO SOMOS BANCOLOMBIA ACTIVO. SE INSTALAN 10 MT DE CABLE UTP"/>
    <s v="VISITA _TECNICA"/>
    <s v="FAZZZ545"/>
    <s v="TIPO I"/>
    <s v="TERRESTRE"/>
    <s v="GELVEZ MOGOLLON JOSE ELISEO"/>
    <n v="10"/>
    <n v="0"/>
    <n v="0"/>
    <n v="0"/>
    <n v="0"/>
    <n v="44559.984800000006"/>
    <n v="162346.95439999999"/>
  </r>
  <r>
    <s v="TUNJA"/>
    <x v="5"/>
    <x v="6"/>
    <n v="15822"/>
    <s v="TA-25-853038"/>
    <n v="80358"/>
    <s v="APERTURA"/>
    <s v="CB CRECIMIENTO - NUEVO"/>
    <s v="BOYACA"/>
    <s v="TOTA"/>
    <s v="BARRIO CENTRO TOTA 3"/>
    <s v="REDEBAN"/>
    <s v="FO-25-1217820"/>
    <d v="2025-07-11T00:00:00"/>
    <d v="2025-07-14T00:00:00"/>
    <s v="UNO A UNO"/>
    <s v="UNO A UNO"/>
    <s v="EJECUTADO"/>
    <s v="11-07-2025 SE REALIZA LLAMADA AL CLIENTE, SE HABLA CON LA SRA MARÍA CAMILA QUEMBA TENJO SE VALIDA DIRECCIÓN OK, CANAL OK, DISPONIBILIDAD TOTAL, LLAMAR EL DÍA LA INSTALACIÓN PARA CONFIRMAR VISITA, AVISO EXTERIOR ALTURA APROX 2,6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E INSTALAN 15 MT DE CABLE UTP"/>
    <s v="VISITA _TECNICA"/>
    <s v="LBZZZ616"/>
    <s v="TIPO II"/>
    <s v="TERRESTRE"/>
    <s v="RODRIGUEZ MURCIA YERSON IVAN"/>
    <n v="15"/>
    <n v="0"/>
    <n v="0"/>
    <n v="0"/>
    <n v="0"/>
    <n v="134410.38956000001"/>
    <n v="243520.43159999998"/>
  </r>
  <r>
    <s v="YOPAL"/>
    <x v="4"/>
    <x v="5"/>
    <n v="85010"/>
    <s v="TA-25-856105"/>
    <n v="80421"/>
    <s v="APERTURA"/>
    <s v="CB CRECIMIENTO - NUEVO"/>
    <s v="CASANARE"/>
    <s v="AGUAZUL"/>
    <s v="BARRIO SAN AGUSTIN AGUAZUL"/>
    <s v="REDEBAN"/>
    <s v="FO-25-1226541"/>
    <d v="2025-07-14T00:00:00"/>
    <d v="2025-07-16T00:00:00"/>
    <s v="UNO A UNO"/>
    <s v="UNO A UNO"/>
    <s v="EJECUTADO"/>
    <s v="14-07 SE REALIZA LLAMADA AL CLIENTE, SE HABLA CON LA SRA MARIA ALICIA RODRIGUEZ PERILLA, SE VALIDA DIRECCIÓN OK, CANAL OK, DISPONIBILIDAD TOTAL, LLAMAR EL DÍA LA INSTALACIÓN PARA CONFIRMAR VISITA, AVISO EXTERIOR ALTURA APROX  2 METROS; TOMACORRIENTE CERCANO: SI; TIENE CABINA DE SEGURIDAD: SI 16/7/2025 SE REALIZA INSTALACIÓN DE CORRESPONSAL, SE INSTALAN EQUIPOS CON PRUEBAS EXITOSAS, SE CAPACITA Y SE EVALÚA AL CLIENTE, SE INSTALA PUBLICIDAD COMPLETA, CB QUEDA OPERATIVO. USUARIO SOMOS BANCOLOMBIA ACTIVO. SE INSTALAN 10 MT DE CABLE UTP"/>
    <s v="VISITA _TECNICA"/>
    <s v="LDZZZ370"/>
    <s v="TIPO II"/>
    <s v="TERRESTRE"/>
    <s v="BERNAL ELAICA EDGAR ALEXIS"/>
    <n v="10"/>
    <n v="0"/>
    <n v="0"/>
    <n v="0"/>
    <n v="0"/>
    <n v="134410.38956000001"/>
    <n v="162346.95439999999"/>
  </r>
  <r>
    <s v="CALI"/>
    <x v="2"/>
    <x v="3"/>
    <n v="76001"/>
    <s v="TA-25-863546"/>
    <n v="80442"/>
    <s v="APERTURA"/>
    <s v="CB CRECIMIENTO - NUEVO"/>
    <s v="VALLE DEL CAUCA"/>
    <s v="CALI"/>
    <s v="BARRIO SANTA ROSA CALI 5"/>
    <s v="REDEBAN"/>
    <s v="FO-25-1239417"/>
    <d v="2025-07-16T00:00:00"/>
    <d v="2025-07-17T00:00:00"/>
    <s v="UNO A UNO"/>
    <s v="UNO A UNO"/>
    <s v="EJECUTADO"/>
    <s v="16-07-2025 SE REALIZA LLAMADA AL CLIENTE, SE HABLA CON LA SRA MARISOL BRAND MONTEHERMOSO  SE VALIDA DIRECCIÓN OK, CANAL OK, DISPONIBILIDAD TOTAL, LLAMAR EL DÍA LA INSTALACIÓN PARA CONFIRMAR VISITA, AVISO EXTERIOR ALTURA APROX 2 METROS; TOMACORRIENTE CERCANO: SI; TIENE CABINA DE SEGURIDAD: NO // CONTACTO REALIZADO POR LA APP 17/7/2025 SE REALIZA INSTALACIÓN DE CORRESPONSAL, SE INSTALAN EQUIPOS CON PRUEBAS EXITOSAS, SE CAPACITA Y SE EVALÚA AL CLIENTE, SE INSTALA PUBLICIDAD COMPLETA, CB QUEDA OPERATIVO. USUARIO SOMOS BANCOLOMBIA ACTIVO. SE INSTALAN 8 MT DE CABLE UTP"/>
    <s v="VISITA _TECNICA"/>
    <s v="SAZZZ785"/>
    <s v="TIPO I"/>
    <s v="TERRESTRE"/>
    <s v="BOLAÑOS TABORDA JORGE ENRIQUE"/>
    <n v="8"/>
    <n v="0"/>
    <n v="0"/>
    <n v="0"/>
    <n v="0"/>
    <n v="44559.984800000006"/>
    <n v="129877.56352"/>
  </r>
  <r>
    <s v="BUCARAMANGA"/>
    <x v="5"/>
    <x v="6"/>
    <n v="68679"/>
    <s v="TA-25-863579"/>
    <n v="80460"/>
    <s v="APERTURA"/>
    <s v="CB CRECIMIENTO - NUEVO"/>
    <s v="SANTANDER"/>
    <s v="SAN GIL"/>
    <s v="BARRIO CARACOL DE LAS 12 SAN GIL  SAN GIL"/>
    <s v="REDEBAN"/>
    <s v="FO-25-1239492"/>
    <d v="2025-07-16T00:00:00"/>
    <d v="2025-07-18T00:00:00"/>
    <s v="UNO A UNO"/>
    <s v="UNO A UNO"/>
    <s v="EJECUTADO"/>
    <s v="16-07 SE REALIZA LLAMADA AL CLIENTE, SE HABLA CON  EL SR WILSON DARIO MONSALVE LEON, SE VALIDA DIRECCIÓN OK, CANAL OK, DISPONIBILIDAD TOTAL, LLAMAR EL DÍA LA INSTALACIÓN PARA CONFIRMAR VISITA, AVISO EXTERIOR ALTURA APROX  2,50 METROS; TOMACORRIENTE CERCANO: SI; TIENE CABINA DE SEGURIDAD: SI 18/7/2025 SE REALIZA INSTALACIÓN DE CORRESPONSAL, SE INSTALAN EQUIPOS CON PRUEBAS EXITOSAS, SE CAPACITA Y SE EVALÚA AL CLIENTE, SE INSTALA PUBLICIDAD COMPLETA, CB QUEDA OPERATIVO. USUARIO SOMOS BANCOLOMBIA ACTI.VO. SE INSTALAN 15 MT DE CABLE UTP"/>
    <s v="VISITA _TECNICA"/>
    <s v="SAZZZ772"/>
    <s v="TIPO II"/>
    <s v="TERRESTRE"/>
    <s v="MARIÑO PABON JORGE ENRIQUE"/>
    <n v="15"/>
    <n v="0"/>
    <n v="0"/>
    <n v="0"/>
    <n v="0"/>
    <n v="134410.38956000001"/>
    <n v="243520.43159999998"/>
  </r>
  <r>
    <s v="CALI"/>
    <x v="2"/>
    <x v="3"/>
    <n v="76001"/>
    <s v="TA-25-863583"/>
    <n v="80443"/>
    <s v="APERTURA"/>
    <s v="CB CRECIMIENTO - NUEVO"/>
    <s v="VALLE DEL CAUCA"/>
    <s v="CALI"/>
    <s v="BARRIO MARROQUIN II CALI 1"/>
    <s v="REDEBAN"/>
    <s v="FO-25-1239505"/>
    <d v="2025-07-16T00:00:00"/>
    <d v="2025-07-18T00:00:00"/>
    <s v="UNO A UNO"/>
    <s v="UNO A UNO"/>
    <s v="EJECUTADO"/>
    <s v="16-07 SE REALIZA LLAMADA AL CLIENTE, SE HABLA CON LA SR CLAUDIA LORENA GIL CIFUENTES  SE VALIDA DIRECCIÓN OK, CANAL OK, DISPONIBILIDAD TOTAL, LLAMAR EL DÍA LA INSTALACIÓN PARA CONFIRMAR VISITA, AVISO EXTERIOR ALTURA APROX 2.40 METROS; TOMACORRIENTE CERCANO: SI; TIENE CABINA DE SEGURIDAD: NO 18/7/2025 SE REALIZA INSTALACIÓN DE CORRESPONSAL, SE INSTALAN EQUIPOS CON PRUEBAS EXITOSAS, SE CAPACITA Y SE EVALÚA AL CLIENTE, SE INSTALA PUBLICIDAD COMPLETA, CB QUEDA OPERATIVO. USUARIO SOMOS BANCOLOMBIA ACTIVO. SE INSTALAN 7 MT DE CABLE UTP"/>
    <s v="VISITA _TECNICA"/>
    <s v="SAZZZ795"/>
    <s v="TIPO I"/>
    <s v="TERRESTRE"/>
    <s v="MONTERO MUESES GIAN CARLO"/>
    <n v="7"/>
    <n v="0"/>
    <n v="0"/>
    <n v="0"/>
    <n v="0"/>
    <n v="44559.984800000006"/>
    <n v="113642.86808"/>
  </r>
  <r>
    <s v="MEDELLIN"/>
    <x v="0"/>
    <x v="0"/>
    <n v="5364"/>
    <s v="TA-25-863587"/>
    <n v="80446"/>
    <s v="APERTURA"/>
    <s v="CB CRECIMIENTO - NUEVO"/>
    <s v="ANTIOQUIA"/>
    <s v="JARDIN"/>
    <s v="BARRIO LA AVENIDA SECTOR ESTADIO JARDIN"/>
    <s v="REDEBAN"/>
    <s v="FO-25-1239528"/>
    <d v="2025-07-16T00:00:00"/>
    <d v="2025-07-18T00:00:00"/>
    <s v="UNO A UNO"/>
    <s v="UNO A UNO"/>
    <s v="EJECUTADO"/>
    <s v="16-07 SE REALIZA LLAMADA AL CLIENTE, SE HABLA CON LA SRA NATALIA GOMEZ MEJIA SE VALIDA DIRECCIÓN OK, CANAL OK, DISPONIBILIDAD TOTAL, LLAMAR EL DÍA LA INSTALACIÓN PARA CONFIRMAR VISITA, AVISO EXTERIOR ALTURA : NO INDICA ALTURA; TOMACORRIENTE CERCANO: SI; TIENE CABINA DE SEGURIDAD: NO 18/7/2025 SE REALIZA INSTALACIÓN DE CORRESPONSAL, SE INSTALAN EQUIPOS CON PRUEBAS EXITOSAS, SE CAPACITA Y SE EVALÚA AL CLIENTE, SE INSTALA PUBLICIDAD COMPLETA, CB QUEDA OPERATIVO. USUARIO SOMOS BANCOLOMBIA ACTIVO. SE INSTALAN 8 MT DE CABLE UTP"/>
    <s v="VISITA _TECNICA"/>
    <s v="SAZZZ797"/>
    <s v="TIPO III"/>
    <s v="TERRESTRE"/>
    <s v="PAREJA ECHAVARRIA JHON DAVID"/>
    <n v="8"/>
    <n v="0"/>
    <n v="0"/>
    <n v="0"/>
    <n v="0"/>
    <n v="222904.27188000001"/>
    <n v="129877.56352"/>
  </r>
  <r>
    <s v="CARTAGENA"/>
    <x v="1"/>
    <x v="1"/>
    <n v="13001"/>
    <s v="TA-25-870061"/>
    <n v="80518"/>
    <s v="APERTURA"/>
    <s v="CB CRECIMIENTO - NUEVO"/>
    <s v="BOLIVAR"/>
    <s v="CARTAGENA"/>
    <s v="BARRIO BICENTENARIO CARTAGENA DE INDIAS 4"/>
    <s v="REDEBAN"/>
    <s v="FO-25-1249905"/>
    <d v="2025-07-18T00:00:00"/>
    <d v="2025-07-22T00:00:00"/>
    <s v="UNO A UNO"/>
    <s v="UNO A UNO"/>
    <s v="EJECUTADO"/>
    <s v="18-07 SE REALIZA LLAMADA AL CLIENTE, SE HABLA CON LA SRA ADA LUZ ESPINOSA CAMARGO, SE VALIDA DIRECCIÓN OK, CANAL OK, DISPONIBILIDAD TOTAL, LLAMAR EL DÍA LA INSTALACIÓN PARA CONFIRMAR VISITA, AVISO EXTERIOR ALTURA APROX DONDE EL TECNICO LO VEA CONVENIENTE; TOMACORRIENTE CERCANO: SI; TIENE CABINA DE SEGURIDAD: SI 22/7/2025 SE REALIZA INSTALACIÓN DE CORRESPONSAL, SE INSTALAN EQUIPOS CON PRUEBAS EXITOSAS, SE CAPACITA Y SE EVALÚA AL CLIENTE, SE INSTALA PUBLICIDAD COMPLETA, CB QUEDA OPERATIVO. USUARIO SOMOS BANCOLOMBIA ACTIVO. SE INSTALAN 10 MT DE CABLE UTP"/>
    <s v="VISITA _TECNICA"/>
    <s v="SEZZZ154"/>
    <s v="TIPO I"/>
    <s v="TERRESTRE"/>
    <s v="CANEDO HERRERA ALEXANDER"/>
    <n v="10"/>
    <n v="0"/>
    <n v="0"/>
    <n v="0"/>
    <n v="0"/>
    <n v="44559.984800000006"/>
    <n v="162346.95439999999"/>
  </r>
  <r>
    <s v="BOGOTA"/>
    <x v="3"/>
    <x v="4"/>
    <n v="25290"/>
    <s v="TA-25-870064"/>
    <n v="80525"/>
    <s v="APERTURA"/>
    <s v="CB CRECIMIENTO - NUEVO"/>
    <s v="CUNDINAMARCA"/>
    <s v="FUSAGASUGA"/>
    <s v="BARRIO URBANIZACION CADIZ FUSAGASUGA"/>
    <s v="REDEBAN"/>
    <s v="FO-25-1249912"/>
    <d v="2025-07-18T00:00:00"/>
    <d v="2025-07-22T00:00:00"/>
    <s v="UNO A UNO"/>
    <s v="UNO A UNO"/>
    <s v="EJECUTADO"/>
    <s v="18-07 SE REALIZA LLAMADA AL CLIENTE, SE HABLA CON  EL SR FELIX ANDRES MUÑOZ FLOREZ, SE VALIDA DIRECCIÓN OK, CANAL OK, DISPONIBILIDAD TOTAL, LLAMAR EL DÍA LA INSTALACIÓN PARA CONFIRMAR VISITA, AVISO EXTERIOR ALTURA APROX 2,5 METROS; TOMACORRIENTE CERCANO: SI; TIENE CABINA DE SEGURIDAD: SI// MODEM A 10 METROS 22/7/2025 SE REALIZA INSTALACIÓN DE CORRESPONSAL, SE INSTALAN EQUIPOS CON PRUEBAS EXITOSAS, SE CAPACITA Y SE EVALÚA AL CLIENTE, SE INSTALA PUBLICIDAD COMPLETA, CB QUEDA OPERATIVO. USUARIO SOMOS BANCOLOMBIA ACTIVO. SE INSTALAN 10 MT DE CABLE UTP"/>
    <s v="VISITA _TECNICA"/>
    <s v="SEZZZ156"/>
    <s v="TIPO II"/>
    <s v="TERRESTRE"/>
    <s v="GOMEZ VEGA DAVID SNEYDER"/>
    <n v="10"/>
    <n v="0"/>
    <n v="0"/>
    <n v="0"/>
    <n v="0"/>
    <n v="134410.38956000001"/>
    <n v="162346.95439999999"/>
  </r>
  <r>
    <s v="IBAGUE"/>
    <x v="4"/>
    <x v="5"/>
    <n v="73001"/>
    <s v="TA-25-876899"/>
    <n v="80561"/>
    <s v="APERTURA"/>
    <s v="CB CRECIMIENTO - NUEVO"/>
    <s v="TOLIMA"/>
    <s v="IBAGUE"/>
    <s v="BARRIO BELLO HORIZONTE IBAGUE"/>
    <s v="REDEBAN"/>
    <s v="FO-25-1259509"/>
    <d v="2025-07-21T00:00:00"/>
    <d v="2025-07-24T00:00:00"/>
    <s v="UNO A UNO"/>
    <s v="UNO A UNO"/>
    <s v="EJECUTADO"/>
    <s v="19-07 SE REALIZA LLAMADA AL CLIENTE, SE HABLA CON LA SRA ZULLY VANESSA LUGO GUTIÉRREZ, SE VALIDA DIRECCIÓN OK, CANAL OK, DISPONIBILIDAD TOTAL, LLAMAR EL DÍA LA INSTALACIÓN PARA CONFIRMAR VISITA, AVISO EXTERIOR ALTURA APROX 3 METROS; TOMACORRIENTE CERCANO: SI; TIENE CABINA DE SEGURIDAD: SI 23-07 SE COMUNICA AL NÚMERO 3164244748, LA SEÑORA ZULLY VANESSA LUGO GUTIÉRREZ NOS INDICA QUE POR FAVOR SE REPROGRAME ACTIVIDAD PARA EL DÍA 24/7/2025 EN HORAS DE LA MAÑANA POR DISPONIBILIDAD DE TIEMPO. 24/07/2025 SE REALIZA INSTALACIÓN DE CORRESPONSAL, SE INSTALAN EQUIPOS CON PRUEBAS EXITOSAS, SE CAPACITA Y SE EVALÚA AL CLIENTE, SE INSTALA PUBLICIDAD COMPLETA, CB QUEDA OPERATIVO. USUARIO SOMOS BANCOLOMBIA ACTIVO. SE INSTALAN 15 MT DE CABLE UTP"/>
    <s v="VISITA _TECNICA"/>
    <s v="SEZZZ703"/>
    <s v="TIPO I"/>
    <s v="TERRESTRE"/>
    <s v="BARRAGAN TAFUR EDWIN ESTEBAN"/>
    <n v="15"/>
    <n v="0"/>
    <n v="0"/>
    <n v="0"/>
    <n v="0"/>
    <n v="44559.984800000006"/>
    <n v="243520.43159999998"/>
  </r>
  <r>
    <s v="PEREIRA"/>
    <x v="2"/>
    <x v="2"/>
    <n v="76823"/>
    <s v="TA-25-885194"/>
    <n v="80631"/>
    <s v="APERTURA"/>
    <s v="CB CRECIMIENTO - NUEVO"/>
    <s v="VALLE DEL CAUCA"/>
    <s v="TORO"/>
    <s v="BARRIO PALERMO TORO"/>
    <s v="REDEBAN"/>
    <s v="FO-25-1272818"/>
    <d v="2025-07-23T00:00:00"/>
    <d v="2025-07-25T00:00:00"/>
    <s v="UNO A UNO"/>
    <s v="UNO A UNO"/>
    <s v="EJECUTADO"/>
    <s v="23-07-2025 SE REALIZA LLAMADA AL CLIENTE, SE HABLA CON EL SR ANDRES MAURICIO MEDINA CALDERON, SE VALIDA DIRECCIÓN OK, CANAL OK, DISPONIBILIDAD TOTAL, LLAMAR EL DÍA LA INSTALACIÓN PARA CONFIRMAR VISITA, AVISO EXTERIOR ALTURA APROX  DONDE EL TECNICO LO VEA CONVENIENTE; TOMACORRIENTE CERCANO: SI; TIENE CABINA DE SEGURIDAD: SI// SI NO CONTESTA LA LLAMADA FAVOR ESCRIBIR AL WHATSAPP  25/07/2025 SE REALIZA INSTALACIÓN DE CORRESPONSAL, SE INSTALAN EQUIPOS CON PRUEBAS EXITOSAS, SE CAPACITA Y SE EVALÚA AL CLIENTE, SE INSTALA PUBLICIDAD COMPLETA, CB QUEDA OPERATIVO. USUARIO SOMOS BANCOLOMBIA ACTIVO. SE INSTALAN 8 MT DE CABLE UTP"/>
    <s v="VISITA _TECNICA"/>
    <s v="V6ZZZ803"/>
    <s v="TIPO II"/>
    <s v="TERRESTRE"/>
    <s v="FRANCO CAÑAVERAL YAMID RAUL"/>
    <n v="8"/>
    <n v="0"/>
    <n v="0"/>
    <n v="0"/>
    <n v="0"/>
    <n v="134410.38956000001"/>
    <n v="129877.56352"/>
  </r>
  <r>
    <s v="CALI"/>
    <x v="2"/>
    <x v="3"/>
    <n v="76001"/>
    <s v="TA-25-885247"/>
    <n v="80588"/>
    <s v="APERTURA"/>
    <s v="CB CRECIMIENTO - NUEVO"/>
    <s v="VALLE DEL CAUCA"/>
    <s v="CALI"/>
    <s v="BARRIO SALOMIA CALI 8"/>
    <s v="REDEBAN"/>
    <s v="FO-25-1272929"/>
    <d v="2025-07-23T00:00:00"/>
    <d v="2025-07-24T00:00:00"/>
    <s v="UNO A UNO"/>
    <s v="UNO A UNO"/>
    <s v="EJECUTADO"/>
    <s v="23-07-2025 SE REALIZA LLAMADA AL CLIENTE, SE HABLA CON  EL SR DANIEL ALEJANDRO RODRIGUEZ MUÑOZ, SE VALIDA DIRECCIÓN OK, CANAL OK, DISPONIBILIDAD TOTAL, LLAMAR EL DÍA LA INSTALACIÓN PARA CONFIRMAR VISITA, AVISO EXTERIOR ALTURA APROX  2 METROS; TOMACORRIENTE CERCANO: SI; TIENE CABINA DE SEGURIDAD: SI// MODEM A 5 METROS- SI NO CONTESTA LA LLAMADA FAVOR CONUMICARSE VA WHATSAPP 24/07/2025 SE REALIZA INSTALACIÓN DE CORRESPONSAL, SE INSTALAN EQUIPOS CON PRUEBAS EXITOSAS, SE CAPACITA Y SE EVALÚA AL CLIENTE, SE INSTALA PUBLICIDAD COMPLETA, CB QUEDA OPERATIVO. USUARIO SOMOS BANCOLOMBIA ACTIVO. SE INSTALAN 16 MT DE CABLE UTP, SE INSTALA SWITCH"/>
    <s v="VISITA _TECNICA"/>
    <s v="V6ZZZ821"/>
    <s v="TIPO I"/>
    <s v="TERRESTRE"/>
    <s v="BOLAÑOS TABORDA JORGE ENRIQUE"/>
    <n v="16"/>
    <n v="0"/>
    <n v="1"/>
    <n v="0"/>
    <n v="0"/>
    <n v="44559.984800000006"/>
    <n v="517146.94660000002"/>
  </r>
  <r>
    <s v="BUCARAMANGA"/>
    <x v="5"/>
    <x v="6"/>
    <n v="68001"/>
    <s v="TA-25-885278"/>
    <n v="80583"/>
    <s v="APERTURA"/>
    <s v="CB CRECIMIENTO - NUEVO"/>
    <s v="SANTANDER"/>
    <s v="BUCARAMANGA"/>
    <s v="BARRIO LA VICTORIA BUCARAMANGA 2"/>
    <s v="REDEBAN"/>
    <s v="FO-25-1272978"/>
    <d v="2025-07-23T00:00:00"/>
    <d v="2025-07-24T00:00:00"/>
    <s v="UNO A UNO"/>
    <s v="UNO A UNO"/>
    <s v="EJECUTADO"/>
    <s v="23-07 SE REALIZA LLAMADA AL CLIENTE, SE HABLA CON LA SRA KATERINE PLATA SOLANO  SE VALIDA DIRECCIÓN OK, CANAL OK, DISPONIBILIDAD TOTAL, LLAMAR EL DÍA LA INSTALACIÓN PARA CONFIRMAR VISITA, AVISO EXTERIOR ALTURA APROX 6 METROS; TOMACORRIENTE CERCANO: SI; TIENE CABINA DE SEGURIDAD: NO  24/07/2025 SE REALIZA INSTALACIÓN DE CORRESPONSAL, SE INSTALAN EQUIPOS CON PRUEBAS EXITOSAS, SE CAPACITA Y SE EVALÚA AL CLIENTE, SE INSTALA PUBLICIDAD COMPLETA, CB QUEDA OPERATIVO. USUARIO SOMOS BANCOLOMBIA ACTIVO. SE INSTALAN 14 MT DE CABLE UTP"/>
    <s v="VISITA _TECNICA"/>
    <s v="V6ZZZ831"/>
    <s v="TIPO I"/>
    <s v="TERRESTRE"/>
    <s v="SANTOS GONZALEZ JOHAN FABIAN"/>
    <n v="14"/>
    <n v="0"/>
    <n v="0"/>
    <n v="0"/>
    <n v="0"/>
    <n v="44559.984800000006"/>
    <n v="227285.73616"/>
  </r>
  <r>
    <s v="CALI"/>
    <x v="2"/>
    <x v="3"/>
    <n v="76001"/>
    <s v="TA-25-885294"/>
    <n v="80587"/>
    <s v="APERTURA"/>
    <s v="CB CRECIMIENTO - NUEVO"/>
    <s v="VALLE DEL CAUCA"/>
    <s v="CALI"/>
    <s v="BARRIO  EL SENA CALI"/>
    <s v="REDEBAN"/>
    <s v="FO-25-1273026"/>
    <d v="2025-07-23T00:00:00"/>
    <d v="2025-07-24T00:00:00"/>
    <s v="UNO A UNO"/>
    <s v="UNO A UNO"/>
    <s v="EJECUTADO"/>
    <s v="23-07 SE REALIZA LLAMADA AL CLIENTE, SE HABLA CON LA SRA CAROLINA ROJAS BRAVO  SE VALIDA DIRECCIÓN OK, CANAL OK, DISPONIBILIDAD TOTAL, LLAMAR EL DÍA LA INSTALACIÓN PARA CONFIRMAR VISITA, AVISO EXTERIOR ALTURA APROX 2 METROS; TOMACORRIENTE CERCANO: SI; TIENE CABINA DE SEGURIDAD: NO - ELMODEM ESTA A 6 MT  24-07 SE REALIZA INSTALACIÓN DE CORRESPONSAL, SE INSTALAN EQUIPOS CON PRUEBAS EXITOSAS, SE CAPACITA Y SE EVALÚA AL CLIENTE, SE INSTALA PUBLICIDAD COMPLETA, CB QUEDA OPERATIVO. USUARIO SOMOS BANCOLOMBIA ACTIVO. SE INSTALAN 10 MT DE CABLE UTP"/>
    <s v="VISITA _TECNICA"/>
    <s v="V6ZZZ843"/>
    <s v="TIPO I"/>
    <s v="TERRESTRE"/>
    <s v="BOLAÑOS TABORDA JORGE ENRIQUE"/>
    <n v="10"/>
    <n v="0"/>
    <n v="0"/>
    <n v="0"/>
    <n v="0"/>
    <n v="44559.984800000006"/>
    <n v="162346.95439999999"/>
  </r>
  <r>
    <s v="BOGOTA"/>
    <x v="3"/>
    <x v="4"/>
    <n v="25754"/>
    <s v="TA-25-897312"/>
    <n v="80698"/>
    <s v="APERTURA"/>
    <s v="CB CRECIMIENTO - NUEVO"/>
    <s v="CUNDINAMARCA"/>
    <s v="SOACHA"/>
    <s v="BARRIO SAN HUMBERTO SOACHA 3"/>
    <s v="REDEBAN"/>
    <s v="FO-25-1293711"/>
    <d v="2025-07-28T00:00:00"/>
    <d v="2025-07-29T00:00:00"/>
    <s v="UNO A UNO"/>
    <s v="UNO A UNO"/>
    <s v="EJECUTADO"/>
    <s v="26-07-2025 SE REALIZA LLAMADA AL CLIENTE, SE HABLA CON LA MAMA DEL SR DAVID ALEXANDER BENITEZ SUAREZ,  SE VALIDA DIRECCIÓN OK, CANAL OK, DISPONIBILIDAD TOTAL, LLAMAR EL DÍA LA INSTALACIÓN PARA CONFIRMAR VISITA, AVISO EXTERIOR ALTURA APROX 2 METROS; TOMACORRIENTE CERCANO: SI; TIENE CABINA DE SEGURIDAD: SI// MODEM A 5 METROS DE DISTANCIA 29/07/2025 SE REALIZA INSTALACIÓN DE CORRESPONSAL, SE INSTALAN EQUIPOS CON PRUEBAS EXITOSAS, SE CAPACITA Y SE EVALÚA AL CLIENTE, SE INSTALA PUBLICIDAD COMPLETA, CB QUEDA OPERATIVO. USUARIO SOMOS BANCOLOMBIA ACTIVO. SE INSTALAN 8 MT DE CABLE UTP"/>
    <s v="VISITA _TECNICA"/>
    <s v="V8ZZZ365"/>
    <s v="TIPO I"/>
    <s v="TERRESTRE"/>
    <s v="GALEANO SORIANO JUAN DAVID"/>
    <n v="8"/>
    <n v="0"/>
    <n v="0"/>
    <n v="0"/>
    <n v="0"/>
    <n v="44559.984800000006"/>
    <n v="129877.56352"/>
  </r>
  <r>
    <s v="CALI"/>
    <x v="2"/>
    <x v="3"/>
    <n v="19698"/>
    <s v="TA-25-897314"/>
    <n v="80695"/>
    <s v="APERTURA"/>
    <s v="CB CRECIMIENTO - NUEVO"/>
    <s v="CAUCA"/>
    <s v="SANTANDER DE QUILICHAO"/>
    <s v="BARRIO CENTENARIO SANTANDER DE QUILICHAO 6"/>
    <s v="REDEBAN"/>
    <s v="FO-25-1293720"/>
    <d v="2025-07-28T00:00:00"/>
    <d v="2025-07-29T00:00:00"/>
    <s v="UNO A UNO"/>
    <s v="UNO A UNO"/>
    <s v="EJECUTADO"/>
    <s v="28-07-2025 SE REALIZA LLAMADA AL CLIENTE, SE HABLA CON CON EL SR LEONARDO LEAL RODRIGUEZ SE VALIDA DIRECCIÓN OK, CANAL OK, DISPONIBILIDAD TOTAL, LLAMAR EL DÍA LA INSTALACIÓN PARA CONFIRMAR VISITA, AVISO EXTERIOR ALTURA APROX 1,80 METROS; TOMACORRIENTE CERCANO: SI; TIENE CABINA DE SEGURIDAD: SI // CONTACTO REALIZADO POR LA APP 29/07/2025 SE REALIZA INSTALACIÓN DE CORRESPONSAL, SE INSTALAN EQUIPOS CON PRUEBAS EXITOSAS, SE CAPACITA Y SE EVALÚA AL CLIENTE, SE INSTALA PUBLICIDAD COMPLETA, CB QUEDA OPERATIVO. USUARIO SOMOS BANCOLOMBIA ACTIVO. SE INSTALAN 10 MT DE CABLE UTP"/>
    <s v="VISITA _TECNICA"/>
    <s v="V8ZZZ367"/>
    <s v="TIPO II"/>
    <s v="TERRESTRE"/>
    <s v="HERRERA MONAR GEOVANNY"/>
    <n v="10"/>
    <n v="0"/>
    <n v="0"/>
    <n v="0"/>
    <n v="0"/>
    <n v="134410.38956000001"/>
    <n v="162346.95439999999"/>
  </r>
  <r>
    <s v="PEREIRA"/>
    <x v="2"/>
    <x v="2"/>
    <n v="66170"/>
    <s v="TA-25-897322"/>
    <n v="80663"/>
    <s v="APERTURA"/>
    <s v="CB CRECIMIENTO - NUEVO"/>
    <s v="RISARALDA"/>
    <s v="DOSQUEBRADAS"/>
    <s v="BARRIO SANTIAGO LONDOÑO DOSQUEBRADAS  1"/>
    <s v="REDEBAN"/>
    <s v="FO-25-1293748"/>
    <d v="2025-07-28T00:00:00"/>
    <d v="2025-07-29T00:00:00"/>
    <s v="UNO A UNO"/>
    <s v="UNO A UNO"/>
    <s v="EJECUTADO"/>
    <s v="28-07-2025 SE REALIZA LLAMADA AL CLIENTE, SE HABLA CON CON LA SRA MARIA GLORIA ACEVEDO BEDOYA, SE VALIDA DIRECCIÓN OK, CANAL OK, DISPONIBILIDAD TOTAL, LLAMAR EL DÍA LA INSTALACIÓN PARA CONFIRMAR VISITA, AVISO EXTERIOR ALTURA APROX 2 METROS; TOMACORRIENTE CERCANO: SI; TIENE CABINA DE SEGURIDAD: SI// CONTACTO REALIZADO POR LA APP 29/07/2025 SE REALIZA INSTALACIÓN DE CORRESPONSAL, SE INSTALAN EQUIPOS CON PRUEBAS EXITOSAS, SE CAPACITA Y SE EVALÚA AL CLIENTE, SE INSTALA PUBLICIDAD COMPLETA, CB QUEDA OPERATIVO. USUARIO SOMOS BANCOLOMBIA ACTIVO. SE INSTALAN 10 MT DE CABLE UTP"/>
    <s v="VISITA _TECNICA"/>
    <s v="V8ZZZ372"/>
    <s v="TIPO I"/>
    <s v="TERRESTRE"/>
    <s v="ARROYAVE CANO MANUEL GUILLERMO"/>
    <n v="10"/>
    <n v="0"/>
    <n v="0"/>
    <n v="0"/>
    <n v="0"/>
    <n v="44559.984800000006"/>
    <n v="162346.95439999999"/>
  </r>
  <r>
    <s v="BOGOTA"/>
    <x v="3"/>
    <x v="4"/>
    <n v="25754"/>
    <s v="TA-25-897324"/>
    <n v="80699"/>
    <s v="APERTURA"/>
    <s v="CB CRECIMIENTO - NUEVO"/>
    <s v="CUNDINAMARCA"/>
    <s v="SOACHA"/>
    <s v="BARRIO CUIDAD VERDE SOACHA"/>
    <s v="REDEBAN"/>
    <s v="FO-25-1293756"/>
    <d v="2025-07-28T00:00:00"/>
    <d v="2025-07-29T00:00:00"/>
    <s v="UNO A UNO"/>
    <s v="UNO A UNO"/>
    <s v="EJECUTADO"/>
    <s v="26-07-2025 SE REALIZA LLAMADA AL CLIENTE, SE HABLA CON CON EL SR DANNY STIVEN PORTILLO VARGAS, COMUNICARSE VIA WHATSAPP YA QUE LA SEÑAL ES MUY MALA Y SE CORTA LA LLAMADA   29-07 SE REALIZA INSTALACIÓN DE CORRESPONSAL, SE INSTALAN EQUIPOS CON PRUEBAS EXITOSAS, SE CAPACITA Y SE EVALÚA AL CLIENTE, SE INSTALA PUBLICIDAD COMPLETA, CB QUEDA OPERATIVO. USUARIO SOMOS BANCOLOMBIA ACTIVO. SE INSTALAN 8 MT DE CABLE UTP"/>
    <s v="VISITA _TECNICA"/>
    <s v="V8ZZZ374"/>
    <s v="TIPO I"/>
    <s v="TERRESTRE"/>
    <s v="GALEANO SORIANO JUAN DAVID"/>
    <n v="8"/>
    <n v="0"/>
    <n v="0"/>
    <n v="0"/>
    <n v="0"/>
    <n v="44559.984800000006"/>
    <n v="129877.56352"/>
  </r>
  <r>
    <s v="BUCARAMANGA"/>
    <x v="5"/>
    <x v="6"/>
    <n v="68276"/>
    <s v="TA-25-821444"/>
    <n v="80143"/>
    <s v="APERTURA"/>
    <s v="CB CRECIMIENTO - NUEVO"/>
    <s v="SANTANDER"/>
    <s v="FLORIDABLANCA"/>
    <s v="BARRIO CAÑAVERAL PANAMERICANO FLORIDABLANCA"/>
    <s v="REDEBAN"/>
    <s v="FO-25-1162890"/>
    <d v="2025-07-01T00:00:00"/>
    <d v="2025-07-02T00:00:00"/>
    <s v="UNO A UNO"/>
    <s v="UNO A UNO"/>
    <s v="EJECUTADO"/>
    <s v="01-07 SE REALIZA LLAMADA AL CLIENTE, SE HABLA CON LA SR ALEX YERFREDY NEIRA GIL SE VALIDA DIRECCIÓN OK, CANAL OK, DISPONIBILIDAD TOTAL, LLAMAR EL DÍA LA INSTALACIÓN PARA CONFIRMAR VISITA, AVISO EXTERIOR ALTURA APROX 2 METROS; TOMACORRIENTE CERCANO: SI; TIENE CABINA DE SEGURIDAD: NO - EL MODEM ESTA A 5 MT   2/7/2025 SE REALIZA INSTALACIÓN DE CORRESPONSAL, SE INSTALAN EQUIPOS CON PRUEBAS EXITOSAS, SE CAPACITA Y SE EVALÚA AL CLIENTE, SE INSTALA PUBLICIDAD COMPLETA, CB QUEDA OPERATIVO. USUARIO SOMOS BANCOLOMBIA ACTIVO. SE INSTALA SWITCH 223C4S6013120"/>
    <s v="VISITA _TECNICA"/>
    <s v="F1ZZZ763"/>
    <s v="TIPO I"/>
    <s v="TERRESTRE"/>
    <s v="MARIÑO PABON JORGE ENRIQUE"/>
    <n v="0"/>
    <n v="0"/>
    <n v="1"/>
    <n v="0"/>
    <n v="0"/>
    <n v="44559.984800000006"/>
    <n v="257391.81956"/>
  </r>
  <r>
    <s v="BUCARAMANGA"/>
    <x v="5"/>
    <x v="6"/>
    <n v="68001"/>
    <s v="TA-25-853030"/>
    <n v="80354"/>
    <s v="APERTURA"/>
    <s v="CB CRECIMIENTO - NUEVO"/>
    <s v="SANTANDER"/>
    <s v="BUCARAMANGA"/>
    <s v="BARRIO DIAMANTE 2 BUCARAMANGA 2"/>
    <s v="REDEBAN"/>
    <s v="FO-25-1217802"/>
    <d v="2025-07-11T00:00:00"/>
    <d v="2025-07-14T00:00:00"/>
    <s v="UNO A UNO"/>
    <s v="UNO A UNO"/>
    <s v="EJECUTADO"/>
    <s v="11-07-2025 SE REALIZA LLAMADA AL CLIENTE, SE HABLA CON LA ESPOSA DEL SR CRISTIAN RAMÍREZ SE VALIDA DIRECCIÓN OK, CANAL OK, DISPONIBILIDAD TOTAL, LLAMAR EL DÍA LA INSTALACIÓN PARA CONFIRMAR VISITA, AVISO EXTERIOR ALTURA APROX 2,50 METROS, TOMACORRIENTE CERCANO: SI; TIENE CABINA DE SEGURIDAD: SI // CONTACTO REALIZADO POR LA APP 14/7/2025 SE REALIZA INSTALACIÓN DE CORRESPONSAL, SE INSTALAN EQUIPOS CON PRUEBAS EXITOSAS, SE CAPACITA Y SE EVALÚA AL CLIENTE, SE INSTALA PUBLICIDAD COMPLETA, CB QUEDA OPERATIVO. USUARIO SOMOS BANCOLOMBIA ACTIVO. SE INSTALA SWITCH 223C4S6013168"/>
    <s v="VISITA _TECNICA"/>
    <s v="LBZZZ612"/>
    <s v="TIPO I"/>
    <s v="TERRESTRE"/>
    <s v="MARIÑO PABON JORGE ENRIQUE"/>
    <n v="0"/>
    <n v="0"/>
    <n v="1"/>
    <n v="0"/>
    <n v="0"/>
    <n v="44559.984800000006"/>
    <n v="257391.81956"/>
  </r>
  <r>
    <s v="CALI"/>
    <x v="2"/>
    <x v="3"/>
    <n v="19698"/>
    <s v="TA-25-897373"/>
    <n v="80696"/>
    <s v="APERTURA"/>
    <s v="CB CRECIMIENTO - NUEVO"/>
    <s v="CAUCA"/>
    <s v="SANTANDER DE QUILICHAO"/>
    <s v="BARRIO EL CENTRO SANTANDER DE QUILICHAO 5"/>
    <s v="REDEBAN"/>
    <s v="FO-25-1293864"/>
    <d v="2025-07-28T00:00:00"/>
    <d v="2025-07-30T00:00:00"/>
    <s v="UNO A UNO"/>
    <s v="UNO A UNO"/>
    <s v="EJECUTADO"/>
    <s v="28-07 SE REALIZA COMUNICACION CON EL SR CARLOS EDUARDO MENDOZA OLAYA, SE VALIDA DIRECCIÓN OK, CANAL OK, DISPONIBILIDAD TOTAL, LLAMAR EL DÍA LA INSTALACIÓN PARA CONFIRMAR VISITA, AVISO EXTERIOR ALTURA APROX 2 METROS; TOMACORRIENTE CERCANO: SI; TIENE CABINA DE SEGURIDAD: SI//MODEM A 4 METROS  30-07 SE REALIZA INSTALACIÓN DE CORRESPONSAL, SE INSTALAN EQUIPOS CON PRUEBAS EXITOSAS, SE CAPACITA Y SE EVALÚA AL CLIENTE, SE INSTALA PUBLICIDAD COMPLETA, CB QUEDA OPERATIVO. USUARIO SOMOS BANCOLOMBIA ACTIVO. SE INSTALA SWITCH"/>
    <s v="VISITA _TECNICA"/>
    <s v="V8ZZZ400"/>
    <s v="TIPO II"/>
    <s v="TERRESTRE"/>
    <s v="MONTERO MUESES GIAN CARLO"/>
    <n v="0"/>
    <n v="0"/>
    <n v="1"/>
    <n v="0"/>
    <n v="0"/>
    <n v="134410.38956000001"/>
    <n v="257391.81956"/>
  </r>
  <r>
    <s v="BUCARAMANGA"/>
    <x v="5"/>
    <x v="6"/>
    <n v="68755"/>
    <s v="TA-25-821074"/>
    <n v="80192"/>
    <s v="APERTURA"/>
    <s v="CB CRECIMIENTO - NUEVO"/>
    <s v="SANTANDER"/>
    <s v="SOCORRO"/>
    <s v="BARRIO SOCORRO SOCORRO 1"/>
    <s v="REDEBAN"/>
    <s v="FO-25-1162484"/>
    <d v="2025-07-01T00:00:00"/>
    <d v="2025-07-03T00:00:00"/>
    <s v="UNO A UNO"/>
    <s v="UNO A UNO"/>
    <s v="EJECUTADO"/>
    <s v="28-06 SE REALIZA LLAMADA AL CLIENTE, SE HABLA CON EL SR ANDRES FELIPE CALA CALA, SE VALIDA DIRECCIÓN OK, CANAL OK, DISPONIBILIDAD TOTAL, LLAMAR EL DÍA LA INSTALACIÓN PARA CONFIRMAR VISITA, AVISO EXTERIOR ALTURA APROX  DONDE EL TECNICO LO VEA CONVENIENTE; TOMACORRIENTE CERCANO: SI; TIENE CABINA DE SEGURIDAD: SI// MODEM A 10 METROS 3/7/2025 SE REALIZA INSTALACIÓN DE CORRESPONSAL, SE INSTALAN EQUIPOS CON PRUEBAS EXITOSAS, SE CAPACITA Y SE EVALÚA AL CLIENTE, SE INSTALA PUBLICIDAD COMPLETA, CB QUEDA OPERATIVO. USUARIO SOMOS BANCOLOMBIA ACTIVO. SE INSTALA ROUTER 2251311012697"/>
    <s v="VISITA _TECNICA"/>
    <s v="F1ZZZ734"/>
    <s v="TIPO III"/>
    <s v="TERRESTRE"/>
    <s v="GONZALEZ ESTUPIÑAN YEISON WALTER ANTONIO"/>
    <n v="0"/>
    <n v="0"/>
    <n v="0"/>
    <n v="1"/>
    <n v="0"/>
    <n v="222904.27188000001"/>
    <n v="306552.28452000004"/>
  </r>
  <r>
    <s v="TUNJA"/>
    <x v="5"/>
    <x v="6"/>
    <n v="15646"/>
    <s v="TA-25-837696"/>
    <n v="80299"/>
    <s v="APERTURA"/>
    <s v="CB CRECIMIENTO - NUEVO"/>
    <s v="BOYACA"/>
    <s v="SAMACA"/>
    <s v="BARRIO VEREDA CHURUVITA SAMACA"/>
    <s v="REDEBAN"/>
    <s v="FO-25-1193446"/>
    <d v="2025-07-07T00:00:00"/>
    <d v="2025-07-08T00:00:00"/>
    <s v="UNO A UNO"/>
    <s v="UNO A UNO"/>
    <s v="EJECUTADO"/>
    <s v="07-07-2025 SE REALIZA LLAMADA AL CLIENTE, SE HABLA CON LA SRA YENNY CAROLINA PARRA TORRES SE VALIDA DIRECCIÓN OK, CANAL OK, DISPONIBILIDAD TOTAL, LLAMAR EL DÍA LA INSTALACIÓN PARA CONFIRMAR VISITA, AVISO EXTERIOR ALTURA APROX 2 METROS; TOMACORRIENTE CERCANO: SI; TIENE CABINA DE SEGURIDAD: NO // CONTACTO REALIZADO POR LA WHATSAPP 8/7/2025 SE REALIZA INSTALACIÓN DE CORRESPONSAL, SE INSTALAN EQUIPOS CON PRUEBAS EXITOSAS, SE CAPACITA Y SE EVALÚA AL CLIENTE, SE INSTALA PUBLICIDAD COMPLETA, CB QUEDA OPERATIVO. USUARIO SOMOS BANCOLOMBIA ACTIVO. SE INSTALO ROUTER E6333022503000795"/>
    <s v="VISITA _TECNICA"/>
    <s v="FAZZZ477"/>
    <s v="TIPO II"/>
    <s v="TERRESTRE"/>
    <s v="GONZALEZ GONZALEZ MARIO ALBERTO"/>
    <n v="0"/>
    <n v="0"/>
    <n v="0"/>
    <n v="1"/>
    <n v="0"/>
    <n v="134410.38956000001"/>
    <n v="306552.28452000004"/>
  </r>
  <r>
    <s v="TUNJA"/>
    <x v="5"/>
    <x v="6"/>
    <n v="15693"/>
    <s v="TA-25-837940"/>
    <n v="80298"/>
    <s v="APERTURA"/>
    <s v="CB CRECIMIENTO - NUEVO"/>
    <s v="BOYACA"/>
    <s v="SANTA ROSA DE VITERBO"/>
    <s v="BARRIO CENTRO SANTA ROSA DE VITERBO 10"/>
    <s v="REDEBAN"/>
    <s v="FO-25-1193896"/>
    <d v="2025-07-07T00:00:00"/>
    <d v="2025-07-08T00:00:00"/>
    <s v="UNO A UNO"/>
    <s v="UNO A UNO"/>
    <s v="EJECUTADO"/>
    <s v="07-07-2025 SE REALIZA LLAMADA AL CLIENTE, SE HABLA CON  LA SRA CARMENZA RINCON ALVAREZ, SE VALIDA DIRECCIÓN OK, CANAL OK, DISPONIBILIDAD TOTAL, LLAMAR EL DÍA LA INSTALACIÓN PARA CONFIRMAR VISITA, AVISO EXTERIOR ALTURA APROX 2,50 METROS; TOMACORRIENTE CERCANO: SI; TIENE CABINA DE SEGURIDAD: NO 8/7/2025 SE REALIZA INSTALACIÓN DE CORRESPONSAL, SE INSTALAN EQUIPOS CON PRUEBAS EXITOSAS, SE CAPACITA Y SE EVALÚA AL CLIENTE, SE INSTALA PUBLICIDAD COMPLETA, CB QUEDA OPERATIVO. USUARIO SOMOS BANCOLOMBIA ACTIVO. SE INSTALA ROUTER E06850110340057550"/>
    <s v="VISITA _TECNICA"/>
    <s v="FAZZZ543"/>
    <s v="TIPO II"/>
    <s v="TERRESTRE"/>
    <s v="SOLER HOYOS CRISTIAN LEONARDO"/>
    <n v="0"/>
    <n v="0"/>
    <n v="0"/>
    <n v="1"/>
    <n v="0"/>
    <n v="134410.38956000001"/>
    <n v="306552.28452000004"/>
  </r>
  <r>
    <s v="TUNJA"/>
    <x v="5"/>
    <x v="6"/>
    <n v="15299"/>
    <s v="TA-25-870038"/>
    <n v="80526"/>
    <s v="APERTURA"/>
    <s v="CB CRECIMIENTO - NUEVO"/>
    <s v="BOYACA"/>
    <s v="GARAGOA"/>
    <s v="BARRIO VILLA DE LOS ALPES GARAGOA"/>
    <s v="REDEBAN"/>
    <s v="FO-25-1249788"/>
    <d v="2025-07-18T00:00:00"/>
    <d v="2025-07-22T00:00:00"/>
    <s v="UNO A UNO"/>
    <s v="UNO A UNO"/>
    <s v="EJECUTADO"/>
    <s v="18-07-2025 SE REALIZA LLAMADA AL CLIENTE, SE HABLA CON EL SR JUAN FELIPE GALVIS VELOSA SE VALIDA DIRECCIÓN OK, CANAL OK, DISPONIBILIDAD TOTAL, LLAMAR EL DÍA LA INSTALACIÓN PARA CONFIRMAR VISITA, AVISO EXTERIOR ALTURA APROX 2 METROS; TOMACORRIENTE CERCANO: SI; TIENE CABINA DE SEGURIDAD: SI // CONTACTO REALIZADO POR WHATSAPP // CLIENTE INFORMA QUE EL CELULAR TIENE FALLAS CON LAS LLAMADAS 22/7/2025 SE REALIZA INSTALACIÓN DE CORRESPONSAL, SE INSTALAN EQUIPOS CON PRUEBAS EXITOSAS, SE CAPACITA Y SE EVALÚA AL CLIENTE, SE INSTALA PUBLICIDAD COMPLETA, CB QUEDA OPERATIVO. USUARIO SOMOS BANCOLOMBIA ACTIVO.  SE INSTALAN ROUTER E0682017429000322"/>
    <s v="VISITA _TECNICA"/>
    <s v="SEZZZ137"/>
    <s v="TIPO III"/>
    <s v="TERRESTRE"/>
    <s v="SOLER HOYOS CRISTIAN LEONARDO"/>
    <n v="0"/>
    <n v="0"/>
    <n v="0"/>
    <n v="1"/>
    <n v="0"/>
    <n v="222904.27188000001"/>
    <n v="306552.28452000004"/>
  </r>
  <r>
    <s v="TUNJA"/>
    <x v="5"/>
    <x v="6"/>
    <n v="15238"/>
    <s v="TA-25-904103"/>
    <n v="80731"/>
    <s v="APERTURA"/>
    <s v="CB CRECIMIENTO - NUEVO"/>
    <s v="BOYACA"/>
    <s v="DUITAMA"/>
    <s v="BARRIO LA GRUTA DUITAMA 1"/>
    <s v="REDEBAN"/>
    <s v="FO-25-1305107"/>
    <d v="2025-07-30T00:00:00"/>
    <d v="2025-07-31T00:00:00"/>
    <s v="UNO A UNO"/>
    <s v="UNO A UNO"/>
    <s v="EJECUTADO"/>
    <s v="30-07 SE REALIZA LLAMADA AL CLIENTE, SE HABLA CON LA SR RUBEN ARMANDO LEAL SUAREZ SE VALIDA DIRECCIÓN OK, CANAL OK, DISPONIBILIDAD TOTAL, LLAMAR EL DÍA LA INSTALACIÓN PARA CONFIRMAR VISITA, AVISO EXTERIOR ALTURA APROX 2.5 METROS; TOMACORRIENTE CERCANO: SI; TIENE CABINA DE SEGURIDAD: NO  - EL MODEM ESTA A 10 MT  31-07 SE REALIZA INSTALACIÓN DE CORRESPONSAL, SE INSTALAN EQUIPOS CON PRUEBAS EXITOSAS, SE CAPACITA Y SE EVALÚA AL CLIENTE, SE INSTALA PUBLICIDAD COMPLETA, CB QUEDA OPERATIVO. USUARIO SOMOS BANCOLOMBIA ACTIVO. SE INSTALA ROUTER "/>
    <s v="VISITA _TECNICA"/>
    <s v="VAZZZ391"/>
    <s v="TIPO II"/>
    <s v="TERRESTRE"/>
    <s v="RODRIGUEZ MURCIA YERSON IVAN"/>
    <n v="0"/>
    <n v="0"/>
    <n v="0"/>
    <n v="1"/>
    <n v="0"/>
    <n v="134410.38956000001"/>
    <n v="306552.28452000004"/>
  </r>
  <r>
    <m/>
    <x v="6"/>
    <x v="7"/>
    <m/>
    <m/>
    <m/>
    <m/>
    <m/>
    <m/>
    <m/>
    <m/>
    <m/>
    <m/>
    <m/>
    <m/>
    <m/>
    <m/>
    <m/>
    <m/>
    <m/>
    <m/>
    <m/>
    <m/>
    <m/>
    <m/>
    <m/>
    <m/>
    <m/>
    <m/>
    <m/>
    <n v="13282762.715599997"/>
  </r>
  <r>
    <m/>
    <x v="6"/>
    <x v="7"/>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
  <r>
    <s v="CUCUTA"/>
    <x v="0"/>
    <x v="0"/>
    <n v="54001"/>
    <n v="2373443"/>
    <n v="74274"/>
    <s v="INCIDENTE"/>
    <s v="NORTE DE SANTANDER"/>
    <s v="CUCUTA"/>
    <s v="BARRIO LA LIBERTAD CUCUTA 20"/>
    <s v="REDEBAN"/>
    <s v="FO-25-1159231"/>
    <d v="2025-07-01T09:47:00"/>
    <d v="2025-07-01T14:55:00"/>
    <s v="NO"/>
    <s v="USUARIO"/>
    <s v="MANTENIMIENTO"/>
    <s v="MANTENIMIENTO GENERAL"/>
    <s v="CB UNO A UNO"/>
    <m/>
    <s v="CERRADO"/>
    <s v="01-07 SE ESCALA PARA VISITA. LLAMAR ANTES DE VISITAR, CONFIRMAR FALLA Y DATOS_x000a_0_x000a_01-07 SE REALIZÓ VISITA AL COMERCIO Y CLIENTE MANIFIESTA QUE SE LE CALLO EL CUBRE TECLADO, SE REALIZA MANTENIMIENTO Y SE COLOCA CUBRE TECLADO NUEVO "/>
    <s v="VISITA_TÉCNICA"/>
    <s v="MN3ZZ476"/>
    <s v="TIPO I"/>
    <s v="TERRESTRE"/>
    <s v="MORA VEGA JEAMPIER"/>
    <n v="1"/>
    <n v="0"/>
    <n v="0"/>
    <n v="0"/>
    <n v="65960.473639999997"/>
    <n v="65960.473639999997"/>
  </r>
  <r>
    <s v="NEIVA"/>
    <x v="1"/>
    <x v="1"/>
    <n v="18001"/>
    <n v="2373754"/>
    <n v="76544"/>
    <s v="INCIDENTE"/>
    <s v="CAQUETA"/>
    <s v="FLORENCIA"/>
    <s v="OPRAP EXITO GRAN PLAZA FLORENCIA"/>
    <s v="REDEBAN"/>
    <s v="FO-25-1159163"/>
    <d v="2025-07-01T10:00:00"/>
    <d v="2025-07-01T15:21:00"/>
    <s v="NO"/>
    <s v="USUARIO"/>
    <s v="USUARIOS"/>
    <s v="MALA MANIPULACION POS"/>
    <s v="ROBUSTO"/>
    <m/>
    <s v="CERRADO"/>
    <s v="01-07 SE ESCALA PARA VISITA. LLAMAR ANTES DE VISITAR, CONFIRMAR FALLA Y DATOS_x000a_0_x000a_01-07 SE LLEGA AL CB Y CB SE ENCUENTRA FUNCIONANDO CON NORMALIDAD, SE EVIDENCIA QUE EL USUARIO REALIZA MALA LA MANIPULACIÓN DEL DATÁFONO AL MOMENTO DE REALIZAR EL CIERRE Y ESTO GENERA EL LLENADO DE MEMORIA Y ENDE SE REINICIA EL DATÁFONO."/>
    <s v="VISITA_TÉCNICA"/>
    <s v="103ZZ224"/>
    <s v="TIPO IV"/>
    <s v="TERRESTRE"/>
    <s v="BERMUDEZ SANCHEZ JOSE NEYBER"/>
    <n v="1"/>
    <n v="0"/>
    <n v="0"/>
    <n v="0"/>
    <n v="479589.73656000005"/>
    <n v="479589.73656000005"/>
  </r>
  <r>
    <s v="MEDELLIN"/>
    <x v="2"/>
    <x v="2"/>
    <n v="5001"/>
    <n v="2376452"/>
    <n v="78286"/>
    <s v="INCIDENTE"/>
    <s v="ANTIOQUIA"/>
    <s v="MEDELLIN"/>
    <s v="BARRIO ROBLEDO MIRAMAR MEDELLIN  3 "/>
    <s v="REDEBAN"/>
    <s v="FO-25-1165748"/>
    <d v="2025-07-01T13:08:00"/>
    <d v="2025-07-01T15:38:00"/>
    <s v="NO"/>
    <s v="USUARIO"/>
    <s v="LECTOR DE TARJETAS"/>
    <s v="OBSTRUCCION DEL LECTOR"/>
    <s v="CB UNO A UNO"/>
    <m/>
    <s v="CERRADO"/>
    <s v="01-07 SE ESCALA PARA VISITA. LLAMAR ANTES DE VISITAR, CONFIRMAR FALLA Y DATOS_x000a_0_x000a_01-07 SE REALIZA MANTENIMIENTO GENERAL"/>
    <s v="VISITA_TÉCNICA"/>
    <s v="SXNZZ611"/>
    <s v="TIPO I"/>
    <s v="TERRESTRE"/>
    <s v="HERNANDEZ CHAVARRIA JUAN CAMILO"/>
    <n v="1"/>
    <n v="0"/>
    <n v="0"/>
    <n v="0"/>
    <n v="65960.473639999997"/>
    <n v="65960.473639999997"/>
  </r>
  <r>
    <s v="VALLEDUPAR"/>
    <x v="3"/>
    <x v="3"/>
    <n v="20032"/>
    <n v="2359858"/>
    <n v="12343"/>
    <s v="INCIDENTE"/>
    <s v="CESAR"/>
    <s v="ASTREA"/>
    <s v="ASTREA II - CESAR"/>
    <s v="REDEBAN"/>
    <s v="FO-25-1139132"/>
    <d v="2025-06-26T11:56:00"/>
    <d v="2025-07-01T15:48:00"/>
    <s v="NO"/>
    <s v="USUARIO"/>
    <s v="LECTOR DE TARJETAS"/>
    <s v="OBSTRUCCION DEL LECTOR"/>
    <s v="CB UNO A UNO"/>
    <m/>
    <s v="CERRADO"/>
    <s v="26-06 SE INTENTA COMUNICACION CON CB AL NUMERO 3106382156 SIN RESPUESTA, FAVOR LLAMAR A CLIENTE ANTES DE DESPLAZARSE PARA VALIDAR SOLICITUD Y DATOS_x000a_28/06/2025 SE REQUIERE CAMBIO DE EQUIPO Y POR LA HORA NO SE PODRIA REALIZAR DEBIDO A QUE SOPORTEDE REDEBAN NO LABORA DESPUES DE 1 PM_x000a_01-07 SE LLAMA A LA USUARIA LISETH RIVERA, LA CUAL INDICA QUE DURANTE TRES DIAS PRESENTABA FALLAS CON EL LECTOR DE TARJETA, YA QUE NO LEIA NINGUNA, PERO QUE DESPUES SE ARREGLO EL SERVICIO Y HASTA EL MOMENTO ESTA FUNCIONANDO CORRECTAMENTE SIN NINGUNA NOVEDAD, POR ENDE INDICA QUE NO REQUIERE VISITA TÉCNICA "/>
    <s v="SOPORTE_TELEFÓNICO"/>
    <n v="0"/>
    <s v="TIPO III"/>
    <s v="TERRESTRE"/>
    <s v="MONTES DIAZ JOHN FRED"/>
    <n v="0"/>
    <n v="0"/>
    <n v="0"/>
    <n v="0"/>
    <n v="37904.65408"/>
    <n v="37904.65408"/>
  </r>
  <r>
    <s v="CALI"/>
    <x v="4"/>
    <x v="4"/>
    <n v="76111"/>
    <n v="2379555"/>
    <n v="15527"/>
    <s v="INCIDENTE"/>
    <s v="VALLE DEL CAUCA"/>
    <s v="GUADALAJARA DE BUGA"/>
    <s v="MULTIPAGAS BUGA"/>
    <s v="REDEBAN"/>
    <s v="FO-25-1169391"/>
    <d v="2025-07-02T08:00:00"/>
    <d v="2025-07-02T10:14:00"/>
    <s v="NO"/>
    <s v="USUARIO"/>
    <s v="USUARIOS"/>
    <s v="USUARIOS BLOQUEADOS"/>
    <s v="ROBUSTO"/>
    <m/>
    <s v="CERRADO"/>
    <s v="02-07 SE ESCALA PARA VISITA. LLAMAR ANTES DE VISITAR, CONFIRMAR FALLA Y DATOS_x000a_0_x000a_02-07 SE LLAMA A LA SEÑORA KELLY PARA VALIDAR INCIDENTE, PERO INDICA QUE ESTA MAÑANA AL LLEGAR Y REALIZAR EL CIERRE YA LES FUNCIONO NORMAL, AL PARECER EL USUARIO ESTABA COMO BLOQUEADO, EL DATAFONO YA ESTA OPERANDO NORMALMENTE."/>
    <s v="SOPORTE_TELEFÓNICO"/>
    <n v="0"/>
    <s v="TIPO II"/>
    <s v="TERRESTRE"/>
    <s v="HENAO CARDONA DIEGO FERNANDO"/>
    <n v="0"/>
    <n v="0"/>
    <n v="0"/>
    <n v="0"/>
    <n v="37904.65408"/>
    <n v="37904.65408"/>
  </r>
  <r>
    <s v="MEDELLIN"/>
    <x v="2"/>
    <x v="2"/>
    <n v="5088"/>
    <n v="2377476"/>
    <n v="74249"/>
    <s v="INCIDENTE"/>
    <s v="ANTIOQUIA"/>
    <s v="BELLO"/>
    <s v="DISTRICOL FERRO DEPÓSITO JUAN"/>
    <s v="REDEBAN"/>
    <s v="FO-25-1167175"/>
    <d v="2025-07-01T14:50:00"/>
    <d v="2025-07-02T10:59:00"/>
    <s v="NO"/>
    <s v="USUARIO"/>
    <s v="MANTENIMIENTO"/>
    <s v="MANTENIMIENTO GENERAL"/>
    <s v="AGREGADOR"/>
    <m/>
    <s v="CERRADO"/>
    <s v="01-07 SE ESCALA PARA VISITA. LLAMAR ANTES DE VISITAR, CONFIRMAR FALLA Y DATOS_x000a_0_x000a_02-07 SE REALIZA MANTENIMIENTO AL EQUIPO "/>
    <s v="VISITA_TÉCNICA"/>
    <s v="MN3ZZ451"/>
    <s v="TIPO I"/>
    <s v="TERRESTRE"/>
    <s v="CERPA SUAREZ DUVAN CAMILO"/>
    <n v="1"/>
    <n v="0"/>
    <n v="0"/>
    <n v="0"/>
    <n v="65960.473639999997"/>
    <n v="65960.473639999997"/>
  </r>
  <r>
    <s v="MEDELLIN"/>
    <x v="2"/>
    <x v="2"/>
    <n v="5001"/>
    <n v="2378083"/>
    <n v="10228"/>
    <s v="INCIDENTE"/>
    <s v="ANTIOQUIA"/>
    <s v="MEDELLIN"/>
    <s v="BARRIO MANRIQUE ORIENTAL"/>
    <s v="REDEBAN"/>
    <s v="FO-25-1167420"/>
    <d v="2025-07-01T15:42:00"/>
    <d v="2025-07-02T11:11:00"/>
    <s v="NO"/>
    <s v="USUARIO"/>
    <s v="MANTENIMIENTO"/>
    <s v="MANTENIMIENTO GENERAL"/>
    <s v="CB UNO A UNO"/>
    <m/>
    <s v="CERRADO"/>
    <s v="01-07 SE ESCALA PARA VISITA. LLAMAR ANTES DE VISITAR, CONFIRMAR FALLA Y DATOS_x000a_0_x000a_02-07 SE LLEGÓ A SITIO CORRESPONSAL INFORMA QUE EL EQUIPO SE ENCUENTRA FUNCIONANDO NORMALMENTE "/>
    <s v="VISITA_TÉCNICA"/>
    <s v="JRZZZ707"/>
    <s v="TIPO I"/>
    <s v="TERRESTRE"/>
    <s v="CASTAÑEDA PALACIO CARLOS FELIPE"/>
    <n v="1"/>
    <n v="0"/>
    <n v="0"/>
    <n v="0"/>
    <n v="65960.473639999997"/>
    <n v="65960.473639999997"/>
  </r>
  <r>
    <s v="PEREIRA"/>
    <x v="4"/>
    <x v="5"/>
    <n v="76147"/>
    <n v="2380625"/>
    <n v="59182"/>
    <s v="INCIDENTE"/>
    <s v="VALLE DEL CAUCA"/>
    <s v="CARTAGO"/>
    <s v="BARRIO GUAYACANES CARTAGO"/>
    <s v="REDEBAN"/>
    <s v="FO-25-1171516"/>
    <d v="2025-07-02T08:19:00"/>
    <d v="2025-07-02T11:20:00"/>
    <s v="NO"/>
    <s v="USUARIO"/>
    <s v="NO ENCIENDE"/>
    <s v="CONEXIONES DE COMERCIO"/>
    <s v="CB UNO A UNO"/>
    <m/>
    <s v="CERRADO"/>
    <s v="02-07 SE ESCALA PARA VISITA. LLAMAR ANTES DE VISITAR, CONFIRMAR FALLA Y DATOS_x000a_0_x000a_02-07 SE REALIZA VALIDACION CON EL SEÑOR ALEJANDRO QUIEN REPORTA PROBLEMAS CON EL PIN PAD, SE REVISA CONEXIONES Y SE ENCUENTRA QUE EL PIN PAD NO ESTA BIEN CONECTADO, SE PROCCEDE A REALIZAR CONEXION CORRECTA Y EL SERVICIO EMPIEZA A OPERAR SIN PROBLEMAS."/>
    <s v="SOPORTE_TELEFÓNICO"/>
    <n v="0"/>
    <s v="TIPO I"/>
    <s v="TERRESTRE"/>
    <s v="HENAO CARDONA DIEGO FERNANDO"/>
    <n v="0"/>
    <n v="0"/>
    <n v="0"/>
    <n v="0"/>
    <n v="37904.65408"/>
    <n v="37904.65408"/>
  </r>
  <r>
    <s v="MEDELLIN"/>
    <x v="2"/>
    <x v="2"/>
    <n v="5308"/>
    <n v="2378675"/>
    <n v="41627"/>
    <s v="INCIDENTE"/>
    <s v="ANTIOQUIA"/>
    <s v="GIRARDOTA"/>
    <s v="BARRIO GIRARDOTA GIRARDOTA"/>
    <s v="REDEBAN"/>
    <s v="FO-25-1168257"/>
    <d v="2025-07-01T16:27:00"/>
    <d v="2025-07-02T11:47:00"/>
    <s v="NO"/>
    <s v="USUARIO"/>
    <s v="MANTENIMIENTO"/>
    <s v="MANTENIMIENTO GENERAL"/>
    <s v="CB UNO A UNO"/>
    <m/>
    <s v="CERRADO"/>
    <s v="01-07 SE ESCALA PARA VISITA. LLAMAR ANTES DE VISITAR, CONFIRMAR FALLA Y DATOS_x000a_0_x000a_02-07 SE REALIZA MANTENIMIENTO Y SE CONECTA CABLE DE PODER BIEN "/>
    <s v="VISITA_TÉCNICA"/>
    <s v="EF01Z882"/>
    <s v="TIPO I"/>
    <s v="TERRESTRE"/>
    <s v="CERPA SUAREZ DUVAN CAMILO"/>
    <n v="1"/>
    <n v="0"/>
    <n v="0"/>
    <n v="0"/>
    <n v="65960.473639999997"/>
    <n v="65960.473639999997"/>
  </r>
  <r>
    <s v="BOGOTA"/>
    <x v="5"/>
    <x v="6"/>
    <n v="11001"/>
    <n v="2379253"/>
    <n v="60017"/>
    <s v="INCIDENTE"/>
    <s v="CUNDINAMARCA"/>
    <s v="BOGOTA"/>
    <s v="PTM BOGOTA PUNTOSERVICE BOGOT"/>
    <s v="REDEBAN"/>
    <s v="FO-25-1169432"/>
    <d v="2025-07-01T17:15:00"/>
    <d v="2025-07-02T11:52:00"/>
    <s v="NO"/>
    <s v="USUARIO"/>
    <s v="COMUNICACION"/>
    <s v="CANAL DEL COMERCIO"/>
    <s v="AGREGADOR"/>
    <m/>
    <s v="CERRADO"/>
    <s v="01-07 SE ESCALA PARA VISITA. LLAMAR ANTES DE VISITAR, CONFIRMAR FALLA Y DATOS_x000a_0_x000a_02-07 SE REALIZA DESPLAZAMIENTO A DIRECCIÓN DE COMERCIO, SE ENCUENTRA COMERCIO CERRADO, PERSONA QUE ATIENDE POR UNA VENTANA DEL 3 PISO DEL PREDIO SE COMUNICA CON LA SRA. CLAUDIA Y ELLA LE INDICA QUE LLAMO A CANCELAR LA VISITA POR QUÉ LA FALLA ES DEL SERVICIO DE INTERNET DEL PREDIO."/>
    <s v="VISITA_TÉCNICA"/>
    <s v="MA00B423"/>
    <s v="TIPO I"/>
    <s v="TERRESTRE"/>
    <s v="MURCIA HERNANDEZ HARVEY IGNACIO"/>
    <n v="1"/>
    <n v="0"/>
    <n v="0"/>
    <n v="0"/>
    <n v="65960.473639999997"/>
    <n v="65960.473639999997"/>
  </r>
  <r>
    <s v="MEDELLIN"/>
    <x v="2"/>
    <x v="2"/>
    <n v="5631"/>
    <n v="2379765"/>
    <n v="79007"/>
    <s v="INCIDENTE"/>
    <s v="ANTIOQUIA"/>
    <s v="SABANETA"/>
    <s v="PTM SABANETA PAPELERIA Y RECAR"/>
    <s v="REDEBAN"/>
    <s v="FO-25-1171187"/>
    <d v="2025-07-02T08:00:00"/>
    <d v="2025-07-02T13:16:00"/>
    <s v="NO"/>
    <s v="USUARIO"/>
    <s v="CIERRE"/>
    <s v="COMERCIO NO REALIZA CIERRE"/>
    <s v="AGREGADOR"/>
    <m/>
    <s v="CERRADO"/>
    <s v="02-07 SE ESCALA PARA VISITA. LLAMAR ANTES DE VISITAR, CONFIRMAR FALLA Y DATOS_x000a_0_x000a_02-07 SE REALIZA AJUSTES SOBRE LOS CIERRES"/>
    <s v="VISITA_TÉCNICA"/>
    <s v="FATZZ894"/>
    <s v="TIPO I"/>
    <s v="TERRESTRE"/>
    <s v="HERNANDEZ CHAVARRIA JUAN CAMILO"/>
    <n v="1"/>
    <n v="0"/>
    <n v="0"/>
    <n v="0"/>
    <n v="65960.473639999997"/>
    <n v="65960.473639999997"/>
  </r>
  <r>
    <s v="MEDELLIN"/>
    <x v="2"/>
    <x v="2"/>
    <n v="5088"/>
    <n v="2381539"/>
    <n v="80073"/>
    <s v="INCIDENTE"/>
    <s v="ANTIOQUIA"/>
    <s v="BELLO"/>
    <s v="BARRIO LA GABRIELA CALLE VIEJA BELLO 4"/>
    <s v="REDEBAN"/>
    <s v="FO-25-1172101"/>
    <d v="2025-07-02T09:22:00"/>
    <d v="2025-07-02T13:18:00"/>
    <s v="NO"/>
    <s v="USUARIO"/>
    <s v="MANTENIMIENTO"/>
    <s v="MANTENIMIENTO GENERAL"/>
    <s v="CB UNO A UNO"/>
    <m/>
    <s v="CERRADO"/>
    <s v="02-07 SE ESCALA PARA VISITA. LLAMAR ANTES DE VISITAR, CONFIRMAR FALLA Y DATOS_x000a_0_x000a_02-07 SE REALIZÓ LIMPIEZA DE IMPRESORA POS OK "/>
    <s v="VISITA_TÉCNICA"/>
    <s v="SAXZZ552"/>
    <s v="TIPO I"/>
    <s v="TERRESTRE"/>
    <s v="CASTAÑEDA PALACIO CARLOS FELIPE"/>
    <n v="1"/>
    <n v="0"/>
    <n v="0"/>
    <n v="0"/>
    <n v="65960.473639999997"/>
    <n v="65960.473639999997"/>
  </r>
  <r>
    <s v="MEDELLIN"/>
    <x v="2"/>
    <x v="2"/>
    <n v="5088"/>
    <n v="2383581"/>
    <n v="66013"/>
    <s v="INCIDENTE"/>
    <s v="ANTIOQUIA"/>
    <s v="BELLO"/>
    <s v="BARRIO NIQUIA BELLO 16"/>
    <s v="REDEBAN"/>
    <s v="FO-25-1173213"/>
    <d v="2025-07-02T11:33:00"/>
    <d v="2025-07-02T13:23:00"/>
    <s v="NO"/>
    <s v="USUARIO"/>
    <s v="MANTENIMIENTO"/>
    <s v="MANTENIMIENTO GENERAL"/>
    <s v="CB UNO A UNO"/>
    <m/>
    <s v="CERRADO"/>
    <s v="02-07 SE ESCALA PARA VISITA. LLAMAR ANTES DE VISITAR, CONFIRMAR FALLA Y DATOS_x000a_0_x000a_02-07 SE REALIZA MANTENIMIENTO AL EQUIPO Y SE CONECTA FUENTE DE PODER "/>
    <s v="VISITA_TÉCNICA"/>
    <s v="9A00N419"/>
    <s v="TIPO I"/>
    <s v="TERRESTRE"/>
    <s v="CERPA SUAREZ DUVAN CAMILO"/>
    <n v="1"/>
    <n v="0"/>
    <n v="0"/>
    <n v="0"/>
    <n v="65960.473639999997"/>
    <n v="65960.473639999997"/>
  </r>
  <r>
    <s v="IBAGUE"/>
    <x v="1"/>
    <x v="1"/>
    <n v="73585"/>
    <n v="2384587"/>
    <n v="28326"/>
    <s v="INCIDENTE"/>
    <s v="TOLIMA"/>
    <s v="PURIFICACION"/>
    <s v="ARA0354   PURIFICACION ZONA SU"/>
    <s v="REDEBAN"/>
    <s v="FO-25-1175014"/>
    <d v="2025-07-02T13:58:00"/>
    <d v="2025-07-02T15:05:00"/>
    <s v="NO"/>
    <s v="USUARIO"/>
    <s v="MANTENIMIENTO"/>
    <s v="MANTENIMIENTO GENERAL"/>
    <s v="RETAIL"/>
    <m/>
    <s v="CERRADO"/>
    <s v="02-07 SE ESCALA A LA RED - SE PROCEDE A CERRAR YA QUE NO ATENDEMOS CADENA ARA ..02-07 RESPUESTA DE LA RED: TU SOLICITUD REFERENTE A GENERACIÓN DE CASOS CB ARA BANCOLOMBIA QUEDÓ RADICADA BAJO EL TICKET NÚMERO 5697837 AL ÁREA ENCARGADA._x000a__x000a_0"/>
    <s v="SOPORTE_TELEFÓNICO"/>
    <n v="0"/>
    <s v="TIPO II"/>
    <s v="TERRESTRE"/>
    <n v="0"/>
    <n v="0"/>
    <n v="0"/>
    <n v="0"/>
    <n v="0"/>
    <n v="37904.65408"/>
    <n v="37904.65408"/>
  </r>
  <r>
    <s v="CALI"/>
    <x v="4"/>
    <x v="4"/>
    <n v="19001"/>
    <n v="2379720"/>
    <n v="69029"/>
    <s v="INCIDENTE"/>
    <s v="CAUCA"/>
    <s v="POPAYAN"/>
    <s v="BARRIO BELMONTE POPAYAN"/>
    <s v="REDEBAN"/>
    <s v="FO-25-1171196"/>
    <d v="2025-07-02T08:00:00"/>
    <d v="2025-07-02T16:24:00"/>
    <s v="NO"/>
    <s v="ENTIDAD"/>
    <s v="ERROR DE TRANSACCIONES"/>
    <s v="TIPO DE TARJETA INVALIDA"/>
    <s v="CB UNO A UNO"/>
    <m/>
    <s v="CERRADO"/>
    <s v="02-07 SE ESCALA PARA VISITA. LLAMAR ANTES DE VISITAR, CONFIRMAR FALLA Y DATOS_x000a_0_x000a_02-07 SE LLEGA AL SITIO SE ENCUENTRA EQUIPO OK SE LLAMA ALA LÍNEA CORRESPONSALES INFORMAN PRESENTA BLOQUEO POR LA ENTIDAD POR TEMA COMPENSACION"/>
    <s v="VISITA_TÉCNICA"/>
    <s v="9T1ZZ294"/>
    <s v="TIPO III"/>
    <s v="TERRESTRE"/>
    <s v="GIMBUEL LASSO LUIS GERMAN"/>
    <n v="1"/>
    <n v="0"/>
    <n v="0"/>
    <n v="0"/>
    <n v="275728.37943999999"/>
    <n v="275728.37943999999"/>
  </r>
  <r>
    <s v="BOGOTA"/>
    <x v="5"/>
    <x v="6"/>
    <n v="11001"/>
    <n v="2384573"/>
    <n v="18902"/>
    <s v="INCIDENTE"/>
    <s v="CUNDINAMARCA"/>
    <s v="BOGOTA"/>
    <s v="PAGAFACIL CENTRO DE PAGOS LA 9"/>
    <s v="REDEBAN"/>
    <s v="FO-25-1174015"/>
    <d v="2025-07-02T13:55:00"/>
    <d v="2025-07-03T11:26:00"/>
    <s v="NO"/>
    <s v="USUARIO"/>
    <s v="USUARIOS"/>
    <s v="USUARIOS BLOQUEADOS"/>
    <s v="ROBUSTO"/>
    <m/>
    <s v="CERRADO"/>
    <s v="02-07 SE ESCALA PARA VISITA. LLAMAR ANTES DE VISITAR, CONFIRMAR FALLA Y DATOS_x000a_0_x000a_03-07 SE RESTABLECEN CLAVES COMERCIO REALIZA PRUEBAS REALIZANDO EL CIERRE NO SE REALIZA PRUEBAS DE TRANSACCIÓNES DEBIDO A QUE LA CAJA NO LA ESTÁN USANDO Y NO LA PUEDEB ABRIR HASTA MAÑANA"/>
    <s v="VISITA_TÉCNICA"/>
    <s v="XRZZZ663"/>
    <s v="TIPO I"/>
    <s v="TERRESTRE"/>
    <s v="MICHELI LOPEZ MIGUEL ANGEL"/>
    <n v="1"/>
    <n v="0"/>
    <n v="0"/>
    <n v="0"/>
    <n v="65960.473639999997"/>
    <n v="65960.473639999997"/>
  </r>
  <r>
    <s v="CALI"/>
    <x v="4"/>
    <x v="4"/>
    <n v="76001"/>
    <n v="2388444"/>
    <n v="53834"/>
    <s v="INCIDENTE"/>
    <s v="VALLE DEL CAUCA"/>
    <s v="CALI"/>
    <s v="BARRIO FLORESTA CALI 2"/>
    <s v="REDEBAN"/>
    <s v="FO-25-1176899"/>
    <d v="2025-07-03T08:32:00"/>
    <d v="2025-07-03T11:52:00"/>
    <s v="NO"/>
    <s v="USUARIO"/>
    <s v="CIERRE"/>
    <s v="COMERCIO NO REALIZA CIERRE"/>
    <s v="CB UNO A UNO"/>
    <m/>
    <s v="CERRADO"/>
    <s v="03-07 SE ESCALA PARA VISITA. LLAMAR ANTES DE VISITAR, CONFIRMAR FALLA Y DATOS_x000a_0_x000a_03-07 SE REALIZA LLAMADA AL CLIENTE , SE VALIDA INCONVENIENTE, EL CLIENTE ESTABA DIGITANDO UNA CLAVE PARA CIERRES ERRADA, SE LE INDICA QUE LA CLAVE ESTANDAR ES 1526, EL CLIENTE PROCEDE A REALIZAR PRUEBAS Y INGRESA AL CIERRE CORRECTAMENTE."/>
    <s v="SOPORTE_TELEFÓNICO"/>
    <n v="0"/>
    <s v="TIPO I"/>
    <s v="TERRESTRE"/>
    <s v="HENAO CARDONA DIEGO FERNANDO"/>
    <n v="0"/>
    <n v="0"/>
    <n v="0"/>
    <n v="0"/>
    <n v="37904.65408"/>
    <n v="37904.65408"/>
  </r>
  <r>
    <s v="MEDELLIN"/>
    <x v="2"/>
    <x v="2"/>
    <n v="5001"/>
    <n v="2389782"/>
    <n v="79923"/>
    <s v="INCIDENTE"/>
    <s v="ANTIOQUIA"/>
    <s v="MEDELLIN"/>
    <s v="DISTRICOL EL MERCADO J&amp;S PARQU"/>
    <s v="REDEBAN"/>
    <s v="FO-25-1177953"/>
    <d v="2025-07-03T10:22:00"/>
    <d v="2025-07-03T15:15:00"/>
    <s v="NO"/>
    <s v="USUARIO"/>
    <s v="MANTENIMIENTO"/>
    <s v="MANTENIMIENTO GENERAL"/>
    <s v="AGREGADOR"/>
    <m/>
    <s v="CERRADO"/>
    <s v="03-07 SE ESCALA PARA VISITA. LLAMAR ANTES DE VISITAR, CONFIRMAR FALLA Y DATOS_x000a_0_x000a_03-07 SE REALIZA MANTENIMIENTO AL EQUIPO TODO ESTÁ EN BUEN FUNCIONAMIENTO"/>
    <s v="VISITA_TÉCNICA"/>
    <s v="SAUZZ938"/>
    <s v="TIPO I"/>
    <s v="TERRESTRE"/>
    <s v="CERPA SUAREZ DUVAN CAMILO"/>
    <n v="1"/>
    <n v="0"/>
    <n v="0"/>
    <n v="0"/>
    <n v="65960.473639999997"/>
    <n v="65960.473639999997"/>
  </r>
  <r>
    <s v="PASTO"/>
    <x v="4"/>
    <x v="4"/>
    <n v="52356"/>
    <n v="2386804"/>
    <n v="44682"/>
    <s v="INCIDENTE"/>
    <s v="NARIÑO"/>
    <s v="IPIALES"/>
    <s v="PTM IPIALES MISCELANEA Y PAPEL"/>
    <s v="REDEBAN"/>
    <s v="FO-25-1175433"/>
    <d v="2025-07-02T16:35:00"/>
    <d v="2025-07-03T15:28:00"/>
    <s v="NO"/>
    <s v="USUARIO"/>
    <s v="MANTENIMIENTO"/>
    <s v="MANTENIMIENTO GENERAL"/>
    <s v="AGREGADOR"/>
    <m/>
    <s v="CERRADO"/>
    <s v="02-07 SE ESCALA PARA VISITA. LLAMAR ANTES DE VISITAR, CONFIRMAR FALLA Y DATOS_x000a_0_x000a_03-07 SE VISITÓ EL CB PARA REVISAR INCONVENIENTE CON DATÁFONO, CLIENTE MANIFIESTA QUE SE REINICIABA, SE REALIZA MANTENIMIENTO, BORRADO DE SISTEMA OPERATIVO Y VERSIÓN, SE REINSTALA Y SE INICIALIZA, PRUEBAS OK, CB FUNCIONA CON NORMALIDAD"/>
    <s v="VISITA_TÉCNICA"/>
    <s v="AB1EZ108, MA00E720"/>
    <s v="TIPO II"/>
    <s v="TERRESTRE"/>
    <s v="GUERRERO RAMIREZ OSCAR DARIO"/>
    <n v="1"/>
    <n v="0"/>
    <n v="0"/>
    <n v="0"/>
    <n v="163813.55812"/>
    <n v="163813.55812"/>
  </r>
  <r>
    <s v="MEDELLIN"/>
    <x v="2"/>
    <x v="2"/>
    <n v="5425"/>
    <n v="2375218"/>
    <n v="79106"/>
    <s v="INCIDENTE"/>
    <s v="ANTIOQUIA"/>
    <s v="MACEO"/>
    <s v="BARRIO CALLE BOLIVAR MACEO"/>
    <s v="REDEBAN"/>
    <s v="FO-25-1163418"/>
    <d v="2025-07-01T11:20:27"/>
    <d v="2025-07-04T09:03:00"/>
    <s v="NO"/>
    <s v="USUARIO"/>
    <s v="COMUNICACION"/>
    <s v="CANAL DEL COMERCIO"/>
    <s v="CB UNO A UNO"/>
    <m/>
    <s v="CERRADO"/>
    <s v="01-07 SE REALIZA CONTACTO CON  LUZ MARY CELIS AL NUMERO 3206745652 CONFIRMA FALLA, DATOS CORRECTOS. SE ESCALA PARA VISITA _x000a_0_x000a_03-07 SE VERIFICAN CONEXIÓNES Y SE IDENTIFICA CAÍDA DEL CANAL DEL USUARIO, SE ENSAYA EL SERVICIO CON EL CANAL DE UN VECINO Y EL SERVICIO FUNCIONA CORRECTAMENTE."/>
    <s v="VISITA_TÉCNICA"/>
    <s v="SASZZ681"/>
    <s v="TIPO III"/>
    <s v="TERRESTRE"/>
    <s v="BARRIENTOS HERNANDEZ CRISTIAN HORACIO"/>
    <n v="1"/>
    <n v="0"/>
    <n v="0"/>
    <n v="0"/>
    <n v="275728.37943999999"/>
    <n v="275728.37943999999"/>
  </r>
  <r>
    <s v="MEDELLIN"/>
    <x v="2"/>
    <x v="2"/>
    <n v="5264"/>
    <n v="2384017"/>
    <n v="79370"/>
    <s v="INCIDENTE"/>
    <s v="ANTIOQUIA"/>
    <s v="ENTRERRIOS"/>
    <s v="BARRIO SECTOR CUATRO ESQUINAS ENTRERIOS"/>
    <s v="REDEBAN"/>
    <s v="FO-25-1173446"/>
    <d v="2025-07-02T11:57:35"/>
    <d v="2025-07-04T09:31:00"/>
    <s v="NO"/>
    <s v="USUARIO"/>
    <s v="LECTOR DE BARRAS"/>
    <s v="CAPACITACION MANIPULACION DE COMERCIO"/>
    <s v="CB UNO A UNO"/>
    <m/>
    <s v="CERRADO"/>
    <s v="02-07 SE ESCALA PARA VISITA. LLAMAR ANTES DE VISITAR, CONFIRMAR FALLA Y DATOS_x000a_0_x000a_04-07 SE REVISA LECTORA EN BUEN ESTADO SE DETECTA QUE CLIENTE NO ESTABA MANIPULANDO BIEN LA LECTORA SE LE EXPLICA COMO MANIPULARLA TODO OK"/>
    <s v="VISITA_TÉCNICA"/>
    <s v="10XZZ908"/>
    <s v="TIPO II"/>
    <s v="TERRESTRE"/>
    <s v="ALVAREZ ARENAS VICTOR HUGO"/>
    <n v="1"/>
    <n v="0"/>
    <n v="0"/>
    <n v="0"/>
    <n v="163813.55812"/>
    <n v="163813.55812"/>
  </r>
  <r>
    <s v="MEDELLIN"/>
    <x v="2"/>
    <x v="2"/>
    <n v="5001"/>
    <n v="2389859"/>
    <n v="79336"/>
    <s v="INCIDENTE"/>
    <s v="ANTIOQUIA"/>
    <s v="MEDELLIN"/>
    <s v="BARRIO PEDREGAL MEDELLIN 13"/>
    <s v="REDEBAN"/>
    <s v="FO-25-1177967"/>
    <d v="2025-07-03T10:18:00"/>
    <d v="2025-07-04T09:57:00"/>
    <s v="NO"/>
    <s v="USUARIO"/>
    <s v="COMUNICACION"/>
    <s v="CONEXIONES DE COMERCIO"/>
    <s v="CB UNO A UNO"/>
    <m/>
    <s v="CERRADO"/>
    <s v="03-07 SE ESCALA PARA VISITA. LLAMAR ANTES DE VISITAR, CONFIRMAR FALLA Y DATOS_x000a_0_x000a_04-07 SE REALIZA VALIDACIÓN DE EQUIPO ESTA EN BUEN ESTADO, SE PRESENTA DAÑO EN PUNTO DE INTERNET, SE REALIZO PRUEBA EN OTRO PUNTO DE INTERNET Y FUNCIONA CORRECTAMENTE, SE INFORMA AL CLIENTE COMUNICAR QUE EL PROVEEDOR"/>
    <s v="VISITA_TÉCNICA"/>
    <s v="A4WZZ863"/>
    <s v="TIPO I"/>
    <s v="TERRESTRE"/>
    <s v="HERNANDEZ CHAVARRIA JUAN CAMILO"/>
    <n v="1"/>
    <n v="0"/>
    <n v="0"/>
    <n v="0"/>
    <n v="65960.473639999997"/>
    <n v="65960.473639999997"/>
  </r>
  <r>
    <s v="MEDELLIN"/>
    <x v="2"/>
    <x v="2"/>
    <n v="5425"/>
    <n v="2379717"/>
    <n v="76602"/>
    <s v="INCIDENTE"/>
    <s v="ANTIOQUIA"/>
    <s v="MACEO"/>
    <s v="BARRIO LA PLAZUELA MACEO"/>
    <s v="REDEBAN"/>
    <s v="FO-25-1171205"/>
    <d v="2025-07-02T08:00:00"/>
    <d v="2025-07-04T10:14:00"/>
    <s v="NO"/>
    <s v="USUARIO"/>
    <s v="COMUNICACION"/>
    <s v="CANAL DEL COMERCIO"/>
    <s v="CB UNO A UNO"/>
    <m/>
    <s v="CERRADO"/>
    <s v="02-07 SE REALIZA CONTACTO CON RUBIALBA RODAS VALENCIA AL NUMERO 3135566743 CONFIRMA FALLA, DATOS CORRECTOS. SE ESCALA PARA VISITA _x000a_0_x000a_04-07 USUARIO CAMBIA DE OPERADOR, SE REALIZA INSTALACIÓN Y SE DEJAN SERVICIOS FUNCIONANDO CORRECTAMENTE"/>
    <s v="VISITA_TÉCNICA"/>
    <s v="V14ZZ278"/>
    <s v="TIPO III"/>
    <s v="TERRESTRE"/>
    <s v="BARRIENTOS HERNANDEZ CRISTIAN HORACIO"/>
    <n v="1"/>
    <n v="0"/>
    <n v="0"/>
    <n v="0"/>
    <n v="275728.37943999999"/>
    <n v="275728.37943999999"/>
  </r>
  <r>
    <s v="MEDELLIN"/>
    <x v="2"/>
    <x v="2"/>
    <n v="5001"/>
    <n v="2391115"/>
    <n v="24257"/>
    <s v="INCIDENTE"/>
    <s v="ANTIOQUIA"/>
    <s v="MEDELLIN"/>
    <s v="COMCARD SAN JAVIER TOTAL RED"/>
    <s v="REDEBAN"/>
    <s v="FO-25-1178781"/>
    <d v="2025-07-03T12:04:30"/>
    <d v="2025-07-04T10:43:00"/>
    <s v="NO"/>
    <s v="USUARIO"/>
    <s v="LECTOR DE BARRAS"/>
    <s v="ERROR PAGOS PARCIALES DE FACTURAS"/>
    <s v="AGREGADOR"/>
    <m/>
    <s v="CERRADO"/>
    <s v="03-07 SE ESCALA PARA VISITA. LLAMAR ANTES DE VISITAR, CONFIRMAR FALLA Y DATOS_x000a_0_x000a_04-07 SE LLEGA AL COMERCIO PERO SE EVIDENCIA QUE ESTÁ CERRADO SE INTENTA COMUNICACIÓN CON USUARIO PERO NO SE LOGRA SE ESPERA MÉDIA HORA EN SITIO PERO NO LLEGA USUARIA"/>
    <s v="VISITA_TÉCNICA"/>
    <n v="0"/>
    <s v="TIPO I"/>
    <s v="TERRESTRE"/>
    <s v="MONTOYA VELEZ ANDRES FELIPE"/>
    <n v="1"/>
    <n v="0"/>
    <n v="0"/>
    <n v="0"/>
    <n v="65960.473639999997"/>
    <n v="65960.473639999997"/>
  </r>
  <r>
    <s v="IBAGUE"/>
    <x v="1"/>
    <x v="1"/>
    <n v="73585"/>
    <n v="2394091"/>
    <n v="79783"/>
    <s v="INCIDENTE"/>
    <s v="TOLIMA"/>
    <s v="PURIFICACION"/>
    <s v="BARRIO VILLA DE LAS PALMAS PURIFICACION"/>
    <s v="REDEBAN"/>
    <s v="FO-25-1181575"/>
    <d v="2025-07-04T08:00:00"/>
    <d v="2025-07-04T13:00:00"/>
    <s v="NO"/>
    <s v="USUARIO"/>
    <s v="CIERRE"/>
    <s v="COMERCIO NO REALIZA CIERRE"/>
    <s v="CB UNO A UNO"/>
    <m/>
    <s v="CERRADO"/>
    <s v="04-07 SE ESCALA PARA VISITA. LLAMAR ANTES DE VISITAR, CONFIRMAR FALLA Y DATOS_x000a_0_x000a_04-07 SE COMUNICA AL NÚMERO TELEFÓNICO 3206095053, LA SEÑORA ANGIE MONROY INDICA QUE DESDE LA LÍNEA 018000953344 LE DIERON SOLUCIÓN AL TEMA DE CIERRES MEDIANTE BORRADO DE TRANSACCIONES; EQUIPO OPERATIVO."/>
    <s v="SOPORTE_TELEFÓNICO"/>
    <n v="0"/>
    <s v="TIPO II"/>
    <s v="TERRESTRE"/>
    <s v="BARRAGAN TAFUR EDWIN ESTEBAN"/>
    <n v="0"/>
    <n v="0"/>
    <n v="0"/>
    <n v="0"/>
    <n v="37904.65408"/>
    <n v="37904.65408"/>
  </r>
  <r>
    <s v="MEDELLIN"/>
    <x v="2"/>
    <x v="2"/>
    <n v="5360"/>
    <n v="2393274"/>
    <n v="12305"/>
    <s v="INCIDENTE"/>
    <s v="ANTIOQUIA"/>
    <s v="ITAGUI"/>
    <s v="BARRIO SANTA MARIA III - ITAGU"/>
    <s v="REDEBAN"/>
    <s v="FO-25-1180859"/>
    <d v="2025-07-03T16:39:00"/>
    <d v="2025-07-04T14:11:13"/>
    <s v="NO"/>
    <s v="USUARIO"/>
    <s v="MANTENIMIENTO"/>
    <s v="MANTENIMIENTO GENERAL"/>
    <s v="CB UNO A UNO"/>
    <m/>
    <s v="CERRADO"/>
    <s v="03-07 SE ESCALA PARA VISITA. LLAMAR ANTES DE VISITAR, CONFIRMAR FALLA Y DATOS_x000a_0_x000a_04-07 SE LLEGA AL PUNTO SE LLAMA AL ENCARGADO Y  DICE QUE FAVOR VENIR LA OTRA SEMANA YA QUE NO SE ENCUENTRA"/>
    <s v="VISITA_TÉCNICA"/>
    <s v="JAAAN929"/>
    <s v="TIPO I"/>
    <s v="TERRESTRE"/>
    <s v="MORENO MEDINA JUAN PABLO"/>
    <n v="1"/>
    <n v="0"/>
    <n v="0"/>
    <n v="0"/>
    <n v="65960.473639999997"/>
    <n v="65960.473639999997"/>
  </r>
  <r>
    <s v="MEDELLIN"/>
    <x v="2"/>
    <x v="2"/>
    <n v="5042"/>
    <n v="2393568"/>
    <n v="42910"/>
    <s v="INCIDENTE"/>
    <s v="ANTIOQUIA"/>
    <s v="SANTA FE DE ANTIOQUIA"/>
    <s v="BRR EL LLANO SANTA FE DE ANTIO"/>
    <s v="REDEBAN"/>
    <s v="FO-25-1181166"/>
    <d v="2025-07-03T17:39:11"/>
    <d v="2025-07-04T15:01:45"/>
    <s v="NO"/>
    <s v="USUARIO"/>
    <s v="MANTENIMIENTO"/>
    <s v="MANTENIMIENTO GENERAL"/>
    <s v="CB UNO A UNO"/>
    <m/>
    <s v="CERRADO"/>
    <s v="03-07 SE ESCALA PARA VISITA. LLAMAR ANTES DE VISITAR, CONFIRMAR FALLA Y DATOS_x000a_0_x000a_04-07 SE REALIZA MANTENIMIENTO AL PIN PAD YA QUE NO LEE ALGUNAS TARJETAS"/>
    <s v="VISITA_TÉCNICA"/>
    <s v="GZCZZ662"/>
    <s v="TIPO II"/>
    <s v="TERRESTRE"/>
    <s v="CERPA SUAREZ DUVAN CAMILO"/>
    <n v="1"/>
    <n v="0"/>
    <n v="0"/>
    <n v="0"/>
    <n v="163813.55812"/>
    <n v="163813.55812"/>
  </r>
  <r>
    <s v="NEIVA"/>
    <x v="1"/>
    <x v="1"/>
    <n v="41016"/>
    <n v="2390678"/>
    <n v="75980"/>
    <s v="INCIDENTE"/>
    <s v="HUILA"/>
    <s v="AIPE"/>
    <s v="PTM AIPE  VARIEDADES J.C."/>
    <s v="REDEBAN"/>
    <s v="FO-25-1178619"/>
    <d v="2025-07-03T11:32:00"/>
    <d v="2025-07-04T15:10:00"/>
    <s v="NO"/>
    <s v="USUARIO"/>
    <s v="USUARIOS"/>
    <s v="CREACION DE USUARIOS"/>
    <s v="AGREGADOR"/>
    <m/>
    <s v="CERRADO"/>
    <s v="03-07 SE ESCALA PARA VISITA. LLAMAR ANTES DE VISITAR, CONFIRMAR FALLA Y DATOS_x000a_0_x000a_04-07 EN LLAMADA CON CLIENTE JHOAN CAMPOS  AL NÚMERO 3216890476 SE REALIZA GESTIÓN DE CLAVE."/>
    <s v="SOPORTE_TELEFÓNICO"/>
    <n v="0"/>
    <s v="TIPO II"/>
    <s v="TERRESTRE"/>
    <s v="DIAZ VARGAS JONATHAN MIGUEL"/>
    <n v="0"/>
    <n v="0"/>
    <n v="0"/>
    <n v="0"/>
    <n v="37904.65408"/>
    <n v="37904.65408"/>
  </r>
  <r>
    <s v="PASTO"/>
    <x v="4"/>
    <x v="4"/>
    <n v="52227"/>
    <n v="2391004"/>
    <n v="10557"/>
    <s v="INCIDENTE"/>
    <s v="NARIÑO"/>
    <s v="CUMBAL"/>
    <s v="CUMBAL - NARINO"/>
    <s v="REDEBAN"/>
    <s v="FO-25-1178611"/>
    <d v="2025-07-03T11:40:00"/>
    <d v="2025-07-04T15:12:00"/>
    <s v="NO"/>
    <s v="USUARIO"/>
    <s v="MANTENIMIENTO"/>
    <s v="MANTENIMIENTO GENERAL"/>
    <s v="CB UNO A UNO"/>
    <m/>
    <s v="CERRADO"/>
    <s v="03-07 SE REALIZA CONTACTO CON ELIZABETH ESTRADA AL NUMERO 3207619819 CONFIRMA FALLA, DATOS CORRECTOS. SE ESCALA PARA VISITA _x000a_0_x000a_04-07 SE VISITA EL CB PARA REVISAR INCONVENIENTE CON DATÁFONO POR LENTITUD, SE REALIZA FORMATEO Y RE INSTALACIÓN DE SO Y VERSIÓN, SE HACEN PRUEBAS OK CORRESPONSAL OPERATIVO"/>
    <s v="VISITA_TÉCNICA"/>
    <s v="IZ2ZZ010"/>
    <s v="TIPO III"/>
    <s v="TERRESTRE"/>
    <s v="GUERRERO RAMIREZ OSCAR DARIO"/>
    <n v="1"/>
    <n v="0"/>
    <n v="0"/>
    <n v="0"/>
    <n v="275728.37943999999"/>
    <n v="275728.37943999999"/>
  </r>
  <r>
    <s v="VALLEDUPAR"/>
    <x v="3"/>
    <x v="3"/>
    <n v="20001"/>
    <n v="2395671"/>
    <n v="75517"/>
    <s v="INCIDENTE"/>
    <s v="CESAR"/>
    <s v="VALLEDUPAR"/>
    <s v="BARRIO EL CARMEN VALLEDUPAR 3"/>
    <s v="REDEBAN"/>
    <s v="FO-25-1183121"/>
    <d v="2025-07-04T09:42:00"/>
    <d v="2025-07-04T15:39:00"/>
    <s v="NO"/>
    <s v="ENTIDAD"/>
    <s v="ERROR DE TRANSACCIONES"/>
    <s v="TRANSACCION NO PERMITIDA"/>
    <s v="CB UNO A UNO"/>
    <m/>
    <s v="CERRADO"/>
    <s v="04-07 SE ESCALA PARA VISITA. LLAMAR ANTES DE VISITAR, CONFIRMAR FALLA Y DATOS_x000a_0_x000a_04-07 SE LLEGA A SITIO Y SE EVIDENCIA QUE NO SE PODIAN HACER DEPOSITOS A NEQUI, SE REALIZA RESET DEL EQUIPO Y SE RECONFIGURA, SE LLAMA AL BANCO DE IGUAL FORMA Y SE DEJA EL SERVICIO RESTABLECIDO Y FUNCIONANDO AL 100%"/>
    <s v="VISITA_TÉCNICA"/>
    <s v="SA00C422"/>
    <s v="TIPO I"/>
    <s v="TERRESTRE"/>
    <s v="MONTES DIAZ JOHN FRED"/>
    <n v="1"/>
    <n v="0"/>
    <n v="0"/>
    <n v="0"/>
    <n v="65960.473639999997"/>
    <n v="65960.473639999997"/>
  </r>
  <r>
    <s v="MEDELLIN"/>
    <x v="2"/>
    <x v="2"/>
    <n v="5001"/>
    <n v="2394087"/>
    <n v="77881"/>
    <s v="INCIDENTE"/>
    <s v="ANTIOQUIA"/>
    <s v="MEDELLIN"/>
    <s v="PTM MEDELLIN NEGOCIO 360"/>
    <s v="REDEBAN"/>
    <s v="FO-25-1181588"/>
    <d v="2025-07-04T08:00:00"/>
    <d v="2025-07-04T16:28:00"/>
    <s v="NO"/>
    <s v="USUARIO"/>
    <s v="MANTENIMIENTO"/>
    <s v="MANTENIMIENTO GENERAL"/>
    <s v="AGREGADOR"/>
    <m/>
    <s v="CERRADO"/>
    <s v="04-07 SE ESCALA PARA VISITA. LLAMAR ANTES DE VISITAR, CONFIRMAR FALLA Y DATOS_x000a_0_x000a_04-07 SE REALIZA MANTENIMIENTO AL EQUIPO Y SE EXPLICA SOBRE BORRADO DE TRANSACCIONES"/>
    <s v="VISITA_TÉCNICA"/>
    <s v="A1MZZ065-UVSZZ688"/>
    <s v="TIPO I"/>
    <s v="TERRESTRE"/>
    <s v="CERPA SUAREZ DUVAN CAMILO"/>
    <n v="1"/>
    <n v="0"/>
    <n v="0"/>
    <n v="0"/>
    <n v="65960.473639999997"/>
    <n v="65960.473639999997"/>
  </r>
  <r>
    <s v="CARTAGENA"/>
    <x v="3"/>
    <x v="3"/>
    <n v="13430"/>
    <n v="2397668"/>
    <n v="60167"/>
    <s v="INCIDENTE"/>
    <s v="BOLIVAR"/>
    <s v="MAGANGUE"/>
    <s v="BARRIO CENTRO MAGANGUE 7"/>
    <s v="REDEBAN"/>
    <s v="FO-25-1184999"/>
    <d v="2025-07-04T13:43:00"/>
    <d v="2025-07-05T08:40:01"/>
    <s v="NO"/>
    <s v="USUARIO"/>
    <s v="LECTOR DE BARRAS"/>
    <s v="CAPACITACION MANIPULACION DE COMERCIO"/>
    <s v="CB UNO A UNO"/>
    <m/>
    <s v="CERRADO"/>
    <s v="04-07 SE ESCALA PARA VISITA. LLAMAR ANTES DE VISITAR, CONFIRMAR FALLA Y DATOS_x000a_0_x000a_04-07 SE COMUNICA CON LA SRA BERTHA RANGEL VIA WHATSAPP +57 301 2344865, SE REALIZA PRIMEROS AUXILIOS, SE INDICA CONECTAR EL ESCÁNER CON EL DATÁFONO APAGADO Y LUEGO ENCENDER, SE REALIZA PRUEBA DE LECTURA DE CÓDIGOS DE BARRAS EXITOSAS. SE LE INFORMA QUE EL ESCÁNER DEBE PERMANECER CONECTADO AL DATÁFONO PARA QUE NO SE DESCONFIGURE. SE LE RECOMIENDA PEDIR PINPAD O MODIFICAR LA VENTANILLA PARA QUE EL CLIENTE PUEDA COLOCAR LA CLAVE SIN NECESIDAD DE DESCONECTAR EL ACCESORIO."/>
    <s v="SOPORTE_TELEFÓNICO"/>
    <n v="0"/>
    <s v="TIPO IV"/>
    <s v="TERRESTRE"/>
    <s v="SANTOS GUZMAN CHRISTIAN FELIPE"/>
    <n v="0"/>
    <n v="0"/>
    <n v="0"/>
    <n v="0"/>
    <n v="37904.65408"/>
    <n v="37904.65408"/>
  </r>
  <r>
    <s v="CALI"/>
    <x v="4"/>
    <x v="4"/>
    <n v="76001"/>
    <n v="2400348"/>
    <n v="60641"/>
    <s v="INCIDENTE"/>
    <s v="VALLE DEL CAUCA"/>
    <s v="CALI"/>
    <s v="DISTRICOL VARIEDADES MR PAP"/>
    <s v="REDEBAN"/>
    <s v="FO-25-1186932"/>
    <d v="2025-07-05T08:08:43"/>
    <d v="2025-07-05T13:02:15"/>
    <s v="NO"/>
    <s v="USUARIO"/>
    <s v="COMUNICACION"/>
    <s v="CONEXIONES DE COMERCIO"/>
    <s v="AGREGADOR"/>
    <m/>
    <s v="CERRADO"/>
    <s v="05-07 SE ESCALA PARA VISITA. LLAMAR ANTES DE VISITAR, CONFIRMAR FALLA Y DATOS_x000a_0_x000a_05-07 SE REALIZA LLAMADA AL CLIENTE Y SE VALIDA CONECTIVIDAD DEL SERVICIO, SE ENCUENTRA PROBLEMAS EN LA CONEXION DEL ROUTER , SE LE SOLICITA VALIDAR CABLEADO Y REINICIO DEL ROUTER, EL CLIENTE REALIZA LA LABOR Y SE PROCEDE A REALIZAR PRUEBAS EXITOSAS"/>
    <s v="SOPORTE_TELEFÓNICO"/>
    <n v="0"/>
    <s v="TIPO I"/>
    <s v="TERRESTRE"/>
    <s v="HENAO CARDONA DIEGO FERNANDO"/>
    <n v="0"/>
    <n v="0"/>
    <n v="0"/>
    <n v="0"/>
    <n v="37904.65408"/>
    <n v="37904.65408"/>
  </r>
  <r>
    <s v="YOPAL"/>
    <x v="1"/>
    <x v="1"/>
    <n v="85010"/>
    <n v="2394937"/>
    <n v="32216"/>
    <s v="INCIDENTE"/>
    <s v="CASANARE"/>
    <s v="AGUAZUL"/>
    <s v="DISTRICOL SUPER DROGAS CUSIANA"/>
    <s v="REDEBAN"/>
    <s v="FO-25-1182157"/>
    <d v="2025-07-04T08:36:00"/>
    <d v="2025-07-05T15:32:59"/>
    <s v="NO"/>
    <s v="USUARIO"/>
    <s v="COMUNICACION"/>
    <s v="CONEXIONES DE COMERCIO"/>
    <s v="AGREGADOR"/>
    <m/>
    <s v="CERRADO"/>
    <s v="04-07 SE ESCALA PARA VISITA. LLAMAR ANTES DE VISITAR, CONFIRMAR FALLA Y DATOS_x000a_0_x000a_05-07 EN COMUNICACIÓN CON LA SEÑORA LAURA SIERRA AL NUMERO 3108210002, SE REALIZAN PRUEBAS OK. OPERATIVO EL SERVICIO, LA FALLA PRESENTA CONEXIONES INTERNAS DEL COMERCIO. OPERATIVO EL SERVICIO"/>
    <s v="SOPORTE_TELEFÓNICO"/>
    <n v="0"/>
    <s v="TIPO II"/>
    <s v="TERRESTRE"/>
    <s v="BERNAL ELAICA EDGAR ALEXIS"/>
    <n v="0"/>
    <n v="0"/>
    <n v="0"/>
    <n v="0"/>
    <n v="37904.65408"/>
    <n v="37904.65408"/>
  </r>
  <r>
    <s v="YOPAL"/>
    <x v="1"/>
    <x v="1"/>
    <n v="85001"/>
    <n v="2400600"/>
    <n v="31229"/>
    <s v="INCIDENTE"/>
    <s v="CASANARE"/>
    <s v="YOPAL"/>
    <s v="BARRIO CORREGIMIENTO LA CHAPAR"/>
    <s v="REDEBAN"/>
    <s v="FO-25-1187490"/>
    <d v="2025-07-05T09:24:00"/>
    <d v="2025-07-05T15:35:03"/>
    <s v="NO"/>
    <s v="USUARIO"/>
    <s v="NO ENCIENDE"/>
    <s v="CONEXIONES DE COMERCIO"/>
    <s v="CB UNO A UNO"/>
    <m/>
    <s v="CERRADO"/>
    <s v="05-07 SE ESCALA PARA VISITA. LLAMAR ANTES DE VISITAR, CONFIRMAR FALLA Y DATOS_x000a_05/07/2025 EN COMUNICACIÓN CON LA SEÑORA ANDREA INDICA QUE POR HORARIO LABORAL ES HASTA LOS SABADOS HASTA LA 1:PM. NOS ATIENDE EN HORARIO HABIL EL LUNES._x000a_05-07 EN COMUNICACIÓN CON LA SEÑORA SARA REYES AL NUMERO 3132450829,  INDICA QUE SE ENCUENTRA OPERATIVO EL, LA FALLA ERA CONEXIONES INTERNAS DEL COMERCIO Y YA FUE RESUELTA. INDICA NO REQUIERE LA VISITA TÉCNICA"/>
    <s v="SOPORTE_TELEFÓNICO"/>
    <n v="0"/>
    <s v="TIPO I"/>
    <s v="TERRESTRE"/>
    <s v="BERNAL ELAICA EDGAR ALEXIS"/>
    <n v="0"/>
    <n v="0"/>
    <n v="0"/>
    <n v="0"/>
    <n v="37904.65408"/>
    <n v="37904.65408"/>
  </r>
  <r>
    <s v="MEDELLIN"/>
    <x v="2"/>
    <x v="2"/>
    <n v="5088"/>
    <n v="2401170"/>
    <n v="45042"/>
    <s v="INCIDENTE"/>
    <s v="ANTIOQUIA"/>
    <s v="BELLO"/>
    <s v="DISTRICOL PUNTA ROMA"/>
    <s v="REDEBAN"/>
    <s v="FO-25-1188734"/>
    <d v="2025-07-05T12:42:00"/>
    <d v="2025-07-07T11:41:59"/>
    <s v="NO"/>
    <s v="USUARIO"/>
    <s v="COMUNICACION"/>
    <s v="CONEXIONES DE COMERCIO"/>
    <s v="AGREGADOR"/>
    <m/>
    <s v="CERRADO"/>
    <s v="05-07 SE ESCALA PARA VISITA. LLAMAR ANTES DE VISITAR, CONFIRMAR FALLA Y DATOS_x000a_06/07/2025 CB INFORMA QUE NO ABRE LOS DÍAS DOMINGO, SE APLAZA VISITA_x000a_07-07 SE COMUNICA CON EL USUARIO PARA CONFIRMAR LA VISITA E INDICA QUE YA SE TIENE CONEXIÓN AL EQUIPO ERA UN PROBLEMA DEL PROVEEDOR DE INTERNET DEL USUARIO. SERVICIO OPERATIVO"/>
    <s v="SOPORTE_TELEFÓNICO"/>
    <n v="0"/>
    <s v="TIPO I"/>
    <s v="TERRESTRE"/>
    <s v="ZAPATA LOPEZ EDWARD ASDRUBAL"/>
    <n v="0"/>
    <n v="0"/>
    <n v="0"/>
    <n v="0"/>
    <n v="37904.65408"/>
    <n v="37904.65408"/>
  </r>
  <r>
    <s v="TUNJA"/>
    <x v="0"/>
    <x v="0"/>
    <n v="15001"/>
    <n v="2404260"/>
    <n v="79424"/>
    <s v="INCIDENTE"/>
    <s v="BOYACA"/>
    <s v="TUNJA"/>
    <s v="BARRIO CENTRO TUNJA 31"/>
    <s v="REDEBAN"/>
    <s v="FO-25-1192751"/>
    <d v="2025-07-07T09:30:00"/>
    <d v="2025-07-07T12:07:18"/>
    <s v="NO"/>
    <s v="USUARIO"/>
    <s v="CIERRE"/>
    <s v="COMERCIO NO REALIZA CIERRE"/>
    <s v="CB UNO A UNO"/>
    <m/>
    <s v="CERRADO"/>
    <s v="07-07 SE ESCALA PARA VISITA. LLAMAR ANTES DE VISITAR, CONFIRMAR FALLA Y DATOS_x000a_0_x000a_07-07 SE VISITA CB MANTENIMIENTO POS... CAPACITACIÓN CIERRE PARCIAL Y GENERAL PRUEBAS EXITOSAS"/>
    <s v="VISITA_TÉCNICA"/>
    <s v="10XZZ962"/>
    <s v="TIPO I"/>
    <s v="TERRESTRE"/>
    <s v="GONZALEZ GONZALEZ MARIO ALBERTO"/>
    <n v="1"/>
    <n v="0"/>
    <n v="0"/>
    <n v="0"/>
    <n v="65960.473639999997"/>
    <n v="65960.473639999997"/>
  </r>
  <r>
    <s v="BOGOTA"/>
    <x v="5"/>
    <x v="6"/>
    <n v="25843"/>
    <n v="2398472"/>
    <n v="71906"/>
    <s v="INCIDENTE"/>
    <s v="CUNDINAMARCA"/>
    <s v="VILLA DE SAN DIEGO DE UBATE"/>
    <s v="VILLA DE SAN DIEGO DE UBATE JU"/>
    <s v="REDEBAN"/>
    <s v="FO-25-1185761"/>
    <d v="2025-07-04T15:21:00"/>
    <d v="2025-07-07T12:45:36"/>
    <s v="NO"/>
    <s v="USUARIO"/>
    <s v="CIERRE"/>
    <s v="COMERCIO NO REALIZA CIERRE"/>
    <s v="CB UNO A UNO"/>
    <m/>
    <s v="CERRADO"/>
    <s v="04-07 SE ESCALA PARA VISITA. LLAMAR ANTES DE VISITAR, CONFIRMAR FALLA Y DATOS_x000a_05/07/2025 SE REALIZA CONTACTO CON LA SEÑORA JOHANA INDICANDO QUE ESTÁ DE VIAJE Y QUE NO PUEDE ATENDER EL DÍA DOMINGO DE IGUALMENTE POR PARTE DEL CALL CENTER QUE DOS DÍAS HÁBILES Y DESEA SER ATENDIDA EL DÍA LUNES_x000a_07-07 SE REALIZA BORRADO SO Y VERSIÓN OK SE ACTUALIZA SE CAPACITA AL COMERCIO EN COMO REALIZAR LOS CIERRES DE FORMA CORRECTA"/>
    <s v="VISITA_TÉCNICA"/>
    <s v="LN00M116"/>
    <s v="TIPO II"/>
    <s v="TERRESTRE"/>
    <s v="HERNANDEZ NARANJO OSCAR EDUARDO"/>
    <n v="1"/>
    <n v="0"/>
    <n v="0"/>
    <n v="0"/>
    <n v="163813.55812"/>
    <n v="163813.55812"/>
  </r>
  <r>
    <s v="SINCELEJO"/>
    <x v="3"/>
    <x v="3"/>
    <n v="70215"/>
    <n v="2401544"/>
    <n v="58268"/>
    <s v="INCIDENTE"/>
    <s v="SUCRE"/>
    <s v="COROZAL"/>
    <s v="DISTRICOL CERCATODO"/>
    <s v="REDEBAN"/>
    <s v="FO-25-1189573"/>
    <d v="2025-07-05T15:32:00"/>
    <d v="2025-07-07T12:51:11"/>
    <s v="NO"/>
    <s v="USUARIO"/>
    <s v="COMUNICACION"/>
    <s v="CONEXIONES DE COMERCIO"/>
    <s v="AGREGADOR"/>
    <m/>
    <s v="CERRADO"/>
    <s v="05-07 SE ESCALA PARA VISITA. LLAMAR ANTES DE VISITAR, CONFIRMAR FALLA Y DATOS_x000a_0_x000a_07-07 SE VISITA SITIO SE VERIFICA INFORMACIÓN SE REALIZA PRIMEROS AUXILIOS, LA FALLA CORRESPONDE AL CANAL DE COMERCIO, SE REALIZARON PRUEBAS EXITOSAS CON OTRO MÓDEM. EL CB SE ENCUENTRA FUNCIONANDO NORMALMENTE. TECLADO OK, IMPRESIÓN OK, LECTURA CHIP OK , ESCANEAR OK."/>
    <s v="VISITA_TÉCNICA"/>
    <s v="IKZZZ609"/>
    <s v="TIPO II"/>
    <s v="TERRESTRE"/>
    <s v="SANTOS GUZMAN CHRISTIAN FELIPE"/>
    <n v="1"/>
    <n v="0"/>
    <n v="0"/>
    <n v="0"/>
    <n v="163813.55812"/>
    <n v="163813.55812"/>
  </r>
  <r>
    <s v="MEDELLIN"/>
    <x v="2"/>
    <x v="2"/>
    <n v="5376"/>
    <n v="2404540"/>
    <n v="27550"/>
    <s v="INCIDENTE"/>
    <s v="ANTIOQUIA"/>
    <s v="LA CEJA"/>
    <s v="COMCARD LA CEJA VARIEDADES"/>
    <s v="REDEBAN"/>
    <s v="FO-25-1193106"/>
    <d v="2025-07-07T09:49:00"/>
    <d v="2025-07-07T14:13:45"/>
    <s v="NO"/>
    <s v="USUARIO"/>
    <s v="MANTENIMIENTO"/>
    <s v="MANTENIMIENTO GENERAL"/>
    <s v="AGREGADOR"/>
    <m/>
    <s v="CERRADO"/>
    <s v="07-07 SE ESCALA PARA VISITA. LLAMAR ANTES DE VISITAR, CONFIRMAR FALLA Y DATOS_x000a_0_x000a_07-07 SE REALIZA MANTENIMIENTO SE CONFIGURA DE NUEVO LA LECTORA"/>
    <s v="VISITA_TÉCNICA"/>
    <s v="99DZZ432"/>
    <s v="TIPO II"/>
    <s v="TERRESTRE"/>
    <s v="CERPA SUAREZ DUVAN CAMILO"/>
    <n v="1"/>
    <n v="0"/>
    <n v="0"/>
    <n v="0"/>
    <n v="163813.55812"/>
    <n v="163813.55812"/>
  </r>
  <r>
    <s v="NEIVA"/>
    <x v="1"/>
    <x v="1"/>
    <n v="18001"/>
    <n v="2395638"/>
    <n v="70552"/>
    <s v="INCIDENTE"/>
    <s v="CAQUETA"/>
    <s v="FLORENCIA"/>
    <s v="BARRIO ABBAS TURBAY FLORENICA"/>
    <s v="REDEBAN"/>
    <s v="FO-25-1183136"/>
    <d v="2025-07-04T09:33:00"/>
    <d v="2025-07-07T14:24:00"/>
    <s v="NO"/>
    <s v="USUARIO"/>
    <s v="CIERRE"/>
    <s v="COMERCIO NO REALIZA CIERRE"/>
    <s v="CB UNO A UNO"/>
    <m/>
    <s v="CERRADO"/>
    <s v="04-07 SE ESCALA PARA VISITA. LLAMAR ANTES DE VISITAR, CONFIRMAR FALLA Y DATOS_x000a_0_x000a_07-07 SE REALIZA BORRADO DE VERSIÓN SE INSTALA NUEVAMENTE, SE CONFIGURA PARÁMETROS SE INICIALIZA, SE REALIZA PRUEBAS CB OK SE DEJA OPERATIVO"/>
    <s v="VISITA_TÉCNICA"/>
    <s v="SV005490"/>
    <s v="TIPO IV"/>
    <s v="TERRESTRE"/>
    <s v="BERMUDEZ SANCHEZ JOSE NEYBER"/>
    <n v="1"/>
    <n v="0"/>
    <n v="0"/>
    <n v="0"/>
    <n v="479589.73656000005"/>
    <n v="479589.73656000005"/>
  </r>
  <r>
    <s v="VILLAVICENCIO"/>
    <x v="1"/>
    <x v="1"/>
    <n v="50568"/>
    <n v="2395867"/>
    <n v="51424"/>
    <s v="INCIDENTE"/>
    <s v="META"/>
    <s v="PUERTO GAITAN"/>
    <s v="BARRIO ZONA RURAL PUERTO GAITA"/>
    <s v="REDEBAN"/>
    <s v="FO-25-1183116"/>
    <d v="2025-07-04T10:01:00"/>
    <d v="2025-07-07T14:28:00"/>
    <s v="NO"/>
    <s v="USUARIO"/>
    <s v="NO ENCIENDE"/>
    <s v="CONEXIONES DE COMERCIO"/>
    <s v="CB UNO A UNO"/>
    <m/>
    <s v="CERRADO"/>
    <s v="04-07 SE INTENTA COMUNICACION CON CB AL NUMERO 3207684459 APAGADO, FAVOR LLAMAR LLAMAR ANTES DE VISITAR, CONFIRMAR FALLA Y DATOS_x000a_05/07/2025 POR HORARIO DE ATENCIÓN ABREN NUEVAMENTE HASTA EL DÍA LUNES. Y EL TRANSPORTE HACIA LA VEREDA DESDE PUERTO GAITAN SALEN EN HORAS DETERMINADAS Y ESCASO._x000a_07-07 SE REALIZA VISITA A CB COMERCIO CERRADO SE REALIZA COMUNICACIÓN CON LA SEÑORA JHOANA 3207684459 QUIEN MANIFIESTA SERVICIO OPERATIVO SIN NOVEDADES"/>
    <s v="VISITA_TÉCNICA"/>
    <n v="0"/>
    <s v="TIPO III"/>
    <s v="TERRESTRE"/>
    <s v="CASTRILLON URREA LONDIER LEANDRO"/>
    <n v="1"/>
    <n v="0"/>
    <n v="0"/>
    <n v="0"/>
    <n v="275728.37943999999"/>
    <n v="275728.37943999999"/>
  </r>
  <r>
    <s v="CALI"/>
    <x v="4"/>
    <x v="4"/>
    <n v="19001"/>
    <n v="2405947"/>
    <n v="66891"/>
    <s v="INCIDENTE"/>
    <s v="CAUCA"/>
    <s v="POPAYAN"/>
    <s v="BARRIO CENTRO POPAYAN 25"/>
    <s v="REDEBAN"/>
    <s v="FO-25-1194218"/>
    <d v="2025-07-07T11:07:00"/>
    <d v="2025-07-07T15:29:00"/>
    <s v="NO"/>
    <s v="USUARIO"/>
    <s v="COMUNICACION"/>
    <s v="CONEXIONES DE COMERCIO"/>
    <s v="CB UNO A UNO"/>
    <m/>
    <s v="CERRADO"/>
    <s v="07-07 SE ESCALA PARA VISITA. LLAMAR ANTES DE VISITAR, CONFIRMAR FALLA Y DATOS_x000a_0_x000a_07-07 SE REALIZA VALIDACION TELEFONICA CON EL SEÑOR JOEL, SE ENCUENTRA QUE AL TRATAR DE REALIZAR UN CAMBIO TROCO LAS CONEXIONES DEL DATAFONO, SE LE EXPLICA LA MANERA CORRECTA DE CONEXION, EL CLIENTE LA REALIZA Y REALIZA PRUEBAS EXITOSAS DE SERVICIO"/>
    <s v="SOPORTE_TELEFÓNICO"/>
    <n v="0"/>
    <s v="TIPO III"/>
    <s v="TERRESTRE"/>
    <s v="HENAO CARDONA DIEGO FERNANDO"/>
    <n v="0"/>
    <n v="0"/>
    <n v="0"/>
    <n v="0"/>
    <n v="37904.65408"/>
    <n v="37904.65408"/>
  </r>
  <r>
    <s v="CALI"/>
    <x v="4"/>
    <x v="4"/>
    <n v="76109"/>
    <n v="2405077"/>
    <n v="67291"/>
    <s v="INCIDENTE"/>
    <s v="VALLE DEL CAUCA"/>
    <s v="BUENAVENTURA"/>
    <s v="BARRIO EL TRIUNFO BUENAVENTURA"/>
    <s v="REDEBAN"/>
    <s v="FO-25-1193344"/>
    <d v="2025-07-07T10:19:00"/>
    <d v="2025-07-07T15:50:00"/>
    <s v="NO"/>
    <s v="USUARIO"/>
    <s v="LECTOR DE BARRAS"/>
    <s v="CAPACITACION MANIPULACION DE COMERCIO"/>
    <s v="CB UNO A UNO"/>
    <m/>
    <s v="CERRADO"/>
    <s v="07-07 SE ESCALA PARA VISITA. LLAMAR ANTES DE VISITAR, CONFIRMAR FALLA Y DATOS_x000a_0_x000a_07-07 SE VALIDA CON LA SEÑORA NATALIA EL PROBLEMA DE FORMATO INVALIDO, INDICA QUE UNAS FACTURAS LE APARECEEN ASI, SE PROCEDE A VALIDAR CON UNA FACTURA DE CLARO PERO EL LECTOR LA LEE SIN PROBLEMA, SE LE PIDE VALIDAR CON UNAS FACTURAS DISTINTAS Y TAMBIEN SON LEIDAS, SE LE INDICA QUE VALIDE EL CONVENIO DE ESAS FACCTURAS YA QUE EL PROBLEMA NO ES EL EQUIPO SINO EL TIPO DE FACTURA QUE ESTA INTENTANDO PAGAR"/>
    <s v="SOPORTE_TELEFÓNICO"/>
    <n v="0"/>
    <s v="TIPO III"/>
    <s v="TERRESTRE"/>
    <s v="HENAO CARDONA DIEGO FERNANDO"/>
    <n v="0"/>
    <n v="0"/>
    <n v="0"/>
    <n v="0"/>
    <n v="37904.65408"/>
    <n v="37904.65408"/>
  </r>
  <r>
    <s v="MEDELLIN"/>
    <x v="2"/>
    <x v="2"/>
    <n v="5579"/>
    <n v="2394084"/>
    <n v="45592"/>
    <s v="INCIDENTE"/>
    <s v="ANTIOQUIA"/>
    <s v="PUERTO BERRIO"/>
    <s v="BARRIO EL HOYO PUERTO BERRIO"/>
    <s v="REDEBAN"/>
    <s v="FO-25-1181597"/>
    <d v="2025-07-04T08:00:00"/>
    <d v="2025-07-07T15:54:14"/>
    <s v="NO"/>
    <s v="USUARIO"/>
    <s v="MANTENIMIENTO"/>
    <s v="MANTENIMIENTO GENERAL"/>
    <s v="CB UNO A UNO"/>
    <m/>
    <s v="CERRADO"/>
    <s v="04-07 SE INTENTA COMUNICACION CON CB AL NUMERO 3117587992 APAGADO, FAVOR LLAMAR LLAMAR ANTES DE VISITAR, CONFIRMAR FALLA Y DATOS_x000a_0_x000a_07-07 PINPAD NO ENCIENDE YA QUE EL HUB ESTABA MAL CONECTADO, SE CONECTA Y QUEDA OPERATIVO"/>
    <s v="VISITA_TÉCNICA"/>
    <s v="AD000819"/>
    <s v="TIPO III"/>
    <s v="TERRESTRE"/>
    <s v="BADEL ACUÑA LUIS ALBERTO"/>
    <n v="1"/>
    <n v="0"/>
    <n v="0"/>
    <n v="0"/>
    <n v="275728.37943999999"/>
    <n v="275728.37943999999"/>
  </r>
  <r>
    <s v="BOGOTA"/>
    <x v="5"/>
    <x v="6"/>
    <n v="11001"/>
    <n v="2405769"/>
    <n v="45935"/>
    <s v="INCIDENTE"/>
    <s v="CUNDINAMARCA"/>
    <s v="BOGOTA"/>
    <s v="PTM BOGOTA TRIGOS CARNES LA GR"/>
    <s v="REDEBAN"/>
    <s v="FO-25-1194215"/>
    <d v="2025-07-07T11:06:00"/>
    <d v="2025-07-07T17:12:42"/>
    <s v="NO"/>
    <s v="USUARIO"/>
    <s v="USUARIOS"/>
    <s v="MALA MANIPULACION POS"/>
    <s v="AGREGADOR"/>
    <m/>
    <s v="CERRADO"/>
    <s v="07-07 SE ESCALA PARA VISITA. LLAMAR ANTES DE VISITAR, CONFIRMAR FALLA Y DATOS_x000a_0_x000a_07-07 SE REALIZA COMUNICACIÓN AL NÚMERO 3164115734 INDICANDO LA SEÑORA MARIANA CRUZ QUE SOLICITA CAMBIO DEL NOMBRE DE CB PERO SE LE INFORMA QUE NO SE PUEDE REALIZAR ESE CAMBIO YA QUE POR PARTE DE REDEBAN NO AUTORIZAN ,SOLO SE PUEDE MODIFICAR DATOS DE DIRECCIÓN CUANDO SOLICITAN TRASLADOS ,SE LE INFORMA AL CLIENTE Y INDICA NO NECESITAR VISITA"/>
    <s v="SOPORTE_TELEFÓNICO"/>
    <n v="0"/>
    <s v="TIPO I"/>
    <s v="TERRESTRE"/>
    <s v="GALINDO ROJAS LUIS FELIPE"/>
    <n v="0"/>
    <n v="0"/>
    <n v="0"/>
    <n v="0"/>
    <n v="37904.65408"/>
    <n v="37904.65408"/>
  </r>
  <r>
    <s v="CARTAGENA"/>
    <x v="3"/>
    <x v="3"/>
    <n v="13001"/>
    <n v="2405449"/>
    <n v="66684"/>
    <s v="INCIDENTE"/>
    <s v="BOLIVAR"/>
    <s v="CARTAGENA"/>
    <s v="PAGAFACIL RAMBLAS"/>
    <s v="REDEBAN"/>
    <s v="FO-25-1193793"/>
    <d v="2025-07-07T10:44:00"/>
    <d v="2025-07-07T17:35:31"/>
    <s v="NO"/>
    <s v="USUARIO"/>
    <s v="USUARIOS"/>
    <s v="USUARIOS BLOQUEADOS"/>
    <s v="ROBUSTO"/>
    <m/>
    <s v="CERRADO"/>
    <s v="07-07 SE ESCALA PARA VISITA. LLAMAR ANTES DE VISITAR, CONFIRMAR FALLA Y DATOS_x000a_0_x000a_07-07 SE BRINDA APOYO TELEFONO Y SE LE DAN INSTRUCCIONES DE COMO RESTABLECER EL USUARIO SUPERVISOR PARA PODER REALIZAR LOS DUPLICADOS , REALIZA PRUEBA Y TODO QUEDA OK"/>
    <s v="SOPORTE_TELEFÓNICO"/>
    <n v="0"/>
    <s v="TIPO I"/>
    <s v="TERRESTRE"/>
    <s v="MARTINEZ SALGUEDO ANDRES AUGUSTO"/>
    <n v="0"/>
    <n v="0"/>
    <n v="0"/>
    <n v="0"/>
    <n v="37904.65408"/>
    <n v="37904.65408"/>
  </r>
  <r>
    <s v="BOGOTA"/>
    <x v="5"/>
    <x v="6"/>
    <n v="25286"/>
    <n v="2404508"/>
    <n v="76006"/>
    <s v="INCIDENTE"/>
    <s v="CUNDINAMARCA"/>
    <s v="FUNZA"/>
    <s v="BARRIO LA CITA FUNZA 1"/>
    <s v="REDEBAN"/>
    <s v="FO-25-1193101"/>
    <d v="2025-07-07T09:42:00"/>
    <d v="2025-07-08T09:46:52"/>
    <s v="NO"/>
    <s v="ENTIDAD"/>
    <s v="ERROR DE TRANSACCIONES"/>
    <s v="CONVENIOS NO HABILITADOS"/>
    <s v="CB UNO A UNO"/>
    <m/>
    <s v="CERRADO"/>
    <s v="07-07 SE ESCALA PARA VISITA. LLAMAR ANTES DE VISITAR, CONFIRMAR FALLA Y DATOS_x000a_0_x000a_08-07 SE REALIZA VISITA AL COMERCIO PARA VALIDAR FUNCIONAMIENTO DE PAGO POR CONVENIO Y TODO OPERA CON TOTAL NORMALIDAD. SE REALIZAN PRUEBAS OK."/>
    <s v="VISITA_TÉCNICA"/>
    <s v="LM0BZ650"/>
    <s v="TIPO II"/>
    <s v="TERRESTRE"/>
    <s v="CORTES VELANDIA MIGUEL ANGEL"/>
    <n v="1"/>
    <n v="0"/>
    <n v="0"/>
    <n v="0"/>
    <n v="163813.55812"/>
    <n v="163813.55812"/>
  </r>
  <r>
    <s v="PEREIRA"/>
    <x v="4"/>
    <x v="5"/>
    <n v="63001"/>
    <n v="2410786"/>
    <n v="25343"/>
    <s v="INCIDENTE"/>
    <s v="QUINDIO"/>
    <s v="ARMENIA"/>
    <s v="ARA0086 CASA FOGATA"/>
    <s v="REDEBAN"/>
    <s v="FO-25-1198308"/>
    <d v="2025-07-08T08:19:00"/>
    <d v="2025-07-08T12:17:00"/>
    <s v="NO"/>
    <s v="USUARIO"/>
    <s v="MANTENIMIENTO"/>
    <s v="MANTENIMIENTO GENERAL"/>
    <s v="RETAIL"/>
    <m/>
    <s v="CERRADO"/>
    <s v="08-07 SE ESCALA CASO ARA A LA RED**8-07 TU SOLICITUD REFERENTE A GENERACIÓN DE CASOS CB ARA BANCOLOMBIA QUEDÓ RADICADA BAJO EL TICKET NÚMERO 5705463 AL ÁREA ENCARGADA._x000a_0_x000a_0"/>
    <s v="SOPORTE_TELEFÓNICO"/>
    <n v="0"/>
    <s v="TIPO II"/>
    <s v="TERRESTRE"/>
    <n v="0"/>
    <n v="0"/>
    <n v="0"/>
    <n v="0"/>
    <n v="0"/>
    <n v="37904.65408"/>
    <n v="37904.65408"/>
  </r>
  <r>
    <s v="CALI"/>
    <x v="4"/>
    <x v="4"/>
    <n v="76001"/>
    <n v="2412646"/>
    <n v="30980"/>
    <s v="INCIDENTE"/>
    <s v="VALLE DEL CAUCA"/>
    <s v="CALI"/>
    <s v="BARRIO SALOMIA CALI"/>
    <s v="REDEBAN"/>
    <s v="FO-25-1199771"/>
    <d v="2025-07-08T10:55:00"/>
    <d v="2025-07-08T13:29:19"/>
    <s v="NO"/>
    <s v="USUARIO"/>
    <s v="USUARIOS"/>
    <s v="USUARIOS BLOQUEADOS"/>
    <s v="CB UNO A UNO"/>
    <m/>
    <s v="CERRADO"/>
    <s v="08-07 SE ESCALA PARA VISITA. LLAMAR ANTES DE VISITAR, CONFIRMAR FALLA Y DATOS_x000a_0_x000a_08-07 SE HABLA CON EL CLIENTE QUIEN INDICA QUE AYER NO PUDO REALIZAR CIERRE POR QUE EL DATAFONO NO LE PERMITIA EL INGRESO CON EL USUARIO QUE TENIA , PERO QUE AHORA LLEGO LA COMPAÑERA Y A ELLA SI LE DEJO CON EL USUARIO DE ELLA, YA PUDIERON SOLUCIONAR"/>
    <s v="SOPORTE_TELEFÓNICO"/>
    <n v="0"/>
    <s v="TIPO I"/>
    <s v="TERRESTRE"/>
    <s v="HENAO CARDONA DIEGO FERNANDO"/>
    <n v="0"/>
    <n v="0"/>
    <n v="0"/>
    <n v="0"/>
    <n v="37904.65408"/>
    <n v="37904.65408"/>
  </r>
  <r>
    <s v="MANIZALES"/>
    <x v="4"/>
    <x v="5"/>
    <n v="17001"/>
    <n v="2409340"/>
    <n v="71098"/>
    <s v="INCIDENTE"/>
    <s v="CALDAS"/>
    <s v="MANIZALES"/>
    <s v="DISTRICOL DISTRIBUIDORA DE COS"/>
    <s v="REDEBAN"/>
    <s v="FO-25-1196510"/>
    <d v="2025-07-07T16:41:00"/>
    <d v="2025-07-08T14:45:16"/>
    <s v="NO"/>
    <s v="USUARIO"/>
    <s v="COMUNICACION"/>
    <s v="CONEXIONES DE COMERCIO"/>
    <s v="AGREGADOR"/>
    <m/>
    <s v="CERRADO"/>
    <s v="07-07 SE ESCALA PARA VISITA. LLAMAR ANTES DE VISITAR, CONFIRMAR FALLA Y DATOS_x000a_0_x000a_08-07 SE REALIZA VISITA EN LA CUAL USUARIO INDICA QUE EL SERVICIO SE ENCUENTRA EN BUEN ESTADO, TENIA PROBLEMAS CON SU CABLEADO DEL PROVEEDOR DE INTERNET YA QUE SE ENCONTRABAN PISADOS, INDICA QUE CAMBIARON EL CABLE Y LE FUNCIONA CORRECTAMENTE, SE HACEN PRUEBAS SERVICIO OK"/>
    <s v="VISITA_TÉCNICA"/>
    <s v="NN00B520"/>
    <s v="TIPO I"/>
    <s v="TERRESTRE"/>
    <s v="AGUIRRE HENAO RAUL EDUARDO"/>
    <n v="1"/>
    <n v="0"/>
    <n v="0"/>
    <n v="0"/>
    <n v="65960.473639999997"/>
    <n v="65960.473639999997"/>
  </r>
  <r>
    <s v="NEIVA"/>
    <x v="1"/>
    <x v="1"/>
    <n v="41551"/>
    <n v="2412473"/>
    <n v="42287"/>
    <s v="INCIDENTE"/>
    <s v="HUILA"/>
    <s v="PITALITO"/>
    <s v="BARRIO SOLARTE PITALITO"/>
    <s v="REDEBAN"/>
    <s v="FO-25-1199282"/>
    <d v="2025-07-08T10:35:00"/>
    <d v="2025-07-09T10:45:32"/>
    <s v="NO"/>
    <s v="USUARIO"/>
    <s v="COMUNICACION"/>
    <s v="CONEXIONES DE COMERCIO"/>
    <s v="CB UNO A UNO"/>
    <m/>
    <s v="CERRADO"/>
    <s v="08-07 SE ESCALA PARA VISITA. LLAMAR ANTES DE VISITAR, CONFIRMAR FALLA Y DATOS_x000a_0_x000a_09-07 SE REALIZA VISITA AL PUNTO, CLIENTE INDICA QUE EQUIPO SE ENCUENTRA FUNCIONANDO CON NORMALIDAD DESPUÉS DE QUÉ CONECTÓ TODO CORRECTAMENTE. CLIENTE INDICA QUE SE COMUNICO A LA LINEA EN LA MAÑANA PARA CANCELAR ORDEN . CB OPERATIVO PRUEBAS CB OK"/>
    <s v="VISITA_TÉCNICA"/>
    <s v="9B0NZ869"/>
    <s v="TIPO III"/>
    <s v="TERRESTRE"/>
    <s v="DEVIA REINOSO JUAN CARLOS"/>
    <n v="1"/>
    <n v="0"/>
    <n v="0"/>
    <n v="0"/>
    <n v="275728.37943999999"/>
    <n v="275728.37943999999"/>
  </r>
  <r>
    <s v="MEDELLIN"/>
    <x v="2"/>
    <x v="2"/>
    <n v="5001"/>
    <n v="2417367"/>
    <n v="54118"/>
    <s v="INCIDENTE"/>
    <s v="ANTIOQUIA"/>
    <s v="MEDELLIN"/>
    <s v="PTM MEDELLIN SUPER+"/>
    <s v="REDEBAN"/>
    <s v="FO-25-1203971"/>
    <d v="2025-07-09T08:13:00"/>
    <d v="2025-07-09T11:04:34"/>
    <s v="NO"/>
    <s v="USUARIO"/>
    <s v="MANTENIMIENTO"/>
    <s v="MANTENIMIENTO GENERAL"/>
    <s v="AGREGADOR"/>
    <m/>
    <s v="CERRADO"/>
    <s v="09-07 SE ESCALA PARA VISITA. LLAMAR ANTES DE VISITAR, CONFIRMAR FALLA Y DATOS_x000a_0_x000a_09-07 SE REALIZA CAMBIO DE ENSORTIJADO, TODO OK"/>
    <s v="VISITA_TÉCNICA"/>
    <s v="XP3ZZ010 - XP3ZZ645"/>
    <s v="TIPO I"/>
    <s v="TERRESTRE"/>
    <s v="HERNANDEZ CHAVARRIA JUAN CAMILO"/>
    <n v="1"/>
    <n v="0"/>
    <n v="0"/>
    <n v="0"/>
    <n v="65960.473639999997"/>
    <n v="65960.473639999997"/>
  </r>
  <r>
    <s v="IBAGUE"/>
    <x v="1"/>
    <x v="1"/>
    <n v="17380"/>
    <n v="2418361"/>
    <n v="75392"/>
    <s v="INCIDENTE"/>
    <s v="CALDAS"/>
    <s v="LA DORADA"/>
    <s v="BARRIO CENTRO LA DORADA 12"/>
    <s v="REDEBAN"/>
    <s v="FO-25-1204614"/>
    <d v="2025-07-09T09:26:54"/>
    <d v="2025-07-09T11:11:39"/>
    <s v="NO"/>
    <s v="USUARIO"/>
    <s v="LECTOR DE BARRAS"/>
    <s v="CAPACITACION MANIPULACION DE COMERCIO"/>
    <s v="CB UNO A UNO"/>
    <m/>
    <s v="CERRADO"/>
    <s v="09-07 EN COMUNICACION CON LA SEÑORA NANCY HURTADO AL NUMERO 3116091744 INDICA QUE EL LECTOR DE BARRAS NO LEE LAS FACTURAS, ES INTERMITENTE, CONFIRMA DATOS, SE ESCALA PARA VISITA_x000a_0_x000a_09-07 SE HABLA CON LA SEÑORA NANCY HURTADO, AL NÚMERO DE TELÉFONO 3116091744, ME INDICA QUE EL LECTOR SIRVE Y QUE NO LEE ALGUNOS RECIBOS, LE INDICO QUE HAY UNOS RECIBOS QUE SI TIENEN CONVENIO CON BANCOLOMBIA Y OTROS NO, QUE CUANDO LO HAGA LA LECTURA DE BARRAS EN UN HOJA SEA IMPRESA A LÁSER, QUE CUANDO SEA DIGITAL LO HAGA CON LA ILUMINACIÓN DE CELULAR AL 100% Y QUE SE REFLEJE EL LÁSER EN LA PANTALLA DEL CELULAR AL RECEPTOR DEL LECTOR DE BARRAS. ME DICE QUE SOLO PASA CON ALGUNOS RECIBOS Y QUE EL LECTOR ESTÁ FUNCIONANDO. LA SEÑORA NANCY HURTADO, TERMINA LA LLAMADA RÁPIDO PORQUE ESTÁ ATENDIENDO EL CORRESPONSAL Y QUE CUALQUIER COSA ELLA VUELVE A LLAMAR Y QUE AGREDESE MIS INDICACIONES QUE NO SABÍA"/>
    <s v="SOPORTE_TELEFÓNICO"/>
    <n v="0"/>
    <s v="TIPO III"/>
    <s v="TERRESTRE"/>
    <s v="VARGAS HERRERA JHON JAIRO"/>
    <n v="0"/>
    <n v="0"/>
    <n v="0"/>
    <n v="0"/>
    <n v="37904.65408"/>
    <n v="37904.65408"/>
  </r>
  <r>
    <s v="CUCUTA"/>
    <x v="0"/>
    <x v="0"/>
    <n v="54498"/>
    <n v="2416306"/>
    <n v="60894"/>
    <s v="INCIDENTE"/>
    <s v="NORTE DE SANTANDER"/>
    <s v="OCAÑA"/>
    <s v="PTM OCANA GILU"/>
    <s v="REDEBAN"/>
    <s v="FO-25-1205715"/>
    <d v="2025-07-08T16:53:00"/>
    <d v="2025-07-09T11:29:00"/>
    <s v="NO"/>
    <s v="USUARIO"/>
    <s v="MANTENIMIENTO"/>
    <s v="MANTENIMIENTO GENERAL"/>
    <s v="AGREGADOR"/>
    <m/>
    <s v="CERRADO"/>
    <s v="08-07 SE SOLICITA AL SEÑOR CESAR AUGUSTO LA DENUNCIA REALIZADA EN LA FISCALIA**9-07 10:34 SE ESCALA CASO A LA RED **9-07 11:00 ESTE CASO LO ESTAMOS MANEJANDO COMO UN TRASLADO NO SE HABÍA REALIZADO PORQUE EL CLIENTE NO NOS HABÍA COMPARTIDO LA DENUNCIA DE LOS EQUIPOS HURTADOS. POR FAVOR PROCEDER CON LA REPOSICIÓN DE LOS EQUIPOS.PUEDES PROCEDER CON EL CIERRE DEL CASO PORQUE JULI YA LO ESTÁ MANEJANDO COMO TRASLADO._x000a_0_x000a_0"/>
    <s v="SOPORTE_TELEFÓNICO"/>
    <n v="0"/>
    <s v="TIPO IV"/>
    <s v="TERRESTRE"/>
    <n v="0"/>
    <n v="0"/>
    <n v="0"/>
    <n v="0"/>
    <n v="0"/>
    <n v="37904.65408"/>
    <n v="37904.65408"/>
  </r>
  <r>
    <s v="PEREIRA"/>
    <x v="4"/>
    <x v="5"/>
    <n v="76400"/>
    <n v="2416669"/>
    <n v="18445"/>
    <s v="INCIDENTE"/>
    <s v="VALLE DEL CAUCA"/>
    <s v="LA UNION"/>
    <s v="BARRIO CENTRO II LA UNION"/>
    <s v="REDEBAN"/>
    <s v="FO-25-1203198"/>
    <d v="2025-07-09T08:00:00"/>
    <d v="2025-07-09T12:13:21"/>
    <s v="NO"/>
    <s v="USUARIO"/>
    <s v="USUARIOS"/>
    <s v="USUARIOS BLOQUEADOS"/>
    <s v="CB UNO A UNO"/>
    <m/>
    <s v="CERRADO"/>
    <s v="09-07 SE ESCALA PARA VISITA. LLAMAR ANTES DE VISITAR, CONFIRMAR FALLA Y DATOS_x000a_0_x000a_09-07 SE LLAMA AL CLIENTE Y SE HABLA CON EL SEÑOR ARNOLD QUIEN INDICA QUE EL YA HABIA LLAMADO A CANCELAR LA VISITA POR QUE AL APRECER EL USUARIO ESTABA BLOQUEADO, PERO ESTA MAÑANA YA LE FUNCIONO, SE CIERRA CASO"/>
    <s v="SOPORTE_TELEFÓNICO"/>
    <n v="0"/>
    <s v="TIPO II"/>
    <s v="TERRESTRE"/>
    <s v="HENAO CARDONA DIEGO FERNANDO"/>
    <n v="0"/>
    <n v="0"/>
    <n v="0"/>
    <n v="0"/>
    <n v="37904.65408"/>
    <n v="37904.65408"/>
  </r>
  <r>
    <s v="MEDELLIN"/>
    <x v="2"/>
    <x v="2"/>
    <n v="5001"/>
    <n v="2416432"/>
    <n v="31833"/>
    <s v="INCIDENTE"/>
    <s v="ANTIOQUIA"/>
    <s v="MEDELLIN"/>
    <s v="BARRIO ROBLEDO PARQUE MEDELLIN"/>
    <s v="REDEBAN"/>
    <s v="FO-25-1202962"/>
    <d v="2025-07-08T17:25:00"/>
    <d v="2025-07-09T13:12:48"/>
    <s v="NO"/>
    <s v="USUARIO"/>
    <s v="COMUNICACION"/>
    <s v="CONEXIONES DE COMERCIO"/>
    <s v="CB UNO A UNO"/>
    <m/>
    <s v="CERRADO"/>
    <s v="08-07 SE ESCALA PARA VISITA. LLAMAR ANTES DE VISITAR, CONFIRMAR FALLA Y DATOS_x000a_0_x000a_09-07 SE REALIZA LA VALIDACIÓN DE LAS CONEXIONES SE VÁLIDA QUE EL SWITCH ESTABA DESCONECTADO Y SE HACEN PRUEBAS Y QUEDA OK"/>
    <s v="VISITA_TÉCNICA"/>
    <s v="9B00K137"/>
    <s v="TIPO I"/>
    <s v="TERRESTRE"/>
    <s v="MONTOYA VELEZ ANDRES FELIPE"/>
    <n v="1"/>
    <n v="0"/>
    <n v="0"/>
    <n v="0"/>
    <n v="65960.473639999997"/>
    <n v="65960.473639999997"/>
  </r>
  <r>
    <s v="MEDELLIN"/>
    <x v="2"/>
    <x v="2"/>
    <n v="5390"/>
    <n v="2412577"/>
    <n v="39390"/>
    <s v="INCIDENTE"/>
    <s v="ANTIOQUIA"/>
    <s v="LA PINTADA"/>
    <s v="BARRIO PARQUE LA PINTADA 1"/>
    <s v="REDEBAN"/>
    <s v="FO-25-1199750"/>
    <d v="2025-07-08T10:43:00"/>
    <d v="2025-07-09T13:46:43"/>
    <s v="NO"/>
    <s v="USUARIO"/>
    <s v="MANTENIMIENTO"/>
    <s v="MANTENIMIENTO GENERAL"/>
    <s v="CB UNO A UNO"/>
    <m/>
    <s v="CERRADO"/>
    <s v="08-07 SE ESCALA PARA VISITA. LLAMAR ANTES DE VISITAR, CONFIRMAR FALLA Y DATOS_x000a_0_x000a_09-07 SE REALIZA MANTENIMIENTO AL PIN PAD POR QUÉ NO LEE ALGUNAS TARJETAS"/>
    <s v="VISITA_TÉCNICA"/>
    <s v="AC007709"/>
    <s v="TIPO II"/>
    <s v="TERRESTRE"/>
    <s v="CERPA SUAREZ DUVAN CAMILO"/>
    <n v="1"/>
    <n v="0"/>
    <n v="0"/>
    <n v="0"/>
    <n v="163813.55812"/>
    <n v="163813.55812"/>
  </r>
  <r>
    <s v="BOGOTA"/>
    <x v="5"/>
    <x v="6"/>
    <n v="11001"/>
    <n v="2418733"/>
    <n v="79982"/>
    <s v="INCIDENTE"/>
    <s v="CUNDINAMARCA"/>
    <s v="BOGOTA"/>
    <s v="BARRIO LA MERCED NORTE BOGOTA"/>
    <s v="REDEBAN"/>
    <s v="FO-25-1204811"/>
    <d v="2025-07-09T09:54:00"/>
    <d v="2025-07-09T16:06:00"/>
    <s v="NO"/>
    <s v="ENTIDAD"/>
    <s v="ERROR DE TRANSACCIONES"/>
    <s v="CONVENIOS NO HABILITADOS"/>
    <s v="CB UNO A UNO"/>
    <m/>
    <s v="CERRADO"/>
    <s v="09-07 SE ESCALA PARA VISITA. LLAMAR ANTES DE VISITAR, CONFIRMAR FALLA Y DATOS_x000a_0_x000a_09-07 SE REALIZA VISITA A CB PARA ATENDER INCIDENTE SE REALIZA EXPLICACION DE COMO REALIZAR EL PAGO POR ENEL ,SE REALIZAN PRUEBAS OK"/>
    <s v="VISITA_TÉCNICA"/>
    <s v="SAXZZ557"/>
    <s v="TIPO I"/>
    <s v="TERRESTRE"/>
    <s v="GALINDO ROJAS LUIS FELIPE"/>
    <n v="1"/>
    <n v="0"/>
    <n v="0"/>
    <n v="0"/>
    <n v="65960.473639999997"/>
    <n v="65960.473639999997"/>
  </r>
  <r>
    <s v="PEREIRA"/>
    <x v="4"/>
    <x v="5"/>
    <n v="63001"/>
    <n v="2416422"/>
    <n v="44082"/>
    <s v="INCIDENTE"/>
    <s v="QUINDIO"/>
    <s v="ARMENIA"/>
    <s v="MULTIPAGAS INDEGA ARMENIA"/>
    <s v="REDEBAN"/>
    <s v="FO-25-1202958"/>
    <d v="2025-07-08T17:21:00"/>
    <d v="2025-07-09T16:24:29"/>
    <s v="NO"/>
    <s v="USUARIO"/>
    <s v="MANTENIMIENTO"/>
    <s v="MANTENIMIENTO GENERAL"/>
    <s v="ROBUSTO"/>
    <m/>
    <s v="CERRADO"/>
    <s v="08-07 SE ESCALA PARA VISITA. LLAMAR ANTES DE VISITAR, CONFIRMAR FALLA Y DATOS_x000a_0_x000a_09-07 SE VISITA COMERCIO SE REALIZÓ VERIFICACIÓN DE DATAFONO Y CABLEADO, SE REALIZÓ PRUEBAS OK."/>
    <s v="VISITA_TÉCNICA"/>
    <s v="9B00G010"/>
    <s v="TIPO II"/>
    <s v="TERRESTRE"/>
    <s v="SANCHEZ SOLORZANO JUAN SEBASTIAN"/>
    <n v="1"/>
    <n v="0"/>
    <n v="0"/>
    <n v="0"/>
    <n v="163813.55812"/>
    <n v="163813.55812"/>
  </r>
  <r>
    <s v="MANIZALES"/>
    <x v="4"/>
    <x v="5"/>
    <n v="17873"/>
    <n v="2418722"/>
    <n v="42699"/>
    <s v="INCIDENTE"/>
    <s v="CALDAS"/>
    <s v="VILLAMARIA"/>
    <s v="MULTIPAGAS VILLAMARIA"/>
    <s v="REDEBAN"/>
    <s v="FO-25-1204822"/>
    <d v="2025-07-09T09:52:00"/>
    <d v="2025-07-09T17:01:46"/>
    <s v="NO"/>
    <s v="USUARIO"/>
    <s v="NO ENCIENDE"/>
    <s v="CONEXIONES DE COMERCIO"/>
    <s v="ROBUSTO"/>
    <m/>
    <s v="CERRADO"/>
    <s v="09-07 SE ESCALA PARA VISITA. LLAMAR ANTES DE VISITAR, CONFIRMAR FALLA Y DATOS_x000a_0_x000a_09-07 SE REALIZA VISITA CLIENTE INDICA QUE YA SE ENCUENTRA EN BUEN ESTADO Y NO SE LE REINICIA SERVICIO OK"/>
    <s v="VISITA_TÉCNICA"/>
    <s v="9A7ZZ943"/>
    <s v="TIPO I"/>
    <s v="TERRESTRE"/>
    <s v="AGUIRRE HENAO RAUL EDUARDO"/>
    <n v="1"/>
    <n v="0"/>
    <n v="0"/>
    <n v="0"/>
    <n v="65960.473639999997"/>
    <n v="65960.473639999997"/>
  </r>
  <r>
    <s v="BARRANQUILLA"/>
    <x v="3"/>
    <x v="3"/>
    <n v="8001"/>
    <n v="2422146"/>
    <n v="25233"/>
    <s v="INCIDENTE"/>
    <s v="ATLANTICO"/>
    <s v="BARRANQUILLA"/>
    <s v="ARA0120 BQUILLA VILLA SAN PEDR"/>
    <s v="REDEBAN"/>
    <s v="FO-25-1207971"/>
    <d v="2025-07-09T15:21:00"/>
    <d v="2025-07-09T17:15:00"/>
    <s v="NO"/>
    <s v="USUARIO"/>
    <s v="MANTENIMIENTO"/>
    <s v="MANTENIMIENTO GENERAL"/>
    <s v="RETAIL"/>
    <m/>
    <s v="CERRADO"/>
    <s v="09-07 15:33 SE ESCALA CASO ARA A LA RED** 09-07 17:03 TU SOLICITUD REFERENTE A “GENERACIÓN DE CASOS CB ARA BANCOLOMBIA INC  2422146 CB 25233 “  QUEDÓ RADICADA BAJO EL TICKET NÚMERO 5708679 AL ÁREA ENCARGADA. PRONTO TE DARÁN RESPUESTA._x000a_0_x000a_0"/>
    <s v="SOPORTE_TELEFÓNICO"/>
    <n v="0"/>
    <s v="TIPO I"/>
    <s v="TERRESTRE"/>
    <s v="GARCIA CHAVARRIA TATIANA EDELMIRA"/>
    <n v="0"/>
    <n v="0"/>
    <n v="0"/>
    <n v="0"/>
    <n v="37904.65408"/>
    <n v="37904.65408"/>
  </r>
  <r>
    <s v="VILLAVICENCIO"/>
    <x v="1"/>
    <x v="1"/>
    <n v="95001"/>
    <n v="2421437"/>
    <n v="70956"/>
    <s v="INCIDENTE"/>
    <s v="GUAVIARE"/>
    <s v="SAN JOSE DEL GUAVIARE"/>
    <s v="BARRIO LA ESPERANZA SAN JOSE D"/>
    <s v="REDEBAN"/>
    <s v="FO-25-1207554"/>
    <d v="2025-07-09T14:19:00"/>
    <d v="2025-07-10T11:37:00"/>
    <s v="NO"/>
    <s v="ENTIDAD"/>
    <s v="ERROR DE TRANSACCIONES"/>
    <s v="TRANSACCION NO PERMITIDA"/>
    <s v="CB UNO A UNO"/>
    <m/>
    <s v="CERRADO"/>
    <s v="09-07 SE ESCALA PARA VISITA. LLAMAR ANTES DE VISITAR, CONFIRMAR FALLA Y DATOS_x000a_0_x000a_10-07 SE  REALIZA INICIALIZACION POR ERROR EN PARÁMETROS, PRUEBAS OK"/>
    <s v="VISITA_TÉCNICA"/>
    <s v="LN00D291"/>
    <s v="TIPO IV"/>
    <s v="TERRESTRE"/>
    <s v="PEDREROS CONTRERAS MICHAEL STEVENS"/>
    <n v="1"/>
    <n v="0"/>
    <n v="0"/>
    <n v="0"/>
    <n v="479589.73656000005"/>
    <n v="479589.73656000005"/>
  </r>
  <r>
    <s v="CALI"/>
    <x v="4"/>
    <x v="4"/>
    <n v="19548"/>
    <n v="2409968"/>
    <n v="57115"/>
    <s v="INCIDENTE"/>
    <s v="CAUCA"/>
    <s v="PIENDAMO"/>
    <s v="BARRIO LUZ DEL PARAISO PIENDAM"/>
    <s v="REDEBAN"/>
    <s v="FO-25-1197333"/>
    <d v="2025-07-08T08:00:00"/>
    <d v="2025-07-10T11:38:07"/>
    <s v="NO"/>
    <s v="USUARIO"/>
    <s v="CIERRE"/>
    <s v="COMERCIO NO REALIZA CIERRE"/>
    <s v="CB UNO A UNO"/>
    <m/>
    <s v="CERRADO"/>
    <s v="08-07 SE ESCALA PARA VISITA. LLAMAR ANTES DE VISITAR, CONFIRMAR FALLA Y DATOS_x000a_0_x000a_10-07 SE REALIZA VALIDACION CON EL CLIENTE EL CUAL PRESENTA NOVEDAD CON EL CIERRE GENERAL QUE LE SALE DE DIAS ANTERIORES, INDICA QUE LLAMA A LA LINEA Y LE REALIZAN BORRADO DE MEMORIA PERO A LOS DIAS VUELVE A PASAR, SE VALIDA COMO EL CLIENTE ESTA REALIZANDO LOS CIERRES, Y SE ENCIENTRA QUE NO ESTA REALIZANDO EL CIERRE GENERAL CORRECTAMENTE, SE LE EXPLICA QUE AL TERMINAR EL CIERRE GENERAL DEBE CONFIRMAR CON LA TECLA VERDE PARA QUE EN LA PANTALLA DEL DATAOFNO LE SALGA EL MENSAJE CIERRE EXITOSO Y CON ESTE PROCESO YA EL DATAFOONO ELIMINA LAS TRANSACCIONES AUTOMATICAMENTE."/>
    <s v="SOPORTE_TELEFÓNICO"/>
    <n v="0"/>
    <s v="TIPO III"/>
    <s v="TERRESTRE"/>
    <s v="HENAO CARDONA DIEGO FERNANDO"/>
    <n v="0"/>
    <n v="0"/>
    <n v="0"/>
    <n v="0"/>
    <n v="37904.65408"/>
    <n v="37904.65408"/>
  </r>
  <r>
    <s v="PEREIRA"/>
    <x v="4"/>
    <x v="5"/>
    <n v="66001"/>
    <n v="2423263"/>
    <n v="70026"/>
    <s v="INCIDENTE"/>
    <s v="RISARALDA"/>
    <s v="PEREIRA"/>
    <s v="REDY PEREIRA"/>
    <s v="REDEBAN"/>
    <s v="FO-25-1208547"/>
    <d v="2025-07-09T16:51:00"/>
    <d v="2025-07-10T12:08:00"/>
    <s v="NO"/>
    <s v="USUARIO"/>
    <s v="NO ENCIENDE"/>
    <s v="CONEXIONES DE COMERCIO"/>
    <s v="ROBUSTO"/>
    <m/>
    <s v="CERRADO"/>
    <s v="09-07 SE ESCALA PARA VISITA. LLAMAR ANTES DE VISITAR, CONFIRMAR FALLA Y DATOS_x000a_0_x000a_10-07 VISITAMOS COMERCIO EL DATÁFONO YA NO PRESENTA LA FALLA EL DÍA ANTERIOR NO PRENDIA  PERO LO DEJARON DESCONECTADO POR UN RATO LUEGO LO CONECTARON NUEVAMENTE Y EL DATÁFONO PREDIO NORMAL Y DESDE ENTONCES ESTA FUNCIONANDO SIN NOVEDAD SE REALIZARON PRUEBAS OK."/>
    <s v="VISITA_TÉCNICA"/>
    <s v="UV002107"/>
    <s v="TIPO I"/>
    <s v="TERRESTRE"/>
    <s v="ARROYAVE CANO MANUEL GUILLERMO"/>
    <n v="1"/>
    <n v="0"/>
    <n v="0"/>
    <n v="0"/>
    <n v="65960.473639999997"/>
    <n v="65960.473639999997"/>
  </r>
  <r>
    <s v="VALLEDUPAR"/>
    <x v="3"/>
    <x v="3"/>
    <n v="13473"/>
    <n v="2387153"/>
    <n v="36229"/>
    <s v="INCIDENTE"/>
    <s v="BOLIVAR"/>
    <s v="MORALES"/>
    <s v="BARRIO CENTRO MORALES"/>
    <s v="REDEBAN"/>
    <s v="FO-25-1175681"/>
    <d v="2025-07-02T17:47:49"/>
    <d v="2025-07-10T12:14:52"/>
    <s v="NO"/>
    <s v="USUARIO"/>
    <s v="LECTOR DE BARRAS"/>
    <s v="ERROR PAGOS PARCIALES DE FACTURAS"/>
    <s v="CB UNO A UNO"/>
    <m/>
    <s v="CERRADO"/>
    <s v="02-07 SE ESCALA PARA VISITA. LLAMAR ANTES DE VISITAR, CONFIRMAR FALLA Y DATOS .. SE VALIDA CON EL COORDINADOR UNA POSIBLE FECHA DE ATENCION ..10-07 POSIBLE FECHA DE ATENCION EL DIA 11-07_x000a_0_x000a_10-07 EN COMUNICACIÓN CON LA SEÑORA EIMY AL. MÓVIL 3004423348, INDICA QUE ESTABA PRESENTANDO FALLAS PARA REALZAR LOS. PAGOS DE LOS &quot;CÓDIGOS DE BARRAS DE LA EMPRESA CENTRALES, PERO INFORMA QUE YA SE RESTABLECIÓ EL SERVICIO DESDE EL DÍA DE AYER Y A PODIDO PAGAR ESTOS RECIBOS, INDICA QUE LA FALLA ERA DE LA EMPRESA CENTRALES, INDICA QUE YA REQUIERE DE LA VISITA TÉCNICA, SE LE INFORMA QUE SI LLEGA A PRESENTAR UNA NUEVA NOVEDAD DEBERÁ SOLICITAR LA VISITA, CLIENTE ACEPTA."/>
    <s v="SOPORTE_TELEFÓNICO"/>
    <n v="0"/>
    <s v="TIPO IV"/>
    <s v="TERRESTRE"/>
    <s v="SANTOS GONZALEZ JOHAN FABIAN"/>
    <n v="0"/>
    <n v="0"/>
    <n v="0"/>
    <n v="0"/>
    <n v="37904.65408"/>
    <n v="37904.65408"/>
  </r>
  <r>
    <s v="MEDELLIN"/>
    <x v="2"/>
    <x v="2"/>
    <n v="5001"/>
    <n v="2425156"/>
    <n v="41259"/>
    <s v="INCIDENTE"/>
    <s v="ANTIOQUIA"/>
    <s v="MEDELLIN"/>
    <s v="PTM MEDELLIN MONTESSORI"/>
    <s v="REDEBAN"/>
    <s v="FO-25-1210052"/>
    <d v="2025-07-10T09:00:00"/>
    <d v="2025-07-10T12:49:00"/>
    <s v="NO"/>
    <s v="USUARIO"/>
    <s v="COMUNICACION"/>
    <s v="CONEXIONES DE COMERCIO"/>
    <s v="AGREGADOR"/>
    <m/>
    <s v="CERRADO"/>
    <s v="10-07 SE ESCALA PARA VISITA. LLAMAR ANTES DE VISITAR, CONFIRMAR FALLA Y DATOS_x000a_0_x000a_10-07 CONEXIONES DE COMERCIO FALLANDO"/>
    <s v="VISITA_TÉCNICA"/>
    <s v="11HZZ255 - AA0QZ372"/>
    <s v="TIPO I"/>
    <s v="TERRESTRE"/>
    <s v="MORENO MEDINA JUAN PABLO"/>
    <n v="1"/>
    <n v="0"/>
    <n v="0"/>
    <n v="0"/>
    <n v="65960.473639999997"/>
    <n v="65960.473639999997"/>
  </r>
  <r>
    <s v="MEDELLIN"/>
    <x v="2"/>
    <x v="2"/>
    <n v="5001"/>
    <n v="2425924"/>
    <n v="16829"/>
    <s v="INCIDENTE"/>
    <s v="ANTIOQUIA"/>
    <s v="MEDELLIN"/>
    <s v="PAGAFACIL BARRIO TRISTE"/>
    <s v="REDEBAN"/>
    <s v="FO-25-1210424"/>
    <d v="2025-07-10T09:50:00"/>
    <d v="2025-07-10T15:50:13"/>
    <s v="NO"/>
    <s v="USUARIO"/>
    <s v="COMUNICACION"/>
    <s v="CONEXIONES DE COMERCIO"/>
    <s v="ROBUSTO"/>
    <m/>
    <s v="CERRADO"/>
    <s v="10-07 SE ESCALA PARA VISITA. LLAMAR ANTES DE VISITAR, CONFIRMAR FALLA Y DATOS_x000a_0_x000a_10-07 SE REALIZA REVISIÓN DE CONEXIONES, EQUIPO OK, INTERMITENCIAS DE PARTE DE CONEXIONES DE COMERCIO"/>
    <s v="VISITA_TÉCNICA"/>
    <s v="JFZZZ772"/>
    <s v="TIPO I"/>
    <s v="TERRESTRE"/>
    <s v="QUINTERO SANCHEZ JUAN SEBASTIAN"/>
    <n v="1"/>
    <n v="0"/>
    <n v="0"/>
    <n v="0"/>
    <n v="65960.473639999997"/>
    <n v="65960.473639999997"/>
  </r>
  <r>
    <s v="NEIVA"/>
    <x v="1"/>
    <x v="1"/>
    <n v="41001"/>
    <n v="2427258"/>
    <n v="36089"/>
    <s v="INCIDENTE"/>
    <s v="HUILA"/>
    <s v="NEIVA"/>
    <s v="BARRIO CENTRO NEIVA 9"/>
    <s v="REDEBAN"/>
    <s v="FO-25-1211590"/>
    <d v="2025-07-10T11:31:00"/>
    <d v="2025-07-10T15:53:07"/>
    <s v="NO"/>
    <s v="USUARIO"/>
    <s v="COMUNICACION"/>
    <s v="CONEXIONES DE COMERCIO"/>
    <s v="CB UNO A UNO"/>
    <m/>
    <s v="CERRADO"/>
    <s v="10-07 SE ESCALA PARA VISITA. LLAMAR ANTES DE VISITAR, CONFIRMAR FALLA Y DATOS_x000a_0_x000a_10-07 SE REALIZA CAMBIO CABLE UTP, SE CALIDAD FUNCIONAMIENTO OK"/>
    <s v="VISITA_TÉCNICA"/>
    <s v="AB008650"/>
    <s v="TIPO I"/>
    <s v="TERRESTRE"/>
    <s v="ANDRADE HERNANDEZ JUAN CARLOS"/>
    <n v="1"/>
    <n v="0"/>
    <n v="0"/>
    <n v="0"/>
    <n v="65960.473639999997"/>
    <n v="65960.473639999997"/>
  </r>
  <r>
    <s v="MEDELLIN"/>
    <x v="2"/>
    <x v="2"/>
    <n v="5380"/>
    <n v="2424517"/>
    <n v="24599"/>
    <s v="INCIDENTE"/>
    <s v="ANTIOQUIA"/>
    <s v="LA ESTRELLA"/>
    <s v="REDY LA ESTRELLA"/>
    <s v="REDEBAN"/>
    <s v="FO-25-1209335"/>
    <d v="2025-07-10T08:00:00"/>
    <d v="2025-07-10T16:44:19"/>
    <s v="NO"/>
    <s v="USUARIO"/>
    <s v="COMUNICACION"/>
    <s v="CONEXIONES DE COMERCIO"/>
    <s v="ROBUSTO"/>
    <m/>
    <s v="CERRADO"/>
    <s v="10-07 SE ESCALA PARA VISITA. LLAMAR ANTES DE VISITAR, CONFIRMAR FALLA Y DATOS_x000a_0_x000a_10-07 SE HACE MANTENIMIENTO DE EQUIPO Y CABLEADO"/>
    <s v="VISITA_TÉCNICA"/>
    <s v="ABCOZ295"/>
    <s v="TIPO I"/>
    <s v="TERRESTRE"/>
    <s v="MORENO MEDINA JUAN PABLO"/>
    <n v="1"/>
    <n v="0"/>
    <n v="0"/>
    <n v="0"/>
    <n v="65960.473639999997"/>
    <n v="65960.473639999997"/>
  </r>
  <r>
    <s v="MEDELLIN"/>
    <x v="2"/>
    <x v="2"/>
    <n v="5088"/>
    <n v="2426718"/>
    <n v="38647"/>
    <s v="INCIDENTE"/>
    <s v="ANTIOQUIA"/>
    <s v="BELLO"/>
    <s v="BARRIO GIRASOLES BELLO"/>
    <s v="REDEBAN"/>
    <s v="FO-25-1211595"/>
    <d v="2025-07-10T10:50:00"/>
    <d v="2025-07-11T09:37:29"/>
    <s v="NO"/>
    <s v="USUARIO"/>
    <s v="LECTOR DE TARJETAS"/>
    <s v="OBSTRUCCION DEL LECTOR"/>
    <s v="CB UNO A UNO"/>
    <m/>
    <s v="CERRADO"/>
    <s v="10-07 SE ESCALA PARA VISITA. LLAMAR ANTES DE VISITAR, CONFIRMAR FALLA Y DATOS_x000a_0_x000a_11-07 SE REALIZA MANTENIMIENTO GENERAL"/>
    <s v="VISITA_TÉCNICA"/>
    <s v="GZ00Z193"/>
    <s v="TIPO I"/>
    <s v="TERRESTRE"/>
    <s v="HERNANDEZ CHAVARRIA JUAN CAMILO"/>
    <n v="1"/>
    <n v="0"/>
    <n v="0"/>
    <n v="0"/>
    <n v="65960.473639999997"/>
    <n v="65960.473639999997"/>
  </r>
  <r>
    <s v="MEDELLIN"/>
    <x v="2"/>
    <x v="2"/>
    <n v="5001"/>
    <n v="2428955"/>
    <n v="68694"/>
    <s v="INCIDENTE"/>
    <s v="ANTIOQUIA"/>
    <s v="MEDELLIN"/>
    <s v="PTM MEDELLIN MERCADOS BIBI"/>
    <s v="REDEBAN"/>
    <s v="FO-25-1213968"/>
    <d v="2025-07-10T14:59:00"/>
    <d v="2025-07-11T10:38:05"/>
    <s v="NO"/>
    <s v="USUARIO"/>
    <s v="MANTENIMIENTO"/>
    <s v="MANTENIMIENTO GENERAL"/>
    <s v="AGREGADOR"/>
    <m/>
    <s v="CERRADO"/>
    <s v="10-07 SE ESCALA PARA VISITA. LLAMAR ANTES DE VISITAR, CONFIRMAR FALLA Y DATOS_x000a_0_x000a_11-07 SE REALIZA MANTENIMIENTO AL EQUIPO Y SE VERIFICA CONEXIÓN Y SE CAMBIA CABLE ENTORCHADO TODO OK"/>
    <s v="VISITA_TÉCNICA"/>
    <s v="9L0UZ948-9L0VZ097"/>
    <s v="TIPO I"/>
    <s v="TERRESTRE"/>
    <s v="CERPA SUAREZ DUVAN CAMILO"/>
    <n v="1"/>
    <n v="0"/>
    <n v="0"/>
    <n v="0"/>
    <n v="65960.473639999997"/>
    <n v="65960.473639999997"/>
  </r>
  <r>
    <s v="MEDELLIN"/>
    <x v="2"/>
    <x v="2"/>
    <n v="5001"/>
    <n v="2427593"/>
    <n v="30042"/>
    <s v="INCIDENTE"/>
    <s v="ANTIOQUIA"/>
    <s v="MEDELLIN"/>
    <s v="COMCARD MED RED ASUMOTOS"/>
    <s v="REDEBAN"/>
    <s v="FO-25-1212780"/>
    <d v="2025-07-10T12:08:00"/>
    <d v="2025-07-11T10:46:54"/>
    <s v="NO"/>
    <s v="USUARIO"/>
    <s v="MANTENIMIENTO"/>
    <s v="MANTENIMIENTO GENERAL"/>
    <s v="AGREGADOR"/>
    <m/>
    <s v="CERRADO"/>
    <s v="10-07 SE ESCALA PARA VISITA. LLAMAR ANTES DE VISITAR, CONFIRMAR FALLA Y DATOS_x000a_0_x000a_11-07 SE REALIZA VERIFICACIÓN DE IMPRESION CON PRUEBAS TODO OK"/>
    <s v="VISITA_TÉCNICA"/>
    <s v="BBQZZ204"/>
    <s v="TIPO I"/>
    <s v="TERRESTRE"/>
    <s v="HERNANDEZ CHAVARRIA JUAN CAMILO"/>
    <n v="1"/>
    <n v="0"/>
    <n v="0"/>
    <n v="0"/>
    <n v="65960.473639999997"/>
    <n v="65960.473639999997"/>
  </r>
  <r>
    <s v="TUNJA"/>
    <x v="0"/>
    <x v="0"/>
    <n v="15632"/>
    <n v="2427750"/>
    <n v="68265"/>
    <s v="INCIDENTE"/>
    <s v="BOYACA"/>
    <s v="SABOYA"/>
    <s v="CENTRO SABOYA BOYACA"/>
    <s v="REDEBAN"/>
    <s v="FO-25-1212767"/>
    <d v="2025-07-10T12:37:00"/>
    <d v="2025-07-11T11:54:07"/>
    <s v="NO"/>
    <s v="USUARIO"/>
    <s v="COMUNICACION"/>
    <s v="CANAL DEL COMERCIO"/>
    <s v="CB UNO A UNO"/>
    <m/>
    <s v="CERRADO"/>
    <s v="10-07 SE ESCALA PARA VISITA. LLAMAR ANTES DE VISITAR, CONFIRMAR FALLA Y DATOS_x000a_0_x000a_11-07 EN COMUNICACIÓN CON LA LÍNEA LA SEÑORA YANETH RDORIGUEZ INDICA QUE EL SERVICIO ESTÁ FUNCIONANDO PERFECTAMENTE Y QUE NO REQUIERE VISITA, INFORMA QUE TUBO UNA FALLA DE COMUNICACIÓN PERO QUE YA ESTÁ RESUELTA. SOPORTE TELEFONICO"/>
    <s v="SOPORTE_TELEFÓNICO"/>
    <n v="0"/>
    <s v="TIPO II"/>
    <s v="TERRESTRE"/>
    <s v="HERRERA GARZON JEYSON STEVENT"/>
    <n v="0"/>
    <n v="0"/>
    <n v="0"/>
    <n v="0"/>
    <n v="37904.65408"/>
    <n v="37904.65408"/>
  </r>
  <r>
    <s v="MEDELLIN"/>
    <x v="2"/>
    <x v="2"/>
    <n v="5360"/>
    <n v="2427961"/>
    <n v="47476"/>
    <s v="INCIDENTE"/>
    <s v="ANTIOQUIA"/>
    <s v="ITAGUI"/>
    <s v="DISTRICOL RINCON DEL PELUQUERO"/>
    <s v="REDEBAN"/>
    <s v="FO-25-1213087"/>
    <d v="2025-07-10T13:10:00"/>
    <d v="2025-07-11T12:06:35"/>
    <s v="NO"/>
    <s v="USUARIO"/>
    <s v="COMUNICACION"/>
    <s v="CONEXIONES DE COMERCIO"/>
    <s v="AGREGADOR"/>
    <m/>
    <s v="CERRADO"/>
    <s v="10-07 SE ESCALA PARA VISITA. LLAMAR ANTES DE VISITAR, CONFIRMAR FALLA Y DATOS_x000a_0_x000a_11-07 SE HACE MANTENIMIENTO DE EQUIPO Y CABLEADO"/>
    <s v="VISITA_TÉCNICA"/>
    <s v="GB00H005"/>
    <s v="TIPO I"/>
    <s v="TERRESTRE"/>
    <s v="MORENO MEDINA JUAN PABLO"/>
    <n v="1"/>
    <n v="0"/>
    <n v="0"/>
    <n v="0"/>
    <n v="65960.473639999997"/>
    <n v="65960.473639999997"/>
  </r>
  <r>
    <s v="NEIVA"/>
    <x v="1"/>
    <x v="1"/>
    <n v="41001"/>
    <n v="2428291"/>
    <n v="80170"/>
    <s v="INCIDENTE"/>
    <s v="HUILA"/>
    <s v="NEIVA"/>
    <s v="BARRIO LAS MARGARITAS NEIVA 1"/>
    <s v="REDEBAN"/>
    <s v="FO-25-1213964"/>
    <d v="2025-07-10T14:15:00"/>
    <d v="2025-07-11T13:06:24"/>
    <s v="NO"/>
    <s v="USUARIO"/>
    <s v="LECTOR DE BARRAS"/>
    <s v="ERROR PAGOS PARCIALES DE FACTURAS"/>
    <s v="CB UNO A UNO"/>
    <m/>
    <s v="CERRADO"/>
    <s v="10-07 SE ESCALA PARA VISITA. LLAMAR ANTES DE VISITAR, CONFIRMAR FALLA Y DATOS_x000a_0_x000a_11-07 EN LLAMADA CON CLIENTE JUAN DAVID ALVAREZ AL NÚMERO 3112908304, SE LE INFORMA QUE EL RECIBO DEL GAS EN EL MOMENTO NO HAY CONVENIO PARA PODER REALIZAR LOS PAGOS, EL CUAL ERA EL QUE ESTABA INTENTANDO PAGAR."/>
    <s v="SOPORTE_TELEFÓNICO"/>
    <n v="0"/>
    <s v="TIPO I"/>
    <s v="TERRESTRE"/>
    <s v="DIAZ VARGAS JONATHAN MIGUEL"/>
    <n v="0"/>
    <n v="0"/>
    <n v="0"/>
    <n v="0"/>
    <n v="37904.65408"/>
    <n v="37904.65408"/>
  </r>
  <r>
    <s v="MEDELLIN"/>
    <x v="2"/>
    <x v="2"/>
    <n v="5001"/>
    <n v="2432997"/>
    <n v="24793"/>
    <s v="INCIDENTE"/>
    <s v="ANTIOQUIA"/>
    <s v="MEDELLIN"/>
    <s v="COMCARD MEDELLIN VARIEDADES"/>
    <s v="REDEBAN"/>
    <s v="FO-25-1216905"/>
    <d v="2025-07-11T10:24:00"/>
    <d v="2025-07-11T13:39:08"/>
    <s v="NO"/>
    <s v="USUARIO"/>
    <s v="MANTENIMIENTO"/>
    <s v="MANTENIMIENTO GENERAL"/>
    <s v="AGREGADOR"/>
    <m/>
    <s v="CERRADO"/>
    <s v="11-07 SE ESCALA PARA VISITA. LLAMAR ANTES DE VISITAR, CONFIRMAR FALLA Y DATOS_x000a_0_x000a_11-07 SE REALIZA MANTENIMIENTO Y SE CAMBIA RODILLO POR QUÉ NO IMPRIMIA BIEN"/>
    <s v="VISITA_TÉCNICA"/>
    <s v="ABGZZ592-II00T036"/>
    <s v="TIPO I"/>
    <s v="TERRESTRE"/>
    <s v="CERPA SUAREZ DUVAN CAMILO"/>
    <n v="1"/>
    <n v="0"/>
    <n v="0"/>
    <n v="0"/>
    <n v="65960.473639999997"/>
    <n v="65960.473639999997"/>
  </r>
  <r>
    <s v="MEDELLIN"/>
    <x v="2"/>
    <x v="2"/>
    <n v="5088"/>
    <n v="2432233"/>
    <n v="75938"/>
    <s v="INCIDENTE"/>
    <s v="ANTIOQUIA"/>
    <s v="BELLO"/>
    <s v="BARRIO LA GABRIELA BELLO 5"/>
    <s v="REDEBAN"/>
    <s v="FO-25-1216264"/>
    <d v="2025-07-11T09:07:00"/>
    <d v="2025-07-11T15:21:26"/>
    <s v="NO"/>
    <s v="USUARIO"/>
    <s v="CIERRE"/>
    <s v="COMERCIO NO REALIZA CIERRE"/>
    <s v="CB UNO A UNO"/>
    <m/>
    <s v="CERRADO"/>
    <s v="11-07 SE ESCALA PARA VISITA. LLAMAR ANTES DE VISITAR, CONFIRMAR FALLA Y DATOS_x000a_0_x000a_11-07 SE REVISA EQUIPOS EL CLIENTE INDICA EQUIPO LENTO SE REALIZA CIERRE Y NO SE REALIZABA CIERRE DESDE EL 7 DE JULIO SE REALIZA EL CIERRE SE REALIZAN PRUEBAS EXITOSAS SERVICIO OPERATIVO SE LE EXPLICA AL CLIENTE COMO REALIZA EL CIERRE DIARIO"/>
    <s v="VISITA_TÉCNICA"/>
    <s v="FA09Z467"/>
    <s v="TIPO I"/>
    <s v="TERRESTRE"/>
    <s v="ZAPATA LOPEZ EDWARD ASDRUBAL"/>
    <n v="1"/>
    <n v="0"/>
    <n v="0"/>
    <n v="0"/>
    <n v="65960.473639999997"/>
    <n v="65960.473639999997"/>
  </r>
  <r>
    <s v="TUNJA"/>
    <x v="0"/>
    <x v="0"/>
    <n v="15001"/>
    <n v="2432638"/>
    <n v="79424"/>
    <s v="INCIDENTE"/>
    <s v="BOYACA"/>
    <s v="TUNJA"/>
    <s v="BARRIO CENTRO TUNJA 31"/>
    <s v="REDEBAN"/>
    <s v="FO-25-1216734"/>
    <d v="2025-07-11T09:48:00"/>
    <d v="2025-07-11T15:32:42"/>
    <s v="NO"/>
    <s v="USUARIO"/>
    <s v="MANTENIMIENTO"/>
    <s v="MANTENIMIENTO GENERAL"/>
    <s v="CB UNO A UNO"/>
    <m/>
    <s v="CERRADO"/>
    <s v="11-07 SE ESCALA PARA VISITA. LLAMAR ANTES DE VISITAR, CONFIRMAR FALLA Y DATOS_x000a_0_x000a_11-07 SE VISITA COMERCIO , EQUIPO IMPRIMIENDO CORRECTAMENTE , SE REALIZA BORRADO DE EQUIPO CARGANDO S.O Y VERSIÓN 10.3 N POR MANTENIMIENTO GENERAL Y PREVENTIVO , DEJANDO PRUEBAS DE IMPRESIÓN CORRECTAMENTE  ,"/>
    <s v="VISITA_TÉCNICA"/>
    <s v="10XZZ962"/>
    <s v="TIPO I"/>
    <s v="TERRESTRE"/>
    <s v="ALVARADO MORENO CRISTHIAN"/>
    <n v="1"/>
    <n v="0"/>
    <n v="0"/>
    <n v="0"/>
    <n v="65960.473639999997"/>
    <n v="65960.473639999997"/>
  </r>
  <r>
    <s v="MEDELLIN"/>
    <x v="2"/>
    <x v="2"/>
    <n v="5266"/>
    <n v="2433727"/>
    <n v="59486"/>
    <s v="INCIDENTE"/>
    <s v="ANTIOQUIA"/>
    <s v="ENVIGADO"/>
    <s v="BARRIO EL SALADO ENVIGADO 1"/>
    <s v="REDEBAN"/>
    <s v="FO-25-1217418"/>
    <d v="2025-07-11T11:17:00"/>
    <d v="2025-07-11T15:40:11"/>
    <s v="NO"/>
    <s v="USUARIO"/>
    <s v="COMUNICACION"/>
    <s v="CONEXIONES DE COMERCIO"/>
    <s v="CB UNO A UNO"/>
    <m/>
    <s v="CERRADO"/>
    <s v="11-07 SE ESCALA PARA VISITA. LLAMAR ANTES DE VISITAR, CONFIRMAR FALLA Y DATOS_x000a_0_x000a_11-07 SE HACE MANTENIMIENTO DE EQUIPO Y CABLEADO"/>
    <s v="VISITA_TÉCNICA"/>
    <s v="JA007412"/>
    <s v="TIPO I"/>
    <s v="TERRESTRE"/>
    <s v="MORENO MEDINA JUAN PABLO"/>
    <n v="1"/>
    <n v="0"/>
    <n v="0"/>
    <n v="0"/>
    <n v="65960.473639999997"/>
    <n v="65960.473639999997"/>
  </r>
  <r>
    <s v="MEDELLIN"/>
    <x v="2"/>
    <x v="2"/>
    <n v="5001"/>
    <n v="2434552"/>
    <n v="80337"/>
    <s v="INCIDENTE"/>
    <s v="ANTIOQUIA"/>
    <s v="MEDELLIN"/>
    <s v="PTM MEDELLIN DROGUERÍA LA PLAN"/>
    <s v="REDEBAN"/>
    <s v="FO-25-1218438"/>
    <d v="2025-07-11T13:13:00"/>
    <d v="2025-07-11T15:42:21"/>
    <s v="NO"/>
    <s v="USUARIO"/>
    <s v="MANTENIMIENTO"/>
    <s v="MANTENIMIENTO GENERAL"/>
    <s v="AGREGADOR"/>
    <m/>
    <s v="CERRADO"/>
    <s v="11-07 SE ESCALA PARA VISITA. LLAMAR ANTES DE VISITAR, CONFIRMAR FALLA Y DATOS_x000a_0_x000a_11-07 SE REALIZA LLAMADA CON EL SEÑOR GUILLERMO EL CUAL INFORMA QUE EL EQUIPO ESTÁ FUNCIONANDO CORRECTAMENTE QUE YA NO REQUIRE VISITA"/>
    <s v="SOPORTE_TELEFÓNICO"/>
    <n v="0"/>
    <s v="TIPO I"/>
    <s v="TERRESTRE"/>
    <s v="CERPA SUAREZ DUVAN CAMILO"/>
    <n v="0"/>
    <n v="0"/>
    <n v="0"/>
    <n v="0"/>
    <n v="37904.65408"/>
    <n v="37904.65408"/>
  </r>
  <r>
    <s v="CUCUTA"/>
    <x v="0"/>
    <x v="0"/>
    <n v="54405"/>
    <n v="2432592"/>
    <n v="30672"/>
    <s v="INCIDENTE"/>
    <s v="NORTE DE SANTANDER"/>
    <s v="LOS PATIOS"/>
    <s v="BARRIO ONCE DE NOVIMEMBRE LOS"/>
    <s v="REDEBAN"/>
    <s v="FO-25-1216722"/>
    <d v="2025-07-11T09:54:00"/>
    <d v="2025-07-11T16:15:07"/>
    <s v="NO"/>
    <s v="USUARIO"/>
    <s v="MANTENIMIENTO"/>
    <s v="MANTENIMIENTO GENERAL"/>
    <s v="CB UNO A UNO"/>
    <m/>
    <s v="CERRADO"/>
    <s v="11-07 SE ESCALA PARA VISITA. LLAMAR ANTES DE VISITAR, CONFIRMAR FALLA Y DATOS_x000a_0_x000a_11-07 SE VISITA COMERCIO Y SE REALIZA MANTENIMIENTO AL DATAFONO, SE ORGANIZAN CABLEADOS, MAGICBOX, HUB SE FIJA A LA BASE CON AMARRES PLÁSTICOS, SE REALIZAN CIERRES Y PRUEBAS OK."/>
    <s v="VISITA_TÉCNICA"/>
    <s v="BOZZZ337"/>
    <s v="TIPO I"/>
    <s v="TERRESTRE"/>
    <s v="TORRES MANTILLA JOSE DANIEL"/>
    <n v="1"/>
    <n v="0"/>
    <n v="0"/>
    <n v="0"/>
    <n v="65960.473639999997"/>
    <n v="65960.473639999997"/>
  </r>
  <r>
    <s v="PEREIRA"/>
    <x v="4"/>
    <x v="5"/>
    <n v="76736"/>
    <n v="2432828"/>
    <n v="13622"/>
    <s v="INCIDENTE"/>
    <s v="VALLE DEL CAUCA"/>
    <s v="SEVILLA"/>
    <s v="MULTIPAGAS SEVILLA"/>
    <s v="REDEBAN"/>
    <s v="FO-25-1216747"/>
    <d v="2025-07-11T10:02:00"/>
    <d v="2025-07-11T16:47:42"/>
    <s v="NO"/>
    <s v="USUARIO"/>
    <s v="COMUNICACION"/>
    <s v="CONEXIONES DE COMERCIO"/>
    <s v="ROBUSTO"/>
    <m/>
    <s v="CERRADO"/>
    <s v="11-07 SE ESCALA PARA VISITA. LLAMAR ANTES DE VISITAR, CONFIRMAR FALLA Y DATOS_x000a_0_x000a_11-07 SE REALIZA VALIDACION CON EL CLIENTE, QUIEN MANIFIESTA QUE LOS DATAFONOS SE QUEDAN EN CONECTANDO Y NO FUNCIONAN,  NOS MUESTRAN EL ICONO DE LA RED EN VERDE, SE LE SOLICITA REVISION LAS CONEXIONES DEL ESTABLECIMIENTO, SE LE PIDE REINICIAR LOS DISPOSITIVOS DE INTERNET, EL CLIENTE REALIZA REINICIO DE EQUIPOS, VALIDA CABLEADO Y REALIZA CAMBIO DE PUERTOS DE LOS DATAFONOS, EL DATAFONO ALUMBRA LA RED EN VERDE Y CONFIRMA OPERATIVIDAD DE LOS EQUIPOS."/>
    <s v="SOPORTE_TELEFÓNICO"/>
    <n v="0"/>
    <s v="TIPO II"/>
    <s v="TERRESTRE"/>
    <s v="HENAO CARDONA DIEGO FERNANDO"/>
    <n v="0"/>
    <n v="0"/>
    <n v="0"/>
    <n v="0"/>
    <n v="37904.65408"/>
    <n v="37904.65408"/>
  </r>
  <r>
    <s v="BUCARAMANGA"/>
    <x v="0"/>
    <x v="0"/>
    <n v="68001"/>
    <n v="2433304"/>
    <n v="64093"/>
    <s v="INCIDENTE"/>
    <s v="SANTANDER"/>
    <s v="BUCARAMANGA"/>
    <s v="BARRIO KENNEDY BUCARAMANGA 1"/>
    <s v="REDEBAN"/>
    <s v="FO-25-1217000"/>
    <d v="2025-07-11T10:38:00"/>
    <d v="2025-07-12T09:51:00"/>
    <s v="NO"/>
    <s v="USUARIO"/>
    <s v="COMUNICACION"/>
    <s v="CANAL DEL COMERCIO"/>
    <s v="CB UNO A UNO"/>
    <m/>
    <s v="CERRADO"/>
    <s v="11-07 SE ESCALA PARA VISITA. LLAMAR ANTES DE VISITAR, CONFIRMAR FALLA Y DATOS_x000a_0_x000a_12-07 SE LLAMA A LA SEÑORITA VIVIANA QUIEN NOS INFORMA QUE EL ERROR ERA DEL CANAL Y YA ESTÁ OPERANDO CORRECTAMENTE POR LO ANTERIOR CANCELA VISITA TÉCNICA"/>
    <s v="SOPORTE_TELEFÓNICO"/>
    <n v="0"/>
    <s v="TIPO I"/>
    <s v="TERRESTRE"/>
    <s v="PEÑA DIAZ IVAN YESID"/>
    <n v="0"/>
    <n v="0"/>
    <n v="0"/>
    <n v="0"/>
    <n v="37904.65408"/>
    <n v="37904.65408"/>
  </r>
  <r>
    <s v="MEDELLIN"/>
    <x v="2"/>
    <x v="2"/>
    <n v="5001"/>
    <n v="2434811"/>
    <n v="73717"/>
    <s v="INCIDENTE"/>
    <s v="ANTIOQUIA"/>
    <s v="MEDELLIN"/>
    <s v="BARRIO ROBLEDO PAJARITO MEDELL"/>
    <s v="REDEBAN"/>
    <s v="FO-25-1219149"/>
    <d v="2025-07-11T13:48:42"/>
    <d v="2025-07-12T11:48:00"/>
    <s v="NO"/>
    <s v="USUARIO"/>
    <s v="COMUNICACION"/>
    <s v="CANAL DEL COMERCIO"/>
    <s v="CB UNO A UNO"/>
    <m/>
    <s v="CERRADO"/>
    <s v="11-07 SE ESCALA PARA VISITA. LLAMAR ANTES DE VISITAR, CONFIRMAR FALLA Y DATOS_x000a_0_x000a_12-07 SE HABLA CON EL SEÑOR VICTOR GRACIAS E INFORMA QUE ESTA OPERANDO SIN PROBLEMAS ERA EL CANAL DEL COMERCIO"/>
    <s v="SOPORTE_TELEFÓNICO"/>
    <n v="0"/>
    <s v="TIPO I"/>
    <s v="TERRESTRE"/>
    <s v="PAREJA ECHAVARRIA JHON DAVID"/>
    <n v="0"/>
    <n v="0"/>
    <n v="0"/>
    <n v="0"/>
    <n v="37904.65408"/>
    <n v="37904.65408"/>
  </r>
  <r>
    <s v="BUCARAMANGA"/>
    <x v="0"/>
    <x v="0"/>
    <n v="68001"/>
    <n v="2437371"/>
    <n v="77300"/>
    <s v="INCIDENTE"/>
    <s v="SANTANDER"/>
    <s v="BUCARAMANGA"/>
    <s v="BARRIO SOTOMAYOR BUCARAMANGA  5"/>
    <s v="REDEBAN"/>
    <s v="FO-25-1221225"/>
    <d v="2025-07-12T09:28:00"/>
    <d v="2025-07-12T14:02:00"/>
    <s v="NO"/>
    <s v="USUARIO"/>
    <s v="NO ENCIENDE"/>
    <s v="CONEXIONES DE COMERCIO"/>
    <s v="CB UNO A UNO"/>
    <m/>
    <s v="CERRADO"/>
    <s v="12-07 SE ESCALA PARA VISITA. LLAMAR ANTES DE VISITAR, CONFIRMAR FALLA Y DATOS_x000a_0_x000a_12-07 CB CON PROBLEMAS DE DATÁFONO NO ENCIENDE, SE VALIDA CONEXIONES, FALLA DE TOMA CORRIENTE DE CLIENTE, EQUIPO CON VERSIÓN 10.3N,PRUEBAS OK. NO CIERRE POR FLUJO DE CLIENTE."/>
    <s v="VISITA_TÉCNICA"/>
    <s v="FACZZ877"/>
    <s v="TIPO I"/>
    <s v="TERRESTRE"/>
    <s v="SANTOS GONZALEZ JOHAN FABIAN"/>
    <n v="1"/>
    <n v="0"/>
    <n v="0"/>
    <n v="0"/>
    <n v="65960.473639999997"/>
    <n v="65960.473639999997"/>
  </r>
  <r>
    <s v="BUCARAMANGA"/>
    <x v="0"/>
    <x v="0"/>
    <n v="68001"/>
    <n v="2437295"/>
    <n v="48861"/>
    <s v="INCIDENTE"/>
    <s v="SANTANDER"/>
    <s v="BUCARAMANGA"/>
    <s v="BARRIO LUZ DE SALVACION 1 BUCA"/>
    <s v="REDEBAN"/>
    <s v="FO-25-1221216"/>
    <d v="2025-07-12T09:32:00"/>
    <d v="2025-07-12T14:54:00"/>
    <s v="NO"/>
    <s v="USUARIO"/>
    <s v="COMUNICACION"/>
    <s v="CONEXIONES DE COMERCIO"/>
    <s v="CB UNO A UNO"/>
    <m/>
    <s v="CERRADO"/>
    <s v="12-07 SE ESCALA PARA VISITA. LLAMAR ANTES DE VISITAR, CONFIRMAR FALLA Y DATOS_x000a_0_x000a_12-07 SE REALIZA VISITA AL COMERCIO CB, SE VALIDA Y SE ENCUENTRA QUE EL DATÁFONO NO ENCIENDE SE VALIDAN CONEXIONES Y SE ENCUENTRA QUE ESTABA TOTALMENTE DESCARGADA LA BATERIA, SE LE EXPLICA AL CLIENTE COMO SE DEBE MANIPULAR PARA QUE NO SE VAYAN A QUEDAR NUEVAMENTE SIN FUNCIONAR EL EQUIPO"/>
    <s v="VISITA_TÉCNICA"/>
    <s v="AD00M793"/>
    <s v="TIPO I"/>
    <s v="TERRESTRE"/>
    <s v="GONZALEZ ESTUPIÑAN YEISON WALTER ANTONIO"/>
    <n v="1"/>
    <n v="0"/>
    <n v="0"/>
    <n v="0"/>
    <n v="65960.473639999997"/>
    <n v="65960.473639999997"/>
  </r>
  <r>
    <s v="MEDELLIN"/>
    <x v="2"/>
    <x v="2"/>
    <n v="5212"/>
    <n v="2437294"/>
    <n v="68622"/>
    <s v="INCIDENTE"/>
    <s v="ANTIOQUIA"/>
    <s v="COPACABANA"/>
    <s v="DISTRICOL PUNTO LLAVES"/>
    <s v="REDEBAN"/>
    <s v="FO-25-1221220"/>
    <d v="2025-07-12T09:29:00"/>
    <d v="2025-07-12T15:14:00"/>
    <s v="NO"/>
    <s v="USUARIO"/>
    <s v="USUARIOS"/>
    <s v="MALA MANIPULACION POS"/>
    <s v="AGREGADOR"/>
    <m/>
    <s v="CERRADO"/>
    <s v="12-07 SE ESCALA PARA VISITA. LLAMAR ANTES DE VISITAR, CONFIRMAR FALLA Y DATOS_x000a_0_x000a_12-07 SE REALIZA VISITA A COMERCIO OK, SE REALIZA MANTENIMIENTO OK,  EQUIPO ESTÁ OPERATIVO OK, USUARIO INFORMA DE QUE NO LE GUSTA EL EQUIPO TECNOLOGÍA 2600, PERO EQUIPO ESTÁ FUNCIONANDO BIEN, NO PRESENTA NINGUNA FALLA"/>
    <s v="VISITA_TÉCNICA"/>
    <s v="A100T088"/>
    <s v="TIPO I"/>
    <s v="TERRESTRE"/>
    <s v="MARTINEZ TOVAR OSCAR DAVID"/>
    <n v="1"/>
    <n v="0"/>
    <n v="0"/>
    <n v="0"/>
    <n v="65960.473639999997"/>
    <n v="65960.473639999997"/>
  </r>
  <r>
    <s v="MEDELLIN"/>
    <x v="2"/>
    <x v="2"/>
    <n v="5001"/>
    <n v="2436823"/>
    <n v="28592"/>
    <s v="INCIDENTE"/>
    <s v="ANTIOQUIA"/>
    <s v="MEDELLIN"/>
    <n v="0"/>
    <s v="REDEBAN"/>
    <s v="FO-25-1223251"/>
    <d v="2025-07-11T17:44:38"/>
    <d v="2025-07-12T15:32:00"/>
    <s v="NO"/>
    <s v="USUARIO"/>
    <s v="MANTENIMIENTO"/>
    <s v="MANTENIMIENTO GENERAL"/>
    <s v="CB UNO A UNO"/>
    <m/>
    <s v="CERRADO"/>
    <s v="12-07 CLIENTE INDICA QUE SE EQUIVOCO DE CU, REALIZA NUEVA SOLICITUD. EN ATENCION BAJO EL RADICADO 2437573 CU 27592_x000a_0_x000a_0"/>
    <s v="SOPORTE_TELEFÓNICO"/>
    <n v="0"/>
    <s v="TIPO I"/>
    <s v="TERRESTRE"/>
    <n v="0"/>
    <n v="0"/>
    <n v="0"/>
    <n v="0"/>
    <n v="0"/>
    <n v="37904.65408"/>
    <n v="37904.65408"/>
  </r>
  <r>
    <s v="MEDELLIN"/>
    <x v="2"/>
    <x v="2"/>
    <n v="5664"/>
    <n v="2435267"/>
    <n v="48480"/>
    <s v="INCIDENTE"/>
    <s v="ANTIOQUIA"/>
    <s v="SAN PEDRO DE LOS MILAGROS"/>
    <s v="BARRIO PARQUE SAN PEDRO DE LOS"/>
    <s v="REDEBAN"/>
    <s v="FO-25-1219164"/>
    <d v="2025-07-11T14:56:00"/>
    <d v="2025-07-12T15:58:00"/>
    <s v="NO"/>
    <s v="USUARIO"/>
    <s v="LECTOR DE TARJETAS"/>
    <s v="OBSTRUCCION DEL LECTOR"/>
    <s v="CB UNO A UNO"/>
    <m/>
    <s v="CERRADO"/>
    <s v="11-07 SE ESCALA PARA VISITA. LLAMAR ANTES DE VISITAR, CONFIRMAR FALLA Y DATOS_x000a_0_x000a_12-07 SE REALIZÓ PRUEBA CON TARJETA ANTIGUA Y NUEVA, SALIERON OK"/>
    <s v="VISITA_TÉCNICA"/>
    <s v="II00J427"/>
    <s v="TIPO II"/>
    <s v="TERRESTRE"/>
    <s v="HERNANDEZ CHAVARRIA JUAN CAMILO"/>
    <n v="1"/>
    <n v="0"/>
    <n v="0"/>
    <n v="0"/>
    <n v="163813.55812"/>
    <n v="163813.55812"/>
  </r>
  <r>
    <s v="MEDELLIN"/>
    <x v="2"/>
    <x v="2"/>
    <n v="5360"/>
    <n v="2437116"/>
    <n v="59913"/>
    <s v="INCIDENTE"/>
    <s v="ANTIOQUIA"/>
    <s v="ITAGUI"/>
    <s v="PTM ITAGUI PAPELERIA Y VARIEDA"/>
    <s v="REDEBAN"/>
    <s v="FO-25-1220492"/>
    <d v="2025-07-12T08:00:00"/>
    <d v="2025-07-12T16:13:00"/>
    <s v="NO"/>
    <s v="USUARIO"/>
    <s v="MANTENIMIENTO"/>
    <s v="MANTENIMIENTO GENERAL"/>
    <s v="AGREGADOR"/>
    <m/>
    <s v="CERRADO"/>
    <s v="12-07 SE ESCALA PARA VISITA. LLAMAR ANTES DE VISITAR, CONFIRMAR FALLA Y DATOS_x000a_12/07/2025 SE LLAMA AL CLIENTE Y ME Y DICE QUE LA VISITA SE LA HAGAN EL LUNES YA QUE VA DE SALIDA EN ESTOS MOMENTOS_x000a_12-07 SE LLAMA AL CLIENTE Y ME DICE QUE LA VISITA SE LA HAGAN EL LUNES YA QUE VA DE SALIDA EN ESTOS MOMENTOS. SE LE INDICA REALIZAR SOLICITUD NUEVAMENTE. CERRAR"/>
    <s v="SOPORTE_TELEFÓNICO"/>
    <n v="0"/>
    <s v="TIPO I"/>
    <s v="TERRESTRE"/>
    <s v="MORENO MEDINA JUAN PABLO"/>
    <n v="0"/>
    <n v="0"/>
    <n v="0"/>
    <n v="0"/>
    <n v="37904.65408"/>
    <n v="37904.65408"/>
  </r>
  <r>
    <s v="MEDELLIN"/>
    <x v="2"/>
    <x v="2"/>
    <n v="5001"/>
    <n v="2438606"/>
    <n v="64209"/>
    <s v="INCIDENTE"/>
    <s v="ANTIOQUIA"/>
    <s v="MEDELLIN"/>
    <n v="0"/>
    <s v="REDEBAN"/>
    <s v="FO-25-1224389"/>
    <d v="2025-07-13T11:14:00"/>
    <d v="2025-07-13T12:25:19"/>
    <s v="NO"/>
    <s v="USUARIO"/>
    <s v="MANTENIMIENTO"/>
    <s v="MANTENIMIENTO GENERAL"/>
    <s v="RETAIL"/>
    <m/>
    <s v="CERRADO"/>
    <s v="13-07 SE ESCALA A LA RED, SE PROCEDE A CERRAR YA QUE NO ATENDEMOS CADENA OLIMPICA - XX-07 TU SOLICITUD REFERENTE A GENERACIÓN DE CASOS CB OLIMPICA BANCOLOMBIA QUEDÓ RADICADA BAJO EL TICKET NÚMERO XXXXXX AL ÁREA ENCARGADA. _x000a__x000a_0"/>
    <s v="SOPORTE_TELEFÓNICO"/>
    <n v="0"/>
    <s v="TIPO I"/>
    <s v="TERRESTRE"/>
    <n v="0"/>
    <n v="0"/>
    <n v="0"/>
    <n v="0"/>
    <n v="0"/>
    <n v="37904.65408"/>
    <n v="37904.65408"/>
  </r>
  <r>
    <s v="PEREIRA"/>
    <x v="4"/>
    <x v="5"/>
    <n v="63001"/>
    <n v="2440254"/>
    <n v="25343"/>
    <s v="INCIDENTE"/>
    <s v="QUINDIO"/>
    <s v="ARMENIA"/>
    <s v="ARA0086 CASA FOGATA"/>
    <s v="REDEBAN"/>
    <s v="FO-25-1226269"/>
    <d v="2025-07-14T09:21:00"/>
    <d v="2025-07-14T09:46:07"/>
    <s v="NO"/>
    <s v="USUARIO"/>
    <s v="MANTENIMIENTO"/>
    <s v="MANTENIMIENTO GENERAL"/>
    <s v="RETAIL"/>
    <m/>
    <s v="CERRADO"/>
    <s v="14-07 SE ESCALA A LA RED, SE PROCEDE A CERRAR YA QUE NO ATENDEMOS CADENA ARA - 14-07 TU SOLICITUD REFERENTE A GENERACIÓN DE CASOS CB ARA BANCOLOMBIA QUEDÓ RADICADA BAJO EL TICKET NÚMERO 5713494 AL ÁREA ENCARGADA. _x000a_0_x000a_0"/>
    <s v="SOPORTE_TELEFÓNICO"/>
    <n v="0"/>
    <s v="TIPO II"/>
    <s v="TERRESTRE"/>
    <n v="0"/>
    <n v="0"/>
    <n v="0"/>
    <n v="0"/>
    <n v="0"/>
    <n v="37904.65408"/>
    <n v="37904.65408"/>
  </r>
  <r>
    <s v="TUNJA"/>
    <x v="0"/>
    <x v="0"/>
    <n v="15455"/>
    <n v="2438435"/>
    <n v="40145"/>
    <s v="INCIDENTE"/>
    <s v="BOYACA"/>
    <s v="MIRAFLORES"/>
    <s v="BARRIO CENTRO MIRAFLORES 1"/>
    <s v="REDEBAN"/>
    <s v="FO-25-1224384"/>
    <d v="2025-07-13T10:57:00"/>
    <d v="2025-07-14T10:35:46"/>
    <s v="NO"/>
    <s v="USUARIO"/>
    <s v="MANTENIMIENTO"/>
    <s v="MANTENIMIENTO GENERAL"/>
    <s v="CB UNO A UNO"/>
    <m/>
    <s v="CERRADO"/>
    <s v="13-07 SE ESCALA PARA VISITA. LLAMAR ANTES DE VISITAR, CONFIRMAR FALLA Y DATOS_x000a_0_x000a_14-07 EN COMUNICACIÓN CON LA LÍNEA 3128564722 LA SEÑORA ANGI BARRETO INFORMA QUE EL SERVICIO YA ESTÁ FUNCIONANDO PERFECTAMENTE Y QUE NO REQUIERE VISITA, SIMPLEMENTE SE LE INDICA AL CLIENTE LA CORRECTA CONECCIÓN DEL LECTOR DE CÓDIGO DE BARRAS AL DATAFONO Y FUNCIONA BIEN. SE CIERRA COMO SOPORTE TELEFONICO"/>
    <s v="SOPORTE_TELEFÓNICO"/>
    <n v="0"/>
    <s v="TIPO IV"/>
    <s v="TERRESTRE"/>
    <s v="HERRERA GARZON JEYSON STEVENT"/>
    <n v="0"/>
    <n v="0"/>
    <n v="0"/>
    <n v="0"/>
    <n v="37904.65408"/>
    <n v="37904.65408"/>
  </r>
  <r>
    <s v="MEDELLIN"/>
    <x v="2"/>
    <x v="2"/>
    <n v="5001"/>
    <n v="2439287"/>
    <n v="26420"/>
    <s v="INCIDENTE"/>
    <s v="ANTIOQUIA"/>
    <s v="MEDELLIN"/>
    <s v="BARRIO BELEN 2 MEDELLIN"/>
    <s v="REDEBAN"/>
    <s v="FO-25-1225375"/>
    <d v="2025-07-14T08:19:00"/>
    <d v="2025-07-14T11:09:34"/>
    <s v="NO"/>
    <s v="USUARIO"/>
    <s v="MANTENIMIENTO"/>
    <s v="MANTENIMIENTO GENERAL"/>
    <s v="CB UNO A UNO"/>
    <m/>
    <s v="CERRADO"/>
    <s v="14-07 SE ESCALA PARA VISITA. LLAMAR ANTES DE VISITAR, CONFIRMAR FALLA Y DATOS_x000a_0_x000a_14-07 SE VERIFICA ESTADO DE TECLAS Y SE REALIZA PRUEBAS DE PRESIÓN ESTÁN TODAS OK"/>
    <s v="VISITA_TÉCNICA"/>
    <s v="9999F120"/>
    <s v="TIPO I"/>
    <s v="TERRESTRE"/>
    <s v="HERNANDEZ CHAVARRIA JUAN CAMILO"/>
    <n v="1"/>
    <n v="0"/>
    <n v="0"/>
    <n v="0"/>
    <n v="65960.473639999997"/>
    <n v="65960.473639999997"/>
  </r>
  <r>
    <s v="CUCUTA"/>
    <x v="0"/>
    <x v="0"/>
    <n v="54239"/>
    <n v="2437257"/>
    <n v="15003"/>
    <s v="INCIDENTE"/>
    <s v="NORTE DE SANTANDER"/>
    <s v="DURANIA"/>
    <s v="BARRIO CENTRO DURANIA CUCUTA"/>
    <s v="REDEBAN"/>
    <s v="FO-25-1220847"/>
    <d v="2025-07-12T08:49:00"/>
    <d v="2025-07-14T12:06:57"/>
    <s v="NO"/>
    <s v="USUARIO"/>
    <s v="COMUNICACION"/>
    <s v="CONEXIONES DE COMERCIO"/>
    <s v="CB UNO A UNO"/>
    <m/>
    <s v="CERRADO"/>
    <s v="12-07 SE ESCALA PARA VISITA. LLAMAR ANTES DE VISITAR, CONFIRMAR FALLA Y DATOS_x000a_12/07/2025 SE PROGRAMA VISITA EN EL MUNICIPIO DE DURANIA PARA EL DIA LUNES 14/07 YA QUE EL DIA DE HOY NO SE ALCANZA A LLEGAR AL MUNICIPIO SOBRE LA HORA Y POR  CAMBIOS DE EQUIPO POR PARTE DE RBM NO ES POSIBLE ATENDER LA ORDEN  POR TEMA DE ACTIVO REDEBANCONTACTO GLADIS MELO - 3204920877_x000a_14-07 SE VISITA COMERCIO Y SE CAMBIA, CABLE UTP, SE CAMBIA MAGIC BOX, SE REALIZAN CIERRES Y PRUEBAS OK."/>
    <s v="VISITA_TÉCNICA"/>
    <s v="9A002780"/>
    <s v="TIPO II"/>
    <s v="TERRESTRE"/>
    <s v="TORRES MANTILLA JOSE DANIEL"/>
    <n v="1"/>
    <n v="0"/>
    <n v="0"/>
    <n v="0"/>
    <n v="163813.55812"/>
    <n v="163813.55812"/>
  </r>
  <r>
    <s v="BUCARAMANGA"/>
    <x v="0"/>
    <x v="0"/>
    <n v="68001"/>
    <n v="2438080"/>
    <n v="79985"/>
    <s v="INCIDENTE"/>
    <s v="SANTANDER"/>
    <s v="BUCARAMANGA"/>
    <s v="BARRIO SAN FRANCISCO BUCARAMANGA  19"/>
    <s v="REDEBAN"/>
    <s v="FO-25-1224236"/>
    <d v="2025-07-13T08:00:00"/>
    <d v="2025-07-14T12:08:58"/>
    <s v="NO"/>
    <s v="USUARIO"/>
    <s v="COMUNICACION"/>
    <s v="CANAL DEL COMERCIO"/>
    <s v="CB UNO A UNO"/>
    <m/>
    <s v="CERRADO"/>
    <s v="13-07 SE ESCALA PARA VISITA. LLAMAR ANTES DE VISITAR, CONFIRMAR FALLA Y DATOS_x000a_13/07/2025 NO SE LOGRÓ CONTACTO VÍA CHAO O LLAMADA AL 3208847178, SE REALIZARÁ VISITA EN FRÍO._x000a_13-07 SE REALIZA VISITA EN FRÍO A COMERCIO DEBIDO A QUE NO RESPONDE LOS MENSAJES VÍA WHATSAPP Y NO RESPONDE LLAMADAS SE LLEGA A SITIO SE VALÍDA QUE SE ENCUENTRA CERRADO SE VUELVE A REALIZAR GESTION TELEFÓNICO NO CONTESTA SE PROCEDE A CERRAR LA ORDEN._x000a_0_x000a_14-07 SE REALIZA VISITA AL COMERCIO CB, SE VALIDA Y AL MOMENTO DE REVISAR EL DATÁFONO SE ENCUENTRA APAGADO SE CAMBIO FUENTE Y SIGUE IGUAL DATÁFONO QUEMADO, SE INTENTA CON EL BACKUP PERO NO HAY CONEXIÓN A INTERNET, FALLAS CON EL OPERADOR TIGO EN LA ZONA, CLIENTE SE COMUNICA PARA SOLICITAR ARREGLO DEL INTERNET , YA QUE EL DIA SÁBADO Y DOMINGO LLOVIO MUY FUERTE EN LA CIUDAD"/>
    <s v="VISITA_TÉCNICA"/>
    <s v="SAXZZ529"/>
    <s v="TIPO I"/>
    <s v="TERRESTRE"/>
    <s v="GONZALEZ ESTUPIÑAN YEISON WALTER ANTONIO"/>
    <n v="2"/>
    <n v="0"/>
    <n v="0"/>
    <n v="0"/>
    <n v="65960.473639999997"/>
    <n v="131920.94727999999"/>
  </r>
  <r>
    <s v="BUCARAMANGA"/>
    <x v="0"/>
    <x v="0"/>
    <n v="68001"/>
    <n v="2438655"/>
    <n v="38830"/>
    <s v="INCIDENTE"/>
    <s v="SANTANDER"/>
    <s v="BUCARAMANGA"/>
    <s v="PTM B MANGA JAIMES"/>
    <s v="REDEBAN"/>
    <s v="FO-25-1224984"/>
    <d v="2025-07-13T16:58:00"/>
    <d v="2025-07-14T15:50:00"/>
    <s v="NO"/>
    <s v="USUARIO"/>
    <s v="NO ENCIENDE"/>
    <s v="CONEXIONES DE COMERCIO"/>
    <s v="AGREGADOR"/>
    <m/>
    <s v="CERRADO"/>
    <s v="14-07 SE ESCALA PARA VISITA. LLAMAR ANTES DE VISITAR, CONFIRMAR FALLA Y DATOS_x000a_0_x000a_14-07 EN COMUNICACIÓN CON LA SEÑORA MARÍA AL MÓVIL 3187336245, INDICA QUE EL EQUIPO EL DÍA DE HOY ENCENDIÓ Y FUNCIÓNA CON NORMALIDAD, INDICA QUE Y NO REQUIERE DE LA VISITA TÉCNICA SE LE INFORMA QUE SI LLEGA A VOLVER A PRESENTAR UNA NUEVA NOVEDAD DEBERÁ LLAMAR A LA LÍNEA Y SOLICITAR NUEVAMENTE UNA VISITA TÉCNICA."/>
    <s v="SOPORTE_TELEFÓNICO"/>
    <n v="0"/>
    <s v="TIPO I"/>
    <s v="TERRESTRE"/>
    <s v="SANTOS GONZALEZ JOHAN FABIAN"/>
    <n v="0"/>
    <n v="0"/>
    <n v="0"/>
    <n v="0"/>
    <n v="37904.65408"/>
    <n v="37904.65408"/>
  </r>
  <r>
    <s v="APARTADO"/>
    <x v="2"/>
    <x v="2"/>
    <n v="27800"/>
    <n v="2437955"/>
    <n v="44457"/>
    <s v="INCIDENTE"/>
    <s v="CHOCO"/>
    <s v="UNGUIA"/>
    <s v="DISTRICOL MOTO PARTES J A S"/>
    <s v="REDEBAN"/>
    <s v="FO-25-1223919"/>
    <d v="2025-07-13T08:00:00"/>
    <d v="2025-07-14T16:27:42"/>
    <s v="NO"/>
    <s v="USUARIO"/>
    <s v="MANTENIMIENTO"/>
    <s v="MANTENIMIENTO GENERAL"/>
    <s v="AGREGADOR"/>
    <m/>
    <s v="CERRADO"/>
    <s v="13-07 SE INTENTA COMUNICACION CON EL USUARIO AL NUMERO 3233122151, PERO NO CONTESTA LA LLAMADA. SE ESCALA PARA VISITA, CONFIRMAR FALLA Y DATOS_x000a_0_x000a_14-07 SE HABLA CON USUARIA, SE DAN INDICACIONES PARA INGRESAR Y REALIZAR PRUEBAS DE CIERRES, SE REALIZAN SIN PROBLEMAS, CB OPERATIVO, SE CIERRA INCIDENTE."/>
    <s v="SOPORTE_TELEFÓNICO"/>
    <n v="0"/>
    <s v="TIPO IV ESPECIAL"/>
    <s v="FLUVIAL"/>
    <s v="MORENO MEDINA JUAN PABLO"/>
    <n v="0"/>
    <n v="0"/>
    <n v="0"/>
    <n v="0"/>
    <n v="37904.65408"/>
    <n v="37904.65408"/>
  </r>
  <r>
    <s v="PASTO"/>
    <x v="4"/>
    <x v="4"/>
    <n v="52621"/>
    <n v="2418257"/>
    <n v="60203"/>
    <s v="INCIDENTE"/>
    <s v="NARIÑO"/>
    <s v="ROBERTO PAYAN"/>
    <s v="BARRIO NUEVO HORIZONTE NARI#O"/>
    <s v="REDEBAN"/>
    <s v="FO-25-1204609"/>
    <d v="2025-07-09T09:23:00"/>
    <d v="2025-07-14T18:19:03"/>
    <s v="NO"/>
    <s v="USUARIO"/>
    <s v="CIERRE"/>
    <s v="COMERCIO NO REALIZA CIERRE"/>
    <s v="CB UNO A UNO"/>
    <m/>
    <s v="CERRADO"/>
    <s v="09-07 SE INTENTA COMUNICACION EN VARIAS OPRTUNIDADES PARA CONFIRMAR FALLA Y DATOS PERO NO FUE POSIBLE, SE ESCALA PARA VISITA. LLAMAR ANTES DE VISITAR, CONFIRMAR FALLA Y DATOS_x000a_12/07/2025 SE QUEDA PENDIENTE DE VALIDACION DE TRANSPORTE MARITIMO PARA VISITA , YA QUE POR CONDICIONES DEL CLIMA NO SE HA PODIDO REALIZAR, SE ESTA PENDIENTE VALIDACION CON EL CLIENTE PARA ACCESO A LA ZONA, YA QUE NO SE HA PODIDO ENTABLAR COMUNICACION POR PROBLEMAS DE SEÑAL EN EL SITIO_x000a_14-07 SE REALIZA LLAMADA A LA CLIENTE SE COMUNICA CON LA SEÑORA NELLY GUERRERO LA CUAL INFORMA QUE EL DATAFONO NO REALIZA CIERRES SE LE BRINDA SOPORTE TELEFÓNICO Y SE OBTIENE CIERRE ÉXITOSO Y FUNCIONAMIENTO EXITOSO POR LO CUAL LA CLIENTE INDICA QUE YA NO DESEA LA VISITA TÉCNICA..."/>
    <s v="SOPORTE_TELEFÓNICO"/>
    <n v="0"/>
    <s v="TIPO IV ESPECIAL"/>
    <s v="FLUVIAL"/>
    <s v="PAZ MARTINEZ RICHARD HUMBERTO"/>
    <n v="0"/>
    <n v="0"/>
    <n v="0"/>
    <n v="0"/>
    <n v="37904.65408"/>
    <n v="37904.65408"/>
  </r>
  <r>
    <s v="MEDELLIN"/>
    <x v="2"/>
    <x v="2"/>
    <n v="5789"/>
    <n v="2438417"/>
    <n v="31283"/>
    <s v="INCIDENTE"/>
    <s v="ANTIOQUIA"/>
    <s v="TAMESIS"/>
    <s v="BARRIO TAMESIS"/>
    <s v="REDEBAN"/>
    <s v="FO-25-1224111"/>
    <d v="2025-07-13T09:27:01"/>
    <d v="2025-07-15T08:27:55"/>
    <s v="NO"/>
    <s v="USUARIO"/>
    <s v="COMUNICACION"/>
    <s v="CANAL DEL COMERCIO"/>
    <s v="CB UNO A UNO"/>
    <m/>
    <s v="CERRADO"/>
    <s v="13-07 SE ESCALA PARA VISITA. LLAMAR ANTES DE VISITAR, CONFIRMAR FALLA Y DATOS_x000a_0_x000a_15-07 SE LLAMA AL CLIENTE AL 3186323538 EL CUAL INFORMA QUE EL INCONVENIENTE YA SE SOLUCIONÓ Y NO NECESITA VISITA TÉCNICA"/>
    <s v="SOPORTE_TELEFÓNICO"/>
    <n v="0"/>
    <s v="TIPO III"/>
    <s v="TERRESTRE"/>
    <s v="ALVAREZ ARENAS VICTOR HUGO"/>
    <n v="0"/>
    <n v="0"/>
    <n v="0"/>
    <n v="0"/>
    <n v="37904.65408"/>
    <n v="37904.65408"/>
  </r>
  <r>
    <s v="PASTO"/>
    <x v="4"/>
    <x v="4"/>
    <n v="52083"/>
    <n v="2440034"/>
    <n v="10193"/>
    <s v="INCIDENTE"/>
    <s v="NARIÑO"/>
    <s v="BELEN"/>
    <s v="BELEN A IÑO"/>
    <s v="REDEBAN"/>
    <s v="FO-25-1225789"/>
    <d v="2025-07-14T09:03:00"/>
    <d v="2025-07-15T09:44:44"/>
    <s v="NO"/>
    <s v="USUARIO"/>
    <s v="LECTOR DE BARRAS"/>
    <s v="CAPACITACION MANIPULACION DE COMERCIO"/>
    <s v="CB UNO A UNO"/>
    <m/>
    <s v="CERRADO"/>
    <s v="14-07 SE ESCALA PARA VISITA. LLAMAR ANTES DE VISITAR, CONFIRMAR FALLA Y DATOS_x000a_0_x000a_15-07 SE LLAMA A LA CLIENTE SE LOGRA COMUNICACIÓN CON LA SEÑORA LILIANA BOLAÑOS LA CUAL INFORMA QUE EL LECTOR NO LEE FACTURAS SE LE BRINDA SOPORTE TELEFÓNICO Y SE OBTIENE FUNCIONAMIENTO EXITOSO DEL LECTOR DE BARRAS CONFIGURACIÓN OK PARÁMETROS OK Y SE REALIZAN PRUEBAS ÉXITOSAS DE TRANSACCIONES CON LECTOR... POR LO CUAL LA SEÑORA LILIANA INFORMA QUE YA NO SERÍA NECESARIA LA VISITA... SE CIERRA LA TA"/>
    <s v="SOPORTE_TELEFÓNICO"/>
    <n v="0"/>
    <s v="TIPO III"/>
    <s v="TERRESTRE"/>
    <s v="PAZ MARTINEZ RICHARD HUMBERTO"/>
    <n v="0"/>
    <n v="0"/>
    <n v="0"/>
    <n v="0"/>
    <n v="37904.65408"/>
    <n v="37904.65408"/>
  </r>
  <r>
    <s v="CUCUTA"/>
    <x v="0"/>
    <x v="0"/>
    <n v="54001"/>
    <n v="2449048"/>
    <n v="47306"/>
    <s v="INCIDENTE"/>
    <s v="NORTE DE SANTANDER"/>
    <s v="CUCUTA"/>
    <s v="BARRIO ALFONSO LOPEZ CUCUTA 1"/>
    <s v="REDEBAN"/>
    <s v="FO-25-1233532"/>
    <d v="2025-07-15T11:34:00"/>
    <d v="2025-07-15T13:59:15"/>
    <s v="NO"/>
    <s v="USUARIO"/>
    <s v="COMUNICACION"/>
    <s v="CANAL DEL COMERCIO"/>
    <s v="CB UNO A UNO"/>
    <m/>
    <s v="CERRADO"/>
    <s v="15-07 SE ESCALA PARA VISITA. LLAMAR ANTES DE VISITAR, CONFIRMAR FALLA Y DATOS_x000a_0_x000a_15-07 EN COMUNICACIÓN CON EL CLIENTE ME INFORMA EL SR MAURICIO QUE EL ERROR YA SE SOLUCIONÓ QUE ERA UN PROBLEMA CON EL PROVEEDOR DE INTERNET QUE EL DATAFONO SE ENCUENTRA TRABAJANDO CON NORMALIDAD EL DÍA DE HOY"/>
    <s v="SOPORTE_TELEFÓNICO"/>
    <n v="0"/>
    <s v="TIPO I"/>
    <s v="TERRESTRE"/>
    <s v="DURAN ACOSTA FRANK YONNY"/>
    <n v="0"/>
    <n v="0"/>
    <n v="0"/>
    <n v="0"/>
    <n v="37904.65408"/>
    <n v="37904.65408"/>
  </r>
  <r>
    <s v="BOGOTA"/>
    <x v="5"/>
    <x v="6"/>
    <n v="25307"/>
    <n v="2450283"/>
    <n v="30137"/>
    <s v="INCIDENTE"/>
    <s v="CUNDINAMARCA"/>
    <s v="GIRARDOT"/>
    <s v="ARA 0424 GIRARDOT CR 10"/>
    <s v="REDEBAN"/>
    <s v="FO-25-1235392"/>
    <d v="2025-07-15T14:56:00"/>
    <d v="2025-07-15T15:07:36"/>
    <s v="NO"/>
    <s v="USUARIO"/>
    <s v="MANTENIMIENTO"/>
    <s v="MANTENIMIENTO GENERAL"/>
    <s v="RETAIL"/>
    <m/>
    <s v="CERRADO"/>
    <s v="14-07 SE ESCALA A LA RED, SE PROCEDE A CERRAR YA QUE NO ATENDEMOS CADENA ARA - 14-07 TU SOLICITUD REFERENTE A GENERACIÓN DE CASOS CB ARA BANCOLOMBIA QUEDÓ RADICADA BAJO EL TICKET NÚMERO 5713494 AL ÁREA ENCARGADA. _x000a_0_x000a_0"/>
    <s v="SOPORTE_TELEFÓNICO"/>
    <n v="0"/>
    <s v="TIPO III"/>
    <s v="TERRESTRE"/>
    <n v="0"/>
    <n v="0"/>
    <n v="0"/>
    <n v="0"/>
    <n v="0"/>
    <n v="37904.65408"/>
    <n v="37904.65408"/>
  </r>
  <r>
    <s v="MEDELLIN"/>
    <x v="2"/>
    <x v="2"/>
    <n v="5001"/>
    <n v="2449052"/>
    <n v="38429"/>
    <s v="INCIDENTE"/>
    <s v="ANTIOQUIA"/>
    <s v="MEDELLIN"/>
    <s v="BARRIO CALASANZ MEDELLIN 3"/>
    <s v="REDEBAN"/>
    <s v="FO-25-1233528"/>
    <d v="2025-07-15T11:36:00"/>
    <d v="2025-07-16T10:52:10"/>
    <s v="NO"/>
    <s v="USUARIO"/>
    <s v="MANTENIMIENTO"/>
    <s v="MANTENIMIENTO GENERAL"/>
    <s v="CB UNO A UNO"/>
    <m/>
    <s v="CERRADO"/>
    <s v="15-07 SE ESCALA PARA VISITA. LLAMAR ANTES DE VISITAR, CONFIRMAR FALLA Y DATOS_x000a_0_x000a_16-07 EL EQUIPO NO MUESTRA LA HORA CORRECTA SE LLAMA AL USUARIO SE INICIALIZA EN EQUIPO QUEDA LA HORA CORRECTA SERVICIO OPERATIVO"/>
    <s v="SOPORTE_TELEFÓNICO"/>
    <n v="0"/>
    <s v="TIPO I"/>
    <s v="TERRESTRE"/>
    <s v="ZAPATA LOPEZ EDWARD ASDRUBAL"/>
    <n v="0"/>
    <n v="0"/>
    <n v="0"/>
    <n v="0"/>
    <n v="37904.65408"/>
    <n v="37904.65408"/>
  </r>
  <r>
    <s v="BUCARAMANGA"/>
    <x v="0"/>
    <x v="0"/>
    <n v="68001"/>
    <n v="2451492"/>
    <n v="79935"/>
    <s v="INCIDENTE"/>
    <s v="SANTANDER"/>
    <s v="BUCARAMANGA"/>
    <s v="BARRIO LAS MERCEDES BUCARAMANGA"/>
    <s v="REDEBAN"/>
    <s v="FO-25-1236483"/>
    <d v="2025-07-15T16:54:00"/>
    <d v="2025-07-16T10:57:27"/>
    <s v="NO"/>
    <s v="USUARIO"/>
    <s v="COMUNICACION"/>
    <s v="CANAL DEL COMERCIO"/>
    <s v="CB UNO A UNO"/>
    <m/>
    <s v="CERRADO"/>
    <s v="15-07 SE ESCALA PARA VISITA. LLAMAR ANTES DE VISITAR, CONFIRMAR FALLA Y DATOS_x000a_0_x000a_16-07 CB CON PROBLEMAS DE MENSAJE DE CABLE DE RED DESCONECTADO, SE REALIZA VALIDACIÓN DE CABLEADO Y CONEXIONES, SE REINICIA MÓDEM, EQUIPO CON VERSION 9.90, PRUEBAS OK."/>
    <s v="VISITA_TÉCNICA"/>
    <s v="SAVZZ135"/>
    <s v="TIPO I"/>
    <s v="TERRESTRE"/>
    <s v="SANTOS GONZALEZ JOHAN FABIAN"/>
    <n v="1"/>
    <n v="0"/>
    <n v="0"/>
    <n v="0"/>
    <n v="65960.473639999997"/>
    <n v="65960.473639999997"/>
  </r>
  <r>
    <s v="MEDELLIN"/>
    <x v="2"/>
    <x v="2"/>
    <n v="5001"/>
    <n v="2452126"/>
    <n v="28838"/>
    <s v="INCIDENTE"/>
    <s v="ANTIOQUIA"/>
    <s v="MEDELLIN"/>
    <s v="BARRIO CENTRO 67 MEDELLIN"/>
    <s v="REDEBAN"/>
    <s v="FO-25-1237202"/>
    <d v="2025-07-16T08:00:00"/>
    <d v="2025-07-16T11:13:40"/>
    <s v="NO"/>
    <s v="USUARIO"/>
    <s v="LECTOR DE TARJETAS"/>
    <s v="OBSTRUCCION DEL LECTOR"/>
    <s v="CB UNO A UNO"/>
    <m/>
    <s v="CERRADO"/>
    <s v="16-07 SE ESCALA PARA VISITA. LLAMAR ANTES DE VISITAR, CONFIRMAR FALLA Y DATOS_x000a_0_x000a_16-07 LIMPIEZA DE LECTOR CHIP OK CON OBSTRUCCIÓN PRUEBAS OK NO TELECARGA"/>
    <s v="VISITA_TÉCNICA"/>
    <s v="BL0JZ966"/>
    <s v="TIPO I"/>
    <s v="TERRESTRE"/>
    <s v="PAREJA ECHAVARRIA JHON DAVID"/>
    <n v="1"/>
    <n v="0"/>
    <n v="0"/>
    <n v="0"/>
    <n v="65960.473639999997"/>
    <n v="65960.473639999997"/>
  </r>
  <r>
    <s v="MEDELLIN"/>
    <x v="2"/>
    <x v="2"/>
    <n v="5001"/>
    <n v="2455846"/>
    <n v="38429"/>
    <s v="INCIDENTE"/>
    <s v="ANTIOQUIA"/>
    <s v="MEDELLIN"/>
    <s v="BARRIO CALASANZ MEDELLIN 3"/>
    <s v="REDEBAN"/>
    <s v="FO-25-1240182"/>
    <d v="2025-07-16T12:53:00"/>
    <d v="2025-07-16T14:18:46"/>
    <s v="NO"/>
    <s v="USUARIO"/>
    <s v="MANTENIMIENTO"/>
    <s v="MANTENIMIENTO GENERAL"/>
    <s v="CB UNO A UNO"/>
    <m/>
    <s v="CERRADO"/>
    <s v="16-07 SE ESCALA PARA VISITA. LLAMAR ANTES DE VISITAR, CONFIRMAR FALLA Y DATOS_x000a_0_x000a_16-07 SE INICIALIZA EQUIPO PARA LA ARREGLO DE LA HORA SE REALIZAN PRUEBAS EXITOSAS SERVICIO OPERATIVO"/>
    <s v="VISITA_TÉCNICA"/>
    <s v="AA00X411"/>
    <s v="TIPO I"/>
    <s v="TERRESTRE"/>
    <s v="ZAPATA LOPEZ EDWARD ASDRUBAL"/>
    <n v="1"/>
    <n v="0"/>
    <n v="0"/>
    <n v="0"/>
    <n v="65960.473639999997"/>
    <n v="65960.473639999997"/>
  </r>
  <r>
    <s v="MEDELLIN"/>
    <x v="2"/>
    <x v="2"/>
    <n v="5088"/>
    <n v="2453329"/>
    <n v="21426"/>
    <s v="INCIDENTE"/>
    <s v="ANTIOQUIA"/>
    <s v="BELLO"/>
    <s v="OPRAP EXITO BELLO NIQUIA"/>
    <s v="REDEBAN"/>
    <s v="FO-25-1238110"/>
    <d v="2025-07-16T08:51:00"/>
    <d v="2025-07-16T16:25:13"/>
    <s v="NO"/>
    <s v="USUARIO"/>
    <s v="MANTENIMIENTO"/>
    <s v="MANTENIMIENTO GENERAL"/>
    <s v="ROBUSTO"/>
    <m/>
    <s v="CERRADO"/>
    <s v="16-07 SE ESCALA PARA VISITA. LLAMAR ANTES DE VISITAR, CONFIRMAR FALLA Y DATOS_x000a_0_x000a_16-07 SE HACE MANTENIMIENTO DE EQUIPO Y CABLEADO"/>
    <s v="VISITA_TÉCNICA"/>
    <s v="AAPZZ625"/>
    <s v="TIPO I"/>
    <s v="TERRESTRE"/>
    <s v="MORENO MEDINA JUAN PABLO"/>
    <n v="1"/>
    <n v="0"/>
    <n v="0"/>
    <n v="0"/>
    <n v="65960.473639999997"/>
    <n v="65960.473639999997"/>
  </r>
  <r>
    <s v="PEREIRA"/>
    <x v="4"/>
    <x v="5"/>
    <n v="76147"/>
    <n v="2453976"/>
    <n v="46252"/>
    <s v="INCIDENTE"/>
    <s v="VALLE DEL CAUCA"/>
    <s v="CARTAGO"/>
    <s v="BARRIO COLLAREJO CARTAGO 1"/>
    <s v="REDEBAN"/>
    <s v="FO-25-1238650"/>
    <d v="2025-07-16T09:41:00"/>
    <d v="2025-07-16T16:30:31"/>
    <s v="NO"/>
    <s v="USUARIO"/>
    <s v="MANTENIMIENTO"/>
    <s v="MANTENIMIENTO GENERAL"/>
    <s v="CB UNO A UNO"/>
    <m/>
    <s v="CERRADO"/>
    <s v="16-07 SE ESCALA PARA VISITA. LLAMAR ANTES DE VISITAR, CONFIRMAR FALLA Y DATOS_x000a_0_x000a_16-07 SE LLEGA AL PUNTO, EL CLIENTE INDICA QUE EL EQUIPO YA ESTÁ FUNCIONANDO CORRECTAMENTE, NO SE MANIPULA EL EQUIPO."/>
    <s v="VISITA_TÉCNICA"/>
    <s v="9C006210"/>
    <s v="TIPO I"/>
    <s v="TERRESTRE"/>
    <s v="FRANCO CAÑAVERAL YAMID RAUL"/>
    <n v="1"/>
    <n v="0"/>
    <n v="0"/>
    <n v="0"/>
    <n v="65960.473639999997"/>
    <n v="65960.473639999997"/>
  </r>
  <r>
    <s v="PEREIRA"/>
    <x v="4"/>
    <x v="5"/>
    <n v="63001"/>
    <n v="2457106"/>
    <n v="33988"/>
    <s v="INCIDENTE"/>
    <s v="QUINDIO"/>
    <s v="ARMENIA"/>
    <s v="PAGAFACIL LA 14 ARMENIA"/>
    <s v="REDEBAN"/>
    <s v="FO-25-1241289"/>
    <d v="2025-07-16T15:22:00"/>
    <d v="2025-07-17T09:26:02"/>
    <s v="NO"/>
    <s v="USUARIO"/>
    <s v="MANTENIMIENTO"/>
    <s v="MANTENIMIENTO GENERAL"/>
    <s v="ROBUSTO"/>
    <m/>
    <s v="CERRADO"/>
    <s v="16-07 SE ESCALA PARA VISITA. LLAMAR ANTES DE VISITAR, CONFIRMAR FALLA Y DATOS_x000a_17/07/2025 SE LLEGA A SITIO SE REALIZA LA ESO ES DE LOS 30 MINUTOS REGLAMENTARIOS PARA EL INGRESO AL COMERCIO, INDICAN QUE UN NO TIENEN LA AUTORIZACIÓN EN TAL CASO QUE LA DEMORA SEA SUPERIOR LA VISITA SE  REALIZARÁ EL CORRESPONDIENTE CIERRE._x000a_17-07 SE LLEGA A COMERCIO SE REALIZÓ LA ESPERA DE 30 MINUTOS REGLAMENTARIOS PERO NO ES POSIBLE POR PARTE DE COMERCIO LOGRARÁ LA AUTORIZACIÓN PARA EL INGRESO AL TÉCNICO SE LE INFORMA A COMERCIO QUE DEBE SOLICITAR LA VISITA NUEVAMENTE YA QUE LA ACTUAL SE REALIZA EL CIERRE CON LA NOVEDAD DE NO INGRESO."/>
    <s v="VISITA_TÉCNICA"/>
    <s v="1KZZZ685"/>
    <s v="TIPO II"/>
    <s v="TERRESTRE"/>
    <s v="SANCHEZ SOLORZANO JUAN SEBASTIAN"/>
    <n v="1"/>
    <n v="0"/>
    <n v="0"/>
    <n v="0"/>
    <n v="163813.55812"/>
    <n v="163813.55812"/>
  </r>
  <r>
    <s v="MEDELLIN"/>
    <x v="2"/>
    <x v="2"/>
    <n v="5001"/>
    <n v="2458458"/>
    <n v="70715"/>
    <s v="INCIDENTE"/>
    <s v="ANTIOQUIA"/>
    <s v="MEDELLIN"/>
    <s v="REVAL OR LOS COLORES"/>
    <s v="REDEBAN"/>
    <s v="FO-25-1242653"/>
    <d v="2025-07-17T08:00:00"/>
    <d v="2025-07-17T10:12:51"/>
    <s v="NO"/>
    <s v="USUARIO"/>
    <s v="MANTENIMIENTO"/>
    <s v="MANTENIMIENTO GENERAL"/>
    <s v="ROBUSTO"/>
    <m/>
    <s v="CERRADO"/>
    <s v="17-07 SE ESCALA PARA VISITA. LLAMAR ANTES DE VISITAR, CONFIRMAR FALLA Y DATOS_x000a_0_x000a_17-07 SE HABLA CON USUARIA, SE DAN INDICACIONES PARA INGRESAR Y REALIZAR PRUEBAS DE CIERRES, SE REALIZAN SIN PROBLEMAS, CB OPERATIVO, SE CIERRA INCIDENTE."/>
    <s v="SOPORTE_TELEFÓNICO"/>
    <n v="0"/>
    <s v="TIPO I"/>
    <s v="TERRESTRE"/>
    <s v="MORENO MEDINA JUAN PABLO"/>
    <n v="0"/>
    <n v="0"/>
    <n v="0"/>
    <n v="0"/>
    <n v="37904.65408"/>
    <n v="37904.65408"/>
  </r>
  <r>
    <s v="BUCARAMANGA"/>
    <x v="0"/>
    <x v="0"/>
    <n v="68081"/>
    <n v="2453519"/>
    <n v="19793"/>
    <s v="INCIDENTE"/>
    <s v="SANTANDER"/>
    <s v="BARRANCABERMEJA"/>
    <s v="PAGAFACIL BARRANCABERMEJA"/>
    <s v="REDEBAN"/>
    <s v="FO-25-1238115"/>
    <d v="2025-07-16T09:07:00"/>
    <d v="2025-07-17T10:13:28"/>
    <s v="NO"/>
    <s v="USUARIO"/>
    <s v="NO ENCIENDE"/>
    <s v="CONEXIONES DE COMERCIO"/>
    <s v="ROBUSTO"/>
    <m/>
    <s v="CERRADO"/>
    <s v="16-07 SE ESCALA PARA VISITA. LLAMAR ANTES DE VISITAR, CONFIRMAR FALLA Y DATOS_x000a_0_x000a_17-07 SE COMUNICA CON LA SEÑORA SUJEY 3225143737 INFORMA QUE EL DATAFONO YA ESTA FUNCIONANDO CORRECTAMENTE , QUE POR FAVOR SE CANCELE LA VISITA , EL DATAFONO SE ENCUENTRA OPERATIVO ,SE CIERRA ORDEN"/>
    <s v="SOPORTE_TELEFÓNICO"/>
    <n v="0"/>
    <s v="TIPO III"/>
    <s v="TERRESTRE"/>
    <s v="GELVEZ MOGOLLON JOSE ELISEO"/>
    <n v="0"/>
    <n v="0"/>
    <n v="0"/>
    <n v="0"/>
    <n v="37904.65408"/>
    <n v="37904.65408"/>
  </r>
  <r>
    <s v="IBAGUE"/>
    <x v="1"/>
    <x v="1"/>
    <n v="73268"/>
    <n v="2454198"/>
    <n v="60669"/>
    <s v="INCIDENTE"/>
    <s v="TOLIMA"/>
    <s v="ESPINAL"/>
    <s v="BARRIO LA CEIBA ESPINAL"/>
    <s v="REDEBAN"/>
    <s v="FO-25-1238683"/>
    <d v="2025-07-16T10:02:00"/>
    <d v="2025-07-17T10:31:50"/>
    <s v="NO"/>
    <s v="USUARIO"/>
    <s v="COMUNICACION"/>
    <s v="CONEXIONES DE COMERCIO"/>
    <s v="CB UNO A UNO"/>
    <m/>
    <s v="CERRADO"/>
    <s v="16-07 SE ESCALA PARA VISITA. LLAMAR ANTES DE VISITAR, CONFIRMAR FALLA Y DATOS_x000a_0_x000a_17-07 SE COMUNICA CON LA SEÑORITA ELIZABETH RODRÍGUEZ QUIEN MANIFIESTA QUE EL EQUIPO YA LE ESTÁ FUNCIONANDO PERFECTAMENTE,CAMBIO DE PUNTO DE ENERGÍA"/>
    <s v="SOPORTE_TELEFÓNICO"/>
    <n v="0"/>
    <s v="TIPO II"/>
    <s v="TERRESTRE"/>
    <s v="GUTIERREZ  CAMILO ANDRES"/>
    <n v="0"/>
    <n v="0"/>
    <n v="0"/>
    <n v="0"/>
    <n v="37904.65408"/>
    <n v="37904.65408"/>
  </r>
  <r>
    <s v="MEDELLIN"/>
    <x v="2"/>
    <x v="2"/>
    <n v="5001"/>
    <n v="2461238"/>
    <n v="38429"/>
    <s v="INCIDENTE"/>
    <s v="ANTIOQUIA"/>
    <s v="MEDELLIN"/>
    <s v="BARRIO CALASANZ MEDELLIN 3"/>
    <s v="REDEBAN"/>
    <s v="FO-25-1244696"/>
    <d v="2025-07-17T11:13:00"/>
    <d v="2025-07-17T12:34:58"/>
    <s v="NO"/>
    <s v="USUARIO"/>
    <s v="MANTENIMIENTO"/>
    <s v="MANTENIMIENTO GENERAL"/>
    <s v="CB UNO A UNO"/>
    <m/>
    <s v="CERRADO"/>
    <s v="17-07 SE ESCALA PARA VISITA. LLAMAR ANTES DE VISITAR, CONFIRMAR FALLA Y DATOS_x000a_0_x000a_17-07 SE HABLA CON EL SEÑOR FERNANDO Y SE LE INDICA COMO INGRESAR AL MENÚ OPERADOR CB FUNCIONA CORRECTAMENTE"/>
    <s v="SOPORTE_TELEFÓNICO"/>
    <n v="0"/>
    <s v="TIPO I"/>
    <s v="TERRESTRE"/>
    <s v="MORENO MEDINA JUAN PABLO"/>
    <n v="0"/>
    <n v="0"/>
    <n v="0"/>
    <n v="0"/>
    <n v="37904.65408"/>
    <n v="37904.65408"/>
  </r>
  <r>
    <s v="MEDELLIN"/>
    <x v="2"/>
    <x v="2"/>
    <n v="5148"/>
    <n v="2460258"/>
    <n v="76329"/>
    <s v="INCIDENTE"/>
    <s v="ANTIOQUIA"/>
    <s v="EL CARMEN DE VIBORAL"/>
    <s v="DISTRICOL MILI REPOSTERIA"/>
    <s v="REDEBAN"/>
    <s v="FO-25-1243939"/>
    <d v="2025-07-17T09:57:00"/>
    <d v="2025-07-17T12:39:24"/>
    <s v="NO"/>
    <s v="USUARIO"/>
    <s v="MANTENIMIENTO"/>
    <s v="MANTENIMIENTO GENERAL"/>
    <s v="AGREGADOR"/>
    <m/>
    <s v="CERRADO"/>
    <s v="17-07 SE ESCALA PARA VISITA. LLAMAR ANTES DE VISITAR, CONFIRMAR FALLA Y DATOS_x000a_0_x000a_17-07 SE REALIZA MANTENIMIENTO GENERAL"/>
    <s v="VISITA_TÉCNICA"/>
    <s v="V10OZ406"/>
    <s v="TIPO II"/>
    <s v="TERRESTRE"/>
    <s v="HERNANDEZ CHAVARRIA JUAN CAMILO"/>
    <n v="1"/>
    <n v="0"/>
    <n v="0"/>
    <n v="0"/>
    <n v="163813.55812"/>
    <n v="163813.55812"/>
  </r>
  <r>
    <s v="MEDELLIN"/>
    <x v="2"/>
    <x v="2"/>
    <n v="5001"/>
    <n v="2455940"/>
    <n v="16357"/>
    <s v="INCIDENTE"/>
    <s v="ANTIOQUIA"/>
    <s v="MEDELLIN"/>
    <s v="PAGAFACIL  ALMACENTRO"/>
    <s v="REDEBAN"/>
    <s v="FO-25-1240715"/>
    <d v="2025-07-16T13:45:00"/>
    <d v="2025-07-17T13:18:32"/>
    <s v="NO"/>
    <s v="USUARIO"/>
    <s v="MANTENIMIENTO"/>
    <s v="MANTENIMIENTO GENERAL"/>
    <s v="ROBUSTO"/>
    <m/>
    <s v="CERRADO"/>
    <s v="16-07 SE ESCALA PARA VISITA. LLAMAR ANTES DE VISITAR, CONFIRMAR FALLA Y DATOS_x000a_17/07/2025 VERIFICANDO IDENTIFICACIÓN NO SE HA PODIDO INGRESAR LÍNEA CAÍDA WHATSAPP CONGESTIÓNADO_x000a_17-07 SE LLEGA AL PUNTO SE ESPERA MAS DE UNA HORA PARA EL INGRESO Y NO DAN RESPUESTA LÍNEA CAÍDA Y WHATSAPP CONGESTIÓNADO"/>
    <s v="VISITA_TÉCNICA"/>
    <s v="JCZZZ329"/>
    <s v="TIPO I"/>
    <s v="TERRESTRE"/>
    <s v="MORENO MEDINA JUAN PABLO"/>
    <n v="1"/>
    <n v="0"/>
    <n v="0"/>
    <n v="0"/>
    <n v="65960.473639999997"/>
    <n v="65960.473639999997"/>
  </r>
  <r>
    <s v="MEDELLIN"/>
    <x v="2"/>
    <x v="2"/>
    <n v="5001"/>
    <n v="2460982"/>
    <n v="51395"/>
    <s v="INCIDENTE"/>
    <s v="ANTIOQUIA"/>
    <s v="MEDELLIN"/>
    <s v="BARRIO PRADO MEDELLIN 6"/>
    <s v="REDEBAN"/>
    <s v="FO-25-1244585"/>
    <d v="2025-07-17T10:51:00"/>
    <d v="2025-07-17T14:19:57"/>
    <s v="NO"/>
    <s v="USUARIO"/>
    <s v="MANTENIMIENTO"/>
    <s v="MANTENIMIENTO GENERAL"/>
    <s v="CB UNO A UNO"/>
    <m/>
    <s v="CERRADO"/>
    <s v="17-07 SE ESCALA PARA VISITA. LLAMAR ANTES DE VISITAR, CONFIRMAR FALLA Y DATOS_x000a_0_x000a_17-07 SE HACE MANTENIMIENTO DE EQUIPO Y CABLEADO"/>
    <s v="VISITA_TÉCNICA"/>
    <s v="II07Z174"/>
    <s v="TIPO I"/>
    <s v="TERRESTRE"/>
    <s v="MORENO MEDINA JUAN PABLO"/>
    <n v="1"/>
    <n v="0"/>
    <n v="0"/>
    <n v="0"/>
    <n v="65960.473639999997"/>
    <n v="65960.473639999997"/>
  </r>
  <r>
    <s v="MEDELLIN"/>
    <x v="2"/>
    <x v="2"/>
    <n v="5001"/>
    <n v="2461098"/>
    <n v="35673"/>
    <s v="INCIDENTE"/>
    <s v="ANTIOQUIA"/>
    <s v="MEDELLIN"/>
    <s v="DISTRICOL SALSAMENTARIA SALPIC"/>
    <s v="REDEBAN"/>
    <s v="FO-25-1244691"/>
    <d v="2025-07-17T11:18:00"/>
    <d v="2025-07-17T15:41:27"/>
    <s v="NO"/>
    <s v="USUARIO"/>
    <s v="MANTENIMIENTO"/>
    <s v="MANTENIMIENTO GENERAL"/>
    <s v="AGREGADOR"/>
    <m/>
    <s v="CERRADO"/>
    <s v="17-07 SE ESCALA PARA VISITA. LLAMAR ANTES DE VISITAR, CONFIRMAR FALLA Y DATOS_x000a_0_x000a_17-07 SE HACE MANTENIMIENTO DE EQUIPO Y CONFIGURACIÓN DE LECTORA"/>
    <s v="VISITA_TÉCNICA"/>
    <s v="9A005397"/>
    <s v="TIPO I"/>
    <s v="TERRESTRE"/>
    <s v="MORENO MEDINA JUAN PABLO"/>
    <n v="1"/>
    <n v="0"/>
    <n v="0"/>
    <n v="0"/>
    <n v="65960.473639999997"/>
    <n v="65960.473639999997"/>
  </r>
  <r>
    <s v="TUNJA"/>
    <x v="0"/>
    <x v="0"/>
    <n v="15764"/>
    <n v="2459913"/>
    <n v="47544"/>
    <s v="INCIDENTE"/>
    <s v="BOYACA"/>
    <s v="SORACA"/>
    <s v="BARRIO VEREDA OTROLADO SECTOR"/>
    <s v="REDEBAN"/>
    <s v="FO-25-1243402"/>
    <d v="2025-07-17T09:12:00"/>
    <d v="2025-07-17T16:38:09"/>
    <s v="NO"/>
    <s v="ENTIDAD"/>
    <s v="ERROR DE TRANSACCIONES"/>
    <s v="RECHAZO GENERAL"/>
    <s v="CB UNO A UNO"/>
    <m/>
    <s v="CERRADO"/>
    <s v="17-07 SE ESCALA PARA VISITA. LLAMAR ANTES DE VISITAR, CONFIRMAR FALLA Y DATOS_x000a_0_x000a_17-07 SE VISITA PUNTO SE REALIZA BORRADO DE EQUIPO CARGANDO VERSIÓN 10.3 N CONTINUAL RECHAZÓ GENERAL, SE REALIZA ESCALAMIENTO CON RBM REDEBAN INDICA QUE EL EQUIPO ESTA BIEN PARAMETRIZADO ESCALAN CON CENTRO DE OPERACIÓN E INDCAN QUE LA NOVEDAD DEL RECHAZO ES POR PARTE DE ENTIDAD"/>
    <s v="VISITA_TÉCNICA"/>
    <s v="GB00H073"/>
    <s v="TIPO I"/>
    <s v="TERRESTRE"/>
    <s v="ALVARADO MORENO CRISTHIAN"/>
    <n v="1"/>
    <n v="0"/>
    <n v="0"/>
    <n v="0"/>
    <n v="65960.473639999997"/>
    <n v="65960.473639999997"/>
  </r>
  <r>
    <s v="MEDELLIN"/>
    <x v="2"/>
    <x v="2"/>
    <n v="5001"/>
    <n v="2463962"/>
    <n v="60536"/>
    <s v="INCIDENTE"/>
    <s v="ANTIOQUIA"/>
    <s v="MEDELLIN"/>
    <s v="BARRIO ENCISO MEDELLIN 16"/>
    <s v="REDEBAN"/>
    <s v="FO-25-1247732"/>
    <d v="2025-07-17T17:44:00"/>
    <d v="2025-07-18T09:30:44"/>
    <s v="NO"/>
    <s v="USUARIO"/>
    <s v="MANTENIMIENTO"/>
    <s v="MANTENIMIENTO GENERAL"/>
    <s v="CB UNO A UNO"/>
    <m/>
    <s v="CERRADO"/>
    <s v="17-07 SE ESCALA PARA VISITA. LLAMAR ANTES DE VISITAR, CONFIRMAR FALLA Y DATOS_x000a_0_x000a_18-07 SE REALIZA CAMBIO DE RODILLO POR PEGADO Y MALA IMPRESIÓN, SE REVISA IMPRESION DE NUEVO QUEDA EN PERFECTO ESTADO"/>
    <s v="VISITA_TÉCNICA"/>
    <s v="JA00E931"/>
    <s v="TIPO I"/>
    <s v="TERRESTRE"/>
    <s v="HERNANDEZ CHAVARRIA JUAN CAMILO"/>
    <n v="1"/>
    <n v="0"/>
    <n v="0"/>
    <n v="0"/>
    <n v="65960.473639999997"/>
    <n v="65960.473639999997"/>
  </r>
  <r>
    <s v="IBAGUE"/>
    <x v="1"/>
    <x v="1"/>
    <n v="73001"/>
    <n v="2462250"/>
    <n v="77942"/>
    <s v="INCIDENTE"/>
    <s v="TOLIMA"/>
    <s v="IBAGUE"/>
    <s v="DISTRICOL INTERRAPIDISIMO LA F"/>
    <s v="REDEBAN"/>
    <s v="FO-25-1246296"/>
    <d v="2025-07-17T14:24:00"/>
    <d v="2025-07-18T09:43:40"/>
    <s v="NO"/>
    <s v="USUARIO"/>
    <s v="COMUNICACION"/>
    <s v="CONEXIONES DE COMERCIO"/>
    <s v="AGREGADOR"/>
    <m/>
    <s v="CERRADO"/>
    <s v="17-07 SE ESCALA PARA VISITA. LLAMAR ANTES DE VISITAR, CONFIRMAR FALLA Y DATOS_x000a_0_x000a_18-07 SE VÁLIDA DAÑO EN CABLE MAGIC BOX, SE REALIZA PRUEBAS DE FUNCIONAMIENTO OK; CUBRE CLAVE INSTALADO."/>
    <s v="VISITA_TÉCNICA"/>
    <s v="A1PZZ051"/>
    <s v="TIPO I"/>
    <s v="TERRESTRE"/>
    <s v="BARRAGAN TAFUR EDWIN ESTEBAN"/>
    <n v="1"/>
    <n v="0"/>
    <n v="0"/>
    <n v="0"/>
    <n v="65960.473639999997"/>
    <n v="65960.473639999997"/>
  </r>
  <r>
    <s v="MEDELLIN"/>
    <x v="2"/>
    <x v="2"/>
    <n v="5088"/>
    <n v="2461838"/>
    <n v="26860"/>
    <s v="INCIDENTE"/>
    <s v="ANTIOQUIA"/>
    <s v="BELLO"/>
    <s v="PAGAFACIL TIENDA METRO BELLO 1"/>
    <s v="REDEBAN"/>
    <s v="FO-25-1245230"/>
    <d v="2025-07-17T12:16:00"/>
    <d v="2025-07-18T10:15:27"/>
    <s v="NO"/>
    <s v="USUARIO"/>
    <s v="COMUNICACION"/>
    <s v="CONEXIONES DE COMERCIO"/>
    <s v="ROBUSTO"/>
    <m/>
    <s v="CERRADO"/>
    <s v="17-07 SE ESCALA PARA VISITA. LLAMAR ANTES DE VISITAR, CONFIRMAR FALLA Y DATOS_x000a_0_x000a_18-07 SE VERIFICA CONEXIÓNES DEL COMERCIO SE CAMBIA DE PUERTO EL CABLE LAN DEL DATÁFONO Y SE DEJAN SERVICIOS FUNCIONANDO CORRECTAMENTE"/>
    <s v="VISITA_TÉCNICA"/>
    <s v="AB00B598"/>
    <s v="TIPO I"/>
    <s v="TERRESTRE"/>
    <s v="BARRIENTOS HERNANDEZ CRISTIAN HORACIO"/>
    <n v="1"/>
    <n v="0"/>
    <n v="0"/>
    <n v="0"/>
    <n v="65960.473639999997"/>
    <n v="65960.473639999997"/>
  </r>
  <r>
    <s v="MEDELLIN"/>
    <x v="2"/>
    <x v="2"/>
    <n v="5360"/>
    <n v="2464970"/>
    <n v="48570"/>
    <s v="INCIDENTE"/>
    <s v="ANTIOQUIA"/>
    <s v="ITAGUI"/>
    <s v="DISTRICOL GRANERO LA ABUNDANCI"/>
    <s v="REDEBAN"/>
    <s v="FO-25-1248690"/>
    <d v="2025-07-18T08:30:00"/>
    <d v="2025-07-18T12:21:19"/>
    <s v="NO"/>
    <s v="USUARIO"/>
    <s v="USUARIOS"/>
    <s v="USUARIOS BLOQUEADOS"/>
    <s v="AGREGADOR"/>
    <m/>
    <s v="CERRADO"/>
    <s v="18-07 SE ESCALA PARA VISITA. LLAMAR ANTES DE VISITAR, CONFIRMAR FALLA Y DATOS_x000a_0_x000a_18-07 SE REALIZÓ RESTABLECIMIENTO DE CLAVE SUPERVISOR"/>
    <s v="VISITA_TÉCNICA"/>
    <s v="GB00L283"/>
    <s v="TIPO I"/>
    <s v="TERRESTRE"/>
    <s v="CASTAÑEDA PALACIO CARLOS FELIPE"/>
    <n v="1"/>
    <n v="0"/>
    <n v="0"/>
    <n v="0"/>
    <n v="65960.473639999997"/>
    <n v="65960.473639999997"/>
  </r>
  <r>
    <s v="PASTO"/>
    <x v="4"/>
    <x v="4"/>
    <n v="52110"/>
    <n v="2464137"/>
    <n v="44481"/>
    <s v="INCIDENTE"/>
    <s v="NARIÑO"/>
    <s v="BUESACO"/>
    <s v="DISTRICOL CELU CENTRO JJ"/>
    <s v="REDEBAN"/>
    <s v="FO-25-1247727"/>
    <d v="2025-07-17T17:59:00"/>
    <d v="2025-07-18T12:39:25"/>
    <s v="NO"/>
    <s v="USUARIO"/>
    <s v="COMUNICACION"/>
    <s v="CANAL DEL COMERCIO"/>
    <s v="AGREGADOR"/>
    <m/>
    <s v="CERRADO"/>
    <s v="17-07 SE ESCALA PARA VISITA. LLAMAR ANTES DE VISITAR, CONFIRMAR FALLA Y DATOS_x000a_0_x000a_18-07 SE VISITA EL CB PARA REVISAR FALLA DE CONEXIÓN COMERCIO CAMBIO OPERADOR DE INTERNET Y EL DATÁFONO ESTABA CON IP FIJA, SE DEJA EL DATAFONO POR DHCP Y SE HACEN PRUEBAS OK, CB OPERATIVO"/>
    <s v="VISITA_TÉCNICA"/>
    <s v="9B09Z924"/>
    <s v="TIPO II"/>
    <s v="TERRESTRE"/>
    <s v="GUERRERO RAMIREZ OSCAR DARIO"/>
    <n v="1"/>
    <n v="0"/>
    <n v="0"/>
    <n v="0"/>
    <n v="163813.55812"/>
    <n v="163813.55812"/>
  </r>
  <r>
    <s v="MEDELLIN"/>
    <x v="2"/>
    <x v="2"/>
    <n v="5001"/>
    <n v="2465620"/>
    <n v="27302"/>
    <s v="INCIDENTE"/>
    <s v="ANTIOQUIA"/>
    <s v="MEDELLIN"/>
    <s v="PAGAFACIL SAN ANTONIO DE PRADO"/>
    <s v="REDEBAN"/>
    <s v="FO-25-1249128"/>
    <d v="2025-07-18T09:11:00"/>
    <d v="2025-07-18T13:58:48"/>
    <s v="NO"/>
    <s v="USUARIO"/>
    <s v="LECTOR DE TARJETAS"/>
    <s v="OBSTRUCCION DEL LECTOR"/>
    <s v="ROBUSTO"/>
    <m/>
    <s v="CERRADO"/>
    <s v="18-07 SE ESCALA PARA VISITA. LLAMAR ANTES DE VISITAR, CONFIRMAR FALLA Y DATOS_x000a_0_x000a_18-07 SE REALIZÓ LIMPIEZA DE LECTOR CHIP"/>
    <s v="VISITA_TÉCNICA"/>
    <s v="999SZ182"/>
    <s v="TIPO I"/>
    <s v="TERRESTRE"/>
    <s v="CASTAÑEDA PALACIO CARLOS FELIPE"/>
    <n v="1"/>
    <n v="0"/>
    <n v="0"/>
    <n v="0"/>
    <n v="65960.473639999997"/>
    <n v="65960.473639999997"/>
  </r>
  <r>
    <s v="MEDELLIN"/>
    <x v="2"/>
    <x v="2"/>
    <n v="5266"/>
    <n v="2467769"/>
    <n v="29309"/>
    <s v="INCIDENTE"/>
    <s v="ANTIOQUIA"/>
    <s v="ENVIGADO"/>
    <s v="BARRIO LA MINA 2 ENVIGADO"/>
    <s v="REDEBAN"/>
    <s v="FO-25-1250881"/>
    <d v="2025-07-18T12:28:00"/>
    <d v="2025-07-18T14:58:37"/>
    <s v="NO"/>
    <s v="USUARIO"/>
    <s v="MANTENIMIENTO"/>
    <s v="MANTENIMIENTO GENERAL"/>
    <s v="CB UNO A UNO"/>
    <m/>
    <s v="CERRADO"/>
    <s v="18-07 SE ESCALA PARA VISITA. LLAMAR ANTES DE VISITAR, CONFIRMAR FALLA Y DATOS_x000a_0_x000a_18-07 SE LLAMA A LA SEÑORA VANESSA CAÑAS Y DICE QUE LA LECTORA ESTA FUNCIONANDO CORRECTAMENTE"/>
    <s v="SOPORTE_TELEFÓNICO"/>
    <n v="0"/>
    <s v="TIPO I"/>
    <s v="TERRESTRE"/>
    <s v="MORENO MEDINA JUAN PABLO"/>
    <n v="0"/>
    <n v="0"/>
    <n v="0"/>
    <n v="0"/>
    <n v="37904.65408"/>
    <n v="37904.65408"/>
  </r>
  <r>
    <s v="YOPAL"/>
    <x v="1"/>
    <x v="1"/>
    <n v="85001"/>
    <n v="2458402"/>
    <n v="58961"/>
    <s v="INCIDENTE"/>
    <s v="CASANARE"/>
    <s v="YOPAL"/>
    <s v="BARRIO CAMPINA YOPAL 1"/>
    <s v="REDEBAN"/>
    <s v="FO-25-1241939"/>
    <d v="2025-07-16T17:27:00"/>
    <d v="2025-07-19T08:52:48"/>
    <s v="NO"/>
    <s v="USUARIO"/>
    <s v="COMUNICACION"/>
    <s v="CONEXIONES DE COMERCIO"/>
    <s v="CB UNO A UNO"/>
    <m/>
    <s v="CERRADO"/>
    <s v="16-07 SE ESCALA PARA VISITA. LLAMAR ANTES DE VISITAR, CONFIRMAR FALLA Y DATOS_x000a_0_x000a_18-07 EN COMUNICACIÓN CON LA SEÑORA DIANA MALDONADO AL NUMERO 3138032577 INDICA QUE LA FALLA YA FUE RESUELTA, FALLAS CONEXIONES DEL COMERCIO. INDICA SE ENCUENTRA OPERATIVO EL SERVICIO"/>
    <s v="SOPORTE_TELEFÓNICO"/>
    <n v="0"/>
    <s v="TIPO I"/>
    <s v="TERRESTRE"/>
    <s v="BERNAL ELAICA EDGAR ALEXIS"/>
    <n v="0"/>
    <n v="0"/>
    <n v="0"/>
    <n v="0"/>
    <n v="37904.65408"/>
    <n v="37904.65408"/>
  </r>
  <r>
    <s v="CARTAGENA"/>
    <x v="3"/>
    <x v="3"/>
    <n v="13001"/>
    <n v="2470067"/>
    <n v="25269"/>
    <s v="INCIDENTE"/>
    <s v="BOLIVAR"/>
    <s v="CARTAGENA"/>
    <s v="ARA0149 MANGA AV JIMENEZ"/>
    <s v="REDEBAN"/>
    <s v="FO-25-1253808"/>
    <d v="2025-07-19T08:41:00"/>
    <d v="2025-07-19T09:19:31"/>
    <s v="NO"/>
    <s v="USUARIO"/>
    <s v="MANTENIMIENTO"/>
    <s v="MANTENIMIENTO GENERAL"/>
    <s v="RETAIL"/>
    <m/>
    <s v="CERRADO"/>
    <s v="19-07 SE ESCALA A LA RED, SE PROCEDE A CERRAR YA QUE NO ATENDEMOS CADENA ARA - XX-07 TU SOLICITUD REFERENTE A GENERACIÓN DE CASOS CB ARA BANCOLOMBIA QUEDÓ RADICADA BAJO EL TICKET NÚMERO XXXXXXX AL ÁREA ENCARGADA. _x000a_0_x000a_0"/>
    <s v="SOPORTE_TELEFÓNICO"/>
    <n v="0"/>
    <s v="TIPO I"/>
    <s v="TERRESTRE"/>
    <n v="0"/>
    <n v="0"/>
    <n v="0"/>
    <n v="0"/>
    <n v="0"/>
    <n v="37904.65408"/>
    <n v="37904.65408"/>
  </r>
  <r>
    <s v="BUCARAMANGA"/>
    <x v="0"/>
    <x v="0"/>
    <n v="68418"/>
    <n v="2470242"/>
    <n v="49017"/>
    <s v="INCIDENTE"/>
    <s v="SANTANDER"/>
    <s v="LOS SANTOS"/>
    <s v="DISTRICOL CNDLUBLOSLINDEROS"/>
    <s v="REDEBAN"/>
    <s v="FO-25-1253619"/>
    <d v="2025-07-19T08:40:00"/>
    <d v="2025-07-19T09:49:07"/>
    <s v="NO"/>
    <s v="USUARIO"/>
    <s v="COMUNICACION"/>
    <s v="CONEXIONES DE COMERCIO"/>
    <s v="AGREGADOR"/>
    <m/>
    <s v="CERRADO"/>
    <s v="19-07 SE ESCALA PARA VISITA. LLAMAR ANTES DE VISITAR, CONFIRMAR FALLA Y DATOS_x000a_0_x000a_19-07 SE COMUNICA CON EL CLIENTE AL NÚMERO DE TELÉFONO 3174223072 PARA VALIDAR DISPONIBILIDAD PERO EL SEÑOR ALEXANDER ROMERO INDICA QUE EL CB ESTÁ FUNCIONANDO PERFECTAMENTE , DEBIDO QUE EL PROBLEMA ERA PROBLEMAS CON LA ENTIDAD PRESTADORA DE SERVICIO DE INTERNET , NOS SOLICITA QUE POR FAVOR CANCELAR LA VISITA TÉCNICA"/>
    <s v="SOPORTE_TELEFÓNICO"/>
    <n v="0"/>
    <s v="TIPO II"/>
    <s v="TERRESTRE"/>
    <s v="HERRERA LUQUE SAUL JAVIER"/>
    <n v="0"/>
    <n v="0"/>
    <n v="0"/>
    <n v="0"/>
    <n v="37904.65408"/>
    <n v="37904.65408"/>
  </r>
  <r>
    <s v="CUCUTA"/>
    <x v="0"/>
    <x v="0"/>
    <n v="54001"/>
    <n v="2469336"/>
    <n v="79069"/>
    <s v="INCIDENTE"/>
    <s v="NORTE DE SANTANDER"/>
    <s v="CUCUTA"/>
    <s v="BARRIO GUAIMARAL CUCUTA 12"/>
    <s v="REDEBAN"/>
    <s v="FO-25-1252599"/>
    <d v="2025-07-18T16:28:00"/>
    <d v="2025-07-19T10:49:56"/>
    <s v="NO"/>
    <s v="USUARIO"/>
    <s v="COMUNICACION"/>
    <s v="CANAL DEL COMERCIO"/>
    <s v="CB UNO A UNO"/>
    <m/>
    <s v="CERRADO"/>
    <s v="18-07 SE ESCALA PARA VISITA. LLAMAR ANTES DE VISITAR, CONFIRMAR FALLA Y DATOS_x000a_0_x000a_19-07 SE ENCONTRÓ FALLAS CON EL PROVEEDOR DE INTERNET SE REINICIO MODEM SE REALIZA MANTENIMIENTO CIERRES Y PRUEBAS OK"/>
    <s v="VISITA_TÉCNICA"/>
    <s v="SASZZ644"/>
    <s v="TIPO I"/>
    <s v="TERRESTRE"/>
    <s v="DURAN ACOSTA FRANK YONNY"/>
    <n v="1"/>
    <n v="0"/>
    <n v="0"/>
    <n v="0"/>
    <n v="65960.473639999997"/>
    <n v="65960.473639999997"/>
  </r>
  <r>
    <s v="MEDELLIN"/>
    <x v="2"/>
    <x v="2"/>
    <n v="5001"/>
    <n v="2469591"/>
    <n v="76359"/>
    <s v="INCIDENTE"/>
    <s v="ANTIOQUIA"/>
    <s v="MEDELLIN"/>
    <s v="BARRIO MANRIQUE MEDELLIN 27"/>
    <s v="REDEBAN"/>
    <s v="FO-25-1253614"/>
    <d v="2025-07-19T08:00:00"/>
    <d v="2025-07-19T12:33:39"/>
    <s v="NO"/>
    <s v="USUARIO"/>
    <s v="COMUNICACION"/>
    <s v="CANAL DEL COMERCIO"/>
    <s v="CB UNO A UNO"/>
    <m/>
    <s v="CERRADO"/>
    <s v="19-07 SE ESCALA PARA VISITA. LLAMAR ANTES DE VISITAR, CONFIRMAR FALLA Y DATOS_x000a_0_x000a_19-07 SE REALIZÓ GESTIÓN TELEFÓNICA SE HABLÓ CON LA SEÑORA MÓNICA QUIEN NOS INFORMA QUE EL DATÁFONO SE ENCUENTRA FUNCIONANDO NORMALMENTE Y NOS INDICA QUE SE COMUNICARÁ CON EL PROVEEDOR DE INTERNET YA QUE ES UN FALLO GENERAL CON EL SERVICIO  DE INTERNET"/>
    <s v="SOPORTE_TELEFÓNICO"/>
    <n v="0"/>
    <s v="TIPO I"/>
    <s v="TERRESTRE"/>
    <s v="CASTAÑEDA PALACIO CARLOS FELIPE"/>
    <n v="0"/>
    <n v="0"/>
    <n v="0"/>
    <n v="0"/>
    <n v="37904.65408"/>
    <n v="37904.65408"/>
  </r>
  <r>
    <s v="BOGOTA"/>
    <x v="5"/>
    <x v="6"/>
    <n v="11001"/>
    <n v="2462027"/>
    <n v="75986"/>
    <s v="INCIDENTE"/>
    <s v="CUNDINAMARCA"/>
    <s v="BOGOTA"/>
    <s v="BARRIO BERLIN BOGOTA  4"/>
    <s v="REDEBAN"/>
    <s v="FO-25-1245791"/>
    <d v="2025-07-17T13:06:00"/>
    <d v="2025-07-19T12:55:24"/>
    <s v="NO"/>
    <s v="USUARIO"/>
    <s v="COMUNICACION"/>
    <s v="CONEXIONES DE COMERCIO"/>
    <s v="CB UNO A UNO"/>
    <m/>
    <s v="CERRADO"/>
    <s v="17-07 SE ESCALA PARA VISITA. LLAMAR ANTES DE VISITAR, CONFIRMAR FALLA Y DATOS_x000a_0_x000a_19-07 SE REALIZA VISITA A DIRECCIÓN DE COMERCIO, AL LLEGAR A SITIO ATIENDE LA SRA. PAOLA CASTRO SE REALIZA VALIDACIÓN DEL DATAFONO, SE ENCUENTRA OPERATIVO, LA FALLA ES DEL CABLE DEL RED DEL COMERCIO, NO SE REALIZA CAMBIO DE CABLE DE RED, EL COMERCIO PUSO OTRO CABLE DE SU PROPIEDAD, EL EQUIPO ESTÁ TRABAJANDO BIEN."/>
    <s v="VISITA_TÉCNICA"/>
    <s v="LM0BZ630"/>
    <s v="TIPO I"/>
    <s v="TERRESTRE"/>
    <s v="MURCIA HERNANDEZ HARVEY IGNACIO"/>
    <n v="1"/>
    <n v="0"/>
    <n v="0"/>
    <n v="0"/>
    <n v="65960.473639999997"/>
    <n v="65960.473639999997"/>
  </r>
  <r>
    <s v="MEDELLIN"/>
    <x v="2"/>
    <x v="2"/>
    <n v="5615"/>
    <n v="2464099"/>
    <n v="70990"/>
    <s v="INCIDENTE"/>
    <s v="ANTIOQUIA"/>
    <s v="RIONEGRO"/>
    <s v="BARRIO SAN FRANCISCO RIONEGRO"/>
    <s v="REDEBAN"/>
    <s v="FO-25-1247688"/>
    <d v="2025-07-17T17:40:00"/>
    <d v="2025-07-19T13:36:35"/>
    <s v="NO"/>
    <s v="USUARIO"/>
    <s v="USUARIOS"/>
    <s v="CREACION DE USUARIOS"/>
    <s v="CB UNO A UNO"/>
    <m/>
    <s v="CERRADO"/>
    <s v="17-07 SE ESCALA PARA VISITA. LLAMAR ANTES DE VISITAR, CONFIRMAR FALLA Y DATOS_x000a_0_x000a_19-07 SE REALIZA VERIFICACIÓN VÍA TELEFÓNICA Y SE EXPLICA LA CREACIÓN DE USUARIO, CLIENTE CONFIRMA QUE NO ES NECESARIA LA VISITA"/>
    <s v="SOPORTE_TELEFÓNICO"/>
    <n v="0"/>
    <s v="TIPO II"/>
    <s v="TERRESTRE"/>
    <s v="HERNANDEZ CHAVARRIA JUAN CAMILO"/>
    <n v="0"/>
    <n v="0"/>
    <n v="0"/>
    <n v="0"/>
    <n v="37904.65408"/>
    <n v="37904.65408"/>
  </r>
  <r>
    <s v="MEDELLIN"/>
    <x v="2"/>
    <x v="2"/>
    <n v="5001"/>
    <n v="2469134"/>
    <n v="55662"/>
    <s v="INCIDENTE"/>
    <s v="ANTIOQUIA"/>
    <s v="MEDELLIN"/>
    <s v="DISTRICOL MAS DE TODO MEDELLIN"/>
    <s v="REDEBAN"/>
    <s v="FO-25-1252561"/>
    <d v="2025-07-18T16:17:00"/>
    <d v="2025-07-19T14:34:21"/>
    <s v="NO"/>
    <s v="USUARIO"/>
    <s v="MANTENIMIENTO"/>
    <s v="MANTENIMIENTO GENERAL"/>
    <s v="AGREGADOR"/>
    <m/>
    <s v="CERRADO"/>
    <s v="18-07 SE ESCALA PARA VISITA. LLAMAR ANTES DE VISITAR, CONFIRMAR FALLA Y DATOS_x000a_0_x000a_19-07 SE LLAMA A CLIENTE PARA CONFIRMAR VISITA Y LA SEÑORA LUCERO INDICA QUE EL LECTOR DE BARRAS YA FUNCIONA BIEN"/>
    <s v="SOPORTE_TELEFÓNICO"/>
    <n v="0"/>
    <s v="TIPO I"/>
    <s v="TERRESTRE"/>
    <s v="BADEL ACUÑA LUIS ALBERTO"/>
    <n v="0"/>
    <n v="0"/>
    <n v="0"/>
    <n v="0"/>
    <n v="37904.65408"/>
    <n v="37904.65408"/>
  </r>
  <r>
    <s v="MONTERIA"/>
    <x v="3"/>
    <x v="3"/>
    <n v="23001"/>
    <s v="TA-25-871747"/>
    <n v="73110"/>
    <s v="INCIDENTE"/>
    <s v="CORDOBA"/>
    <s v="MONTERIA"/>
    <s v="DISTRICOL MECATRONICA SUCRE RM"/>
    <s v="REDEBAN"/>
    <s v="FO-25-1252746"/>
    <d v="2025-07-18T16:52:00"/>
    <d v="2025-07-19T15:24:00"/>
    <s v="NO"/>
    <s v="USUARIO"/>
    <s v="MANTENIMIENTO"/>
    <s v="MANTENIMIENTO GENERAL"/>
    <s v="AGREGADOR"/>
    <m/>
    <s v="CERRADO"/>
    <s v="18-07 SE ESCALA PARA VISITA. LLAMAR ANTES DE VISITAR, CONFIRMAR FALLA Y DATOS_x000a_0_x000a_19-07 SE REALIZA VISITA PARA INICIALIZAR EL DATAFONO Y CAMBIAR LA DIRECCIÓN DEL PUNTO, SE ENCUENTRA BATAFONO CON LA DIRECCIÓN CORRECTA, SE INICIALIZA NUEVAMENTE OK, PRUEBAS OK"/>
    <s v="VISITA_TÉCNICA"/>
    <s v="DISTRICOL MECATRONICA"/>
    <s v="TIPO I"/>
    <s v="TERRESTRE"/>
    <s v="COGOLLO ROSSO CAMILO ANDRES"/>
    <n v="1"/>
    <n v="0"/>
    <n v="0"/>
    <n v="0"/>
    <n v="65960.473639999997"/>
    <n v="65960.473639999997"/>
  </r>
  <r>
    <s v="MEDELLIN"/>
    <x v="2"/>
    <x v="2"/>
    <n v="5001"/>
    <n v="2471002"/>
    <n v="80416"/>
    <s v="INCIDENTE"/>
    <s v="ANTIOQUIA"/>
    <s v="MEDELLIN"/>
    <s v="BARRIO BELEN MEDELLIN 16"/>
    <s v="REDEBAN"/>
    <s v="FO-25-1256617"/>
    <d v="2025-07-20T08:00:00"/>
    <d v="2025-07-20T11:23:14"/>
    <s v="NO"/>
    <s v="USUARIO"/>
    <s v="USUARIOS"/>
    <s v="MALA MANIPULACION POS"/>
    <s v="CB UNO A UNO"/>
    <m/>
    <s v="CERRADO"/>
    <s v="20-07 SE ESCALA PARA VISITA. LLAMAR ANTES DE VISITAR, CONFIRMAR FALLA Y DATOS_x000a_0_x000a_20-07 SE COMUNICA CON EL USUARIO PARA CONFIRMAR VISITA E INDICA QUE YA SE SOLUCIONÓ EL DÍA DE AYER."/>
    <s v="SOPORTE_TELEFÓNICO"/>
    <n v="0"/>
    <s v="TIPO I"/>
    <s v="TERRESTRE"/>
    <s v="ZAPATA LOPEZ EDWARD ASDRUBAL"/>
    <n v="0"/>
    <n v="0"/>
    <n v="0"/>
    <n v="0"/>
    <n v="37904.65408"/>
    <n v="37904.65408"/>
  </r>
  <r>
    <s v="VILLAVICENCIO"/>
    <x v="1"/>
    <x v="1"/>
    <n v="50001"/>
    <n v="2471410"/>
    <n v="77377"/>
    <s v="INCIDENTE"/>
    <s v="META"/>
    <s v="VILLAVICENCIO"/>
    <s v="BARRIO VILLA JOHANNA VILLAVICENCIO"/>
    <s v="REDEBAN"/>
    <s v="FO-25-1256967"/>
    <d v="2025-07-20T10:38:00"/>
    <d v="2025-07-21T09:07:00"/>
    <s v="NO"/>
    <s v="USUARIO"/>
    <s v="NO ENCIENDE"/>
    <s v="CONEXIONES DE COMERCIO"/>
    <s v="CB UNO A UNO"/>
    <m/>
    <s v="CERRADO"/>
    <s v="20-07 SE ESCALA PARA VISITA. LLAMAR ANTES DE VISITAR, CONFIRMAR FALLA Y DATOS_x000a_0_x000a_21-07 SE REALIZA VISITA A COMERCIO CONEXIONES DEL COMERCIO EN MAL ESTADO SE BRINDA SOPORTE PRUEBAS OK SIN NOVEDAD"/>
    <s v="VISITA_TÉCNICA"/>
    <s v="FAEZZ458"/>
    <s v="TIPO I"/>
    <s v="TERRESTRE"/>
    <s v="CASTRILLON URREA LONDIER LEANDRO"/>
    <n v="1"/>
    <n v="0"/>
    <n v="0"/>
    <n v="0"/>
    <n v="65960.473639999997"/>
    <n v="65960.473639999997"/>
  </r>
  <r>
    <s v="MEDELLIN"/>
    <x v="2"/>
    <x v="2"/>
    <n v="5318"/>
    <n v="2471387"/>
    <n v="70122"/>
    <s v="INCIDENTE"/>
    <s v="ANTIOQUIA"/>
    <s v="GUARNE"/>
    <s v="PTM GUARNE  HOME MIAMI"/>
    <s v="REDEBAN"/>
    <s v="FO-25-1258268"/>
    <d v="2025-07-20T17:12:00"/>
    <d v="2025-07-21T11:06:00"/>
    <s v="NO"/>
    <s v="USUARIO"/>
    <s v="LECTOR DE TARJETAS"/>
    <s v="OBSTRUCCION DEL LECTOR"/>
    <s v="AGREGADOR"/>
    <m/>
    <s v="CERRADO"/>
    <s v="21-07 SE ESCALA PARA VISITA. LLAMAR ANTES DE VISITAR, CONFIRMAR FALLA Y DATOS_x000a_0_x000a_21-07 SE REALIZA MANTENIMIENTO GENERAL POR OBSTRUCCIÓN DE LECTOR DE TARJETA EN EL PINPAD"/>
    <s v="VISITA_TÉCNICA"/>
    <s v="A30EZ518 - A30EZ660"/>
    <s v="TIPO II"/>
    <s v="TERRESTRE"/>
    <s v="HERNANDEZ CHAVARRIA JUAN CAMILO"/>
    <n v="1"/>
    <n v="0"/>
    <n v="0"/>
    <n v="0"/>
    <n v="163813.55812"/>
    <n v="163813.55812"/>
  </r>
  <r>
    <s v="MEDELLIN"/>
    <x v="2"/>
    <x v="2"/>
    <n v="5390"/>
    <n v="2470689"/>
    <n v="42891"/>
    <s v="INCIDENTE"/>
    <s v="ANTIOQUIA"/>
    <s v="LA PINTADA"/>
    <s v="BARRIO CALLE PRINCIPAL LA PINT"/>
    <s v="REDEBAN"/>
    <s v="FO-25-1256628"/>
    <d v="2025-07-19T17:49:00"/>
    <d v="2025-07-21T13:09:00"/>
    <s v="NO"/>
    <s v="USUARIO"/>
    <s v="LECTOR DE TARJETAS"/>
    <s v="OBSTRUCCION DEL LECTOR"/>
    <s v="CB UNO A UNO"/>
    <m/>
    <s v="CERRADO"/>
    <s v="20-07 SE ESCALA PARA VISITA. LLAMAR ANTES DE VISITAR, CONFIRMAR FALLA Y DATOS_x000a_0_x000a_21-07 SE REALIZÓ LIMPIEZA DE LECTOR CHIP Y REPROGRAMACIÓN DE LECTOR DE BARRAS"/>
    <s v="VISITA_TÉCNICA"/>
    <s v="AB7ZZ938"/>
    <s v="TIPO II"/>
    <s v="TERRESTRE"/>
    <s v="CASTAÑEDA PALACIO CARLOS FELIPE"/>
    <n v="1"/>
    <n v="0"/>
    <n v="0"/>
    <n v="0"/>
    <n v="163813.55812"/>
    <n v="163813.55812"/>
  </r>
  <r>
    <s v="MEDELLIN"/>
    <x v="2"/>
    <x v="2"/>
    <n v="5321"/>
    <n v="2470794"/>
    <n v="26800"/>
    <s v="INCIDENTE"/>
    <s v="ANTIOQUIA"/>
    <s v="GUATAPE"/>
    <s v="BARRIO GUATAPE"/>
    <s v="REDEBAN"/>
    <s v="FO-25-1256620"/>
    <d v="2025-07-20T08:00:00"/>
    <d v="2025-07-21T13:24:00"/>
    <s v="NO"/>
    <s v="USUARIO"/>
    <s v="USUARIOS"/>
    <s v="TAPA MAL ASEGURADA"/>
    <s v="CB UNO A UNO"/>
    <m/>
    <s v="CERRADO"/>
    <s v="20-07 SE ESCALA PARA VISITA. LLAMAR ANTES DE VISITAR, CONFIRMAR FALLA Y DATOS_x000a_0_x000a_21-07 SE REALIZA PRUEBAS DE IMPRESIÓN, ESTÁN PERFECTAS, SE INDICA A USUARIO FORMA CORRETA DE USO DE TAPA Y IMPLEMENTACION DE ROLLO"/>
    <s v="VISITA_TÉCNICA"/>
    <s v="HA006872"/>
    <s v="TIPO II"/>
    <s v="TERRESTRE"/>
    <s v="HERNANDEZ CHAVARRIA JUAN CAMILO"/>
    <n v="1"/>
    <n v="0"/>
    <n v="0"/>
    <n v="0"/>
    <n v="163813.55812"/>
    <n v="163813.55812"/>
  </r>
  <r>
    <s v="MEDELLIN"/>
    <x v="2"/>
    <x v="2"/>
    <n v="5360"/>
    <n v="2474500"/>
    <n v="31143"/>
    <s v="INCIDENTE"/>
    <s v="ANTIOQUIA"/>
    <s v="ITAGUI"/>
    <s v="DISTRICOL PAPELERIA LA AGENDA"/>
    <s v="REDEBAN"/>
    <s v="FO-25-1260190"/>
    <d v="2025-07-21T10:40:00"/>
    <d v="2025-07-21T14:23:00"/>
    <s v="NO"/>
    <s v="USUARIO"/>
    <s v="MANTENIMIENTO"/>
    <s v="MANTENIMIENTO GENERAL"/>
    <s v="AGREGADOR"/>
    <m/>
    <s v="CERRADO"/>
    <s v="21-07 SE ESCALA PARA VISITA. LLAMAR ANTES DE VISITAR, CONFIRMAR FALLA Y DATOS_x000a_0_x000a_21-07 SE HACE MANTENIMIENTO DE EQUIPO Y CABLEADO"/>
    <s v="VISITA_TÉCNICA"/>
    <s v="11113760"/>
    <s v="TIPO I"/>
    <s v="TERRESTRE"/>
    <s v="MORENO MEDINA JUAN PABLO"/>
    <n v="1"/>
    <n v="0"/>
    <n v="0"/>
    <n v="0"/>
    <n v="65960.473639999997"/>
    <n v="65960.473639999997"/>
  </r>
  <r>
    <s v="MEDELLIN"/>
    <x v="2"/>
    <x v="2"/>
    <n v="5088"/>
    <n v="2474351"/>
    <n v="36304"/>
    <s v="INCIDENTE"/>
    <s v="ANTIOQUIA"/>
    <s v="BELLO"/>
    <s v="DISTRICOL CENTRAL DE CELULARES"/>
    <s v="REDEBAN"/>
    <s v="FO-25-1260196"/>
    <d v="2025-07-21T10:39:00"/>
    <d v="2025-07-21T15:25:00"/>
    <s v="NO"/>
    <s v="USUARIO"/>
    <s v="COMUNICACION"/>
    <s v="CANAL DEL COMERCIO"/>
    <s v="AGREGADOR"/>
    <m/>
    <s v="CERRADO"/>
    <s v="21-07 SE ESCALA PARA VISITA. LLAMAR ANTES DE VISITAR, CONFIRMAR FALLA Y DATOS_x000a_0_x000a_21-07 SE LLEGA A PUNTO Y CLIENTE INDICA QUE EL CORRESPONSAL YA FUNCIONA CORRECTAMENTE"/>
    <s v="VISITA_TÉCNICA"/>
    <s v="GZ00B491"/>
    <s v="TIPO I"/>
    <s v="TERRESTRE"/>
    <s v="BADEL ACUÑA LUIS ALBERTO"/>
    <n v="1"/>
    <n v="0"/>
    <n v="0"/>
    <n v="0"/>
    <n v="65960.473639999997"/>
    <n v="65960.473639999997"/>
  </r>
  <r>
    <s v="BUCARAMANGA"/>
    <x v="0"/>
    <x v="0"/>
    <n v="68001"/>
    <n v="2477627"/>
    <n v="48861"/>
    <s v="INCIDENTE"/>
    <s v="SANTANDER"/>
    <s v="BUCARAMANGA"/>
    <s v="BARRIO LUZ DE SALVACION 1 BUCA"/>
    <s v="REDEBAN"/>
    <s v="FO-25-1263171"/>
    <d v="2025-07-21T15:45:00"/>
    <d v="2025-07-22T08:44:00"/>
    <s v="NO"/>
    <s v="USUARIO"/>
    <s v="MANTENIMIENTO"/>
    <s v="MANTENIMIENTO GENERAL"/>
    <s v="CB UNO A UNO"/>
    <m/>
    <s v="CERRADO"/>
    <s v="22/07/2025 | EN COMUNICACIÓN CON LA SEÑORA LORENA AL MOVIL 317264 9315, INDICA QUE YA EL EQUIPO ESTÁ FUNCIONANDO CORRECTAMENTE Y NO REQUIERE DE LA VISITA DEL PERSONAL TECNICO, SE LE INFORMA QUE SI PRESENTA UNA FALLA NUEVAMENTE DEBERÁ SOLICITAR UN RADICADO."/>
    <s v="SOPORTE_TELEFÓNICO"/>
    <n v="0"/>
    <s v="TIPO I"/>
    <s v="TERRESTRE"/>
    <s v="SANTOS GONZALEZ JOHAN FABIAN"/>
    <n v="0"/>
    <n v="0"/>
    <n v="0"/>
    <n v="0"/>
    <n v="37904.65408"/>
    <n v="37904.65408"/>
  </r>
  <r>
    <s v="MEDELLIN"/>
    <x v="2"/>
    <x v="2"/>
    <n v="5001"/>
    <n v="2475753"/>
    <n v="75242"/>
    <s v="INCIDENTE"/>
    <s v="ANTIOQUIA"/>
    <s v="MEDELLIN"/>
    <s v="PTM MEDELLIN FERRETERIA EL IND"/>
    <s v="REDEBAN"/>
    <s v="FO-25-1261460"/>
    <d v="2025-07-21T12:26:00"/>
    <d v="2025-07-22T10:08:00"/>
    <s v="NO"/>
    <s v="USUARIO"/>
    <s v="MANTENIMIENTO"/>
    <s v="MANTENIMIENTO GENERAL"/>
    <s v="AGREGADOR"/>
    <m/>
    <s v="CERRADO"/>
    <s v="22/07/2025 / SE REALIZA VERIFICACIÓN DE EQUIPOS, ESTÁN EN PERFECTO ESTADO Y CORRECTO FUNCIONAMIENTO, CLIENTE CONFIRMA TRABAJAR SIN PROBLEMAS"/>
    <s v="VISITA_TÉCNICA"/>
    <s v="UVRZZ166 - OWZZZ999"/>
    <s v="TIPO I"/>
    <s v="TERRESTRE"/>
    <s v="HERNANDEZ CHAVARRIA JUAN CAMILO"/>
    <n v="1"/>
    <n v="0"/>
    <n v="0"/>
    <n v="0"/>
    <n v="65960.473639999997"/>
    <n v="65960.473639999997"/>
  </r>
  <r>
    <s v="MEDELLIN"/>
    <x v="2"/>
    <x v="2"/>
    <n v="5001"/>
    <n v="2477975"/>
    <n v="67241"/>
    <s v="INCIDENTE"/>
    <s v="ANTIOQUIA"/>
    <s v="MEDELLIN"/>
    <s v="DISTRICOL T REGALOS CUPIDO"/>
    <s v="REDEBAN"/>
    <s v="FO-25-1263174"/>
    <d v="2025-07-21T16:25:00"/>
    <d v="2025-07-22T10:41:00"/>
    <s v="NO"/>
    <s v="USUARIO"/>
    <s v="LECTOR DE BARRAS"/>
    <s v="CAPACITACION MANIPULACION DE COMERCIO"/>
    <s v="AGREGADOR"/>
    <m/>
    <s v="CERRADO"/>
    <s v="22/07/2025 / SE LLEGA AL PUNTO SE ENCUENTRA CERRADO SE LLAMA AL CLIENTE PARA INFORMARLE QUE ESTÁBAMOS EN EL PUNTO PERO INFORMA QUE YA NO NECESITA VISITA QUE AYER SE SOLUCIONÓ EL PROBLEMA"/>
    <s v="VISITA_TÉCNICA"/>
    <s v="NO APLICA"/>
    <s v="TIPO I"/>
    <s v="TERRESTRE"/>
    <s v="ALVAREZ ARENAS VICTOR HUGO"/>
    <n v="1"/>
    <n v="0"/>
    <n v="0"/>
    <n v="0"/>
    <n v="65960.473639999997"/>
    <n v="65960.473639999997"/>
  </r>
  <r>
    <s v="MEDELLIN"/>
    <x v="2"/>
    <x v="2"/>
    <n v="5615"/>
    <n v="2473206"/>
    <n v="24951"/>
    <s v="INCIDENTE"/>
    <s v="ANTIOQUIA"/>
    <s v="RIONEGRO"/>
    <s v="BARRIO LA GALERIA RIONEGRO"/>
    <s v="REDEBAN"/>
    <s v="FO-25-1259527"/>
    <d v="2025-07-21T09:22:00"/>
    <d v="2025-07-22T11:10:00"/>
    <s v="NO"/>
    <s v="USUARIO"/>
    <s v="LECTOR DE TARJETAS"/>
    <s v="OBSTRUCCION DEL LECTOR"/>
    <s v="CB UNO A UNO"/>
    <m/>
    <s v="CERRADO"/>
    <s v="22/07/2025 / SE REALIZÓ LIMPIEZA DE LECTOR CHIP"/>
    <s v="VISITA_TÉCNICA"/>
    <s v="ABYZZ877"/>
    <s v="TIPO II"/>
    <s v="TERRESTRE"/>
    <s v="CASTAÑEDA PALACIO CARLOS FELIPE"/>
    <n v="1"/>
    <n v="0"/>
    <n v="0"/>
    <n v="0"/>
    <n v="163813.55812"/>
    <n v="163813.55812"/>
  </r>
  <r>
    <s v="CALI"/>
    <x v="4"/>
    <x v="4"/>
    <n v="76001"/>
    <n v="2481884"/>
    <n v="74801"/>
    <s v="INCIDENTE"/>
    <s v="VALLE DEL CAUCA"/>
    <s v="CALI"/>
    <s v="BARRIO DEPARTAMENTAL CALI 1"/>
    <s v="REDEBAN"/>
    <s v="FO-25-1265910"/>
    <d v="2025-07-22T09:09:00"/>
    <d v="2025-07-22T11:43:00"/>
    <s v="NO"/>
    <s v="ENTIDAD"/>
    <s v="ERROR DE TRANSACCIONES"/>
    <s v="TRANSACCION NO PERMITIDA"/>
    <s v="CB UNO A UNO"/>
    <m/>
    <s v="CERRADO"/>
    <s v="22/07/2025 / SE LLEGA A SITIO, Y EL CB MANIFIESTA QUE EL DATÁFONO YA SE ENCUENTRA OOERATIVO, MANIFIESTAN QUE SOLICITARON TERMINAL DE COMERCIO PARA RECIBIR PAGOS DEL ALMACÉN Y YA LE AYUDARON CON EL TEMA."/>
    <s v="VISITA_TÉCNICA"/>
    <s v="MNPZZ751 - SBZZZ695"/>
    <s v="TIPO I"/>
    <s v="TERRESTRE"/>
    <s v="TORRES GARCIA JENDRY JOSE"/>
    <n v="1"/>
    <n v="0"/>
    <n v="0"/>
    <n v="0"/>
    <n v="65960.473639999997"/>
    <n v="65960.473639999997"/>
  </r>
  <r>
    <s v="MEDELLIN"/>
    <x v="2"/>
    <x v="2"/>
    <n v="5266"/>
    <n v="2483262"/>
    <n v="20834"/>
    <s v="INCIDENTE"/>
    <s v="ANTIOQUIA"/>
    <s v="ENVIGADO"/>
    <s v="MONUMENTO A LA VIRGEN ENVIGADO"/>
    <s v="REDEBAN"/>
    <s v="FO-25-1266663"/>
    <d v="2025-07-22T10:54:00"/>
    <d v="2025-07-22T16:13:00"/>
    <s v="NO"/>
    <s v="USUARIO"/>
    <s v="MANTENIMIENTO"/>
    <s v="MANTENIMIENTO GENERAL"/>
    <s v="CB UNO A UNO"/>
    <m/>
    <s v="CERRADO"/>
    <s v="22/07/2025 / SE HACE MANTENIMIENTO DE EQUIPO Y CABLEADO"/>
    <s v="VISITA_TÉCNICA"/>
    <s v="AAAGZ563"/>
    <s v="TIPO I"/>
    <s v="TERRESTRE"/>
    <s v="MORENO MEDINA JUAN PABLO"/>
    <n v="1"/>
    <n v="0"/>
    <n v="0"/>
    <n v="0"/>
    <n v="65960.473639999997"/>
    <n v="65960.473639999997"/>
  </r>
  <r>
    <s v="MEDELLIN"/>
    <x v="2"/>
    <x v="2"/>
    <n v="5001"/>
    <n v="2483163"/>
    <n v="37589"/>
    <s v="INCIDENTE"/>
    <s v="ANTIOQUIA"/>
    <s v="MEDELLIN"/>
    <s v="DISTRICOL PINFERGAS"/>
    <s v="REDEBAN"/>
    <s v="FO-25-1266671"/>
    <d v="2025-07-22T10:38:00"/>
    <d v="2025-07-22T16:17:00"/>
    <s v="NO"/>
    <s v="USUARIO"/>
    <s v="LECTOR DE TARJETAS"/>
    <s v="OBSTRUCCION DEL LECTOR"/>
    <s v="AGREGADOR"/>
    <m/>
    <s v="CERRADO"/>
    <s v="22/07/2025 / SE REALIZA MANTENIMIENTO GENERAL Y PRUEBAS PERTINENTES CON TARJETA TARJETA TODO OK"/>
    <s v="VISITA_TÉCNICA"/>
    <s v="AB01Z352"/>
    <s v="TIPO I"/>
    <s v="TERRESTRE"/>
    <s v="HERNANDEZ CHAVARRIA JUAN CAMILO"/>
    <n v="1"/>
    <n v="0"/>
    <n v="0"/>
    <n v="0"/>
    <n v="65960.473639999997"/>
    <n v="65960.473639999997"/>
  </r>
  <r>
    <s v="PEREIRA"/>
    <x v="4"/>
    <x v="5"/>
    <n v="63130"/>
    <n v="2487225"/>
    <n v="33639"/>
    <s v="INCIDENTE"/>
    <s v="QUINDIO"/>
    <s v="CALARCA"/>
    <s v="BARRIO CENTRO CALARCA 1"/>
    <s v="REDEBAN"/>
    <s v="FO-25-1270119"/>
    <d v="2025-07-23T08:00:00"/>
    <d v="2025-07-23T10:01:00"/>
    <s v="NO"/>
    <s v="USUARIO"/>
    <s v="MANTENIMIENTO"/>
    <s v="MANTENIMIENTO GENERAL"/>
    <s v="CB UNO A UNO"/>
    <m/>
    <s v="CERRADO"/>
    <s v="23/07/2025 / SE VISITÓ COMERCIO SE REALIZÓ VERIFICACIÓN DE CONFIGURACIÓN DATAFONO, PRUEBAS EXITOSAS."/>
    <s v="VISITA_TÉCNICA"/>
    <s v="BL01Y153"/>
    <s v="TIPO II"/>
    <s v="TERRESTRE"/>
    <s v="SANCHEZ SOLORZANO JUAN SEBASTIAN"/>
    <n v="1"/>
    <n v="0"/>
    <n v="0"/>
    <n v="0"/>
    <n v="163813.55812"/>
    <n v="163813.55812"/>
  </r>
  <r>
    <s v="CUCUTA"/>
    <x v="0"/>
    <x v="0"/>
    <n v="54498"/>
    <n v="2468356"/>
    <n v="71623"/>
    <s v="INCIDENTE"/>
    <s v="NORTE DE SANTANDER"/>
    <s v="OCAÑA"/>
    <s v="BARRIO OCANA OCANA"/>
    <s v="REDEBAN"/>
    <s v="FO-25-1251749"/>
    <d v="2025-07-18T14:32:00"/>
    <d v="2025-07-23T11:47:00"/>
    <s v="NO"/>
    <s v="USUARIO"/>
    <s v="USUARIOS"/>
    <s v="MALA MANIPULACION POS"/>
    <s v="CB UNO A UNO"/>
    <m/>
    <s v="CERRADO"/>
    <s v="23/07/2025 / SE VISITA COMERCIO, SE VERIFICA EQUIPO ESTÁ FUNCIONANDO PERFECTAMENTE , SE INDICA A CLIENTE SU CORRECTA MANIPULACIÓN , PRUEBAS OK / 21/07/2025 SE COMUNICA CON LA SEÑORITA JÁCOME DONDE SE LE INDICA QUE ESTA SEMANA SE ESTARÁ VISITANDO EL CORRESPONSAL PARA EJECUTAR ORDEN , CLIENTE INDICA NO TENER INCONVENIENTE QUE VISITAR DESPUÉS DEL DÍA MARTES YA QUE POR TEMAS DEL PARO NACIONAL DE ARROCEROS NO PODMEO ESTA A TIEMPO ALA ESPERA DE NEGOCIACION CON EL ESTADO"/>
    <s v="VISITA_TÉCNICA"/>
    <s v="LN00F251"/>
    <s v="TIPO IV"/>
    <s v="TERRESTRE"/>
    <s v="HERRERA LUQUE SAUL JAVIER"/>
    <n v="1"/>
    <n v="0"/>
    <n v="0"/>
    <n v="0"/>
    <n v="479589.73656000005"/>
    <n v="479589.73656000005"/>
  </r>
  <r>
    <s v="PEREIRA"/>
    <x v="4"/>
    <x v="5"/>
    <n v="66001"/>
    <n v="2487156"/>
    <n v="78610"/>
    <s v="INCIDENTE"/>
    <s v="RISARALDA"/>
    <s v="PEREIRA"/>
    <s v="BARRIO SAN NICOLAS PEREIRA  2"/>
    <s v="REDEBAN"/>
    <s v="FO-25-1270122"/>
    <d v="2025-07-23T08:00:00"/>
    <d v="2025-07-23T12:23:00"/>
    <s v="NO"/>
    <s v="USUARIO"/>
    <s v="COMUNICACION"/>
    <s v="CONEXIONES DE COMERCIO"/>
    <s v="CB UNO A UNO"/>
    <m/>
    <s v="CERRADO"/>
    <s v="23/07/2025 / SE VISITA COMERCIO SE IDENTIFICA DATÁFONO SIN CONEXIÓN SE REALIZA CAMBIO DE CONECTORES DE RED SE REALIZA RECONECTORIZACION SE REALIZA PRUEBAS OK"/>
    <s v="VISITA_TÉCNICA"/>
    <s v="F1MZZ639"/>
    <s v="TIPO I"/>
    <s v="TERRESTRE"/>
    <s v="LOAIZA LOPEZ JHON FREDDY"/>
    <n v="1"/>
    <n v="0"/>
    <n v="0"/>
    <n v="0"/>
    <n v="65960.473639999997"/>
    <n v="65960.473639999997"/>
  </r>
  <r>
    <s v="CUCUTA"/>
    <x v="0"/>
    <x v="0"/>
    <n v="54498"/>
    <n v="2470785"/>
    <n v="50734"/>
    <s v="INCIDENTE"/>
    <s v="NORTE DE SANTANDER"/>
    <s v="OCAÑA"/>
    <s v="BARRIO TORCOROMA OCANA"/>
    <s v="REDEBAN"/>
    <s v="FO-25-1256622"/>
    <d v="2025-07-20T08:00:00"/>
    <d v="2025-07-23T12:40:00"/>
    <m/>
    <s v="USUARIO"/>
    <s v="COMUNICACION"/>
    <s v="CONEXIONES DE COMERCIO"/>
    <s v="CB UNO A UNO"/>
    <m/>
    <s v="CERRADO"/>
    <s v="23/07/2025 / SE COMUNICA CON ÉL SEÑOR ARMANDO ORTIZ AL NÚMERO DE TELÉFONO 3135328269 VALIDAR DISPONIBILIDAD DE RECIBIR LA VISITA TÉCNICA PERO CLIENTE SOLICITA POR FAVOR CANCELAR DEBIDO QUE YA EL EQUIPO ESTÁ FUNCIONANDO PERFECTAMENTE , Y EL ERROR ERA DEL COMERCIO EN SUS REDES DE INTERNET"/>
    <s v="SOPORTE_TELEFÓNICO"/>
    <n v="0"/>
    <s v="TIPO IV"/>
    <s v="TERRESTRE"/>
    <s v="HERRERA LUQUE SAUL JAVIER"/>
    <n v="0"/>
    <n v="0"/>
    <n v="0"/>
    <n v="0"/>
    <n v="37904.65408"/>
    <n v="37904.65408"/>
  </r>
  <r>
    <s v="MEDELLIN"/>
    <x v="2"/>
    <x v="2"/>
    <n v="5631"/>
    <n v="2489605"/>
    <n v="79928"/>
    <s v="INCIDENTE"/>
    <s v="ANTIOQUIA"/>
    <s v="SABANETA"/>
    <s v="DISTRICOL MERCADOS JUSTO AQUI"/>
    <s v="REDEBAN"/>
    <s v="FO-25-1271603"/>
    <d v="2025-07-23T09:52:00"/>
    <d v="2025-07-23T13:01:00"/>
    <s v="NO"/>
    <s v="USUARIO"/>
    <s v="MANTENIMIENTO"/>
    <s v="MANTENIMIENTO GENERAL"/>
    <s v="AGREGADOR"/>
    <m/>
    <s v="CERRADO"/>
    <s v="23/07/2025 / SE HACE MANTENIMIENTO DE EQUIPO Y CABLEADO"/>
    <s v="VISITA_TÉCNICA"/>
    <s v="SAUZZ948"/>
    <s v="TIPO I"/>
    <s v="TERRESTRE"/>
    <s v="MORENO MEDINA JUAN PABLO"/>
    <n v="1"/>
    <n v="0"/>
    <n v="0"/>
    <n v="0"/>
    <n v="65960.473639999997"/>
    <n v="65960.473639999997"/>
  </r>
  <r>
    <s v="MEDELLIN"/>
    <x v="2"/>
    <x v="2"/>
    <n v="5001"/>
    <n v="2491022"/>
    <n v="74399"/>
    <s v="INCIDENTE"/>
    <s v="ANTIOQUIA"/>
    <s v="MEDELLIN"/>
    <s v="BARRIO BUENOS AIRES MEDELLIN 2"/>
    <s v="REDEBAN"/>
    <s v="FO-25-1272868"/>
    <d v="2025-07-23T11:27:00"/>
    <d v="2025-07-23T13:53:00"/>
    <s v="NO"/>
    <s v="USUARIO"/>
    <s v="COMUNICACION"/>
    <s v="CONEXIONES DE COMERCIO"/>
    <s v="CB UNO A UNO"/>
    <m/>
    <s v="CERRADO"/>
    <s v="23/07/2025 / SE VALIDAR CONEXIÓN DE EQUIPO, ESTA TODO OK, CLIENTE CONFIRMA TRABAJAR SIN PROBLEMAS"/>
    <s v="VISITA_TÉCNICA"/>
    <s v="MNBZZ901"/>
    <s v="TIPO I"/>
    <s v="TERRESTRE"/>
    <s v="HERNANDEZ CHAVARRIA JUAN CAMILO"/>
    <n v="1"/>
    <n v="0"/>
    <n v="0"/>
    <n v="0"/>
    <n v="65960.473639999997"/>
    <n v="65960.473639999997"/>
  </r>
  <r>
    <s v="BUCARAMANGA"/>
    <x v="0"/>
    <x v="0"/>
    <n v="68001"/>
    <n v="2487118"/>
    <n v="33743"/>
    <s v="INCIDENTE"/>
    <s v="SANTANDER"/>
    <s v="BUCARAMANGA"/>
    <s v="BARRIO GRANADA BUCARAMANGA"/>
    <s v="REDEBAN"/>
    <s v="FO-25-1270134"/>
    <d v="2025-07-23T08:00:00"/>
    <d v="2025-07-23T15:31:00"/>
    <s v="NO"/>
    <s v="USUARIO"/>
    <s v="CIERRE"/>
    <s v="COMERCIO NO REALIZA CIERRE"/>
    <s v="CB UNO A UNO"/>
    <m/>
    <s v="CERRADO"/>
    <s v="23/07/2025 / SE REALIZA BORRADO DE TRANSACCIONES YA QUE NO SE ESTABA REALIZANDO CORRECTAMENTE LOS CIERRES PRUEBAS OK SERVICIO OPERATIVO"/>
    <s v="VISITA_TÉCNICA"/>
    <s v="BL08Z616"/>
    <s v="TIPO I"/>
    <s v="TERRESTRE"/>
    <s v="REYES RAMIREZ DIEGO ALEXANDER"/>
    <n v="1"/>
    <n v="0"/>
    <n v="0"/>
    <n v="0"/>
    <n v="65960.473639999997"/>
    <n v="65960.473639999997"/>
  </r>
  <r>
    <s v="MEDELLIN"/>
    <x v="2"/>
    <x v="2"/>
    <n v="5001"/>
    <n v="2488486"/>
    <n v="16357"/>
    <s v="INCIDENTE"/>
    <s v="ANTIOQUIA"/>
    <s v="MEDELLIN"/>
    <s v="PAGAFACIL  ALMACENTRO"/>
    <s v="REDEBAN"/>
    <s v="FO-25-1270985"/>
    <d v="2025-07-23T08:47:00"/>
    <d v="2025-07-23T16:12:00"/>
    <s v="NO"/>
    <s v="USUARIO"/>
    <s v="MANTENIMIENTO"/>
    <s v="MANTENIMIENTO GENERAL"/>
    <s v="ROBUSTO"/>
    <m/>
    <s v="CERRADO"/>
    <s v="23/07/2025 / SE INSTRUYE SOBRE FUNCIÓN DEL NUEVO MODELO, EQUIPO OK"/>
    <s v="VISITA_TÉCNICA"/>
    <s v="JCZZZ329"/>
    <s v="TIPO I"/>
    <s v="TERRESTRE"/>
    <s v="QUINTERO SANCHEZ JUAN SEBASTIAN"/>
    <n v="1"/>
    <n v="0"/>
    <n v="0"/>
    <n v="0"/>
    <n v="65960.473639999997"/>
    <n v="65960.473639999997"/>
  </r>
  <r>
    <s v="CALI"/>
    <x v="4"/>
    <x v="4"/>
    <n v="76001"/>
    <n v="2490588"/>
    <n v="76112"/>
    <s v="INCIDENTE"/>
    <s v="VALLE DEL CAUCA"/>
    <s v="CALI"/>
    <s v="BARRIO CIUDAD CORDOBA CALI 9"/>
    <s v="REDEBAN"/>
    <s v="FO-25-1272894"/>
    <d v="2025-07-23T11:02:00"/>
    <d v="2025-07-23T16:18:00"/>
    <s v="NO"/>
    <s v="ENTIDAD"/>
    <s v="ERROR DE TRANSACCIONES"/>
    <s v="TRANSACCION NO PERMITIDA"/>
    <s v="CB UNO A UNO"/>
    <m/>
    <s v="CERRADO"/>
    <s v="23/07/2025 / SE CONFIGURA EQUIPO SE INICIALIZA Y QUEDA FUNCIONANDO CORRECTAMENTE"/>
    <s v="VISITA_TÉCNICA"/>
    <s v="SX0GZ263-SEZZZ612"/>
    <s v="TIPO I"/>
    <s v="TERRESTRE"/>
    <s v="CUERO RUIZ JHONNY"/>
    <n v="1"/>
    <n v="0"/>
    <n v="0"/>
    <n v="0"/>
    <n v="65960.473639999997"/>
    <n v="65960.473639999997"/>
  </r>
  <r>
    <s v="MEDELLIN"/>
    <x v="2"/>
    <x v="2"/>
    <n v="5101"/>
    <n v="2479037"/>
    <n v="10518"/>
    <s v="INCIDENTE"/>
    <s v="ANTIOQUIA"/>
    <s v="CIUDAD BOLIVAR"/>
    <s v="CIUDAD BOLIVAR III - ANTIOQUIA"/>
    <s v="REDEBAN"/>
    <s v="FO-25-1264619"/>
    <d v="2025-07-22T08:00:00"/>
    <d v="2025-07-23T16:27:00"/>
    <m/>
    <s v="USUARIO"/>
    <s v="USUARIOS"/>
    <s v="USUARIOS BLOQUEADOS"/>
    <s v="CB UNO A UNO"/>
    <m/>
    <s v="CERRADO"/>
    <s v="23/07/2025 / SE REALIZÓ GESTIÓN TELEFÓNICA SE HABLÓ CON LA SEÑORA OMAIRA PUERTA NOS INDICA QUE EL DÍA DE HOY NO ABRE EL CORRESPONSAL SE LE INDICA QUE SE PROCEDE A CERRAR VISITA POR TIEMPOS DE ATENCIÓN CLIENTE NOS INFORMA QUE SE COMUNICARÁ NUEVAMENTE EL DÍA DE MAÑANA"/>
    <s v="SOPORTE_TELEFÓNICO"/>
    <n v="0"/>
    <s v="TIPO II"/>
    <s v="TERRESTRE"/>
    <s v="CASTAÑEDA PALACIO CARLOS FELIPE"/>
    <n v="0"/>
    <n v="0"/>
    <n v="0"/>
    <n v="0"/>
    <n v="37904.65408"/>
    <n v="37904.65408"/>
  </r>
  <r>
    <s v="NEIVA"/>
    <x v="1"/>
    <x v="1"/>
    <n v="41001"/>
    <n v="2489339"/>
    <n v="72583"/>
    <s v="INCIDENTE"/>
    <s v="HUILA"/>
    <s v="NEIVA"/>
    <s v="BARRIO BUGANVILES NEIVA 2"/>
    <s v="REDEBAN"/>
    <s v="FO-25-1271618"/>
    <d v="2025-07-23T09:49:00"/>
    <d v="2025-07-23T17:29:00"/>
    <s v="NO"/>
    <s v="USUARIO"/>
    <s v="LECTOR DE BARRAS"/>
    <s v="CAPACITACION MANIPULACION DE COMERCIO"/>
    <s v="CB UNO A UNO"/>
    <m/>
    <s v="CERRADO"/>
    <s v="23/07/2025 / SE REALIZA VISITA AL PUNTO, CLIENTE INDICA QUE NO PUEDE LEER NINGUN CÓDIGO DE BARRAS , SE REALIZA VALDIACION SE EVIDENCIA QUE LA LECTORA ESTA EN BUEN ESTADO SE LE EXPLICA AL CLIENTE LA MANERA CORRECTA EN SE DEBE LEER EL CODIGO, SE REALIZAN PRUEBAS EXITOSAS.CB OPERATIVO ."/>
    <s v="VISITA_TÉCNICA"/>
    <s v="NNEZZ611"/>
    <s v="TIPO I"/>
    <s v="TERRESTRE"/>
    <s v="DEVIA REINOSO JUAN CARLOS"/>
    <n v="1"/>
    <n v="0"/>
    <n v="0"/>
    <n v="0"/>
    <n v="65960.473639999997"/>
    <n v="65960.473639999997"/>
  </r>
  <r>
    <s v="MANIZALES"/>
    <x v="4"/>
    <x v="5"/>
    <n v="17001"/>
    <n v="2489199"/>
    <n v="61417"/>
    <s v="INCIDENTE"/>
    <s v="CALDAS"/>
    <s v="MANIZALES"/>
    <s v="BARRIO LAS COLINAS MANIZALES"/>
    <s v="REDEBAN"/>
    <s v="FO-25-1271608"/>
    <d v="2025-07-23T09:51:00"/>
    <d v="2025-07-24T09:17:00"/>
    <s v="NO"/>
    <s v="USUARIO"/>
    <s v="COMUNICACION"/>
    <s v="CANAL DEL COMERCIO"/>
    <s v="CB UNO A UNO"/>
    <m/>
    <s v="CERRADO"/>
    <s v="24/07/2025 / VISITAMOS COMERCIO PERO EL DATAFONO YA NO PRESENTA LA FALLA QUÉ TENIA SE REALIZAN PRUEBAS OK DATÁFONO ESTA FUNCIONANDO CON NORMALIDAD."/>
    <s v="VISITA_TÉCNICA"/>
    <s v="KA00J376"/>
    <s v="TIPO I"/>
    <s v="TERRESTRE"/>
    <s v="ARROYAVE CANO MANUEL GUILLERMO"/>
    <n v="1"/>
    <n v="0"/>
    <n v="0"/>
    <n v="0"/>
    <n v="65960.473639999997"/>
    <n v="65960.473639999997"/>
  </r>
  <r>
    <s v="CARTAGENA"/>
    <x v="3"/>
    <x v="3"/>
    <n v="13001"/>
    <n v="2482598"/>
    <n v="24749"/>
    <s v="INCIDENTE"/>
    <s v="BOLIVAR"/>
    <s v="CARTAGENA"/>
    <s v="BARRIO LA QUINTA CARTAGENA D"/>
    <s v="REDEBAN"/>
    <s v="FO-25-1266716"/>
    <d v="2025-07-22T09:58:00"/>
    <d v="2025-07-24T09:55:00"/>
    <s v="NO"/>
    <s v="USUARIO"/>
    <s v="COMUNICACION"/>
    <s v="CANAL DEL COMERCIO"/>
    <s v="CB UNO A UNO"/>
    <m/>
    <s v="CERRADO"/>
    <s v="24/07/2025 / SE REALIZA CONFIGURACIÓN FIJA DEBIDO A QUE EL PROVEEDOR QUE TIENEN DE INTERNET TIENE PROBLEMAS Y SE DEJA OPERATIVO CON UNO DE CONTINGENCIA OPERANDO SE LE RECOMIENDA A LA PERSONA CAMBIAR EL SWICH DE RED Y TODO QUEDA OK / 23/07/2025 ._x000a_23/07/2025 BUEN DIA EN SITIO ESPERANDO AUTORIZACIÓN DE INGRESO"/>
    <s v="VISITA_TÉCNICA"/>
    <s v="9A003136"/>
    <s v="TIPO I"/>
    <s v="TERRESTRE"/>
    <s v="MARTINEZ SALGUEDO ANDRES AUGUSTO"/>
    <n v="1"/>
    <n v="0"/>
    <n v="0"/>
    <n v="0"/>
    <n v="65960.473639999997"/>
    <n v="65960.473639999997"/>
  </r>
  <r>
    <s v="BOGOTA"/>
    <x v="5"/>
    <x v="6"/>
    <n v="11001"/>
    <n v="2495988"/>
    <n v="30708"/>
    <s v="INCIDENTE"/>
    <s v="CUNDINAMARCA"/>
    <s v="BOGOTA"/>
    <s v="REVAL ALTAVISTA"/>
    <s v="REDEBAN"/>
    <s v="FO-25-1277780"/>
    <d v="2025-07-24T09:08:00"/>
    <d v="2025-07-24T12:55:00"/>
    <s v="NO"/>
    <s v="USUARIO"/>
    <s v="USUARIOS"/>
    <s v="MALA MANIPULACION POS"/>
    <s v="ROBUSTO"/>
    <m/>
    <s v="CERRADO"/>
    <s v="24/07/2025 / SE VISITA COMERCIO POR FALLA EN COMUNICACIÓN CANAL DE CONEXIÓN POR TONOS SE PROCEDE A CONFIGURAR DATÁFONO POR CONEXIÓN DE RED  REALIZANDO PRUEBAS DE COMUNICACIÓN OK , SE REALIZAN TRANSACCIONES DE PRUEBA Y SE DEJA CB OPERANDO SIN NOVEDAD"/>
    <s v="VISITA_TÉCNICA"/>
    <s v="AB0LZ026"/>
    <s v="TIPO I"/>
    <s v="TERRESTRE"/>
    <s v="ROMERO ROJAS BREIDY JHOHAN"/>
    <n v="1"/>
    <n v="0"/>
    <n v="0"/>
    <n v="0"/>
    <n v="65960.473639999997"/>
    <n v="65960.473639999997"/>
  </r>
  <r>
    <s v="MEDELLIN"/>
    <x v="2"/>
    <x v="2"/>
    <n v="5656"/>
    <n v="2496353"/>
    <n v="29388"/>
    <s v="INCIDENTE"/>
    <s v="ANTIOQUIA"/>
    <s v="SAN JERONIMO"/>
    <s v="MUTIPAGAS SAN JERONIMO"/>
    <s v="REDEBAN"/>
    <s v="FO-25-1278034"/>
    <d v="2025-07-24T09:26:00"/>
    <d v="2025-07-24T14:10:00"/>
    <s v="NO"/>
    <s v="USUARIO"/>
    <s v="MANTENIMIENTO"/>
    <s v="MANTENIMIENTO GENERAL"/>
    <s v="ROBUSTO"/>
    <m/>
    <s v="CERRADO"/>
    <s v="24/07/2025 / SE REALIZÓ VISITA SE ENCONTRÓ UN EQUIPO 2600 EL EQUIPO SE ENCUENTRA EN BUEN ESTADO PUESTO QUE FUE CAMBIADO HACE 8 DÍAS SE LE EXPLICA AL CORRESPONSAL QUE AL EQUIPO ESTÁ NUEVO LAS TECLAS VAN A SER UN POCO DURAS CON EL TIEMPO IRÁN SIENDO MÁS FÁCILES DE MANEJAR SE PROCEDE A CERRAR CAS"/>
    <s v="VISITA_TÉCNICA"/>
    <s v="BBBBV414"/>
    <s v="TIPO II"/>
    <s v="TERRESTRE"/>
    <s v="CASTAÑEDA PALACIO CARLOS FELIPE"/>
    <n v="1"/>
    <n v="0"/>
    <n v="0"/>
    <n v="0"/>
    <n v="163813.55812"/>
    <n v="163813.55812"/>
  </r>
  <r>
    <s v="MEDELLIN"/>
    <x v="2"/>
    <x v="2"/>
    <n v="5001"/>
    <n v="2493083"/>
    <n v="29481"/>
    <s v="INCIDENTE"/>
    <s v="ANTIOQUIA"/>
    <s v="MEDELLIN"/>
    <s v="BARRIO MARCHEZ TOSCANA MEDELLI"/>
    <s v="REDEBAN"/>
    <s v="FO-25-1274797"/>
    <d v="2025-07-23T15:41:00"/>
    <d v="2025-07-24T14:27:00"/>
    <s v="NO"/>
    <s v="USUARIO"/>
    <s v="COMUNICACION"/>
    <s v="CANAL DEL COMERCIO"/>
    <s v="CB UNO A UNO"/>
    <m/>
    <s v="CERRADO"/>
    <s v="24/07/2025 / SE LLEGA AL PUNTO Y USUARIO REPORTA QUE EL SERVICIO ESTÁ OK"/>
    <s v="VISITA_TÉCNICA"/>
    <s v="BBBDZ411"/>
    <s v="TIPO I"/>
    <s v="TERRESTRE"/>
    <s v="BARRIENTOS HERNANDEZ CRISTIAN HORACIO"/>
    <n v="1"/>
    <n v="0"/>
    <n v="0"/>
    <n v="0"/>
    <n v="65960.473639999997"/>
    <n v="65960.473639999997"/>
  </r>
  <r>
    <s v="MEDELLIN"/>
    <x v="2"/>
    <x v="2"/>
    <n v="5001"/>
    <n v="2497680"/>
    <n v="27468"/>
    <s v="INCIDENTE"/>
    <s v="ANTIOQUIA"/>
    <s v="MEDELLIN"/>
    <s v="DISTRICOL AVT COMUNICACIONES"/>
    <s v="REDEBAN"/>
    <s v="FO-25-1279088"/>
    <d v="2025-07-24T11:10:00"/>
    <d v="2025-07-24T14:31:00"/>
    <s v="NO"/>
    <s v="USUARIO"/>
    <s v="LECTOR DE BARRAS"/>
    <s v="CAPACITACION MANIPULACION DE COMERCIO"/>
    <s v="AGREGADOR"/>
    <m/>
    <s v="CERRADO"/>
    <s v="24/07/2025 / ZA VERIFICACIÓN DE LECTORA ESTA OK, SE REVISA PUERTO USB ESTA EN BUEN   ESTADO"/>
    <s v="VISITA_TÉCNICA"/>
    <s v="EF004286"/>
    <s v="TIPO I"/>
    <s v="TERRESTRE"/>
    <s v="HERNANDEZ CHAVARRIA JUAN CAMILO"/>
    <n v="1"/>
    <n v="0"/>
    <n v="0"/>
    <n v="0"/>
    <n v="65960.473639999997"/>
    <n v="65960.473639999997"/>
  </r>
  <r>
    <s v="MEDELLIN"/>
    <x v="2"/>
    <x v="2"/>
    <n v="5308"/>
    <n v="2497205"/>
    <n v="27317"/>
    <s v="INCIDENTE"/>
    <s v="ANTIOQUIA"/>
    <s v="GIRARDOTA"/>
    <s v="MULTIPAGAS GIRARDOTA 2"/>
    <s v="REDEBAN"/>
    <s v="FO-25-1278571"/>
    <d v="2025-07-24T10:23:00"/>
    <d v="2025-07-24T15:07:00"/>
    <s v="NO"/>
    <s v="USUARIO"/>
    <s v="MANTENIMIENTO"/>
    <s v="MANTENIMIENTO GENERAL"/>
    <s v="ROBUSTO"/>
    <m/>
    <s v="CERRADO"/>
    <s v="24/07/2025 / SE HACE MANTENIMIENTO DE EQUIPO Y CABLEADO"/>
    <s v="VISITA_TÉCNICA"/>
    <s v="999VZ131"/>
    <s v="TIPO I"/>
    <s v="TERRESTRE"/>
    <s v="MORENO MEDINA JUAN PABLO"/>
    <n v="1"/>
    <n v="0"/>
    <n v="0"/>
    <n v="0"/>
    <n v="65960.473639999997"/>
    <n v="65960.473639999997"/>
  </r>
  <r>
    <s v="TUNJA"/>
    <x v="0"/>
    <x v="0"/>
    <n v="15001"/>
    <n v="2493481"/>
    <n v="67888"/>
    <s v="INCIDENTE"/>
    <s v="BOYACA"/>
    <s v="TUNJA"/>
    <s v="BARRIO CENTRO TUNJA 23"/>
    <s v="REDEBAN"/>
    <s v="FO-25-1275095"/>
    <d v="2025-07-23T16:07:00"/>
    <d v="2025-07-24T15:11:00"/>
    <s v="NO"/>
    <s v="USUARIO"/>
    <s v="CIERRE"/>
    <s v="COMERCIO NO REALIZA CIERRE"/>
    <s v="CB UNO A UNO"/>
    <m/>
    <s v="CERRADO"/>
    <s v="24/07/2025 / SE VISITA PUNTO EVIDENCIANDO QUE EL EQUIPO SE ENCUENTRA EN ÓPTIMAS CONDICIONES SE CAMBIA FUENTE DE PODER EQUIPO CON MEMORIA ACOMULADA NO ARROJA EL CIERRE CLIENTE AUTORIZA REALIZAR BORRADO SE LE INDICA LA FORMA CORRECTA DE RELIZAR LOS CIERRES DIARIOS PRUEBAS OK CLIENTE CONFORME"/>
    <s v="VISITA_TÉCNICA"/>
    <s v="9T00P704"/>
    <s v="TIPO I"/>
    <s v="TERRESTRE"/>
    <s v="RODRIGUEZ MURCIA YERSON IVAN"/>
    <n v="1"/>
    <n v="0"/>
    <n v="0"/>
    <n v="0"/>
    <n v="65960.473639999997"/>
    <n v="65960.473639999997"/>
  </r>
  <r>
    <s v="TUNJA"/>
    <x v="0"/>
    <x v="0"/>
    <n v="15759"/>
    <n v="2495618"/>
    <n v="76920"/>
    <s v="INCIDENTE"/>
    <s v="BOYACA"/>
    <s v="SOGAMOSO"/>
    <s v="PTM SOGAMOSO MAXIMERCADO EBEN"/>
    <s v="REDEBAN"/>
    <s v="FO-25-1277315"/>
    <d v="2025-07-24T08:26:00"/>
    <d v="2025-07-24T15:58:00"/>
    <m/>
    <s v="USUARIO"/>
    <s v="COMUNICACION"/>
    <s v="CONEXIONES DE COMERCIO"/>
    <s v="AGREGADOR"/>
    <m/>
    <s v="CERRADO"/>
    <s v="24/07/2025 / SE ESTABLECE COMUNICACIÓN CON EL SEÑOR JULIAN CÁRDENAS AL NÚMERO DE CONTACTO 3227623732 CLIENTE INDICA QUE LA FALLA REPORTADA FUE DEBIDO A UNA FALLA EN LAS CONEXIONES DE INTERNET DEL COMERCIO EL CUAL YA FUE SOLUCIONADO Y EL CORRESPONSAL SE ENCUENTRA OPERANDO CORRECTAMENTE CLIENTE COMPARTE EVIDENCIA EVIDENCIANDO QUE EL CORRESPONSAL BANCARIO SE ENCUENTRA FUNCIONADO CORRECTAMENTE CLIENTE DESISTE DE LA VISITA TECNICA SE LE INDICA QUE SE PROCEDERA CON EL CIERRE DE LA ORDEN GENERADA CLIENTE CONFORME"/>
    <s v="SOPORTE_TELEFÓNICO"/>
    <n v="0"/>
    <s v="TIPO II"/>
    <s v="TERRESTRE"/>
    <s v="RODRIGUEZ MURCIA YERSON IVAN"/>
    <n v="0"/>
    <n v="0"/>
    <n v="0"/>
    <n v="0"/>
    <n v="37904.65408"/>
    <n v="37904.65408"/>
  </r>
  <r>
    <s v="PEREIRA"/>
    <x v="4"/>
    <x v="5"/>
    <n v="76020"/>
    <n v="2495708"/>
    <n v="11696"/>
    <s v="INCIDENTE"/>
    <s v="VALLE DEL CAUCA"/>
    <s v="ALCALA"/>
    <s v="ALCALA  VALLE DEL CAUCA"/>
    <s v="REDEBAN"/>
    <s v="FO-25-1277305"/>
    <d v="2025-07-24T08:32:00"/>
    <d v="2025-07-24T16:04:00"/>
    <s v="NO"/>
    <s v="USUARIO"/>
    <s v="COMUNICACION"/>
    <s v="CONEXIONES DE COMERCIO"/>
    <s v="CB UNO A UNO"/>
    <m/>
    <s v="CERRADO"/>
    <s v="24/07/2025 / SE LLEGA AL PUNTO, SE ENCUENTRA EL CABLE DE RED DESCONECTADO, SE CONECTA Y SE REALIZAN PRUEBAS OK."/>
    <s v="VISITA_TÉCNICA"/>
    <n v="11115886"/>
    <s v="TIPO II"/>
    <s v="TERRESTRE"/>
    <s v="FRANCO CAÑAVERAL YAMID RAUL"/>
    <n v="1"/>
    <n v="0"/>
    <n v="0"/>
    <n v="0"/>
    <n v="163813.55812"/>
    <n v="163813.55812"/>
  </r>
  <r>
    <s v="CUCUTA"/>
    <x v="0"/>
    <x v="0"/>
    <n v="54001"/>
    <n v="2498561"/>
    <n v="77661"/>
    <s v="INCIDENTE"/>
    <s v="NORTE DE SANTANDER"/>
    <s v="CUCUTA"/>
    <s v="BARRIO LOS OLIVOS CUCUTA  2"/>
    <s v="REDEBAN"/>
    <s v="FO-25-1279584"/>
    <d v="2025-07-24T12:32:00"/>
    <d v="2025-07-25T10:15:00"/>
    <s v="NO"/>
    <s v="USUARIO"/>
    <s v="MANTENIMIENTO"/>
    <s v="MANTENIMIENTO GENERAL"/>
    <s v="CB UNO A UNO"/>
    <m/>
    <s v="CERRADO"/>
    <s v="25/07/2025 / SE REALIZA VISITA AL COMERCIO Y SE ENCUENTRA DATAFONO DESCONFIGURADO, SE REALIZA CONFIGURACIÓN OK, PRUEBAS EXITOSAS"/>
    <s v="VISITA_TÉCNICA"/>
    <s v="10LZZ932"/>
    <s v="TIPO I"/>
    <s v="TERRESTRE"/>
    <s v="MORA VEGA JEAMPIER"/>
    <n v="1"/>
    <n v="0"/>
    <n v="0"/>
    <n v="0"/>
    <n v="65960.473639999997"/>
    <n v="65960.473639999997"/>
  </r>
  <r>
    <s v="MEDELLIN"/>
    <x v="2"/>
    <x v="2"/>
    <n v="5308"/>
    <n v="2499418"/>
    <n v="39090"/>
    <s v="INCIDENTE"/>
    <s v="ANTIOQUIA"/>
    <s v="GIRARDOTA"/>
    <s v="BARRIO CALLE SANTA GIRARDOTA"/>
    <s v="REDEBAN"/>
    <s v="FO-25-1280428"/>
    <d v="2025-07-24T14:41:00"/>
    <d v="2025-07-25T11:33:00"/>
    <s v="NO"/>
    <s v="USUARIO"/>
    <s v="LECTOR DE BARRAS"/>
    <s v="CAPACITACION MANIPULACION DE COMERCIO"/>
    <s v="CB UNO A UNO"/>
    <m/>
    <s v="CERRADO"/>
    <s v="25/07/2025 / SE REVISA LECTORA Y SE HACEN PRUEBAS PERTINENTES DEL FUNCIONAMIENTO, ESTA TODO OK, SEINDICA A USUARIO LA MANIPULACIÓN"/>
    <s v="VISITA_TÉCNICA"/>
    <s v="AA07Z130"/>
    <s v="TIPO I"/>
    <s v="TERRESTRE"/>
    <s v="HERNANDEZ CHAVARRIA JUAN CAMILO"/>
    <n v="1"/>
    <n v="0"/>
    <n v="0"/>
    <n v="0"/>
    <n v="65960.473639999997"/>
    <n v="65960.473639999997"/>
  </r>
  <r>
    <s v="YOPAL"/>
    <x v="1"/>
    <x v="1"/>
    <n v="85001"/>
    <n v="2499989"/>
    <n v="49976"/>
    <s v="INCIDENTE"/>
    <s v="CASANARE"/>
    <s v="YOPAL"/>
    <s v="BARRIO PROGRESO 1 YOPAL"/>
    <s v="REDEBAN"/>
    <s v="FO-25-1281143"/>
    <d v="2025-07-24T15:43:00"/>
    <d v="2025-07-25T11:37:00"/>
    <m/>
    <s v="USUARIO"/>
    <s v="COMUNICACION"/>
    <s v="CONEXIONES DE COMERCIO"/>
    <s v="CB UNO A UNO"/>
    <m/>
    <s v="CERRADO"/>
    <s v="25/07/2025 / EN COMUNICACIÓN CON LA SEÑORA YENY VARGAS AL NUMERO 3213115620, INDICA SE ENCUENTRA OPERATIVO EL SERVICIO, LA FALLA PRESENTADA ERA CONEXION DEL COMERCIO"/>
    <s v="SOPORTE_TELEFÓNICO"/>
    <n v="0"/>
    <s v="TIPO I"/>
    <s v="TERRESTRE"/>
    <s v="BERNAL ELAICA EDGAR ALEXIS"/>
    <n v="0"/>
    <n v="0"/>
    <n v="0"/>
    <n v="0"/>
    <n v="37904.65408"/>
    <n v="37904.65408"/>
  </r>
  <r>
    <s v="BOGOTA"/>
    <x v="5"/>
    <x v="6"/>
    <n v="25290"/>
    <n v="2497662"/>
    <n v="76800"/>
    <s v="INCIDENTE"/>
    <s v="CUNDINAMARCA"/>
    <s v="FUSAGASUGA"/>
    <s v="BARRIO ANTONIO NARIÑO FUSAGASUGA 2"/>
    <s v="REDEBAN"/>
    <s v="FO-25-1279104"/>
    <d v="2025-07-24T11:04:00"/>
    <d v="2025-07-25T11:51:00"/>
    <s v="NO"/>
    <s v="ENTIDAD"/>
    <s v="ERROR DE TRANSACCIONES"/>
    <s v="TRANSACCION NO PERMITIDA"/>
    <s v="CB UNO A UNO"/>
    <m/>
    <s v="CERRADO"/>
    <s v="25/07/2025 / DURANTE LA VISITA TECNICA PARA ATENDER INCIDENTE REPORTADO POR CORRESPONSAL BANCARIO, CORRESPONSAL NOS INDICA QUE EL DAÑO YA FUE SOLUCIONADO,  SE HACEN PRUEBAS CONFIRMANDO QUE SERVICIO SE ENCUENTRA FUNCIONAL Y OPERATIVO A CONFORMIDAD DEL CB SIN NOVEDAD EN EL INCIDENTE SALDO OK"/>
    <s v="VISITA_TÉCNICA"/>
    <s v="105ZZ346"/>
    <s v="TIPO II"/>
    <s v="TERRESTRE"/>
    <s v="GALEANO SORIANO JUAN DAVID"/>
    <n v="1"/>
    <n v="0"/>
    <n v="0"/>
    <n v="0"/>
    <n v="163813.55812"/>
    <n v="163813.55812"/>
  </r>
  <r>
    <s v="MEDELLIN"/>
    <x v="2"/>
    <x v="2"/>
    <n v="5631"/>
    <n v="2500846"/>
    <n v="80318"/>
    <s v="INCIDENTE"/>
    <s v="ANTIOQUIA"/>
    <s v="SABANETA"/>
    <s v="BARRIO SAN JOSE SABANETA 2"/>
    <s v="REDEBAN"/>
    <s v="FO-25-1281571"/>
    <d v="2025-07-24T16:43:00"/>
    <d v="2025-07-25T14:29:00"/>
    <m/>
    <s v="USUARIO"/>
    <s v="MANTENIMIENTO"/>
    <s v="MANTENIMIENTO GENERAL"/>
    <s v="CB UNO A UNO"/>
    <m/>
    <s v="CERRADO"/>
    <s v="25/07/2025 / SE REALIZÓ GESTIÓN TELEFÓNICA SE HABLÓ CON EL SEÑOR LEONARDO NOS INDICA QUE LA TAPA DE LA IMPRESORA ESTABA MAL AJUSTADA SE HIZO SU RESPECTIVA AJUSTE EL DATÁFONO SE ENCUENTRA FUNCIONANDO NORMALMENTE SE PROCEDE A CERRAR CASO"/>
    <s v="SOPORTE_TELEFÓNICO"/>
    <n v="0"/>
    <s v="TIPO I"/>
    <s v="TERRESTRE"/>
    <s v="CASTAÑEDA PALACIO CARLOS FELIPE"/>
    <n v="0"/>
    <n v="0"/>
    <n v="0"/>
    <n v="0"/>
    <n v="37904.65408"/>
    <n v="37904.65408"/>
  </r>
  <r>
    <s v="MEDELLIN"/>
    <x v="2"/>
    <x v="2"/>
    <n v="5001"/>
    <n v="2501315"/>
    <n v="40134"/>
    <s v="INCIDENTE"/>
    <s v="ANTIOQUIA"/>
    <s v="MEDELLIN"/>
    <s v="BARRIO PARQUE PRADO MEDELLIN"/>
    <s v="REDEBAN"/>
    <s v="FO-25-1282978"/>
    <d v="2025-07-25T08:00:00"/>
    <d v="2025-07-25T17:49:00"/>
    <s v="NO"/>
    <s v="USUARIO"/>
    <s v="MANTENIMIENTO"/>
    <s v="MANTENIMIENTO GENERAL"/>
    <s v="CB UNO A UNO"/>
    <m/>
    <s v="CERRADO"/>
    <s v="25/07/2025 / SE LLEGA AL PUNTO CERRADO Y SE LLAMA AL CLIENTE Y NO CONTESTA"/>
    <s v="VISITA_TÉCNICA"/>
    <s v="NA"/>
    <s v="TIPO I"/>
    <s v="TERRESTRE"/>
    <s v="MORENO MEDINA JUAN PABLO"/>
    <n v="1"/>
    <n v="0"/>
    <n v="0"/>
    <n v="0"/>
    <n v="65960.473639999997"/>
    <n v="65960.473639999997"/>
  </r>
  <r>
    <s v="MEDELLIN"/>
    <x v="2"/>
    <x v="2"/>
    <n v="5197"/>
    <n v="2502090"/>
    <n v="68663"/>
    <s v="INCIDENTE"/>
    <s v="ANTIOQUIA"/>
    <s v="COCORNA"/>
    <s v="BARRIO LA PINUELA COCORNA"/>
    <s v="REDEBAN"/>
    <s v="FO-25-1282941"/>
    <d v="2025-07-25T08:04:00"/>
    <d v="2025-07-26T10:16:00"/>
    <s v="NO"/>
    <s v="USUARIO"/>
    <s v="LECTOR DE TARJETAS"/>
    <s v="OBSTRUCCION DEL LECTOR"/>
    <s v="CB UNO A UNO"/>
    <m/>
    <s v="CERRADO"/>
    <s v="26/07/2025 / SE HACE MANTENIMIENTO GENERAL, SE REALIZAN PRUEBAS CON TARJETAS, TODO OK, LECTOR DE TARJETAS ES EN BUEN ESTADO"/>
    <s v="VISITA_TÉCNICA"/>
    <s v="A300S490"/>
    <s v="TIPO II"/>
    <s v="TERRESTRE"/>
    <s v="HERNANDEZ CHAVARRIA JUAN CAMILO"/>
    <n v="1"/>
    <n v="0"/>
    <n v="0"/>
    <n v="0"/>
    <n v="163813.55812"/>
    <n v="163813.55812"/>
  </r>
  <r>
    <s v="BOGOTA"/>
    <x v="5"/>
    <x v="6"/>
    <n v="11001"/>
    <n v="2507069"/>
    <n v="46879"/>
    <s v="INCIDENTE"/>
    <s v="CUNDINAMARCA"/>
    <s v="BOGOTA"/>
    <s v="BARRIO PASTRANITA BOGOTA 1"/>
    <s v="REDEBAN"/>
    <s v="FO-25-1287373"/>
    <d v="2025-07-26T08:00:00"/>
    <d v="2025-07-26T15:14:00"/>
    <s v="NO"/>
    <s v="USUARIO"/>
    <s v="COMUNICACION"/>
    <s v="CONEXIONES DE COMERCIO"/>
    <s v="CB UNO A UNO"/>
    <m/>
    <s v="CERRADO"/>
    <s v="26/07/2025 / SE VÁLIDA DATÁFONO CONEXIONES FÍSICAS SE VÁLIDA FALLA EN CONEXIONES EN MAL ESTADO DEL CLIENTE"/>
    <s v="VISITA_TÉCNICA"/>
    <s v="AD00A040"/>
    <s v="TIPO I"/>
    <s v="TERRESTRE"/>
    <s v="INFANTE SIERRA MANUEL FERNANDO"/>
    <n v="1"/>
    <n v="0"/>
    <n v="0"/>
    <n v="0"/>
    <n v="65960.473639999997"/>
    <n v="65960.473639999997"/>
  </r>
  <r>
    <s v="SINCELEJO"/>
    <x v="3"/>
    <x v="3"/>
    <n v="70823"/>
    <n v="2502517"/>
    <n v="34643"/>
    <s v="INCIDENTE"/>
    <s v="SUCRE"/>
    <s v="TOLU VIEJO"/>
    <s v="DISTRICOL LUNETTES GAFAS Y MON"/>
    <s v="REDEBAN"/>
    <s v="FO-25-1283340"/>
    <d v="2025-07-25T08:44:00"/>
    <d v="2025-07-27T09:16:00"/>
    <s v="NO"/>
    <s v="USUARIO"/>
    <s v="MANTENIMIENTO"/>
    <s v="MANTENIMIENTO GENERAL"/>
    <s v="AGREGADOR"/>
    <m/>
    <s v="CERRADO"/>
    <s v="27/07/2025 / SE VISITA SITIO SE VERIFICA INFORMACIÓN SE REALIZA PRIMEROS AUXILIOS, SE EVIDENCIA QUE EL DATÁFONO LE REALIZARON BORRADO DE TRANS POR ERROR Y QUEDO PENDIENTE UN REVERSO DE TRX DE RETIRO, SE PROCEDE A RECONFIGURAR PARAMETROS, ELIMINAR REVERSO Y SE REPISA LA TERMINAL, CONEXIÓN OK, PINPAD OK, LECTOR CHIP OK, IMPRESIÓN OK, ESCÁNER OK, PRUEBAS TRX EXITOSAS."/>
    <s v="VISITA_TÉCNICA"/>
    <s v="BL01B123"/>
    <s v="TIPO II"/>
    <s v="TERRESTRE"/>
    <s v="SANTOS GUZMAN CHRISTIAN FELIPE"/>
    <n v="1"/>
    <n v="0"/>
    <n v="0"/>
    <n v="0"/>
    <n v="163813.55812"/>
    <n v="163813.55812"/>
  </r>
  <r>
    <s v="CUCUTA"/>
    <x v="0"/>
    <x v="0"/>
    <n v="54172"/>
    <n v="2508002"/>
    <n v="45891"/>
    <s v="INCIDENTE"/>
    <s v="NORTE DE SANTANDER"/>
    <s v="CHINACOTA"/>
    <s v="BARRIO SAN CRISTOBAL CHINACOTA"/>
    <s v="REDEBAN"/>
    <s v="FO-25-1289179"/>
    <d v="2025-07-26T11:14:00"/>
    <d v="2025-07-28T10:50:00"/>
    <s v="NO"/>
    <s v="USUARIO"/>
    <s v="COMUNICACION"/>
    <s v="CANAL DEL COMERCIO"/>
    <s v="CB UNO A UNO"/>
    <m/>
    <s v="CERRADO"/>
    <s v="28/07/2025 / COMERCIO REALIZÓ CAMBIOS EN LA RED INTERNA Y EN LAS IP , SE REALIZA MANTENIMIENTO CIERRES Y PRUEBAS OK  / 26/07/2025 NO SÉ LOGRÓ COMUNICACIÓN CON EL CLIENTE SE PROGRAMA VISITA PARA EL DÍA LUNES YA QUE NO CONTAMOS CON SOPORTE PARA CAMBIO DE EQUIPO LOS DÍAS SÁBADOS O DOMINGOS PARA LA ATENCIÓN DEL CASO , SE PROGRAMA VISITA PARA EL DÍA LUNES 28-07-25 A LA ESPERA DE RESPUESTA DEL CLIENTE PARA SABER A QUÉ HORA NOS PODRÍA RECIBIR"/>
    <s v="VISITA_TÉCNICA"/>
    <s v="XP001391"/>
    <s v="TIPO II"/>
    <s v="TERRESTRE"/>
    <s v="DURAN ACOSTA FRANK YONNY"/>
    <n v="1"/>
    <n v="0"/>
    <n v="0"/>
    <n v="0"/>
    <n v="163813.55812"/>
    <n v="163813.55812"/>
  </r>
  <r>
    <s v="IBAGUE"/>
    <x v="1"/>
    <x v="1"/>
    <n v="73585"/>
    <n v="2508037"/>
    <n v="47760"/>
    <s v="INCIDENTE"/>
    <s v="TOLIMA"/>
    <s v="PURIFICACION"/>
    <s v="BARRIO EL TRIANGULO PURIFICACI"/>
    <s v="REDEBAN"/>
    <s v="FO-25-1289561"/>
    <d v="2025-07-26T12:36:00"/>
    <d v="2025-07-28T12:10:00"/>
    <s v="NO"/>
    <s v="USUARIO"/>
    <s v="MANTENIMIENTO"/>
    <s v="MANTENIMIENTO GENERAL"/>
    <s v="CB UNO A UNO"/>
    <m/>
    <s v="CERRADO"/>
    <s v="28/07/2025 / SE VERIFICA DATÁFONO; IMPRESORA, CONEXIÓN A INTERNET Y ELÉCTRICA. SE LE EXPLICA NUEVAMENTE AL CLIENTE EL MANEJOS DEL DATÁFONO PARA EL APAGADO Y REINICIO DEL MISMO. DATÁFONO ESTÁ OPERATIVO Y FUNCIONANDO CORRECTAMENTE. SE HACEN PRUEBAS DE TRANSACCIONES TODO OK "/>
    <s v="VISITA_TÉCNICA"/>
    <s v="XP00F507"/>
    <s v="TIPO II"/>
    <s v="TERRESTRE"/>
    <s v="VARGAS HERRERA JHON JAIRO"/>
    <n v="1"/>
    <n v="0"/>
    <n v="0"/>
    <n v="0"/>
    <n v="163813.55812"/>
    <n v="163813.55812"/>
  </r>
  <r>
    <s v="MEDELLIN"/>
    <x v="2"/>
    <x v="2"/>
    <n v="5088"/>
    <n v="2510976"/>
    <n v="77832"/>
    <s v="INCIDENTE"/>
    <s v="ANTIOQUIA"/>
    <s v="BELLO"/>
    <s v="BARRIO NUEVO BELLO 2"/>
    <s v="REDEBAN"/>
    <s v="FO-25-1293227"/>
    <d v="2025-07-28T09:26:00"/>
    <d v="2025-07-28T14:38:00"/>
    <s v="NO"/>
    <s v="USUARIO"/>
    <s v="MANTENIMIENTO"/>
    <s v="MANTENIMIENTO GENERAL"/>
    <s v="CB UNO A UNO"/>
    <m/>
    <s v="CERRADO"/>
    <s v="28/07/2025 / SE HACE MANTENIMIENTO DE EQUIPO Y CABLEADO "/>
    <s v="VISITA_TÉCNICA"/>
    <s v="A1KZZ501"/>
    <s v="TIPO I"/>
    <s v="TERRESTRE"/>
    <s v="MORENO MEDINA JUAN PABLO"/>
    <n v="1"/>
    <n v="0"/>
    <n v="0"/>
    <n v="0"/>
    <n v="65960.473639999997"/>
    <n v="65960.473639999997"/>
  </r>
  <r>
    <s v="MEDELLIN"/>
    <x v="2"/>
    <x v="2"/>
    <n v="5001"/>
    <n v="2510714"/>
    <n v="17638"/>
    <s v="INCIDENTE"/>
    <s v="ANTIOQUIA"/>
    <s v="MEDELLIN"/>
    <s v="BARRIO CALAZANS V MEDELLIN"/>
    <s v="REDEBAN"/>
    <s v="FO-25-1293044"/>
    <d v="2025-07-28T09:08:00"/>
    <d v="2025-07-28T15:25:00"/>
    <s v="NO"/>
    <s v="USUARIO"/>
    <s v="COMUNICACION"/>
    <s v="CONEXIONES DE COMERCIO"/>
    <s v="CB UNO A UNO"/>
    <m/>
    <s v="CERRADO"/>
    <s v="28/07/2025 / CABLE DE RED MAL CONECTADO EN MODEM, CLIENTE REALIZA PRUEBA. EQUIPOS OPERATIVOS"/>
    <s v="VISITA_TÉCNICA"/>
    <s v="A00JZ358"/>
    <s v="TIPO I"/>
    <s v="TERRESTRE"/>
    <s v="BADEL ACUÑA LUIS ALBERTO"/>
    <n v="1"/>
    <n v="0"/>
    <n v="0"/>
    <n v="0"/>
    <n v="65960.473639999997"/>
    <n v="65960.473639999997"/>
  </r>
  <r>
    <s v="BOGOTA"/>
    <x v="5"/>
    <x v="6"/>
    <n v="25592"/>
    <n v="2502070"/>
    <n v="35845"/>
    <s v="INCIDENTE"/>
    <s v="CUNDINAMARCA"/>
    <s v="QUEBRADANEGRA"/>
    <s v="BARRIO CENTRO QUEBRADANEGRA"/>
    <s v="REDEBAN"/>
    <s v="FO-25-1282969"/>
    <d v="2025-07-25T08:00:00"/>
    <d v="2025-07-28T16:07:00"/>
    <s v="NO"/>
    <s v="USUARIO"/>
    <s v="CIERRE"/>
    <s v="COMERCIO NO REALIZA CIERRE"/>
    <s v="CB UNO A UNO"/>
    <m/>
    <s v="CERRADO"/>
    <s v="28/07/2025 / SE VISITA CB POR FALLAS EN DATÁFONO NO REALIZA CIERRES SE CONFIRMA CON CLIENTE Y SE EVIDENCIA QUE NO ESTABA HACIENDO CIERRE GENERAL DE INDICA PROCESO CORRESPONDIENTE DE HACER CIERRE , SE REALIZAN TRANSACCIONES  DE PRUEBA OK Y SE DEJA CB OPERANDO SIN NOVEDAD  / 27/07/2025 NO HAY SOPORTE DE ACTIVOS  RBM POR SER FIN DE SEMANA"/>
    <s v="VISITA_TÉCNICA"/>
    <s v="HA002247;AB007024"/>
    <s v="TIPO III"/>
    <s v="TERRESTRE"/>
    <s v="ROMERO ROJAS BREIDY JHOHAN"/>
    <n v="1"/>
    <n v="0"/>
    <n v="0"/>
    <n v="0"/>
    <n v="275728.37943999999"/>
    <n v="275728.37943999999"/>
  </r>
  <r>
    <s v="CUCUTA"/>
    <x v="0"/>
    <x v="0"/>
    <n v="54001"/>
    <n v="2511675"/>
    <n v="67710"/>
    <s v="INCIDENTE"/>
    <s v="NORTE DE SANTANDER"/>
    <s v="CUCUTA"/>
    <s v="DISTRICOL DROGUERIA SANDERPLUS"/>
    <s v="REDEBAN"/>
    <s v="FO-25-1293885"/>
    <d v="2025-07-28T10:17:00"/>
    <d v="2025-07-28T17:09:00"/>
    <s v="NO"/>
    <s v="USUARIO"/>
    <s v="COMUNICACION"/>
    <s v="CONEXIONES DE COMERCIO"/>
    <s v="AGREGADOR"/>
    <m/>
    <s v="CERRADO"/>
    <s v="28/07/2025 / SE VISITA COMERCIO, SE REALIZA MANTENIMIENTO SE HACEN PRUEBA, CB OPERATIVO."/>
    <s v="VISITA_TÉCNICA"/>
    <s v="6A8ZZ226"/>
    <s v="TIPO I"/>
    <s v="TERRESTRE"/>
    <s v="NARANJO AFANADOR RUBEN JESUS"/>
    <n v="1"/>
    <n v="0"/>
    <n v="0"/>
    <n v="0"/>
    <n v="65960.473639999997"/>
    <n v="65960.473639999997"/>
  </r>
  <r>
    <s v="MEDELLIN"/>
    <x v="2"/>
    <x v="2"/>
    <n v="5360"/>
    <n v="2518638"/>
    <n v="22222"/>
    <s v="INCIDENTE"/>
    <s v="ANTIOQUIA"/>
    <s v="ITAGUI"/>
    <s v="PRUEBAS REDEBAN"/>
    <s v="REDEBAN"/>
    <s v="FO-25-1298725"/>
    <d v="2025-07-29T09:30:00"/>
    <d v="2025-07-29T10:28:00"/>
    <m/>
    <s v="USUARIO"/>
    <s v="MANTENIMIENTO"/>
    <s v="MANTENIMIENTO GENERAL"/>
    <s v="PRUEBA"/>
    <m/>
    <s v="CERRADO"/>
    <s v="29/07/2025 / 29-07 SE ESCALA CASO A LA RED, YA QUE NO ATENDEMOS CADENA OLIMPICA ** LA RED: TU SOLICITUD REFERENTE A GENERACIÓN DE CASOS CB OLÍMPICA BANCOLOMBIA QUEDÓ RADICADA BAJO EL TICKET NÚMERO 5735495 AL ÁREA ENCARGADA"/>
    <s v="SOPORTE_TELEFÓNICO"/>
    <n v="0"/>
    <s v="TIPO I"/>
    <s v="TERRESTRE"/>
    <s v="GOMEZ FERRARO JOHANA"/>
    <n v="0"/>
    <n v="0"/>
    <n v="0"/>
    <n v="0"/>
    <n v="37904.65408"/>
    <n v="37904.65408"/>
  </r>
  <r>
    <s v="MEDELLIN"/>
    <x v="2"/>
    <x v="2"/>
    <n v="5001"/>
    <n v="2513880"/>
    <n v="63959"/>
    <s v="INCIDENTE"/>
    <s v="ANTIOQUIA"/>
    <s v="MEDELLIN"/>
    <s v="DISTRICOL DROGUERIA LAUFER"/>
    <s v="REDEBAN"/>
    <s v="FO-25-1295148"/>
    <d v="2025-07-28T13:12:00"/>
    <d v="2025-07-29T10:42:00"/>
    <m/>
    <s v="USUARIO"/>
    <s v="MANTENIMIENTO"/>
    <s v="MANTENIMIENTO GENERAL"/>
    <s v="AGREGADOR"/>
    <m/>
    <s v="CERRADO"/>
    <s v="29/07/2025 / SE LLAMA A LA SEÑORA ALEXANDRA COMENTA QUE EL DATAFONO ESTA FUNCIONANDO CORRECTAMENTE"/>
    <s v="SOPORTE_TELEFÓNICO"/>
    <n v="0"/>
    <s v="TIPO I"/>
    <s v="TERRESTRE"/>
    <s v="MORENO MEDINA JUAN PABLO"/>
    <n v="0"/>
    <n v="0"/>
    <n v="0"/>
    <n v="0"/>
    <n v="37904.65408"/>
    <n v="37904.65408"/>
  </r>
  <r>
    <s v="CALI"/>
    <x v="4"/>
    <x v="4"/>
    <n v="76520"/>
    <n v="2513157"/>
    <n v="11785"/>
    <s v="INCIDENTE"/>
    <s v="VALLE DEL CAUCA"/>
    <s v="PALMIRA"/>
    <s v="MULTIPAGAS CENTRO"/>
    <s v="REDEBAN"/>
    <s v="FO-25-1294563"/>
    <d v="2025-07-28T11:45:00"/>
    <d v="2025-07-29T11:39:00"/>
    <s v="NO"/>
    <s v="USUARIO"/>
    <s v="COMUNICACION"/>
    <s v="CANAL DEL COMERCIO"/>
    <s v="ROBUSTO"/>
    <m/>
    <s v="CERRADO"/>
    <s v="29/07/2025 SE REALIZA CAMBIO DE IP EN CB BANCOLOMBIA YA QUE SE VERIFICA CON LOS DEMÁS DATAFONOS DEL CB Y SE ENCUENTRA DUPLICADO EL IP, SE REALIZAN PRUEBAS OK."/>
    <s v="VISITA_TÉCNICA"/>
    <s v="JAAAZ824"/>
    <s v="TIPO I"/>
    <s v="TERRESTRE"/>
    <s v="MONTERO MUESES GIAN CARLO"/>
    <n v="1"/>
    <n v="0"/>
    <n v="0"/>
    <n v="0"/>
    <n v="65960.473639999997"/>
    <n v="65960.473639999997"/>
  </r>
  <r>
    <s v="MEDELLIN"/>
    <x v="2"/>
    <x v="2"/>
    <n v="5001"/>
    <n v="2513973"/>
    <n v="75147"/>
    <s v="INCIDENTE"/>
    <s v="ANTIOQUIA"/>
    <s v="MEDELLIN"/>
    <s v="BARRIO LA AURORA MEDELLIN 1"/>
    <s v="REDEBAN"/>
    <s v="FO-25-1295141"/>
    <d v="2025-07-28T13:37:00"/>
    <d v="2025-07-29T11:53:00"/>
    <s v="NO"/>
    <s v="USUARIO"/>
    <s v="USUARIOS"/>
    <s v="TAPA MAL ASEGURADA"/>
    <s v="CB UNO A UNO"/>
    <m/>
    <s v="CERRADO"/>
    <s v="29/07/2025 / SE INDICA A USUARIO FORMA CORRECTA DE COLOCAR EL ROLLO, SE VERIFICA EQUIPO Y ESTÁ EN CORRECTO FUNCIONAMIENTO "/>
    <s v="VISITA_TÉCNICA"/>
    <s v="UXZZZ402"/>
    <s v="TIPO I"/>
    <s v="TERRESTRE"/>
    <s v="HERNANDEZ CHAVARRIA JUAN CAMILO"/>
    <n v="1"/>
    <n v="0"/>
    <n v="0"/>
    <n v="0"/>
    <n v="65960.473639999997"/>
    <n v="65960.473639999997"/>
  </r>
  <r>
    <s v="MANIZALES"/>
    <x v="4"/>
    <x v="5"/>
    <n v="17541"/>
    <n v="2516592"/>
    <n v="53593"/>
    <s v="INCIDENTE"/>
    <s v="CALDAS"/>
    <s v="PENSILVANIA"/>
    <s v="PTM PENSILVANIA DROGUERIA SAN"/>
    <s v="REDEBAN"/>
    <s v="FO-25-1296830"/>
    <d v="2025-07-28T17:37:00"/>
    <d v="2025-07-29T12:14:00"/>
    <m/>
    <s v="USUARIO"/>
    <s v="NO ENCIENDE"/>
    <s v="CONEXIONES DE COMERCIO"/>
    <s v="AGREGADOR"/>
    <m/>
    <s v="CERRADO"/>
    <s v="29/07/2025 / SE REALIZA LLAMADA CON USUARIO INDICA QUE SE LE ESTABA REINICIANDO EL DATÁFONO PERO VALIDO SU CABLEADO, EN LLAMADA TAMBIÉN SE VALIDO EL FUNCIONAMIENTO DEL EQUIPO SE ENCUENTRA OK, INDICA QUE YA NO SE LE REINICIA Y FUNCIONA CON NORMALIDAD "/>
    <s v="SOPORTE_TELEFÓNICO"/>
    <n v="0"/>
    <s v="TIPO III"/>
    <s v="TERRESTRE"/>
    <s v="AGUIRRE HENAO RAUL EDUARDO"/>
    <n v="0"/>
    <n v="0"/>
    <n v="0"/>
    <n v="0"/>
    <n v="37904.65408"/>
    <n v="37904.65408"/>
  </r>
  <r>
    <s v="MEDELLIN"/>
    <x v="2"/>
    <x v="2"/>
    <n v="5674"/>
    <n v="2509760"/>
    <n v="49600"/>
    <s v="INCIDENTE"/>
    <s v="ANTIOQUIA"/>
    <s v="SAN VICENTE"/>
    <s v="DISTRICOL AGROGANADERA RAICES"/>
    <s v="REDEBAN"/>
    <s v="FO-25-1292523"/>
    <d v="2025-07-28T08:15:00"/>
    <d v="2025-07-29T13:23:00"/>
    <s v="NO"/>
    <s v="USUARIO"/>
    <s v="COMUNICACION"/>
    <s v="CANAL DEL COMERCIO"/>
    <s v="AGREGADOR"/>
    <m/>
    <s v="CERRADO"/>
    <s v="29/07/2025 / SE VERIFICAN CONEXIONES Y SE EVIDENCIA LENTITUD DEL CANAL DEL USUARIO, SE REALIZAN PRUEBAS, EL SERVICIO QUEDA OK"/>
    <s v="VISITA_TÉCNICA"/>
    <s v="II00Q031"/>
    <s v="TIPO II"/>
    <s v="TERRESTRE"/>
    <s v="BARRIENTOS HERNANDEZ CRISTIAN HORACIO"/>
    <n v="1"/>
    <n v="0"/>
    <n v="0"/>
    <n v="0"/>
    <n v="163813.55812"/>
    <n v="163813.55812"/>
  </r>
  <r>
    <s v="BOGOTA"/>
    <x v="5"/>
    <x v="6"/>
    <n v="11001"/>
    <n v="2520628"/>
    <n v="79527"/>
    <s v="INCIDENTE"/>
    <s v="CUNDINAMARCA"/>
    <s v="BOGOTA"/>
    <s v="BARRIO ALFONSO LOPEZ GALERIAS BOGOTA"/>
    <s v="REDEBAN"/>
    <s v="FO-25-1300309"/>
    <d v="2025-07-29T11:42:00"/>
    <d v="2025-07-29T15:16:00"/>
    <s v="NO"/>
    <s v="USUARIO"/>
    <s v="COMUNICACION"/>
    <s v="CONEXIONES DE COMERCIO"/>
    <s v="CB UNO A UNO"/>
    <m/>
    <s v="CERRADO"/>
    <s v="29/07/2025 / SE REALIZA VISITA A CB PARA ATENDER INCIDENTE SE VALIDAN CONEXIONES DEL CLIENTE ,SE ACOMODA CONEXIONES Y SE REALIZAN PRUEBAS OK  / 29/07/2025 INCONVENIENTES CON SYTES, SE INFORMAR POR WHATSAPP AL GRUPO MESA  SYTEX"/>
    <s v="VISITA_TÉCNICA"/>
    <s v="LMUZZ961"/>
    <s v="TIPO I"/>
    <s v="TERRESTRE"/>
    <s v="GALINDO ROJAS LUIS FELIPE"/>
    <n v="1"/>
    <n v="0"/>
    <n v="0"/>
    <n v="0"/>
    <n v="65960.473639999997"/>
    <n v="65960.473639999997"/>
  </r>
  <r>
    <s v="CUCUTA"/>
    <x v="0"/>
    <x v="0"/>
    <n v="54874"/>
    <n v="2518847"/>
    <n v="49274"/>
    <s v="INCIDENTE"/>
    <s v="NORTE DE SANTANDER"/>
    <s v="VILLA DEL ROSARIO"/>
    <s v="DISTRICOL VERDURAS TAZMANIA"/>
    <s v="REDEBAN"/>
    <s v="FO-25-1298442"/>
    <d v="2025-07-29T09:35:00"/>
    <d v="2025-07-29T17:20:00"/>
    <s v="NO"/>
    <s v="USUARIO"/>
    <s v="MANTENIMIENTO"/>
    <s v="MANTENIMIENTO GENERAL"/>
    <s v="AGREGADOR"/>
    <m/>
    <s v="CERRADO"/>
    <s v="29/07/2025 / SE REALIZA VISITA, SE REALIZA MANTENIMIENTO, SE REALIZAN PRUEBAS Y CIERRES OK "/>
    <s v="VISITA_TÉCNICA"/>
    <s v="9C00Q124"/>
    <s v="TIPO I"/>
    <s v="TERRESTRE"/>
    <s v="PACHECO BUITRAGO JAVIER ALONSO"/>
    <n v="1"/>
    <n v="0"/>
    <n v="0"/>
    <n v="0"/>
    <n v="65960.473639999997"/>
    <n v="65960.473639999997"/>
  </r>
  <r>
    <s v="BUCARAMANGA"/>
    <x v="0"/>
    <x v="0"/>
    <n v="68001"/>
    <n v="2521027"/>
    <n v="80246"/>
    <s v="INCIDENTE"/>
    <s v="SANTANDER"/>
    <s v="BUCARAMANGA"/>
    <s v="BARRIO GUAYACANES BUCARAMANGA"/>
    <s v="REDEBAN"/>
    <s v="FO-25-1301884"/>
    <d v="2025-07-29T12:33:00"/>
    <d v="2025-07-30T10:39:00"/>
    <s v="NO"/>
    <s v="USUARIO"/>
    <s v="COMUNICACION"/>
    <s v="CONEXIONES DE COMERCIO"/>
    <s v="CB UNO A UNO"/>
    <m/>
    <s v="CERRADO"/>
    <s v="30/07/2025 / SE HACE PRESENCIA EN COMERCIO CLIENTE INFORMA QUE YA LE DIERON SOLUCIÓN AL INCONVENIENTE PRESENTADO ERA DEBIDO A QUE EL CABLE ESTA MAL PONCHADO SE REALIZA CONSULTA DE SALDO OK Y SE PROCEDE A CERRAR ORDEN "/>
    <s v="VISITA_TÉCNICA"/>
    <s v="FAZZZ545"/>
    <s v="TIPO I"/>
    <s v="TERRESTRE"/>
    <s v="ORTEBARRERAGA MARLON STWAR"/>
    <n v="1"/>
    <n v="0"/>
    <n v="0"/>
    <n v="0"/>
    <n v="65960.473639999997"/>
    <n v="65960.473639999997"/>
  </r>
  <r>
    <s v="MEDELLIN"/>
    <x v="2"/>
    <x v="2"/>
    <n v="5088"/>
    <n v="2521028"/>
    <n v="66013"/>
    <s v="INCIDENTE"/>
    <s v="ANTIOQUIA"/>
    <s v="BELLO"/>
    <s v="BARRIO NIQUIA BELLO 16"/>
    <s v="REDEBAN"/>
    <s v="FO-25-1301881"/>
    <d v="2025-07-29T12:35:00"/>
    <d v="2025-07-30T11:11:00"/>
    <s v="NO"/>
    <s v="USUARIO"/>
    <s v="NO ENCIENDE"/>
    <s v="CONEXIONES DE COMERCIO"/>
    <s v="CB UNO A UNO"/>
    <m/>
    <s v="CERRADO"/>
    <s v="30/07/2025 / SE LLEGA AL SITIO Y USUARIO INFORMA QUE YA EL SERVICIO ESTÁ FUNCIONANDO CORRECTAMENTE "/>
    <s v="VISITA_TÉCNICA"/>
    <s v="9A00N419"/>
    <s v="TIPO I"/>
    <s v="TERRESTRE"/>
    <s v="BARRIENTOS HERNANDEZ CRISTIAN HORACIO"/>
    <n v="1"/>
    <n v="0"/>
    <n v="0"/>
    <n v="0"/>
    <n v="65960.473639999997"/>
    <n v="65960.473639999997"/>
  </r>
  <r>
    <s v="MEDELLIN"/>
    <x v="2"/>
    <x v="2"/>
    <n v="5001"/>
    <n v="2523702"/>
    <n v="64398"/>
    <s v="INCIDENTE"/>
    <s v="ANTIOQUIA"/>
    <s v="MEDELLIN"/>
    <s v="BARRIO ROBLEDO BELLO HORIZONTE"/>
    <s v="REDEBAN"/>
    <s v="FO-25-1303511"/>
    <d v="2025-07-30T08:00:00"/>
    <d v="2025-07-30T11:45:00"/>
    <s v="NO"/>
    <s v="USUARIO"/>
    <s v="MANTENIMIENTO"/>
    <s v="MANTENIMIENTO GENERAL"/>
    <s v="CB UNO A UNO"/>
    <m/>
    <s v="CERRADO"/>
    <s v="30/07/2025 / SE HACE MANTENIMIENTO DE EQUIPO Y CABLEADO "/>
    <s v="VISITA_TÉCNICA"/>
    <s v="7A002306"/>
    <s v="TIPO I"/>
    <s v="TERRESTRE"/>
    <s v="MORENO MEDINA JUAN PABLO"/>
    <n v="1"/>
    <n v="0"/>
    <n v="0"/>
    <n v="0"/>
    <n v="65960.473639999997"/>
    <n v="65960.473639999997"/>
  </r>
  <r>
    <s v="MEDELLIN"/>
    <x v="2"/>
    <x v="2"/>
    <n v="5001"/>
    <n v="2525560"/>
    <n v="62822"/>
    <s v="INCIDENTE"/>
    <s v="ANTIOQUIA"/>
    <s v="MEDELLIN"/>
    <s v="BARRIO ROBLEDO MEDELLIN 22"/>
    <s v="REDEBAN"/>
    <s v="FO-25-1304850"/>
    <d v="2025-07-30T09:57:00"/>
    <d v="2025-07-30T12:26:00"/>
    <s v="NO"/>
    <s v="USUARIO"/>
    <s v="MANTENIMIENTO"/>
    <s v="MANTENIMIENTO GENERAL"/>
    <s v="CB UNO A UNO"/>
    <m/>
    <s v="CERRADO"/>
    <s v="30/07/2025 / SE HACE MANTENIMIENTO DE EQUIPO Y CABLEADO "/>
    <s v="VISITA_TÉCNICA"/>
    <s v="LA00Q034"/>
    <s v="TIPO I"/>
    <s v="TERRESTRE"/>
    <s v="MORENO MEDINA JUAN PABLO"/>
    <n v="1"/>
    <n v="0"/>
    <n v="0"/>
    <n v="0"/>
    <n v="65960.473639999997"/>
    <n v="65960.473639999997"/>
  </r>
  <r>
    <s v="CARTAGENA"/>
    <x v="3"/>
    <x v="3"/>
    <n v="13001"/>
    <n v="2523038"/>
    <n v="30332"/>
    <s v="INCIDENTE"/>
    <s v="BOLIVAR"/>
    <s v="CARTAGENA"/>
    <s v="BARRIO MANGA CARTAGENA DE INDI"/>
    <s v="REDEBAN"/>
    <s v="FO-25-1302306"/>
    <d v="2025-07-29T16:12:00"/>
    <d v="2025-07-30T15:49:00"/>
    <s v="NO"/>
    <s v="USUARIO"/>
    <s v="MANTENIMIENTO"/>
    <s v="MANTENIMIENTO GENERAL"/>
    <s v="CB UNO A UNO"/>
    <m/>
    <s v="CERRADO"/>
    <s v="30/07/2025 / SE REALIZA RECUPERACIÓN DE LA CLAVE DEL CIERRE QUEDA TODO OK "/>
    <s v="VISITA_TÉCNICA"/>
    <s v="AB11T106"/>
    <s v="TIPO I"/>
    <s v="TERRESTRE"/>
    <s v="CANEDO HERRERA ALEXANDER"/>
    <n v="1"/>
    <n v="0"/>
    <n v="0"/>
    <n v="0"/>
    <n v="65960.473639999997"/>
    <n v="65960.473639999997"/>
  </r>
  <r>
    <s v="MEDELLIN"/>
    <x v="2"/>
    <x v="2"/>
    <n v="5001"/>
    <n v="2525060"/>
    <n v="54118"/>
    <s v="INCIDENTE"/>
    <s v="ANTIOQUIA"/>
    <s v="MEDELLIN"/>
    <s v="PTM MEDELLIN SUPER+"/>
    <s v="REDEBAN"/>
    <s v="FO-25-1304096"/>
    <d v="2025-07-30T09:08:00"/>
    <d v="2025-07-30T16:01:00"/>
    <s v="NO"/>
    <s v="USUARIO"/>
    <s v="MANTENIMIENTO"/>
    <s v="MANTENIMIENTO GENERAL"/>
    <s v="AGREGADOR"/>
    <m/>
    <s v="CERRADO"/>
    <s v="30/07/2025 / SE HACE MANTENIMIENTO DE EQUIPO Y CABLEADO "/>
    <s v="VISITA_TÉCNICA"/>
    <s v="XP3ZZ010"/>
    <s v="TIPO I"/>
    <s v="TERRESTRE"/>
    <s v="MORENO MEDINA JUAN PABLO"/>
    <n v="1"/>
    <n v="0"/>
    <n v="0"/>
    <n v="0"/>
    <n v="65960.473639999997"/>
    <n v="65960.473639999997"/>
  </r>
  <r>
    <s v="CARTAGENA"/>
    <x v="3"/>
    <x v="3"/>
    <n v="13430"/>
    <n v="2513765"/>
    <n v="16325"/>
    <s v="INCIDENTE"/>
    <s v="BOLIVAR"/>
    <s v="MAGANGUE"/>
    <s v="ARRIO CENTRO MAGANGUE"/>
    <s v="REDEBAN"/>
    <s v="FO-25-1294925"/>
    <d v="2025-07-28T12:46:00"/>
    <d v="2025-07-30T16:28:00"/>
    <s v="NO"/>
    <s v="USUARIO"/>
    <s v="LECTOR DE BARRAS"/>
    <s v="CAPACITACION MANIPULACION DE COMERCIO"/>
    <s v="CB UNO A UNO"/>
    <m/>
    <s v="CERRADO"/>
    <s v="30/07/2025 / SE VISITA SITIO SE VERIFICA INFORMACIÓN SE , SE REALIZA PRIMEROS AUXILIOS , SE REALIZA PRUEBA DE LECTURA DE ESCÁNER EXITOSA, TECLADO OK LECTURA CHIP OK, IMPRESIÓN OK. LA FALLA CORRESPONDE A MANIPULACIÓN DEL ESCÁNER, SE RETROALIMENTA EN EL FUNCIONAMIENTO CORRECTO Y SE LE INDICA QUE NO SE DEBE DESCONECTAR."/>
    <s v="VISITA_TÉCNICA"/>
    <s v="ON004007"/>
    <s v="TIPO IV"/>
    <s v="TERRESTRE"/>
    <s v="SANTOS GUZMAN CHRISTIAN FELIPE"/>
    <n v="1"/>
    <n v="0"/>
    <n v="0"/>
    <n v="0"/>
    <n v="479589.73656000005"/>
    <n v="479589.73656000005"/>
  </r>
  <r>
    <s v="PEREIRA"/>
    <x v="4"/>
    <x v="5"/>
    <n v="66170"/>
    <n v="2529656"/>
    <n v="65900"/>
    <s v="INCIDENTE"/>
    <s v="RISARALDA"/>
    <s v="DOSQUEBRADAS"/>
    <s v="BARRIO PATINO AMARILES DOSQUEB"/>
    <s v="REDEBAN"/>
    <s v="FO-25-1308199"/>
    <d v="2025-07-30T16:43:00"/>
    <d v="2025-07-31T09:58:00"/>
    <m/>
    <s v="USUARIO"/>
    <s v="COMUNICACION"/>
    <s v="CANAL DEL COMERCIO"/>
    <s v="CB UNO A UNO"/>
    <m/>
    <s v="CERRADO"/>
    <s v="31/07/2025 / EN COMUNICACIÓN CON EL SR ALEJANDRO, INDICA QUE EL PROBLEMA ERA DEL PROVEEDOR DE INTERNET, PERO QUE YA SE RESTABLECIÓ EL SERVICIO Y YA ESTÁ FUNCIONANDO CORRECTAMENTE EL DATÁFONO."/>
    <s v="SOPORTE_TELEFÓNICO"/>
    <n v="0"/>
    <s v="TIPO I"/>
    <s v="TERRESTRE"/>
    <s v="FRANCO CAÑAVERAL YAMID RAUL"/>
    <n v="0"/>
    <n v="0"/>
    <n v="0"/>
    <n v="0"/>
    <n v="37904.65408"/>
    <n v="37904.65408"/>
  </r>
  <r>
    <s v="BOGOTA"/>
    <x v="5"/>
    <x v="6"/>
    <n v="11001"/>
    <n v="2526703"/>
    <n v="76497"/>
    <s v="INCIDENTE"/>
    <s v="CUNDINAMARCA"/>
    <s v="BOGOTA"/>
    <s v="BARRIO ESPERANZA SUR BOGOTA"/>
    <s v="REDEBAN"/>
    <s v="FO-25-1305347"/>
    <d v="2025-07-30T11:09:00"/>
    <d v="2025-07-31T10:37:00"/>
    <s v="NO"/>
    <s v="USUARIO"/>
    <s v="COMUNICACION"/>
    <s v="CONEXIONES DE COMERCIO"/>
    <s v="CB UNO A UNO"/>
    <m/>
    <s v="CERRADO"/>
    <s v="31/07/2025 / SE REALIZA VISITA A CB PARA Y INCIDENTE SE REALIZA CAMBIO DE CABLE DE RED ,SE REALIZAN PRUEBAS OK / 31/07/2025 SE LLEGA A CB PARA ATENDER INCIDENTE CLIENTE INDICA QUE VIENE EN UN TRANCÓN Y QUE DEMORA 20MINUTOS"/>
    <s v="VISITA_TÉCNICA"/>
    <s v="F10YZ560"/>
    <s v="TIPO I"/>
    <s v="TERRESTRE"/>
    <s v="GALINDO ROJAS LUIS FELIPE"/>
    <n v="1"/>
    <n v="0"/>
    <n v="0"/>
    <n v="0"/>
    <n v="65960.473639999997"/>
    <n v="65960.473639999997"/>
  </r>
  <r>
    <s v="MEDELLIN"/>
    <x v="2"/>
    <x v="2"/>
    <n v="5266"/>
    <n v="2527936"/>
    <n v="23668"/>
    <s v="INCIDENTE"/>
    <s v="ANTIOQUIA"/>
    <s v="ENVIGADO"/>
    <s v="BARRIO EL DORADO LII ENVIGADO"/>
    <s v="REDEBAN"/>
    <s v="FO-25-1306698"/>
    <d v="2025-07-30T14:03:00"/>
    <d v="2025-07-31T10:58:00"/>
    <s v="NO"/>
    <s v="USUARIO"/>
    <s v="MANTENIMIENTO"/>
    <s v="MANTENIMIENTO GENERAL"/>
    <s v="CB UNO A UNO"/>
    <m/>
    <s v="CERRADO"/>
    <s v="31/07/2025 / SE HACE MANTENIMIENTO DE EQUIPO Y CABLEADO "/>
    <s v="VISITA_TÉCNICA"/>
    <s v="ABC0E002"/>
    <s v="TIPO I"/>
    <s v="TERRESTRE"/>
    <s v="MORENO MEDINA JUAN PABLO"/>
    <n v="1"/>
    <n v="0"/>
    <n v="0"/>
    <n v="0"/>
    <n v="65960.473639999997"/>
    <n v="65960.473639999997"/>
  </r>
  <r>
    <s v="MEDELLIN"/>
    <x v="2"/>
    <x v="2"/>
    <n v="5001"/>
    <n v="2532533"/>
    <n v="16180"/>
    <s v="INCIDENTE"/>
    <s v="ANTIOQUIA"/>
    <s v="MEDELLIN"/>
    <s v="BARRIO SANTA MONICA MEDELLIN"/>
    <s v="REDEBAN"/>
    <s v="FO-25-1310701"/>
    <d v="2025-07-31T10:28:00"/>
    <d v="2025-07-31T12:19:00"/>
    <s v="NO"/>
    <s v="USUARIO"/>
    <s v="LECTOR DE TARJETAS"/>
    <s v="OBSTRUCCION DEL LECTOR"/>
    <s v="CB UNO A UNO"/>
    <m/>
    <s v="CERRADO"/>
    <s v="31/07/2025 / SE REALIZA MANTENIMIENTO GENERAL A PINPAD Y PRUEBAS PERTINENTES, ESTA OK EL EQUIPO "/>
    <s v="VISITA_TÉCNICA"/>
    <s v="AA002744"/>
    <s v="TIPO I"/>
    <s v="TERRESTRE"/>
    <s v="HERNANDEZ CHAVARRIA JUAN CAMILO"/>
    <n v="1"/>
    <n v="0"/>
    <n v="0"/>
    <n v="0"/>
    <n v="65960.473639999997"/>
    <n v="65960.473639999997"/>
  </r>
  <r>
    <s v="MEDELLIN"/>
    <x v="2"/>
    <x v="2"/>
    <n v="5001"/>
    <n v="2529640"/>
    <n v="28075"/>
    <s v="INCIDENTE"/>
    <s v="ANTIOQUIA"/>
    <s v="MEDELLIN"/>
    <s v="DISTRICOL PUNTO AYACUCHO"/>
    <s v="REDEBAN"/>
    <s v="FO-25-1308213"/>
    <d v="2025-07-30T16:38:00"/>
    <d v="2025-07-31T13:35:00"/>
    <m/>
    <s v="USUARIO"/>
    <s v="MANTENIMIENTO"/>
    <s v="MANTENIMIENTO GENERAL"/>
    <s v="AGREGADOR"/>
    <m/>
    <s v="CERRADO"/>
    <s v="31/07/2025 / SE HABLÓ CON EL SEÑOR LEONARDO, NOS INFORMA QUE YA LOGRARON SOLUCIONAR LA NOVEDAD DE INGRESO PARA REALIZAR CIERRES, CB YA ESTA OPERATIVO. SE CIERRA INCIDENTE."/>
    <s v="SOPORTE_TELEFÓNICO"/>
    <n v="0"/>
    <s v="TIPO I"/>
    <s v="TERRESTRE"/>
    <s v="MORENO MEDINA JUAN PABLO"/>
    <n v="0"/>
    <n v="0"/>
    <n v="0"/>
    <n v="0"/>
    <n v="37904.65408"/>
    <n v="37904.65408"/>
  </r>
  <r>
    <s v="MEDELLIN"/>
    <x v="2"/>
    <x v="2"/>
    <n v="5088"/>
    <n v="2530020"/>
    <n v="46913"/>
    <s v="INCIDENTE"/>
    <s v="ANTIOQUIA"/>
    <s v="BELLO"/>
    <s v="DISTRICOL ALMACEN AK"/>
    <s v="REDEBAN"/>
    <s v="FO-25-1308575"/>
    <d v="2025-07-30T17:51:00"/>
    <d v="2025-07-31T13:39:00"/>
    <s v="NO"/>
    <s v="USUARIO"/>
    <s v="COMUNICACION"/>
    <s v="CANAL DEL COMERCIO"/>
    <s v="AGREGADOR"/>
    <m/>
    <s v="CERRADO"/>
    <s v="31/07/2025 / SE VERIFICAN CONEXIONES, SE FORMATEA DATÁFONO, SE INSTALA SISTEMA OPERATIVO, VERSIÓN 9.90, SE DEJAN SERVICIOS FUNCIONANDO CORRECTAMENTE "/>
    <s v="VISITA_TÉCNICA"/>
    <s v="AD00C147"/>
    <s v="TIPO I"/>
    <s v="TERRESTRE"/>
    <s v="BARRIENTOS HERNANDEZ CRISTIAN HORACIO"/>
    <n v="1"/>
    <n v="0"/>
    <n v="0"/>
    <n v="0"/>
    <n v="65960.473639999997"/>
    <n v="65960.473639999997"/>
  </r>
  <r>
    <s v="CALI"/>
    <x v="4"/>
    <x v="4"/>
    <n v="76001"/>
    <n v="2533244"/>
    <n v="45452"/>
    <s v="INCIDENTE"/>
    <s v="VALLE DEL CAUCA"/>
    <s v="CALI"/>
    <s v="DISTRICOL CENTRAL DE PAGOS FAC"/>
    <s v="REDEBAN"/>
    <s v="FO-25-1311406"/>
    <d v="2025-07-31T11:28:00"/>
    <d v="2025-07-31T13:45:00"/>
    <s v="NO"/>
    <s v="USUARIO"/>
    <s v="COMUNICACION"/>
    <s v="CONEXIONES DE COMERCIO"/>
    <s v="AGREGADOR"/>
    <m/>
    <s v="CERRADO"/>
    <s v="31/07/2025 / SE LLEGA AL COMERCIO Y NOS DAMOS CUENTA QUE EL PROBLEMA ES LA CONEXIÓN DEL CLIENTE, ROUTER ESTA FALLANDO "/>
    <s v="VISITA_TÉCNICA"/>
    <s v="AC0MZ804"/>
    <s v="TIPO I"/>
    <s v="TERRESTRE"/>
    <s v="CUERO RUIZ JHONNY"/>
    <n v="1"/>
    <n v="0"/>
    <n v="0"/>
    <n v="0"/>
    <n v="65960.473639999997"/>
    <n v="65960.473639999997"/>
  </r>
  <r>
    <m/>
    <x v="6"/>
    <x v="7"/>
    <m/>
    <m/>
    <m/>
    <m/>
    <m/>
    <m/>
    <m/>
    <m/>
    <m/>
    <m/>
    <m/>
    <m/>
    <m/>
    <m/>
    <m/>
    <m/>
    <m/>
    <m/>
    <m/>
    <m/>
    <m/>
    <m/>
    <m/>
    <m/>
    <m/>
    <m/>
    <m/>
    <m/>
    <m/>
    <n v="18322377.741759989"/>
  </r>
  <r>
    <m/>
    <x v="6"/>
    <x v="7"/>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BUCARAMANGA"/>
    <x v="0"/>
    <x v="0"/>
    <n v="68745"/>
    <n v="13657371"/>
    <n v="39748"/>
    <s v="ORDEN DE CAMBIO"/>
    <s v="SANTANDER"/>
    <s v="SIMACOTA"/>
    <s v="PTM SIMACOTA DE SHOPPING NC"/>
    <s v="REDEBAN"/>
    <s v="FO-25-1158159"/>
    <d v="2025-07-01T08:22:00"/>
    <d v="2025-07-07T16:15:00"/>
    <m/>
    <s v="TRASLADO"/>
    <s v="TRASLADO EXTERNO"/>
    <s v="AGREGADOR"/>
    <s v="COMCARD - PTM"/>
    <s v="EJECUTADO_CANCELADO"/>
    <s v="PETICIÓN USUARIO"/>
    <s v="SOLICITUD DE TRASLADO EXTERNO_x000a_07/07/2025 EN COMUNICACIÓN CON LA SEÑORA DÉBORA CALDERÓN AL NÚMERO 3102736915 NOS INDICA REALIZAR LA VISITA EL DÍA DE MAÑANA DEBIDO A QUE EL DÍA DE HOY LE ESTÁN INSTALANDO EL INTERNET EN EL NUEVO COMERCIO_x000a_07/07/2025  En comunicación con la señora Débora Calderón Ramírez al número 3102736915 se le indica que cuando tenga el servicio de Internet en el comercio se comunique nuevamente a la línea de Bancolombia 018000953344 para gestionar nuevamente el traslado"/>
    <s v="SOPORTE_TELEFÓNICO"/>
    <n v="0"/>
    <s v="TIPO III"/>
    <s v="TERRESTRE"/>
    <s v="MARIÑO PABON JORGE ENRIQUE"/>
    <n v="0"/>
    <n v="0"/>
    <n v="0"/>
    <n v="0"/>
    <n v="37904.65408"/>
    <n v="37904.65408"/>
  </r>
  <r>
    <s v="BUCARAMANGA"/>
    <x v="0"/>
    <x v="0"/>
    <n v="68547"/>
    <n v="13550820"/>
    <n v="67941"/>
    <s v="ORDEN DE CAMBIO"/>
    <s v="SANTANDER"/>
    <s v="PIEDECUESTA"/>
    <s v="PTM PIEDECUESTA DON PALETA"/>
    <s v="REDEBAN"/>
    <s v="FO-25-1199698"/>
    <d v="2025-07-08T09:38:00"/>
    <d v="2025-07-09T11:41:00"/>
    <m/>
    <s v="TRASLADO"/>
    <s v="TRASLADO EXTERNO"/>
    <s v="AGREGADOR"/>
    <s v="COMCARD - PTM"/>
    <s v="GESTIÓN_TELEFÓNICA"/>
    <s v="CANCELADO POR EL USUARIO"/>
    <s v="SOLICITUD DE TRASLADO_x000a_09/07/2025 SE COMUNICA CON LA SEÑORITA CLAUDIA LEÓN AL NUMERO 3183364093 EL CUAL NOS INFORMA QUE ELLA NO SOLICITO UN TRASLADO , QUE POR FAVOR ELLA NO DESEA CONTINUAR CON EL SERVICIO Y NECESITA UN RETIRO DE EQUIPOS , SE LE INFORMA QUE POR FAVOR LLAMAR AL NUMERO 018000953344 PARA QUE SOLICITE EL RETIRO DE LOS EQUIPOS_x000a_09/07/2025  SE COMUNICA CON LA SEÑORITA CLAUDIA LEÓN AL NUMERO 3183364093 EL CUAL NOS INFORMA QUE ELLA NO SOLICITO UN TRASLADO , QUE POR FAVOR ELLA NO DESEA CONTINUAR CON EL SERVICIO Y NECESITA UN RETIRO DE EQUIPOS , SE LE INFORMA QUE POR FAVOR LLAMAR AL NUMERO 018000953344 PARA QUE SOLICITE EL RETIRO DE LOS EQUIPOS"/>
    <s v="SOPORTE_TELEFÓNICO"/>
    <n v="0"/>
    <s v="TIPO II"/>
    <s v="TERRESTRE"/>
    <s v="BARAJAS BERMUDEZ YAHIR MAURICIO"/>
    <n v="0"/>
    <n v="0"/>
    <n v="0"/>
    <n v="0"/>
    <n v="37904.65408"/>
    <n v="37904.65408"/>
  </r>
  <r>
    <s v="BOGOTA"/>
    <x v="1"/>
    <x v="1"/>
    <n v="25899"/>
    <n v="13677662"/>
    <n v="43058"/>
    <s v="ORDEN DE CAMBIO"/>
    <s v="CUNDINAMARCA"/>
    <s v="ZIPAQUIRA"/>
    <s v="BARRIO CENTRO ZIPAQUIRA 3"/>
    <s v="REDEBAN"/>
    <s v="FO-25-1193816"/>
    <d v="2025-07-07T09:45:00"/>
    <d v="2025-07-09T14:07:00"/>
    <m/>
    <s v="TRASLADO"/>
    <s v="TRASLADO EXTERNO"/>
    <s v="CB UNO A UNO"/>
    <s v="CB UNO A UNO"/>
    <s v="GESTIÓN_TELEFÓNICA"/>
    <s v="CANCELADO POR EL USUARIO"/>
    <s v="SOLICITUD DE TRASLADO_x000a_0_x000a_09/07/2025  Se realiza llamada de validación se habla con la Sra. Doris Sierra quien informa que aún no cuenta con servicio de internet en el local donde se va a trasladar el corresponsal, se le informa que apenas tenga el servicio de internet se vuelva a comunicar con la linea de corresponsales y solicite nueva fecha de vista técnica para ejecutar el traslado."/>
    <s v="SOPORTE_TELEFÓNICO"/>
    <n v="0"/>
    <s v="TIPO II"/>
    <s v="TERRESTRE"/>
    <s v="MURCIA HERNANDEZ HARVEY IGNACIO"/>
    <n v="0"/>
    <n v="0"/>
    <n v="0"/>
    <n v="0"/>
    <n v="37904.65408"/>
    <n v="37904.65408"/>
  </r>
  <r>
    <s v="CUCUTA"/>
    <x v="0"/>
    <x v="0"/>
    <n v="54498"/>
    <n v="13588666"/>
    <n v="60894"/>
    <s v="ORDEN DE CAMBIO"/>
    <s v="NORTE DE SANTANDER"/>
    <s v="OCAÑA"/>
    <s v="PTM OCANA GILU"/>
    <s v="REDEBAN"/>
    <s v="FO-25-1206123"/>
    <d v="2025-07-08T09:38:00"/>
    <d v="2025-07-09T15:04:00"/>
    <m/>
    <s v="TRASLADO"/>
    <s v="TRASLADO EXTERNO"/>
    <s v="AGREGADOR"/>
    <s v="COMCARD - PTM"/>
    <s v="EJECUTADO_EXITOSO"/>
    <s v="EJECUTADO EXITOSO"/>
    <s v="SOLICITUD DE TRASLADO_x000a_0_x000a_08/07/2025  Se realizó visita al comercio y se encuentra solo datafono, no se encuentro pid pad, lectora ni hud, se le informa al cliente que para realizar correctamente el traslado debe tener las placas en el comercio, se le informa que no se puede realizar traslado ya que no cuenta con las placas o realizar el respectivo denuncio ante la fiscalía reportado las placas perdidas._x000a_0_x000a_09/07/2025 SE REALIZÓ TRASLADO DE DIRECCIÓN OK, SE REALIZA CAMBIO DE DATAFONO POR COMPATIBILIDAD CON PID PAD INSTALADO, SE INSTALA PID PAD, LECTORA OK, SE INSTALARON EQUIPOS NUEVOS YA QUE EL EL SR GUSTAVO REPORTA A FISCALÍA LOS EQUIPOS, Y RBM AUTORIZA INSTALAR NUEVAMENTE. PRUEBAS CON RECHAZO GENERAL A LA ESPERA DE ACTIVACIÓN. Rbm autoriza instalar equipos nuevamente ya que el representante puso el reporte de robo de equipos ante la fiscalía, se instala pid pad y lectora Magic box 2600"/>
    <s v="VISITA_TÉCNICA"/>
    <s v="KA00F795"/>
    <s v="TIPO IV"/>
    <s v="TERRESTRE"/>
    <s v="MORA VEGA JEAMPIER"/>
    <n v="1"/>
    <n v="0"/>
    <n v="0"/>
    <n v="0"/>
    <n v="479589.73656000005"/>
    <n v="479589.73656000005"/>
  </r>
  <r>
    <s v="CARTAGENA"/>
    <x v="2"/>
    <x v="2"/>
    <n v="13001"/>
    <n v="13461670"/>
    <n v="69446"/>
    <s v="ORDEN DE CAMBIO"/>
    <s v="BOLIVAR"/>
    <s v="CARTAGENA"/>
    <s v="PTM CARTAGENA  DROGUERIA G V P"/>
    <s v="REDEBAN"/>
    <s v="FO-25-1199693"/>
    <d v="2025-07-08T09:38:00"/>
    <d v="2025-07-10T07:46:00"/>
    <m/>
    <s v="TRASLADO"/>
    <s v="TRASLADO EXTERNO"/>
    <s v="AGREGADOR"/>
    <s v="COMCARD - PTM"/>
    <s v="GESTIÓN_TELEFÓNICA"/>
    <s v="CANCELADO POR EL USUARIO"/>
    <s v="SOLICITUD DE TRASLADO_x000a_09/07/2025 CLIENTE GERMÁN VALLE INFORMA VÍA TELEFONICA QUE SOLICITO EL TRASLADO HACE MUCHO TIEMPO Y NO SE LO HABÍAN QUERIDO APROBAR POR LO TANTO COMENTA QUE YA NO DESEA TENER EL CORRESPONSAL Y VA SOLICITAR EL CIERRE DEBIDO A QUE SE FUE DEL PAIS_x000a_09/07/2025  Cliente germán valle informa vía telefonica que solicito el traslado hace mucho tiempo y no se lo habían querido aprobar por lo tanto comenta que ya no desea tener el corresponsal y va solicitar el cierre debido a que se fue del pais"/>
    <s v="SOPORTE_TELEFÓNICO"/>
    <n v="0"/>
    <s v="TIPO I"/>
    <s v="TERRESTRE"/>
    <s v="MARTINEZ SALGUEDO ANDRES AUGUSTO"/>
    <n v="0"/>
    <n v="0"/>
    <n v="0"/>
    <n v="0"/>
    <n v="37904.65408"/>
    <n v="37904.65408"/>
  </r>
  <r>
    <s v="PEREIRA"/>
    <x v="3"/>
    <x v="3"/>
    <n v="66001"/>
    <n v="13365127"/>
    <n v="71933"/>
    <s v="ORDEN DE CAMBIO"/>
    <s v="RISARALDA"/>
    <s v="PEREIRA"/>
    <s v="DISTRICOL FENIX INTERNET Y PAP"/>
    <s v="REDEBAN"/>
    <s v="FO-25-1213639"/>
    <d v="2025-07-10T10:54:00"/>
    <d v="2025-07-11T11:31:00"/>
    <m/>
    <s v="TRASLADO"/>
    <s v="TRASLADO EXTERNO"/>
    <s v="AGREGADOR"/>
    <s v="DISTRICOL"/>
    <s v="EJECUTADO_CANCELADO"/>
    <s v="PETICIÓN USUARIO"/>
    <s v="SOLICITUD DE TRASLADO EXTERNO_x000a_0_x000a_11/07/2025  Visitamos comercio pero el traslado externo no es posible realizarlo ya que la persona que le iba alquilar el local en la nueva dirección no le pudo dar espera para  poder hacer el traslado por el momento ellos continúan en la misma dirección que es MZ 6 CS 12"/>
    <s v="VISITA_TÉCNICA"/>
    <n v="0"/>
    <s v="TIPO I"/>
    <s v="TERRESTRE"/>
    <s v="ARROYAVE CANO MANUEL GUILLERMO"/>
    <n v="1"/>
    <n v="0"/>
    <n v="0"/>
    <n v="0"/>
    <n v="65960.473639999997"/>
    <n v="65960.473639999997"/>
  </r>
  <r>
    <s v="MEDELLIN"/>
    <x v="4"/>
    <x v="4"/>
    <n v="5736"/>
    <n v="13408567"/>
    <n v="77365"/>
    <s v="ORDEN DE CAMBIO"/>
    <s v="ANTIOQUIA"/>
    <s v="SEGOVIA"/>
    <s v="DISTRICOL GIROS D Y M"/>
    <s v="REDEBAN"/>
    <s v="FO-25-1107247"/>
    <d v="2025-06-18T08:30:00"/>
    <d v="2025-07-14T15:15:00"/>
    <m/>
    <s v="TRASLADO"/>
    <s v="TRASLADO EXTERNO"/>
    <s v="AGREGADOR"/>
    <s v="DISTRICOL"/>
    <s v="GESTIÓN_TELEFÓNICA"/>
    <s v="CANCELADO POR LA ENTIDAD-SOPORTE TELEFONICO"/>
    <s v="SOLICITUD TRASLADO EXTERNO - 25-06  ACTIVIDAD SE ATIENDE PROBABLEMENTE EL DÍA DE MAÑANA 26-06 ** 27-06 CASO ESCALADO A LA RED POR NOVEDAD DE ORDEN PUBLICO EN LA ZONA ** 14-07 LA RED: SEGUN INDICACION DE ENTIDAD POR FAVOR CANCELEMOS ESTE TRASLADO_x000a_27/06/2025 CASO ESCALADO A LA RED DEBIDO A INCONSISTENCIAS EN CUANTO A LA INFORMACIÓN DEL TRASLADO. ADICIONALMENTE DEBIDO A QUE ZONA DE CORREGIMIENTO TIENE NOVEDAD DE ORDEN PUBLICO POR FUERTE PRESENCIA DE LA GUERRILLA._x000a_08/07/2025 CASO AUN ESCALADO SE CONSULTA A LA RED._x000a_14/07/2025  Redeban informa que: &quot;Según indicación de entidad por favor cancelemos este traslado&quot;. Se procede con cierre de ticket."/>
    <s v="SOPORTE_TELEFÓNICO"/>
    <n v="0"/>
    <s v="TIPO IV"/>
    <s v="TERRESTRE"/>
    <s v="MORENO MEDINA JUAN PABLO"/>
    <n v="0"/>
    <n v="0"/>
    <n v="0"/>
    <n v="0"/>
    <n v="37904.65408"/>
    <n v="37904.65408"/>
  </r>
  <r>
    <s v="CALI"/>
    <x v="3"/>
    <x v="5"/>
    <n v="19001"/>
    <n v="13727668"/>
    <n v="78387"/>
    <s v="ORDEN DE CAMBIO"/>
    <s v="CAUCA"/>
    <s v="POPAYAN"/>
    <s v="BARRIO CENTRO POPAYAN 29"/>
    <s v="REDEBAN"/>
    <s v="FO-25-1248828"/>
    <d v="2025-07-17T17:21:00"/>
    <d v="2025-07-23T08:50:08"/>
    <m/>
    <s v="TRASLADO"/>
    <s v="TRASLADO EXTERNO"/>
    <s v="CB UNO A UNO"/>
    <s v="CB UNO A UNO"/>
    <s v="EJECUTADO_CANCELADO"/>
    <s v="CB CERRADO - DESOCUPADO"/>
    <s v="SOLICITUD DE TRASLADO EXTERNO_x000a_0_x000a_23/07/2025  Se llega al comercio se encuentra cerrado, se llama en repetidas ocaciones cliente no contesta, se escribe al what app tampoco contesta"/>
    <s v="VISITA_TÉCNICA"/>
    <n v="0"/>
    <s v="TIPO III"/>
    <s v="TERRESTRE"/>
    <s v="GIMBUEL LASSO LUIS GERMAN"/>
    <n v="1"/>
    <n v="0"/>
    <n v="0"/>
    <n v="0"/>
    <n v="275728.37943999999"/>
    <n v="275728.37943999999"/>
  </r>
  <r>
    <m/>
    <x v="5"/>
    <x v="6"/>
    <m/>
    <m/>
    <m/>
    <m/>
    <m/>
    <m/>
    <m/>
    <m/>
    <m/>
    <m/>
    <m/>
    <m/>
    <m/>
    <m/>
    <m/>
    <m/>
    <m/>
    <m/>
    <m/>
    <m/>
    <m/>
    <m/>
    <m/>
    <m/>
    <m/>
    <m/>
    <m/>
    <m/>
    <m/>
    <n v="1010801.8600399999"/>
  </r>
  <r>
    <m/>
    <x v="5"/>
    <x v="6"/>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n v="515754.87708000001"/>
  </r>
  <r>
    <x v="1"/>
    <n v="2775122.6951600006"/>
  </r>
  <r>
    <x v="2"/>
    <n v="1851780.4120800002"/>
  </r>
  <r>
    <x v="3"/>
    <n v="1748720.2537200002"/>
  </r>
  <r>
    <x v="4"/>
    <n v="2400399.13796"/>
  </r>
  <r>
    <x v="5"/>
    <n v="3301419.0014800006"/>
  </r>
  <r>
    <x v="6"/>
    <n v="689566.33811999997"/>
  </r>
  <r>
    <x v="7"/>
    <m/>
  </r>
  <r>
    <x v="7"/>
    <m/>
  </r>
  <r>
    <x v="7"/>
    <m/>
  </r>
  <r>
    <x v="7"/>
    <m/>
  </r>
  <r>
    <x v="7"/>
    <m/>
  </r>
  <r>
    <x v="8"/>
    <m/>
  </r>
  <r>
    <x v="0"/>
    <n v="1316349.6528799997"/>
  </r>
  <r>
    <x v="1"/>
    <n v="1484067.6564"/>
  </r>
  <r>
    <x v="2"/>
    <n v="1298486.6718400002"/>
  </r>
  <r>
    <x v="3"/>
    <n v="7710387.5479600104"/>
  </r>
  <r>
    <x v="4"/>
    <n v="2796927.9620399992"/>
  </r>
  <r>
    <x v="5"/>
    <n v="2345496.09956"/>
  </r>
  <r>
    <x v="6"/>
    <n v="1370662.15108"/>
  </r>
  <r>
    <x v="7"/>
    <m/>
  </r>
  <r>
    <x v="7"/>
    <m/>
  </r>
  <r>
    <x v="7"/>
    <m/>
  </r>
  <r>
    <x v="7"/>
    <m/>
  </r>
  <r>
    <x v="7"/>
    <m/>
  </r>
  <r>
    <x v="7"/>
    <m/>
  </r>
  <r>
    <x v="8"/>
    <m/>
  </r>
  <r>
    <x v="1"/>
    <n v="275728.37943999999"/>
  </r>
  <r>
    <x v="0"/>
    <n v="65960.473639999997"/>
  </r>
  <r>
    <x v="2"/>
    <n v="37904.65408"/>
  </r>
  <r>
    <x v="3"/>
    <n v="37904.65408"/>
  </r>
  <r>
    <x v="5"/>
    <n v="555399.04472000001"/>
  </r>
  <r>
    <x v="6"/>
    <n v="37904.65408"/>
  </r>
  <r>
    <x v="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E2F163-4274-43E8-BA0A-0AC626286D8D}" name="TablaDinámica1" cacheId="22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 firstHeaderRow="0" firstDataRow="1" firstDataCol="2"/>
  <pivotFields count="31">
    <pivotField compact="0" outline="0" showAll="0"/>
    <pivotField axis="axisRow" compact="0" outline="0" showAll="0" defaultSubtotal="0">
      <items count="7">
        <item x="2"/>
        <item x="1"/>
        <item x="0"/>
        <item x="4"/>
        <item x="5"/>
        <item x="3"/>
        <item h="1" x="6"/>
      </items>
    </pivotField>
    <pivotField axis="axisRow" compact="0" outline="0" showAll="0">
      <items count="9">
        <item x="1"/>
        <item x="2"/>
        <item x="3"/>
        <item x="4"/>
        <item x="0"/>
        <item x="5"/>
        <item x="6"/>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30" showDataAs="percentOfTotal" baseField="0" baseItem="0" numFmtId="10"/>
    <dataField name="$"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0818F6-F47F-4C26-8C5C-CCDB5FE18D8A}" name="TablaDinámica4" cacheId="22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J2:L10" firstHeaderRow="0" firstDataRow="1" firstDataCol="1"/>
  <pivotFields count="2">
    <pivotField axis="axisRow" compact="0" outline="0" showAll="0">
      <items count="11">
        <item h="1" x="8"/>
        <item x="6"/>
        <item x="2"/>
        <item x="0"/>
        <item x="3"/>
        <item x="4"/>
        <item x="5"/>
        <item x="1"/>
        <item h="1" x="7"/>
        <item h="1" m="1" x="9"/>
        <item t="default"/>
      </items>
    </pivotField>
    <pivotField dataField="1" compact="0" outline="0" showAll="0"/>
  </pivotFields>
  <rowFields count="1">
    <field x="0"/>
  </rowFields>
  <rowItems count="8">
    <i>
      <x v="1"/>
    </i>
    <i>
      <x v="2"/>
    </i>
    <i>
      <x v="3"/>
    </i>
    <i>
      <x v="4"/>
    </i>
    <i>
      <x v="5"/>
    </i>
    <i>
      <x v="6"/>
    </i>
    <i>
      <x v="7"/>
    </i>
    <i t="grand">
      <x/>
    </i>
  </rowItems>
  <colFields count="1">
    <field x="-2"/>
  </colFields>
  <colItems count="2">
    <i>
      <x/>
    </i>
    <i i="1">
      <x v="1"/>
    </i>
  </colItems>
  <dataFields count="2">
    <dataField name="Suma de VALOR" fld="1" baseField="0" baseItem="0"/>
    <dataField name="Suma de VALOR2" fld="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721691-3EE6-4F05-BF79-99128951D06B}" name="TablaDinámica3" cacheId="22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0:D37" firstHeaderRow="0" firstDataRow="1" firstDataCol="2"/>
  <pivotFields count="33">
    <pivotField compact="0" outline="0" showAll="0"/>
    <pivotField axis="axisRow" compact="0" outline="0" showAll="0" defaultSubtotal="0">
      <items count="7">
        <item x="3"/>
        <item x="2"/>
        <item x="4"/>
        <item m="1" x="6"/>
        <item x="0"/>
        <item x="1"/>
        <item h="1" x="5"/>
      </items>
    </pivotField>
    <pivotField axis="axisRow" compact="0" outline="0" showAll="0">
      <items count="9">
        <item x="2"/>
        <item x="5"/>
        <item x="1"/>
        <item x="4"/>
        <item m="1" x="7"/>
        <item x="0"/>
        <item x="6"/>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7">
    <i>
      <x/>
      <x v="1"/>
    </i>
    <i r="1">
      <x v="7"/>
    </i>
    <i>
      <x v="1"/>
      <x/>
    </i>
    <i>
      <x v="2"/>
      <x v="3"/>
    </i>
    <i>
      <x v="4"/>
      <x v="5"/>
    </i>
    <i>
      <x v="5"/>
      <x v="2"/>
    </i>
    <i t="grand">
      <x/>
    </i>
  </rowItems>
  <colFields count="1">
    <field x="-2"/>
  </colFields>
  <colItems count="2">
    <i>
      <x/>
    </i>
    <i i="1">
      <x v="1"/>
    </i>
  </colItems>
  <dataFields count="2">
    <dataField name="%" fld="32" showDataAs="percentOfTotal" baseField="0" baseItem="0" numFmtId="10"/>
    <dataField name="$"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DBC2C3-47E1-41DC-9381-F513826CFABE}" name="TablaDinámica2" cacheId="22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6:D24" firstHeaderRow="0" firstDataRow="1" firstDataCol="2"/>
  <pivotFields count="33">
    <pivotField compact="0" outline="0" showAll="0"/>
    <pivotField axis="axisRow" compact="0" outline="0" showAll="0" defaultSubtotal="0">
      <items count="7">
        <item x="4"/>
        <item x="3"/>
        <item x="2"/>
        <item x="1"/>
        <item x="0"/>
        <item x="5"/>
        <item h="1" x="6"/>
      </items>
    </pivotField>
    <pivotField axis="axisRow" compact="0" outline="0" showAll="0">
      <items count="9">
        <item x="3"/>
        <item x="5"/>
        <item x="4"/>
        <item x="6"/>
        <item x="2"/>
        <item x="1"/>
        <item x="0"/>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32" showDataAs="percentOfTotal" baseField="0" baseItem="0" numFmtId="10"/>
    <dataField name="$"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tabSelected="1" zoomScale="115" zoomScaleNormal="115" workbookViewId="0">
      <selection sqref="A1:D12"/>
    </sheetView>
  </sheetViews>
  <sheetFormatPr defaultColWidth="11.42578125" defaultRowHeight="13.15"/>
  <cols>
    <col min="1" max="1" width="22.7109375" style="4" customWidth="1"/>
    <col min="2" max="2" width="11.5703125" style="4" customWidth="1"/>
    <col min="3" max="3" width="17.5703125" style="4" customWidth="1"/>
    <col min="4" max="4" width="14.85546875" style="4" customWidth="1"/>
    <col min="5" max="5" width="18.5703125" style="4" customWidth="1"/>
    <col min="6" max="7" width="23.7109375" style="4" customWidth="1"/>
    <col min="8" max="8" width="11.42578125" style="4"/>
    <col min="9" max="9" width="14.5703125" style="4" bestFit="1" customWidth="1"/>
    <col min="10" max="10" width="11.42578125" style="4"/>
    <col min="11" max="11" width="15.85546875" style="1" customWidth="1"/>
    <col min="12" max="12" width="16.85546875" style="1" customWidth="1"/>
    <col min="13" max="16384" width="11.42578125" style="1"/>
  </cols>
  <sheetData>
    <row r="1" spans="1:10">
      <c r="A1" s="139" t="s">
        <v>0</v>
      </c>
      <c r="B1" s="140"/>
      <c r="C1" s="140"/>
      <c r="D1" s="140"/>
      <c r="F1" s="127" t="s">
        <v>1</v>
      </c>
      <c r="G1" s="128"/>
      <c r="H1" s="128"/>
      <c r="I1" s="128"/>
      <c r="J1" s="129"/>
    </row>
    <row r="2" spans="1:10">
      <c r="A2" s="141" t="s">
        <v>2</v>
      </c>
      <c r="B2" s="141"/>
      <c r="C2" s="141"/>
      <c r="D2" s="141"/>
      <c r="F2" s="130">
        <f>A3</f>
        <v>45868</v>
      </c>
      <c r="G2" s="131"/>
      <c r="H2" s="131"/>
      <c r="I2" s="131"/>
      <c r="J2" s="132"/>
    </row>
    <row r="3" spans="1:10">
      <c r="A3" s="142">
        <v>45868</v>
      </c>
      <c r="B3" s="141"/>
      <c r="C3" s="141"/>
      <c r="D3" s="141"/>
      <c r="F3" s="5"/>
      <c r="G3" s="5"/>
      <c r="H3" s="5"/>
      <c r="I3" s="6"/>
      <c r="J3" s="6"/>
    </row>
    <row r="4" spans="1:10">
      <c r="A4" s="143"/>
      <c r="B4" s="143"/>
      <c r="C4" s="143"/>
      <c r="D4" s="143"/>
      <c r="F4" s="27" t="s">
        <v>3</v>
      </c>
      <c r="G4" s="27" t="s">
        <v>4</v>
      </c>
      <c r="H4" s="52" t="s">
        <v>5</v>
      </c>
      <c r="I4" s="27" t="s">
        <v>6</v>
      </c>
      <c r="J4" s="28" t="s">
        <v>5</v>
      </c>
    </row>
    <row r="5" spans="1:10">
      <c r="A5" s="24" t="s">
        <v>3</v>
      </c>
      <c r="B5" s="23" t="s">
        <v>7</v>
      </c>
      <c r="C5" s="25" t="s">
        <v>8</v>
      </c>
      <c r="D5" s="24" t="s">
        <v>9</v>
      </c>
      <c r="F5" s="82"/>
      <c r="G5" s="82"/>
      <c r="H5" s="51"/>
      <c r="I5" s="51">
        <f t="shared" ref="I5:I6" si="0">H5*0.12</f>
        <v>0</v>
      </c>
      <c r="J5" s="7">
        <f t="shared" ref="J5:J6" si="1">H5+I5</f>
        <v>0</v>
      </c>
    </row>
    <row r="6" spans="1:10">
      <c r="A6" s="8" t="s">
        <v>10</v>
      </c>
      <c r="B6" s="9">
        <f>COUNTA(ADECUACIONES!A:A)-1</f>
        <v>69</v>
      </c>
      <c r="C6" s="10">
        <v>0</v>
      </c>
      <c r="D6" s="11">
        <f>ADECUACIONES!AE71</f>
        <v>13282762.715599997</v>
      </c>
      <c r="F6" s="82"/>
      <c r="G6" s="82"/>
      <c r="H6" s="51"/>
      <c r="I6" s="51">
        <f t="shared" si="0"/>
        <v>0</v>
      </c>
      <c r="J6" s="7">
        <f t="shared" si="1"/>
        <v>0</v>
      </c>
    </row>
    <row r="7" spans="1:10">
      <c r="A7" s="8" t="s">
        <v>11</v>
      </c>
      <c r="B7" s="9">
        <f>COUNTA(INCIDENTES!A:A)-1</f>
        <v>208</v>
      </c>
      <c r="C7" s="10">
        <v>0</v>
      </c>
      <c r="D7" s="12">
        <f>INCIDENTES!AG210</f>
        <v>18322377.741759989</v>
      </c>
      <c r="F7" s="31"/>
      <c r="G7" s="50"/>
      <c r="H7" s="49"/>
      <c r="I7" s="51">
        <f t="shared" ref="I7" si="2">H7*0.12</f>
        <v>0</v>
      </c>
      <c r="J7" s="7">
        <f t="shared" ref="J7" si="3">H7+I7</f>
        <v>0</v>
      </c>
    </row>
    <row r="8" spans="1:10">
      <c r="A8" s="8" t="s">
        <v>12</v>
      </c>
      <c r="B8" s="9">
        <f>COUNTA(OC!A:A)-1</f>
        <v>8</v>
      </c>
      <c r="C8" s="10">
        <v>0</v>
      </c>
      <c r="D8" s="12">
        <f>OC!AG10</f>
        <v>1010801.8600399999</v>
      </c>
      <c r="F8" s="31"/>
      <c r="G8" s="50"/>
      <c r="H8" s="49"/>
      <c r="I8" s="51">
        <f t="shared" ref="I8:I9" si="4">H8*0.12</f>
        <v>0</v>
      </c>
      <c r="J8" s="7">
        <f t="shared" ref="J8:J9" si="5">H8+I8</f>
        <v>0</v>
      </c>
    </row>
    <row r="9" spans="1:10">
      <c r="A9" s="8" t="s">
        <v>13</v>
      </c>
      <c r="B9" s="9">
        <v>0</v>
      </c>
      <c r="C9" s="10">
        <v>0</v>
      </c>
      <c r="D9" s="12">
        <f>J12</f>
        <v>0</v>
      </c>
      <c r="F9" s="31"/>
      <c r="G9" s="50"/>
      <c r="H9" s="49"/>
      <c r="I9" s="51">
        <f t="shared" si="4"/>
        <v>0</v>
      </c>
      <c r="J9" s="7">
        <f t="shared" si="5"/>
        <v>0</v>
      </c>
    </row>
    <row r="10" spans="1:10">
      <c r="A10" s="144" t="s">
        <v>14</v>
      </c>
      <c r="B10" s="145"/>
      <c r="C10" s="146"/>
      <c r="D10" s="63">
        <f>SUM(D6:D9)</f>
        <v>32615942.317399986</v>
      </c>
      <c r="F10" s="31"/>
      <c r="G10" s="50"/>
      <c r="H10" s="49"/>
      <c r="I10" s="51">
        <f t="shared" ref="I10" si="6">H10*0.12</f>
        <v>0</v>
      </c>
      <c r="J10" s="7">
        <f t="shared" ref="J10" si="7">H10+I10</f>
        <v>0</v>
      </c>
    </row>
    <row r="11" spans="1:10">
      <c r="A11" s="133" t="s">
        <v>15</v>
      </c>
      <c r="B11" s="134"/>
      <c r="C11" s="135"/>
      <c r="D11" s="14">
        <f>D10*0.19</f>
        <v>6197029.0403059972</v>
      </c>
      <c r="F11" s="31"/>
      <c r="G11" s="50"/>
      <c r="H11" s="49"/>
      <c r="I11" s="51">
        <f t="shared" ref="I11" si="8">H11*0.12</f>
        <v>0</v>
      </c>
      <c r="J11" s="7">
        <f t="shared" ref="J11" si="9">H11+I11</f>
        <v>0</v>
      </c>
    </row>
    <row r="12" spans="1:10">
      <c r="A12" s="136" t="s">
        <v>5</v>
      </c>
      <c r="B12" s="137"/>
      <c r="C12" s="138"/>
      <c r="D12" s="26">
        <f>D10+D11</f>
        <v>38812971.357705981</v>
      </c>
      <c r="F12" s="29" t="s">
        <v>5</v>
      </c>
      <c r="G12" s="30"/>
      <c r="H12" s="48">
        <f>SUM(H5:H11)</f>
        <v>0</v>
      </c>
      <c r="I12" s="48">
        <f>SUM(I5:I11)</f>
        <v>0</v>
      </c>
      <c r="J12" s="48">
        <f>SUM(J5:J11)</f>
        <v>0</v>
      </c>
    </row>
    <row r="14" spans="1:10">
      <c r="F14" s="15"/>
    </row>
    <row r="15" spans="1:10">
      <c r="D15" s="13"/>
    </row>
  </sheetData>
  <mergeCells count="9">
    <mergeCell ref="F1:J1"/>
    <mergeCell ref="F2:J2"/>
    <mergeCell ref="A11:C11"/>
    <mergeCell ref="A12:C12"/>
    <mergeCell ref="A1:D1"/>
    <mergeCell ref="A2:D2"/>
    <mergeCell ref="A3:D3"/>
    <mergeCell ref="A4:D4"/>
    <mergeCell ref="A10:C10"/>
  </mergeCells>
  <conditionalFormatting sqref="F5:F6">
    <cfRule type="duplicateValues" dxfId="8"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workbookViewId="0">
      <selection activeCell="D4" sqref="D4"/>
    </sheetView>
  </sheetViews>
  <sheetFormatPr defaultColWidth="11.42578125" defaultRowHeight="13.15"/>
  <cols>
    <col min="1" max="1" width="20" style="4" bestFit="1" customWidth="1"/>
    <col min="2" max="2" width="25.42578125" style="4" bestFit="1" customWidth="1"/>
    <col min="3" max="3" width="18.140625" style="4" bestFit="1" customWidth="1"/>
    <col min="4" max="4" width="18" style="4" bestFit="1" customWidth="1"/>
    <col min="5" max="5" width="15.85546875" style="2" customWidth="1"/>
    <col min="6" max="16384" width="11.42578125" style="2"/>
  </cols>
  <sheetData>
    <row r="1" spans="1:7">
      <c r="A1" s="147" t="s">
        <v>16</v>
      </c>
      <c r="B1" s="147"/>
      <c r="C1" s="147"/>
      <c r="D1" s="147"/>
      <c r="E1" s="22" t="s">
        <v>17</v>
      </c>
    </row>
    <row r="2" spans="1:7">
      <c r="A2" s="22" t="s">
        <v>18</v>
      </c>
      <c r="B2" s="22" t="s">
        <v>19</v>
      </c>
      <c r="C2" s="22" t="s">
        <v>20</v>
      </c>
      <c r="D2" s="22" t="s">
        <v>21</v>
      </c>
      <c r="E2" s="53">
        <v>5.1999999999999998E-2</v>
      </c>
    </row>
    <row r="3" spans="1:7">
      <c r="A3" s="16" t="s">
        <v>22</v>
      </c>
      <c r="B3" s="16" t="s">
        <v>23</v>
      </c>
      <c r="C3" s="54">
        <f>62700.07*(1+$E$2)</f>
        <v>65960.473639999997</v>
      </c>
      <c r="D3" s="54">
        <f>42357.4*(1+$E$2)</f>
        <v>44559.984800000006</v>
      </c>
      <c r="E3" s="3"/>
      <c r="F3" s="3"/>
      <c r="G3" s="3"/>
    </row>
    <row r="4" spans="1:7">
      <c r="A4" s="16" t="s">
        <v>24</v>
      </c>
      <c r="B4" s="16" t="s">
        <v>25</v>
      </c>
      <c r="C4" s="54">
        <f>155716.31*(1+$E$2)</f>
        <v>163813.55812</v>
      </c>
      <c r="D4" s="54">
        <f>127766.53*(1+$E$2)</f>
        <v>134410.38956000001</v>
      </c>
      <c r="E4" s="3"/>
      <c r="F4" s="3"/>
      <c r="G4" s="3"/>
    </row>
    <row r="5" spans="1:7">
      <c r="A5" s="16" t="s">
        <v>26</v>
      </c>
      <c r="B5" s="16" t="s">
        <v>27</v>
      </c>
      <c r="C5" s="54">
        <f>262099.22*(1+$E$2)</f>
        <v>275728.37943999999</v>
      </c>
      <c r="D5" s="54">
        <f>211886.19*(1+$E$2)</f>
        <v>222904.27188000001</v>
      </c>
      <c r="E5" s="3"/>
      <c r="F5" s="3"/>
      <c r="G5" s="3"/>
    </row>
    <row r="6" spans="1:7">
      <c r="A6" s="16" t="s">
        <v>28</v>
      </c>
      <c r="B6" s="16" t="s">
        <v>29</v>
      </c>
      <c r="C6" s="54">
        <f>455883.78*(1+$E$2)</f>
        <v>479589.73656000005</v>
      </c>
      <c r="D6" s="54">
        <f>441833.68*(1+$E$2)</f>
        <v>464809.03136000002</v>
      </c>
      <c r="E6" s="3"/>
      <c r="F6" s="3"/>
      <c r="G6" s="3"/>
    </row>
    <row r="7" spans="1:7">
      <c r="A7" s="16" t="s">
        <v>30</v>
      </c>
      <c r="B7" s="16" t="s">
        <v>31</v>
      </c>
      <c r="C7" s="54">
        <f>455883.78*(1+$E$2)</f>
        <v>479589.73656000005</v>
      </c>
      <c r="D7" s="54">
        <f>441833.68*(1+$E$2)</f>
        <v>464809.03136000002</v>
      </c>
      <c r="E7" s="3"/>
      <c r="F7" s="3"/>
      <c r="G7" s="3"/>
    </row>
    <row r="8" spans="1:7" ht="24" customHeight="1">
      <c r="A8" s="148" t="s">
        <v>32</v>
      </c>
      <c r="B8" s="149"/>
      <c r="C8" s="149"/>
      <c r="D8" s="150"/>
      <c r="E8" s="3"/>
    </row>
    <row r="9" spans="1:7">
      <c r="A9" s="17"/>
      <c r="B9" s="18"/>
      <c r="C9" s="18"/>
      <c r="D9" s="19"/>
    </row>
    <row r="10" spans="1:7">
      <c r="A10" s="16" t="s">
        <v>33</v>
      </c>
      <c r="B10" s="54">
        <f>36031.04*(1+$E$2)</f>
        <v>37904.65408</v>
      </c>
      <c r="C10" s="3"/>
      <c r="D10" s="3"/>
    </row>
    <row r="11" spans="1:7">
      <c r="A11" s="16" t="s">
        <v>34</v>
      </c>
      <c r="B11" s="54">
        <f>30182.1*(1+$E$2)</f>
        <v>31751.569199999998</v>
      </c>
      <c r="C11" s="3"/>
      <c r="D11" s="3"/>
    </row>
    <row r="12" spans="1:7">
      <c r="A12" s="16" t="s">
        <v>35</v>
      </c>
      <c r="B12" s="54">
        <f>15432.22*(1+$E$2)</f>
        <v>16234.69544</v>
      </c>
      <c r="C12" s="3"/>
      <c r="D12" s="3"/>
    </row>
    <row r="13" spans="1:7">
      <c r="A13" s="16" t="s">
        <v>36</v>
      </c>
      <c r="B13" s="54">
        <f>244669.03*(1+$E$2)</f>
        <v>257391.81956</v>
      </c>
      <c r="C13" s="3"/>
      <c r="D13" s="3"/>
    </row>
    <row r="14" spans="1:7">
      <c r="A14" s="16" t="s">
        <v>37</v>
      </c>
      <c r="B14" s="54">
        <f>291399.51*(1+$E$2)</f>
        <v>306552.28452000004</v>
      </c>
      <c r="C14" s="3"/>
      <c r="D14" s="3"/>
    </row>
    <row r="15" spans="1:7">
      <c r="A15" s="16" t="s">
        <v>38</v>
      </c>
      <c r="B15" s="55">
        <f>53547.34*(1+$E$2)</f>
        <v>56331.801679999997</v>
      </c>
      <c r="C15" s="3"/>
      <c r="D15" s="3"/>
    </row>
    <row r="16" spans="1:7">
      <c r="E16" s="3"/>
    </row>
  </sheetData>
  <mergeCells count="2">
    <mergeCell ref="A1:D1"/>
    <mergeCell ref="A8:D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29889-F54C-4F8E-884B-5C7EB47FE05B}">
  <dimension ref="A2:L37"/>
  <sheetViews>
    <sheetView workbookViewId="0">
      <selection activeCell="K9" sqref="K9"/>
    </sheetView>
  </sheetViews>
  <sheetFormatPr defaultColWidth="8.85546875" defaultRowHeight="13.15"/>
  <cols>
    <col min="1" max="1" width="34.7109375" bestFit="1" customWidth="1"/>
    <col min="2" max="2" width="32.85546875" bestFit="1" customWidth="1"/>
    <col min="3" max="3" width="11.28515625" customWidth="1"/>
    <col min="4" max="4" width="15.42578125" customWidth="1"/>
    <col min="5" max="5" width="13.5703125" customWidth="1"/>
    <col min="6" max="6" width="16.140625" customWidth="1"/>
    <col min="10" max="10" width="33.7109375" bestFit="1" customWidth="1"/>
    <col min="11" max="11" width="15.7109375" bestFit="1" customWidth="1"/>
    <col min="12" max="12" width="16.7109375" bestFit="1" customWidth="1"/>
  </cols>
  <sheetData>
    <row r="2" spans="1:12">
      <c r="A2" s="47" t="s">
        <v>39</v>
      </c>
      <c r="J2" s="44" t="s">
        <v>40</v>
      </c>
      <c r="K2" t="s">
        <v>41</v>
      </c>
      <c r="L2" t="s">
        <v>42</v>
      </c>
    </row>
    <row r="3" spans="1:12">
      <c r="A3" s="44" t="s">
        <v>43</v>
      </c>
      <c r="B3" s="44" t="s">
        <v>44</v>
      </c>
      <c r="C3" t="s">
        <v>45</v>
      </c>
      <c r="D3" t="s">
        <v>46</v>
      </c>
      <c r="E3" t="s">
        <v>40</v>
      </c>
      <c r="F3" t="s">
        <v>47</v>
      </c>
      <c r="J3" t="s">
        <v>48</v>
      </c>
      <c r="K3">
        <v>2098133.14328</v>
      </c>
      <c r="L3" s="45">
        <v>6.4328453946298658E-2</v>
      </c>
    </row>
    <row r="4" spans="1:12">
      <c r="A4" t="s">
        <v>49</v>
      </c>
      <c r="B4" t="s">
        <v>50</v>
      </c>
      <c r="C4" s="45">
        <v>3.8828885836699419E-2</v>
      </c>
      <c r="D4">
        <v>515754.87708000001</v>
      </c>
      <c r="E4" t="str">
        <f>VLOOKUP(B4,'CENTRO DE COSTOS'!B:C,2,0)</f>
        <v>Redeban Eje Cafetero (Pereira)</v>
      </c>
      <c r="F4" s="46">
        <f>D4</f>
        <v>515754.87708000001</v>
      </c>
      <c r="J4" t="s">
        <v>51</v>
      </c>
      <c r="K4">
        <v>3188171.7380000004</v>
      </c>
      <c r="L4" s="45">
        <v>9.7748877128077616E-2</v>
      </c>
    </row>
    <row r="5" spans="1:12">
      <c r="B5" t="s">
        <v>52</v>
      </c>
      <c r="C5" s="45">
        <v>0.20892661824793007</v>
      </c>
      <c r="D5">
        <v>2775122.6951600006</v>
      </c>
      <c r="E5" t="str">
        <f>VLOOKUP(B5,'CENTRO DE COSTOS'!B:C,2,0)</f>
        <v>Redeban Suroccidente (Cali)</v>
      </c>
      <c r="F5" s="46">
        <f t="shared" ref="F5:F7" si="0">D5</f>
        <v>2775122.6951600006</v>
      </c>
      <c r="J5" t="s">
        <v>53</v>
      </c>
      <c r="K5">
        <v>1898065.0035999997</v>
      </c>
      <c r="L5" s="45">
        <v>5.8194394174759648E-2</v>
      </c>
    </row>
    <row r="6" spans="1:12">
      <c r="A6" t="s">
        <v>54</v>
      </c>
      <c r="B6" t="s">
        <v>55</v>
      </c>
      <c r="C6" s="45">
        <v>0.13941229334053887</v>
      </c>
      <c r="D6">
        <v>1851780.4120800002</v>
      </c>
      <c r="E6" t="str">
        <f>VLOOKUP(B6,'CENTRO DE COSTOS'!B:C,2,0)</f>
        <v>Redeban Costa (Barranqullla)</v>
      </c>
      <c r="F6" s="46">
        <f t="shared" si="0"/>
        <v>1851780.4120800002</v>
      </c>
      <c r="J6" t="s">
        <v>56</v>
      </c>
      <c r="K6">
        <v>9497012.4557600096</v>
      </c>
      <c r="L6" s="45">
        <v>0.29117700673310082</v>
      </c>
    </row>
    <row r="7" spans="1:12">
      <c r="A7" t="s">
        <v>57</v>
      </c>
      <c r="B7" t="s">
        <v>58</v>
      </c>
      <c r="C7" s="45">
        <v>0.13165335338454909</v>
      </c>
      <c r="D7">
        <v>1748720.2537200002</v>
      </c>
      <c r="E7" t="str">
        <f>VLOOKUP(B7,'CENTRO DE COSTOS'!B:C,2,0)</f>
        <v>Redeban Noroccidente (Medellín)</v>
      </c>
      <c r="F7" s="46">
        <f t="shared" si="0"/>
        <v>1748720.2537200002</v>
      </c>
      <c r="J7" t="s">
        <v>59</v>
      </c>
      <c r="K7">
        <v>5197327.0999999996</v>
      </c>
      <c r="L7" s="45">
        <v>0.15934928537163007</v>
      </c>
    </row>
    <row r="8" spans="1:12">
      <c r="A8" t="s">
        <v>60</v>
      </c>
      <c r="B8" t="s">
        <v>61</v>
      </c>
      <c r="C8" s="45">
        <v>0.18071535187034848</v>
      </c>
      <c r="D8">
        <v>2400399.13796</v>
      </c>
      <c r="E8" t="str">
        <f>VLOOKUP(B8,'CENTRO DE COSTOS'!B:C,2,0)</f>
        <v>Redeban Oriente (Otros)</v>
      </c>
      <c r="F8" s="46">
        <f t="shared" ref="F8:F10" si="1">D8</f>
        <v>2400399.13796</v>
      </c>
      <c r="J8" t="s">
        <v>62</v>
      </c>
      <c r="K8">
        <v>6202314.1457600007</v>
      </c>
      <c r="L8" s="45">
        <v>0.19016204055681016</v>
      </c>
    </row>
    <row r="9" spans="1:12">
      <c r="A9" t="s">
        <v>63</v>
      </c>
      <c r="B9" t="s">
        <v>64</v>
      </c>
      <c r="C9" s="45">
        <v>0.24854912130611456</v>
      </c>
      <c r="D9">
        <v>3301419.0014800006</v>
      </c>
      <c r="E9" t="str">
        <f>VLOOKUP(B9,'CENTRO DE COSTOS'!B:C,2,0)</f>
        <v>Redeban Santander</v>
      </c>
      <c r="F9" s="46">
        <f t="shared" si="1"/>
        <v>3301419.0014800006</v>
      </c>
      <c r="J9" t="s">
        <v>65</v>
      </c>
      <c r="K9">
        <v>4534918.7310000006</v>
      </c>
      <c r="L9" s="45">
        <v>0.13903994208932313</v>
      </c>
    </row>
    <row r="10" spans="1:12">
      <c r="A10" t="s">
        <v>66</v>
      </c>
      <c r="B10" t="s">
        <v>67</v>
      </c>
      <c r="C10" s="45">
        <v>5.1914376013819444E-2</v>
      </c>
      <c r="D10">
        <v>689566.33811999997</v>
      </c>
      <c r="E10" t="str">
        <f>VLOOKUP(B10,'CENTRO DE COSTOS'!B:C,2,0)</f>
        <v>Redeban Centro ( Bogotá)</v>
      </c>
      <c r="F10" s="46">
        <f t="shared" si="1"/>
        <v>689566.33811999997</v>
      </c>
      <c r="J10" t="s">
        <v>68</v>
      </c>
      <c r="K10">
        <v>32615942.317400008</v>
      </c>
      <c r="L10" s="45">
        <v>1</v>
      </c>
    </row>
    <row r="11" spans="1:12">
      <c r="A11" t="s">
        <v>68</v>
      </c>
      <c r="C11" s="45">
        <v>1</v>
      </c>
      <c r="D11">
        <v>13282762.715600003</v>
      </c>
    </row>
    <row r="15" spans="1:12">
      <c r="A15" s="47" t="s">
        <v>69</v>
      </c>
    </row>
    <row r="16" spans="1:12">
      <c r="A16" s="44" t="s">
        <v>43</v>
      </c>
      <c r="B16" s="44" t="s">
        <v>44</v>
      </c>
      <c r="C16" t="s">
        <v>45</v>
      </c>
      <c r="D16" t="s">
        <v>46</v>
      </c>
      <c r="E16" t="s">
        <v>40</v>
      </c>
    </row>
    <row r="17" spans="1:6">
      <c r="A17" t="s">
        <v>49</v>
      </c>
      <c r="B17" t="s">
        <v>50</v>
      </c>
      <c r="C17" s="45">
        <v>7.1843822424848325E-2</v>
      </c>
      <c r="D17">
        <v>1316349.6528799997</v>
      </c>
      <c r="E17" t="str">
        <f>VLOOKUP(B17,'CENTRO DE COSTOS'!B:C,2,0)</f>
        <v>Redeban Eje Cafetero (Pereira)</v>
      </c>
      <c r="F17" s="46">
        <f>D17</f>
        <v>1316349.6528799997</v>
      </c>
    </row>
    <row r="18" spans="1:6">
      <c r="B18" t="s">
        <v>52</v>
      </c>
      <c r="C18" s="45">
        <v>8.0997547224318026E-2</v>
      </c>
      <c r="D18">
        <v>1484067.6564</v>
      </c>
      <c r="E18" t="str">
        <f>VLOOKUP(B18,'CENTRO DE COSTOS'!B:C,2,0)</f>
        <v>Redeban Suroccidente (Cali)</v>
      </c>
      <c r="F18" s="46">
        <f t="shared" ref="F18:F23" si="2">D18</f>
        <v>1484067.6564</v>
      </c>
    </row>
    <row r="19" spans="1:6">
      <c r="A19" t="s">
        <v>54</v>
      </c>
      <c r="B19" t="s">
        <v>55</v>
      </c>
      <c r="C19" s="45">
        <v>7.0868895409819777E-2</v>
      </c>
      <c r="D19">
        <v>1298486.6718400002</v>
      </c>
      <c r="E19" t="str">
        <f>VLOOKUP(B19,'CENTRO DE COSTOS'!B:C,2,0)</f>
        <v>Redeban Costa (Barranqullla)</v>
      </c>
      <c r="F19" s="46">
        <f t="shared" si="2"/>
        <v>1298486.6718400002</v>
      </c>
    </row>
    <row r="20" spans="1:6">
      <c r="A20" t="s">
        <v>57</v>
      </c>
      <c r="B20" t="s">
        <v>58</v>
      </c>
      <c r="C20" s="45">
        <v>0.42081806502584229</v>
      </c>
      <c r="D20">
        <v>7710387.5479600104</v>
      </c>
      <c r="E20" t="str">
        <f>VLOOKUP(B20,'CENTRO DE COSTOS'!B:C,2,0)</f>
        <v>Redeban Noroccidente (Medellín)</v>
      </c>
      <c r="F20" s="46">
        <f t="shared" si="2"/>
        <v>7710387.5479600104</v>
      </c>
    </row>
    <row r="21" spans="1:6">
      <c r="A21" t="s">
        <v>60</v>
      </c>
      <c r="B21" t="s">
        <v>61</v>
      </c>
      <c r="C21" s="45">
        <v>0.15265092781409559</v>
      </c>
      <c r="D21">
        <v>2796927.9620399992</v>
      </c>
      <c r="E21" t="str">
        <f>VLOOKUP(B21,'CENTRO DE COSTOS'!B:C,2,0)</f>
        <v>Redeban Oriente (Otros)</v>
      </c>
      <c r="F21" s="46">
        <f t="shared" si="2"/>
        <v>2796927.9620399992</v>
      </c>
    </row>
    <row r="22" spans="1:6">
      <c r="A22" t="s">
        <v>63</v>
      </c>
      <c r="B22" t="s">
        <v>64</v>
      </c>
      <c r="C22" s="45">
        <v>0.12801264839192733</v>
      </c>
      <c r="D22">
        <v>2345496.09956</v>
      </c>
      <c r="E22" t="str">
        <f>VLOOKUP(B22,'CENTRO DE COSTOS'!B:C,2,0)</f>
        <v>Redeban Santander</v>
      </c>
      <c r="F22" s="46">
        <f t="shared" si="2"/>
        <v>2345496.09956</v>
      </c>
    </row>
    <row r="23" spans="1:6">
      <c r="A23" t="s">
        <v>66</v>
      </c>
      <c r="B23" t="s">
        <v>67</v>
      </c>
      <c r="C23" s="45">
        <v>7.4808093709148524E-2</v>
      </c>
      <c r="D23">
        <v>1370662.15108</v>
      </c>
      <c r="E23" t="str">
        <f>VLOOKUP(B23,'CENTRO DE COSTOS'!B:C,2,0)</f>
        <v>Redeban Centro ( Bogotá)</v>
      </c>
      <c r="F23" s="46">
        <f t="shared" si="2"/>
        <v>1370662.15108</v>
      </c>
    </row>
    <row r="24" spans="1:6">
      <c r="A24" t="s">
        <v>68</v>
      </c>
      <c r="C24" s="45">
        <v>1</v>
      </c>
      <c r="D24">
        <v>18322377.741760012</v>
      </c>
    </row>
    <row r="29" spans="1:6">
      <c r="A29" s="47" t="s">
        <v>70</v>
      </c>
    </row>
    <row r="30" spans="1:6">
      <c r="A30" s="44" t="s">
        <v>43</v>
      </c>
      <c r="B30" s="44" t="s">
        <v>44</v>
      </c>
      <c r="C30" t="s">
        <v>45</v>
      </c>
      <c r="D30" t="s">
        <v>46</v>
      </c>
      <c r="E30" t="s">
        <v>40</v>
      </c>
    </row>
    <row r="31" spans="1:6">
      <c r="A31" t="s">
        <v>49</v>
      </c>
      <c r="B31" t="s">
        <v>52</v>
      </c>
      <c r="C31" s="45">
        <v>0.27278182830914927</v>
      </c>
      <c r="D31">
        <v>275728.37943999999</v>
      </c>
      <c r="E31" t="str">
        <f>VLOOKUP(B31,'CENTRO DE COSTOS'!B:C,2,0)</f>
        <v>Redeban Suroccidente (Cali)</v>
      </c>
      <c r="F31" s="46">
        <f>D31</f>
        <v>275728.37943999999</v>
      </c>
    </row>
    <row r="32" spans="1:6">
      <c r="B32" t="s">
        <v>50</v>
      </c>
      <c r="C32" s="45">
        <v>6.5255591869795113E-2</v>
      </c>
      <c r="D32">
        <v>65960.473639999997</v>
      </c>
      <c r="E32" t="str">
        <f>VLOOKUP(B32,'CENTRO DE COSTOS'!B:C,2,0)</f>
        <v>Redeban Eje Cafetero (Pereira)</v>
      </c>
      <c r="F32" s="46">
        <f t="shared" ref="F32:F36" si="3">D32</f>
        <v>65960.473639999997</v>
      </c>
    </row>
    <row r="33" spans="1:6">
      <c r="A33" t="s">
        <v>54</v>
      </c>
      <c r="B33" t="s">
        <v>55</v>
      </c>
      <c r="C33" s="45">
        <v>3.7499588770543039E-2</v>
      </c>
      <c r="D33">
        <v>37904.65408</v>
      </c>
      <c r="E33" t="str">
        <f>VLOOKUP(B33,'CENTRO DE COSTOS'!B:C,2,0)</f>
        <v>Redeban Costa (Barranqullla)</v>
      </c>
      <c r="F33" s="46">
        <f t="shared" si="3"/>
        <v>37904.65408</v>
      </c>
    </row>
    <row r="34" spans="1:6">
      <c r="A34" t="s">
        <v>57</v>
      </c>
      <c r="B34" t="s">
        <v>58</v>
      </c>
      <c r="C34" s="45">
        <v>3.7499588770543039E-2</v>
      </c>
      <c r="D34">
        <v>37904.65408</v>
      </c>
      <c r="E34" t="str">
        <f>VLOOKUP(B34,'CENTRO DE COSTOS'!B:C,2,0)</f>
        <v>Redeban Noroccidente (Medellín)</v>
      </c>
      <c r="F34" s="46">
        <f t="shared" si="3"/>
        <v>37904.65408</v>
      </c>
    </row>
    <row r="35" spans="1:6">
      <c r="A35" t="s">
        <v>63</v>
      </c>
      <c r="B35" t="s">
        <v>64</v>
      </c>
      <c r="C35" s="45">
        <v>0.54946381350942652</v>
      </c>
      <c r="D35">
        <v>555399.04472000001</v>
      </c>
      <c r="E35" t="str">
        <f>VLOOKUP(B35,'CENTRO DE COSTOS'!B:C,2,0)</f>
        <v>Redeban Santander</v>
      </c>
      <c r="F35" s="46">
        <f t="shared" si="3"/>
        <v>555399.04472000001</v>
      </c>
    </row>
    <row r="36" spans="1:6">
      <c r="A36" t="s">
        <v>66</v>
      </c>
      <c r="B36" t="s">
        <v>67</v>
      </c>
      <c r="C36" s="45">
        <v>3.7499588770543039E-2</v>
      </c>
      <c r="D36">
        <v>37904.65408</v>
      </c>
      <c r="E36" t="str">
        <f>VLOOKUP(B36,'CENTRO DE COSTOS'!B:C,2,0)</f>
        <v>Redeban Centro ( Bogotá)</v>
      </c>
      <c r="F36" s="46">
        <f t="shared" si="3"/>
        <v>37904.65408</v>
      </c>
    </row>
    <row r="37" spans="1:6">
      <c r="A37" t="s">
        <v>68</v>
      </c>
      <c r="C37" s="45">
        <v>1</v>
      </c>
      <c r="D37">
        <v>1010801.8600399999</v>
      </c>
      <c r="F37"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39997558519241921"/>
  </sheetPr>
  <dimension ref="A1:AE71"/>
  <sheetViews>
    <sheetView zoomScaleNormal="100" workbookViewId="0">
      <pane ySplit="1" topLeftCell="O122" activePane="bottomLeft" state="frozen"/>
      <selection pane="bottomLeft" activeCell="AB1" sqref="AB1"/>
    </sheetView>
  </sheetViews>
  <sheetFormatPr defaultColWidth="11.42578125" defaultRowHeight="13.15"/>
  <cols>
    <col min="1" max="1" width="11.42578125" style="75"/>
    <col min="2" max="2" width="12.28515625" style="4" bestFit="1" customWidth="1"/>
    <col min="3" max="3" width="12.28515625" style="4" customWidth="1"/>
    <col min="4" max="5" width="12.28515625" style="75" customWidth="1"/>
    <col min="6" max="6" width="11.42578125" style="75"/>
    <col min="7" max="7" width="11.42578125" style="1"/>
    <col min="8" max="11" width="11.42578125" style="75"/>
    <col min="12" max="12" width="11.42578125" style="4"/>
    <col min="13" max="14" width="12.28515625" style="75" customWidth="1"/>
    <col min="15" max="15" width="11.42578125" style="76"/>
    <col min="16" max="17" width="11.42578125" style="75"/>
    <col min="18" max="20" width="11.42578125" style="77"/>
    <col min="21" max="24" width="11.42578125" style="75"/>
    <col min="25" max="29" width="11.42578125" style="78"/>
    <col min="30" max="30" width="13" style="79" bestFit="1" customWidth="1"/>
    <col min="31" max="31" width="16.42578125" style="79" customWidth="1"/>
    <col min="32" max="16384" width="11.42578125" style="75"/>
  </cols>
  <sheetData>
    <row r="1" spans="1:31" s="90" customFormat="1" ht="66">
      <c r="A1" s="91" t="s">
        <v>71</v>
      </c>
      <c r="B1" s="91" t="s">
        <v>43</v>
      </c>
      <c r="C1" s="91" t="s">
        <v>44</v>
      </c>
      <c r="D1" s="91" t="s">
        <v>72</v>
      </c>
      <c r="E1" s="91" t="s">
        <v>73</v>
      </c>
      <c r="F1" s="91" t="s">
        <v>74</v>
      </c>
      <c r="G1" s="57" t="s">
        <v>75</v>
      </c>
      <c r="H1" s="57" t="s">
        <v>76</v>
      </c>
      <c r="I1" s="91" t="s">
        <v>77</v>
      </c>
      <c r="J1" s="91" t="s">
        <v>78</v>
      </c>
      <c r="K1" s="91" t="s">
        <v>79</v>
      </c>
      <c r="L1" s="91" t="s">
        <v>80</v>
      </c>
      <c r="M1" s="91" t="s">
        <v>81</v>
      </c>
      <c r="N1" s="92" t="s">
        <v>82</v>
      </c>
      <c r="O1" s="92" t="s">
        <v>83</v>
      </c>
      <c r="P1" s="58" t="s">
        <v>84</v>
      </c>
      <c r="Q1" s="58" t="s">
        <v>85</v>
      </c>
      <c r="R1" s="59" t="s">
        <v>86</v>
      </c>
      <c r="S1" s="59" t="s">
        <v>87</v>
      </c>
      <c r="T1" s="91" t="s">
        <v>88</v>
      </c>
      <c r="U1" s="59" t="s">
        <v>89</v>
      </c>
      <c r="V1" s="58" t="s">
        <v>90</v>
      </c>
      <c r="W1" s="58" t="s">
        <v>91</v>
      </c>
      <c r="X1" s="59" t="s">
        <v>92</v>
      </c>
      <c r="Y1" s="60" t="s">
        <v>93</v>
      </c>
      <c r="Z1" s="60" t="s">
        <v>94</v>
      </c>
      <c r="AA1" s="60" t="s">
        <v>95</v>
      </c>
      <c r="AB1" s="60" t="s">
        <v>96</v>
      </c>
      <c r="AC1" s="60" t="s">
        <v>97</v>
      </c>
      <c r="AD1" s="58" t="s">
        <v>98</v>
      </c>
      <c r="AE1" s="60" t="s">
        <v>99</v>
      </c>
    </row>
    <row r="2" spans="1:31" s="64" customFormat="1">
      <c r="A2" s="93" t="s">
        <v>100</v>
      </c>
      <c r="B2" s="61" t="str">
        <f>VLOOKUP(A2,'CENTRO DE COSTOS'!A:D,4,FALSE)</f>
        <v>JUAN SEBASTIÁN RÍOS CASTRILLÓN</v>
      </c>
      <c r="C2" s="61" t="str">
        <f>VLOOKUP(A2,'CENTRO DE COSTOS'!A:C,2,FALSE)</f>
        <v>0004-0005</v>
      </c>
      <c r="D2" s="93">
        <v>5091</v>
      </c>
      <c r="E2" s="94" t="s">
        <v>101</v>
      </c>
      <c r="F2" s="95">
        <v>79058</v>
      </c>
      <c r="G2" s="66" t="s">
        <v>102</v>
      </c>
      <c r="H2" s="96" t="s">
        <v>103</v>
      </c>
      <c r="I2" s="95" t="s">
        <v>104</v>
      </c>
      <c r="J2" s="102" t="s">
        <v>105</v>
      </c>
      <c r="K2" s="95" t="s">
        <v>106</v>
      </c>
      <c r="L2" s="67" t="s">
        <v>107</v>
      </c>
      <c r="M2" s="56" t="s">
        <v>108</v>
      </c>
      <c r="N2" s="97">
        <v>45821</v>
      </c>
      <c r="O2" s="98">
        <v>45842</v>
      </c>
      <c r="P2" s="103" t="s">
        <v>109</v>
      </c>
      <c r="Q2" s="104" t="s">
        <v>109</v>
      </c>
      <c r="R2" s="104" t="s">
        <v>110</v>
      </c>
      <c r="S2" s="99" t="s">
        <v>111</v>
      </c>
      <c r="T2" s="65" t="s">
        <v>112</v>
      </c>
      <c r="U2" s="93" t="s">
        <v>113</v>
      </c>
      <c r="V2" s="102" t="s">
        <v>114</v>
      </c>
      <c r="W2" s="98" t="s">
        <v>115</v>
      </c>
      <c r="X2" s="100" t="s">
        <v>116</v>
      </c>
      <c r="Y2" s="93">
        <v>0</v>
      </c>
      <c r="Z2" s="93">
        <v>0</v>
      </c>
      <c r="AA2" s="93">
        <v>0</v>
      </c>
      <c r="AB2" s="93">
        <v>0</v>
      </c>
      <c r="AC2" s="93">
        <v>1</v>
      </c>
      <c r="AD2" s="62">
        <f>IF(V2="TIPO I",'BASE LIQUIDACION'!$D$3,IF(V2="TIPO II",'BASE LIQUIDACION'!$D$4,IF(V2="TIPO III",'BASE LIQUIDACION'!$D$5,'BASE LIQUIDACION'!$D$7)))</f>
        <v>222904.27188000001</v>
      </c>
      <c r="AE2" s="62">
        <f>Y2*'BASE LIQUIDACION'!$B$12+Z2*'BASE LIQUIDACION'!$B$11+AA2*'BASE LIQUIDACION'!$B$13+AB2*'BASE LIQUIDACION'!$B$14+AC2*AD2</f>
        <v>222904.27188000001</v>
      </c>
    </row>
    <row r="3" spans="1:31" s="64" customFormat="1">
      <c r="A3" s="93" t="s">
        <v>117</v>
      </c>
      <c r="B3" s="61" t="str">
        <f>VLOOKUP(A3,'CENTRO DE COSTOS'!A:D,4,FALSE)</f>
        <v>JOSE MAURICIO HERNANDEZ ROJAS</v>
      </c>
      <c r="C3" s="61" t="str">
        <f>VLOOKUP(A3,'CENTRO DE COSTOS'!A:C,2,FALSE)</f>
        <v>0004-0001</v>
      </c>
      <c r="D3" s="93">
        <v>44430</v>
      </c>
      <c r="E3" s="94" t="s">
        <v>118</v>
      </c>
      <c r="F3" s="95">
        <v>79898</v>
      </c>
      <c r="G3" s="66" t="s">
        <v>102</v>
      </c>
      <c r="H3" s="96" t="s">
        <v>119</v>
      </c>
      <c r="I3" s="95" t="s">
        <v>120</v>
      </c>
      <c r="J3" s="102" t="s">
        <v>121</v>
      </c>
      <c r="K3" s="95" t="s">
        <v>122</v>
      </c>
      <c r="L3" s="67" t="s">
        <v>107</v>
      </c>
      <c r="M3" s="56" t="s">
        <v>123</v>
      </c>
      <c r="N3" s="97">
        <v>45826</v>
      </c>
      <c r="O3" s="98">
        <v>45843</v>
      </c>
      <c r="P3" s="103" t="s">
        <v>124</v>
      </c>
      <c r="Q3" s="104" t="s">
        <v>125</v>
      </c>
      <c r="R3" s="93" t="s">
        <v>110</v>
      </c>
      <c r="S3" s="99" t="s">
        <v>126</v>
      </c>
      <c r="T3" s="65" t="s">
        <v>112</v>
      </c>
      <c r="U3" s="93" t="s">
        <v>127</v>
      </c>
      <c r="V3" s="102" t="s">
        <v>128</v>
      </c>
      <c r="W3" s="98" t="s">
        <v>115</v>
      </c>
      <c r="X3" s="100" t="s">
        <v>129</v>
      </c>
      <c r="Y3" s="93">
        <v>0</v>
      </c>
      <c r="Z3" s="93">
        <v>0</v>
      </c>
      <c r="AA3" s="93">
        <v>0</v>
      </c>
      <c r="AB3" s="93">
        <v>0</v>
      </c>
      <c r="AC3" s="93">
        <v>1</v>
      </c>
      <c r="AD3" s="62">
        <f>IF(V3="TIPO I",'BASE LIQUIDACION'!$D$3,IF(V3="TIPO II",'BASE LIQUIDACION'!$D$4,IF(V3="TIPO III",'BASE LIQUIDACION'!$D$5,'BASE LIQUIDACION'!$D$7)))</f>
        <v>464809.03136000002</v>
      </c>
      <c r="AE3" s="62">
        <f>Y3*'BASE LIQUIDACION'!$B$12+Z3*'BASE LIQUIDACION'!$B$11+AA3*'BASE LIQUIDACION'!$B$13+AB3*'BASE LIQUIDACION'!$B$14+AC3*AD3</f>
        <v>464809.03136000002</v>
      </c>
    </row>
    <row r="4" spans="1:31" s="64" customFormat="1">
      <c r="A4" s="93" t="s">
        <v>130</v>
      </c>
      <c r="B4" s="61" t="str">
        <f>VLOOKUP(A4,'CENTRO DE COSTOS'!A:D,4,FALSE)</f>
        <v>DIEGO FERNANDO HENAO CARDONA</v>
      </c>
      <c r="C4" s="61" t="str">
        <f>VLOOKUP(A4,'CENTRO DE COSTOS'!A:C,2,FALSE)</f>
        <v>0004-0002</v>
      </c>
      <c r="D4" s="93">
        <v>66318</v>
      </c>
      <c r="E4" s="94" t="s">
        <v>131</v>
      </c>
      <c r="F4" s="95">
        <v>80021</v>
      </c>
      <c r="G4" s="66" t="s">
        <v>102</v>
      </c>
      <c r="H4" s="96" t="s">
        <v>132</v>
      </c>
      <c r="I4" s="95" t="s">
        <v>133</v>
      </c>
      <c r="J4" s="102" t="s">
        <v>134</v>
      </c>
      <c r="K4" s="95" t="s">
        <v>135</v>
      </c>
      <c r="L4" s="67" t="s">
        <v>107</v>
      </c>
      <c r="M4" s="56" t="s">
        <v>136</v>
      </c>
      <c r="N4" s="97">
        <v>45832</v>
      </c>
      <c r="O4" s="98">
        <v>45847</v>
      </c>
      <c r="P4" s="103" t="s">
        <v>109</v>
      </c>
      <c r="Q4" s="104" t="s">
        <v>109</v>
      </c>
      <c r="R4" s="93" t="s">
        <v>110</v>
      </c>
      <c r="S4" s="99" t="s">
        <v>137</v>
      </c>
      <c r="T4" s="65" t="s">
        <v>112</v>
      </c>
      <c r="U4" s="93" t="s">
        <v>138</v>
      </c>
      <c r="V4" s="102" t="s">
        <v>139</v>
      </c>
      <c r="W4" s="98" t="s">
        <v>115</v>
      </c>
      <c r="X4" s="100" t="s">
        <v>140</v>
      </c>
      <c r="Y4" s="93">
        <v>0</v>
      </c>
      <c r="Z4" s="93">
        <v>0</v>
      </c>
      <c r="AA4" s="93">
        <v>0</v>
      </c>
      <c r="AB4" s="93">
        <v>0</v>
      </c>
      <c r="AC4" s="93">
        <v>1</v>
      </c>
      <c r="AD4" s="62">
        <f>IF(V4="TIPO I",'BASE LIQUIDACION'!$D$3,IF(V4="TIPO II",'BASE LIQUIDACION'!$D$4,IF(V4="TIPO III",'BASE LIQUIDACION'!$D$5,'BASE LIQUIDACION'!$D$7)))</f>
        <v>134410.38956000001</v>
      </c>
      <c r="AE4" s="62">
        <f>Y4*'BASE LIQUIDACION'!$B$12+Z4*'BASE LIQUIDACION'!$B$11+AA4*'BASE LIQUIDACION'!$B$13+AB4*'BASE LIQUIDACION'!$B$14+AC4*AD4</f>
        <v>134410.38956000001</v>
      </c>
    </row>
    <row r="5" spans="1:31" s="64" customFormat="1">
      <c r="A5" s="93" t="s">
        <v>130</v>
      </c>
      <c r="B5" s="61" t="str">
        <f>VLOOKUP(A5,'CENTRO DE COSTOS'!A:D,4,FALSE)</f>
        <v>DIEGO FERNANDO HENAO CARDONA</v>
      </c>
      <c r="C5" s="61" t="str">
        <f>VLOOKUP(A5,'CENTRO DE COSTOS'!A:C,2,FALSE)</f>
        <v>0004-0002</v>
      </c>
      <c r="D5" s="93">
        <v>66001</v>
      </c>
      <c r="E5" s="94" t="s">
        <v>141</v>
      </c>
      <c r="F5" s="95">
        <v>23092</v>
      </c>
      <c r="G5" s="66" t="s">
        <v>102</v>
      </c>
      <c r="H5" s="96" t="s">
        <v>142</v>
      </c>
      <c r="I5" s="95" t="s">
        <v>133</v>
      </c>
      <c r="J5" s="102" t="s">
        <v>130</v>
      </c>
      <c r="K5" s="95" t="s">
        <v>143</v>
      </c>
      <c r="L5" s="67" t="s">
        <v>107</v>
      </c>
      <c r="M5" s="56" t="s">
        <v>144</v>
      </c>
      <c r="N5" s="97">
        <v>45834</v>
      </c>
      <c r="O5" s="98">
        <v>45839</v>
      </c>
      <c r="P5" s="103" t="s">
        <v>145</v>
      </c>
      <c r="Q5" s="104" t="s">
        <v>146</v>
      </c>
      <c r="R5" s="93" t="s">
        <v>147</v>
      </c>
      <c r="S5" s="99" t="s">
        <v>148</v>
      </c>
      <c r="T5" s="65" t="s">
        <v>112</v>
      </c>
      <c r="U5" s="93" t="s">
        <v>149</v>
      </c>
      <c r="V5" s="102" t="s">
        <v>150</v>
      </c>
      <c r="W5" s="98" t="s">
        <v>115</v>
      </c>
      <c r="X5" s="100" t="s">
        <v>151</v>
      </c>
      <c r="Y5" s="93">
        <v>0</v>
      </c>
      <c r="Z5" s="93">
        <v>0</v>
      </c>
      <c r="AA5" s="93">
        <v>0</v>
      </c>
      <c r="AB5" s="93">
        <v>0</v>
      </c>
      <c r="AC5" s="93">
        <v>1</v>
      </c>
      <c r="AD5" s="62">
        <f>IF(V5="TIPO I",'BASE LIQUIDACION'!$D$3,IF(V5="TIPO II",'BASE LIQUIDACION'!$D$4,IF(V5="TIPO III",'BASE LIQUIDACION'!$D$5,'BASE LIQUIDACION'!$D$7)))</f>
        <v>44559.984800000006</v>
      </c>
      <c r="AE5" s="62">
        <f>Y5*'BASE LIQUIDACION'!$B$12+Z5*'BASE LIQUIDACION'!$B$11+AA5*'BASE LIQUIDACION'!$B$13+AB5*'BASE LIQUIDACION'!$B$14+AC5*AD5</f>
        <v>44559.984800000006</v>
      </c>
    </row>
    <row r="6" spans="1:31" s="64" customFormat="1">
      <c r="A6" s="93" t="s">
        <v>152</v>
      </c>
      <c r="B6" s="61" t="str">
        <f>VLOOKUP(A6,'CENTRO DE COSTOS'!A:D,4,FALSE)</f>
        <v>JOSE MAURICIO HERNANDEZ ROJAS</v>
      </c>
      <c r="C6" s="61" t="str">
        <f>VLOOKUP(A6,'CENTRO DE COSTOS'!A:C,2,FALSE)</f>
        <v>0004-0001</v>
      </c>
      <c r="D6" s="93">
        <v>70742</v>
      </c>
      <c r="E6" s="94" t="s">
        <v>153</v>
      </c>
      <c r="F6" s="95">
        <v>80190</v>
      </c>
      <c r="G6" s="66" t="s">
        <v>102</v>
      </c>
      <c r="H6" s="96" t="s">
        <v>132</v>
      </c>
      <c r="I6" s="95" t="s">
        <v>154</v>
      </c>
      <c r="J6" s="102" t="s">
        <v>155</v>
      </c>
      <c r="K6" s="95" t="s">
        <v>156</v>
      </c>
      <c r="L6" s="67" t="s">
        <v>107</v>
      </c>
      <c r="M6" s="56" t="s">
        <v>157</v>
      </c>
      <c r="N6" s="97">
        <v>45839</v>
      </c>
      <c r="O6" s="98">
        <v>45841</v>
      </c>
      <c r="P6" s="103" t="s">
        <v>109</v>
      </c>
      <c r="Q6" s="104" t="s">
        <v>109</v>
      </c>
      <c r="R6" s="93" t="s">
        <v>147</v>
      </c>
      <c r="S6" s="99" t="s">
        <v>158</v>
      </c>
      <c r="T6" s="65" t="s">
        <v>112</v>
      </c>
      <c r="U6" s="93" t="s">
        <v>159</v>
      </c>
      <c r="V6" s="102" t="s">
        <v>139</v>
      </c>
      <c r="W6" s="98" t="s">
        <v>115</v>
      </c>
      <c r="X6" s="100" t="s">
        <v>160</v>
      </c>
      <c r="Y6" s="93">
        <v>0</v>
      </c>
      <c r="Z6" s="93">
        <v>0</v>
      </c>
      <c r="AA6" s="93">
        <v>0</v>
      </c>
      <c r="AB6" s="93">
        <v>0</v>
      </c>
      <c r="AC6" s="93">
        <v>1</v>
      </c>
      <c r="AD6" s="62">
        <f>IF(V6="TIPO I",'BASE LIQUIDACION'!$D$3,IF(V6="TIPO II",'BASE LIQUIDACION'!$D$4,IF(V6="TIPO III",'BASE LIQUIDACION'!$D$5,'BASE LIQUIDACION'!$D$7)))</f>
        <v>134410.38956000001</v>
      </c>
      <c r="AE6" s="62">
        <f>Y6*'BASE LIQUIDACION'!$B$12+Z6*'BASE LIQUIDACION'!$B$11+AA6*'BASE LIQUIDACION'!$B$13+AB6*'BASE LIQUIDACION'!$B$14+AC6*AD6</f>
        <v>134410.38956000001</v>
      </c>
    </row>
    <row r="7" spans="1:31" s="64" customFormat="1">
      <c r="A7" s="93" t="s">
        <v>161</v>
      </c>
      <c r="B7" s="61" t="str">
        <f>VLOOKUP(A7,'CENTRO DE COSTOS'!A:D,4,FALSE)</f>
        <v>DIEGO FERNANDO HENAO CARDONA</v>
      </c>
      <c r="C7" s="61" t="str">
        <f>VLOOKUP(A7,'CENTRO DE COSTOS'!A:C,2,FALSE)</f>
        <v>0004-0003</v>
      </c>
      <c r="D7" s="93">
        <v>19001</v>
      </c>
      <c r="E7" s="94" t="s">
        <v>162</v>
      </c>
      <c r="F7" s="95">
        <v>80185</v>
      </c>
      <c r="G7" s="66" t="s">
        <v>102</v>
      </c>
      <c r="H7" s="96" t="s">
        <v>132</v>
      </c>
      <c r="I7" s="95" t="s">
        <v>163</v>
      </c>
      <c r="J7" s="102" t="s">
        <v>164</v>
      </c>
      <c r="K7" s="95" t="s">
        <v>165</v>
      </c>
      <c r="L7" s="67" t="s">
        <v>107</v>
      </c>
      <c r="M7" s="56" t="s">
        <v>166</v>
      </c>
      <c r="N7" s="97">
        <v>45839</v>
      </c>
      <c r="O7" s="98">
        <v>45850</v>
      </c>
      <c r="P7" s="103" t="s">
        <v>109</v>
      </c>
      <c r="Q7" s="104" t="s">
        <v>109</v>
      </c>
      <c r="R7" s="93" t="s">
        <v>110</v>
      </c>
      <c r="S7" s="99" t="s">
        <v>167</v>
      </c>
      <c r="T7" s="65" t="s">
        <v>112</v>
      </c>
      <c r="U7" s="93" t="s">
        <v>168</v>
      </c>
      <c r="V7" s="102" t="s">
        <v>114</v>
      </c>
      <c r="W7" s="98" t="s">
        <v>115</v>
      </c>
      <c r="X7" s="100" t="s">
        <v>169</v>
      </c>
      <c r="Y7" s="93">
        <v>0</v>
      </c>
      <c r="Z7" s="93">
        <v>0</v>
      </c>
      <c r="AA7" s="93">
        <v>0</v>
      </c>
      <c r="AB7" s="93">
        <v>0</v>
      </c>
      <c r="AC7" s="93">
        <v>1</v>
      </c>
      <c r="AD7" s="62">
        <f>IF(V7="TIPO I",'BASE LIQUIDACION'!$D$3,IF(V7="TIPO II",'BASE LIQUIDACION'!$D$4,IF(V7="TIPO III",'BASE LIQUIDACION'!$D$5,'BASE LIQUIDACION'!$D$7)))</f>
        <v>222904.27188000001</v>
      </c>
      <c r="AE7" s="62">
        <f>Y7*'BASE LIQUIDACION'!$B$12+Z7*'BASE LIQUIDACION'!$B$11+AA7*'BASE LIQUIDACION'!$B$13+AB7*'BASE LIQUIDACION'!$B$14+AC7*AD7</f>
        <v>222904.27188000001</v>
      </c>
    </row>
    <row r="8" spans="1:31" s="64" customFormat="1">
      <c r="A8" s="93" t="s">
        <v>170</v>
      </c>
      <c r="B8" s="61" t="str">
        <f>VLOOKUP(A8,'CENTRO DE COSTOS'!A:D,4,FALSE)</f>
        <v>WILLIAM ASDRUBAL ROZO ROZO</v>
      </c>
      <c r="C8" s="61" t="str">
        <f>VLOOKUP(A8,'CENTRO DE COSTOS'!A:C,2,FALSE)</f>
        <v>0004-0004</v>
      </c>
      <c r="D8" s="93">
        <v>25320</v>
      </c>
      <c r="E8" s="94" t="s">
        <v>171</v>
      </c>
      <c r="F8" s="95">
        <v>80152</v>
      </c>
      <c r="G8" s="66" t="s">
        <v>102</v>
      </c>
      <c r="H8" s="96" t="s">
        <v>132</v>
      </c>
      <c r="I8" s="95" t="s">
        <v>172</v>
      </c>
      <c r="J8" s="102" t="s">
        <v>173</v>
      </c>
      <c r="K8" s="95" t="s">
        <v>174</v>
      </c>
      <c r="L8" s="67" t="s">
        <v>107</v>
      </c>
      <c r="M8" s="56" t="s">
        <v>175</v>
      </c>
      <c r="N8" s="97">
        <v>45839</v>
      </c>
      <c r="O8" s="98">
        <v>45847</v>
      </c>
      <c r="P8" s="103" t="s">
        <v>109</v>
      </c>
      <c r="Q8" s="104" t="s">
        <v>109</v>
      </c>
      <c r="R8" s="93" t="s">
        <v>110</v>
      </c>
      <c r="S8" s="99" t="s">
        <v>176</v>
      </c>
      <c r="T8" s="65" t="s">
        <v>112</v>
      </c>
      <c r="U8" s="93" t="s">
        <v>177</v>
      </c>
      <c r="V8" s="102" t="s">
        <v>114</v>
      </c>
      <c r="W8" s="98" t="s">
        <v>115</v>
      </c>
      <c r="X8" s="100" t="s">
        <v>178</v>
      </c>
      <c r="Y8" s="93">
        <v>0</v>
      </c>
      <c r="Z8" s="93">
        <v>0</v>
      </c>
      <c r="AA8" s="93">
        <v>0</v>
      </c>
      <c r="AB8" s="93">
        <v>0</v>
      </c>
      <c r="AC8" s="93">
        <v>1</v>
      </c>
      <c r="AD8" s="62">
        <f>IF(V8="TIPO I",'BASE LIQUIDACION'!$D$3,IF(V8="TIPO II",'BASE LIQUIDACION'!$D$4,IF(V8="TIPO III",'BASE LIQUIDACION'!$D$5,'BASE LIQUIDACION'!$D$7)))</f>
        <v>222904.27188000001</v>
      </c>
      <c r="AE8" s="62">
        <f>Y8*'BASE LIQUIDACION'!$B$12+Z8*'BASE LIQUIDACION'!$B$11+AA8*'BASE LIQUIDACION'!$B$13+AB8*'BASE LIQUIDACION'!$B$14+AC8*AD8</f>
        <v>222904.27188000001</v>
      </c>
    </row>
    <row r="9" spans="1:31" s="64" customFormat="1">
      <c r="A9" s="93" t="s">
        <v>179</v>
      </c>
      <c r="B9" s="61" t="str">
        <f>VLOOKUP(A9,'CENTRO DE COSTOS'!A:D,4,FALSE)</f>
        <v>KEVIN ALEXIS CORZO BUSTOS</v>
      </c>
      <c r="C9" s="61" t="str">
        <f>VLOOKUP(A9,'CENTRO DE COSTOS'!A:C,2,FALSE)</f>
        <v>0004-0007</v>
      </c>
      <c r="D9" s="93">
        <v>18001</v>
      </c>
      <c r="E9" s="94" t="s">
        <v>180</v>
      </c>
      <c r="F9" s="95">
        <v>79863</v>
      </c>
      <c r="G9" s="66" t="s">
        <v>102</v>
      </c>
      <c r="H9" s="96" t="s">
        <v>103</v>
      </c>
      <c r="I9" s="95" t="s">
        <v>181</v>
      </c>
      <c r="J9" s="102" t="s">
        <v>182</v>
      </c>
      <c r="K9" s="95" t="s">
        <v>183</v>
      </c>
      <c r="L9" s="67" t="s">
        <v>107</v>
      </c>
      <c r="M9" s="56" t="s">
        <v>184</v>
      </c>
      <c r="N9" s="97">
        <v>45839</v>
      </c>
      <c r="O9" s="98">
        <v>45840</v>
      </c>
      <c r="P9" s="103" t="s">
        <v>109</v>
      </c>
      <c r="Q9" s="104" t="s">
        <v>109</v>
      </c>
      <c r="R9" s="93" t="s">
        <v>147</v>
      </c>
      <c r="S9" s="99" t="s">
        <v>185</v>
      </c>
      <c r="T9" s="65" t="s">
        <v>112</v>
      </c>
      <c r="U9" s="93" t="s">
        <v>186</v>
      </c>
      <c r="V9" s="102" t="s">
        <v>128</v>
      </c>
      <c r="W9" s="98" t="s">
        <v>115</v>
      </c>
      <c r="X9" s="100" t="s">
        <v>187</v>
      </c>
      <c r="Y9" s="93">
        <v>0</v>
      </c>
      <c r="Z9" s="93">
        <v>0</v>
      </c>
      <c r="AA9" s="93">
        <v>0</v>
      </c>
      <c r="AB9" s="93">
        <v>0</v>
      </c>
      <c r="AC9" s="93">
        <v>1</v>
      </c>
      <c r="AD9" s="62">
        <f>IF(V9="TIPO I",'BASE LIQUIDACION'!$D$3,IF(V9="TIPO II",'BASE LIQUIDACION'!$D$4,IF(V9="TIPO III",'BASE LIQUIDACION'!$D$5,'BASE LIQUIDACION'!$D$7)))</f>
        <v>464809.03136000002</v>
      </c>
      <c r="AE9" s="62">
        <f>Y9*'BASE LIQUIDACION'!$B$12+Z9*'BASE LIQUIDACION'!$B$11+AA9*'BASE LIQUIDACION'!$B$13+AB9*'BASE LIQUIDACION'!$B$14+AC9*AD9</f>
        <v>464809.03136000002</v>
      </c>
    </row>
    <row r="10" spans="1:31" s="64" customFormat="1">
      <c r="A10" s="93" t="s">
        <v>179</v>
      </c>
      <c r="B10" s="61" t="str">
        <f>VLOOKUP(A10,'CENTRO DE COSTOS'!A:D,4,FALSE)</f>
        <v>KEVIN ALEXIS CORZO BUSTOS</v>
      </c>
      <c r="C10" s="61" t="str">
        <f>VLOOKUP(A10,'CENTRO DE COSTOS'!A:C,2,FALSE)</f>
        <v>0004-0007</v>
      </c>
      <c r="D10" s="93">
        <v>41001</v>
      </c>
      <c r="E10" s="94" t="s">
        <v>188</v>
      </c>
      <c r="F10" s="95">
        <v>76738</v>
      </c>
      <c r="G10" s="66" t="s">
        <v>102</v>
      </c>
      <c r="H10" s="96" t="s">
        <v>189</v>
      </c>
      <c r="I10" s="95" t="s">
        <v>190</v>
      </c>
      <c r="J10" s="102" t="s">
        <v>179</v>
      </c>
      <c r="K10" s="95" t="s">
        <v>191</v>
      </c>
      <c r="L10" s="67" t="s">
        <v>107</v>
      </c>
      <c r="M10" s="56" t="s">
        <v>192</v>
      </c>
      <c r="N10" s="97">
        <v>45839</v>
      </c>
      <c r="O10" s="98">
        <v>45841</v>
      </c>
      <c r="P10" s="103" t="s">
        <v>109</v>
      </c>
      <c r="Q10" s="104" t="s">
        <v>109</v>
      </c>
      <c r="R10" s="93" t="s">
        <v>147</v>
      </c>
      <c r="S10" s="99" t="s">
        <v>193</v>
      </c>
      <c r="T10" s="65" t="s">
        <v>112</v>
      </c>
      <c r="U10" s="93" t="s">
        <v>194</v>
      </c>
      <c r="V10" s="102" t="s">
        <v>150</v>
      </c>
      <c r="W10" s="98" t="s">
        <v>115</v>
      </c>
      <c r="X10" s="100" t="s">
        <v>195</v>
      </c>
      <c r="Y10" s="93">
        <v>0</v>
      </c>
      <c r="Z10" s="93">
        <v>0</v>
      </c>
      <c r="AA10" s="93">
        <v>0</v>
      </c>
      <c r="AB10" s="93">
        <v>0</v>
      </c>
      <c r="AC10" s="93">
        <v>1</v>
      </c>
      <c r="AD10" s="62">
        <f>IF(V10="TIPO I",'BASE LIQUIDACION'!$D$3,IF(V10="TIPO II",'BASE LIQUIDACION'!$D$4,IF(V10="TIPO III",'BASE LIQUIDACION'!$D$5,'BASE LIQUIDACION'!$D$7)))</f>
        <v>44559.984800000006</v>
      </c>
      <c r="AE10" s="62">
        <f>Y10*'BASE LIQUIDACION'!$B$12+Z10*'BASE LIQUIDACION'!$B$11+AA10*'BASE LIQUIDACION'!$B$13+AB10*'BASE LIQUIDACION'!$B$14+AC10*AD10</f>
        <v>44559.984800000006</v>
      </c>
    </row>
    <row r="11" spans="1:31" s="64" customFormat="1">
      <c r="A11" s="93" t="s">
        <v>130</v>
      </c>
      <c r="B11" s="61" t="str">
        <f>VLOOKUP(A11,'CENTRO DE COSTOS'!A:D,4,FALSE)</f>
        <v>DIEGO FERNANDO HENAO CARDONA</v>
      </c>
      <c r="C11" s="61" t="str">
        <f>VLOOKUP(A11,'CENTRO DE COSTOS'!A:C,2,FALSE)</f>
        <v>0004-0002</v>
      </c>
      <c r="D11" s="93">
        <v>66001</v>
      </c>
      <c r="E11" s="94" t="s">
        <v>196</v>
      </c>
      <c r="F11" s="95">
        <v>80221</v>
      </c>
      <c r="G11" s="66" t="s">
        <v>102</v>
      </c>
      <c r="H11" s="96" t="s">
        <v>119</v>
      </c>
      <c r="I11" s="95" t="s">
        <v>133</v>
      </c>
      <c r="J11" s="102" t="s">
        <v>130</v>
      </c>
      <c r="K11" s="95" t="s">
        <v>197</v>
      </c>
      <c r="L11" s="67" t="s">
        <v>107</v>
      </c>
      <c r="M11" s="56" t="s">
        <v>198</v>
      </c>
      <c r="N11" s="97">
        <v>45841</v>
      </c>
      <c r="O11" s="98">
        <v>45846</v>
      </c>
      <c r="P11" s="103" t="s">
        <v>124</v>
      </c>
      <c r="Q11" s="104" t="s">
        <v>199</v>
      </c>
      <c r="R11" s="93" t="s">
        <v>110</v>
      </c>
      <c r="S11" s="99" t="s">
        <v>200</v>
      </c>
      <c r="T11" s="65" t="s">
        <v>112</v>
      </c>
      <c r="U11" s="93" t="s">
        <v>201</v>
      </c>
      <c r="V11" s="102" t="s">
        <v>150</v>
      </c>
      <c r="W11" s="98" t="s">
        <v>115</v>
      </c>
      <c r="X11" s="100" t="s">
        <v>151</v>
      </c>
      <c r="Y11" s="93">
        <v>0</v>
      </c>
      <c r="Z11" s="93">
        <v>0</v>
      </c>
      <c r="AA11" s="93">
        <v>0</v>
      </c>
      <c r="AB11" s="93">
        <v>0</v>
      </c>
      <c r="AC11" s="93">
        <v>1</v>
      </c>
      <c r="AD11" s="62">
        <f>IF(V11="TIPO I",'BASE LIQUIDACION'!$D$3,IF(V11="TIPO II",'BASE LIQUIDACION'!$D$4,IF(V11="TIPO III",'BASE LIQUIDACION'!$D$5,'BASE LIQUIDACION'!$D$7)))</f>
        <v>44559.984800000006</v>
      </c>
      <c r="AE11" s="62">
        <f>Y11*'BASE LIQUIDACION'!$B$12+Z11*'BASE LIQUIDACION'!$B$11+AA11*'BASE LIQUIDACION'!$B$13+AB11*'BASE LIQUIDACION'!$B$14+AC11*AD11</f>
        <v>44559.984800000006</v>
      </c>
    </row>
    <row r="12" spans="1:31" s="64" customFormat="1">
      <c r="A12" s="93" t="s">
        <v>152</v>
      </c>
      <c r="B12" s="61" t="str">
        <f>VLOOKUP(A12,'CENTRO DE COSTOS'!A:D,4,FALSE)</f>
        <v>JOSE MAURICIO HERNANDEZ ROJAS</v>
      </c>
      <c r="C12" s="61" t="str">
        <f>VLOOKUP(A12,'CENTRO DE COSTOS'!A:C,2,FALSE)</f>
        <v>0004-0001</v>
      </c>
      <c r="D12" s="93">
        <v>70001</v>
      </c>
      <c r="E12" s="94" t="s">
        <v>202</v>
      </c>
      <c r="F12" s="95">
        <v>80305</v>
      </c>
      <c r="G12" s="66" t="s">
        <v>102</v>
      </c>
      <c r="H12" s="96" t="s">
        <v>132</v>
      </c>
      <c r="I12" s="95" t="s">
        <v>154</v>
      </c>
      <c r="J12" s="102" t="s">
        <v>152</v>
      </c>
      <c r="K12" s="95" t="s">
        <v>203</v>
      </c>
      <c r="L12" s="67" t="s">
        <v>107</v>
      </c>
      <c r="M12" s="56" t="s">
        <v>204</v>
      </c>
      <c r="N12" s="97">
        <v>45845</v>
      </c>
      <c r="O12" s="98">
        <v>45846</v>
      </c>
      <c r="P12" s="103" t="s">
        <v>109</v>
      </c>
      <c r="Q12" s="104" t="s">
        <v>109</v>
      </c>
      <c r="R12" s="93" t="s">
        <v>147</v>
      </c>
      <c r="S12" s="99" t="s">
        <v>205</v>
      </c>
      <c r="T12" s="65" t="s">
        <v>112</v>
      </c>
      <c r="U12" s="93" t="s">
        <v>206</v>
      </c>
      <c r="V12" s="102" t="s">
        <v>150</v>
      </c>
      <c r="W12" s="98" t="s">
        <v>115</v>
      </c>
      <c r="X12" s="100" t="s">
        <v>160</v>
      </c>
      <c r="Y12" s="93">
        <v>0</v>
      </c>
      <c r="Z12" s="93">
        <v>0</v>
      </c>
      <c r="AA12" s="93">
        <v>0</v>
      </c>
      <c r="AB12" s="93">
        <v>0</v>
      </c>
      <c r="AC12" s="93">
        <v>1</v>
      </c>
      <c r="AD12" s="62">
        <f>IF(V12="TIPO I",'BASE LIQUIDACION'!$D$3,IF(V12="TIPO II",'BASE LIQUIDACION'!$D$4,IF(V12="TIPO III",'BASE LIQUIDACION'!$D$5,'BASE LIQUIDACION'!$D$7)))</f>
        <v>44559.984800000006</v>
      </c>
      <c r="AE12" s="62">
        <f>Y12*'BASE LIQUIDACION'!$B$12+Z12*'BASE LIQUIDACION'!$B$11+AA12*'BASE LIQUIDACION'!$B$13+AB12*'BASE LIQUIDACION'!$B$14+AC12*AD12</f>
        <v>44559.984800000006</v>
      </c>
    </row>
    <row r="13" spans="1:31" s="64" customFormat="1">
      <c r="A13" s="93" t="s">
        <v>161</v>
      </c>
      <c r="B13" s="61" t="str">
        <f>VLOOKUP(A13,'CENTRO DE COSTOS'!A:D,4,FALSE)</f>
        <v>DIEGO FERNANDO HENAO CARDONA</v>
      </c>
      <c r="C13" s="61" t="str">
        <f>VLOOKUP(A13,'CENTRO DE COSTOS'!A:C,2,FALSE)</f>
        <v>0004-0003</v>
      </c>
      <c r="D13" s="93">
        <v>76670</v>
      </c>
      <c r="E13" s="94" t="s">
        <v>207</v>
      </c>
      <c r="F13" s="95">
        <v>80302</v>
      </c>
      <c r="G13" s="66" t="s">
        <v>102</v>
      </c>
      <c r="H13" s="96" t="s">
        <v>132</v>
      </c>
      <c r="I13" s="95" t="s">
        <v>208</v>
      </c>
      <c r="J13" s="102" t="s">
        <v>209</v>
      </c>
      <c r="K13" s="95" t="s">
        <v>210</v>
      </c>
      <c r="L13" s="67" t="s">
        <v>107</v>
      </c>
      <c r="M13" s="56" t="s">
        <v>211</v>
      </c>
      <c r="N13" s="97">
        <v>45845</v>
      </c>
      <c r="O13" s="98">
        <v>45847</v>
      </c>
      <c r="P13" s="103" t="s">
        <v>109</v>
      </c>
      <c r="Q13" s="104" t="s">
        <v>109</v>
      </c>
      <c r="R13" s="93" t="s">
        <v>147</v>
      </c>
      <c r="S13" s="99" t="s">
        <v>212</v>
      </c>
      <c r="T13" s="65" t="s">
        <v>112</v>
      </c>
      <c r="U13" s="93" t="s">
        <v>213</v>
      </c>
      <c r="V13" s="102" t="s">
        <v>139</v>
      </c>
      <c r="W13" s="98" t="s">
        <v>115</v>
      </c>
      <c r="X13" s="100" t="s">
        <v>214</v>
      </c>
      <c r="Y13" s="93">
        <v>0</v>
      </c>
      <c r="Z13" s="93">
        <v>0</v>
      </c>
      <c r="AA13" s="93">
        <v>0</v>
      </c>
      <c r="AB13" s="93">
        <v>0</v>
      </c>
      <c r="AC13" s="93">
        <v>1</v>
      </c>
      <c r="AD13" s="62">
        <f>IF(V13="TIPO I",'BASE LIQUIDACION'!$D$3,IF(V13="TIPO II",'BASE LIQUIDACION'!$D$4,IF(V13="TIPO III",'BASE LIQUIDACION'!$D$5,'BASE LIQUIDACION'!$D$7)))</f>
        <v>134410.38956000001</v>
      </c>
      <c r="AE13" s="62">
        <f>Y13*'BASE LIQUIDACION'!$B$12+Z13*'BASE LIQUIDACION'!$B$11+AA13*'BASE LIQUIDACION'!$B$13+AB13*'BASE LIQUIDACION'!$B$14+AC13*AD13</f>
        <v>134410.38956000001</v>
      </c>
    </row>
    <row r="14" spans="1:31" s="64" customFormat="1">
      <c r="A14" s="93" t="s">
        <v>100</v>
      </c>
      <c r="B14" s="61" t="str">
        <f>VLOOKUP(A14,'CENTRO DE COSTOS'!A:D,4,FALSE)</f>
        <v>JUAN SEBASTIÁN RÍOS CASTRILLÓN</v>
      </c>
      <c r="C14" s="61" t="str">
        <f>VLOOKUP(A14,'CENTRO DE COSTOS'!A:C,2,FALSE)</f>
        <v>0004-0005</v>
      </c>
      <c r="D14" s="93">
        <v>5001</v>
      </c>
      <c r="E14" s="94" t="s">
        <v>215</v>
      </c>
      <c r="F14" s="95">
        <v>24600</v>
      </c>
      <c r="G14" s="66" t="s">
        <v>102</v>
      </c>
      <c r="H14" s="96" t="s">
        <v>142</v>
      </c>
      <c r="I14" s="95" t="s">
        <v>104</v>
      </c>
      <c r="J14" s="102" t="s">
        <v>100</v>
      </c>
      <c r="K14" s="95" t="s">
        <v>216</v>
      </c>
      <c r="L14" s="67" t="s">
        <v>107</v>
      </c>
      <c r="M14" s="56" t="s">
        <v>217</v>
      </c>
      <c r="N14" s="97">
        <v>45847</v>
      </c>
      <c r="O14" s="98">
        <v>45849</v>
      </c>
      <c r="P14" s="103" t="s">
        <v>145</v>
      </c>
      <c r="Q14" s="104" t="s">
        <v>218</v>
      </c>
      <c r="R14" s="93" t="s">
        <v>147</v>
      </c>
      <c r="S14" s="99" t="s">
        <v>219</v>
      </c>
      <c r="T14" s="65" t="s">
        <v>112</v>
      </c>
      <c r="U14" s="93" t="s">
        <v>220</v>
      </c>
      <c r="V14" s="102" t="s">
        <v>150</v>
      </c>
      <c r="W14" s="98" t="s">
        <v>115</v>
      </c>
      <c r="X14" s="100" t="s">
        <v>221</v>
      </c>
      <c r="Y14" s="93">
        <v>0</v>
      </c>
      <c r="Z14" s="93">
        <v>0</v>
      </c>
      <c r="AA14" s="93">
        <v>0</v>
      </c>
      <c r="AB14" s="93">
        <v>0</v>
      </c>
      <c r="AC14" s="93">
        <v>1</v>
      </c>
      <c r="AD14" s="62">
        <f>IF(V14="TIPO I",'BASE LIQUIDACION'!$D$3,IF(V14="TIPO II",'BASE LIQUIDACION'!$D$4,IF(V14="TIPO III",'BASE LIQUIDACION'!$D$5,'BASE LIQUIDACION'!$D$7)))</f>
        <v>44559.984800000006</v>
      </c>
      <c r="AE14" s="62">
        <f>Y14*'BASE LIQUIDACION'!$B$12+Z14*'BASE LIQUIDACION'!$B$11+AA14*'BASE LIQUIDACION'!$B$13+AB14*'BASE LIQUIDACION'!$B$14+AC14*AD14</f>
        <v>44559.984800000006</v>
      </c>
    </row>
    <row r="15" spans="1:31" s="64" customFormat="1">
      <c r="A15" s="93" t="s">
        <v>222</v>
      </c>
      <c r="B15" s="61" t="str">
        <f>VLOOKUP(A15,'CENTRO DE COSTOS'!A:D,4,FALSE)</f>
        <v>MIGUEL JULIÁN HERNÁNDEZ GUARÍN</v>
      </c>
      <c r="C15" s="61" t="str">
        <f>VLOOKUP(A15,'CENTRO DE COSTOS'!A:C,2,FALSE)</f>
        <v>0004-0008</v>
      </c>
      <c r="D15" s="93">
        <v>54001</v>
      </c>
      <c r="E15" s="94" t="s">
        <v>223</v>
      </c>
      <c r="F15" s="95">
        <v>80366</v>
      </c>
      <c r="G15" s="66" t="s">
        <v>102</v>
      </c>
      <c r="H15" s="96" t="s">
        <v>132</v>
      </c>
      <c r="I15" s="95" t="s">
        <v>224</v>
      </c>
      <c r="J15" s="102" t="s">
        <v>222</v>
      </c>
      <c r="K15" s="95" t="s">
        <v>225</v>
      </c>
      <c r="L15" s="67" t="s">
        <v>107</v>
      </c>
      <c r="M15" s="56" t="s">
        <v>226</v>
      </c>
      <c r="N15" s="97">
        <v>45849</v>
      </c>
      <c r="O15" s="98">
        <v>45853</v>
      </c>
      <c r="P15" s="103" t="s">
        <v>109</v>
      </c>
      <c r="Q15" s="104" t="s">
        <v>109</v>
      </c>
      <c r="R15" s="93" t="s">
        <v>110</v>
      </c>
      <c r="S15" s="99" t="s">
        <v>227</v>
      </c>
      <c r="T15" s="65" t="s">
        <v>112</v>
      </c>
      <c r="U15" s="93" t="s">
        <v>228</v>
      </c>
      <c r="V15" s="102" t="s">
        <v>150</v>
      </c>
      <c r="W15" s="98" t="s">
        <v>115</v>
      </c>
      <c r="X15" s="100" t="s">
        <v>229</v>
      </c>
      <c r="Y15" s="93">
        <v>0</v>
      </c>
      <c r="Z15" s="93">
        <v>0</v>
      </c>
      <c r="AA15" s="93">
        <v>0</v>
      </c>
      <c r="AB15" s="93">
        <v>0</v>
      </c>
      <c r="AC15" s="93">
        <v>1</v>
      </c>
      <c r="AD15" s="62">
        <f>IF(V15="TIPO I",'BASE LIQUIDACION'!$D$3,IF(V15="TIPO II",'BASE LIQUIDACION'!$D$4,IF(V15="TIPO III",'BASE LIQUIDACION'!$D$5,'BASE LIQUIDACION'!$D$7)))</f>
        <v>44559.984800000006</v>
      </c>
      <c r="AE15" s="62">
        <f>Y15*'BASE LIQUIDACION'!$B$12+Z15*'BASE LIQUIDACION'!$B$11+AA15*'BASE LIQUIDACION'!$B$13+AB15*'BASE LIQUIDACION'!$B$14+AC15*AD15</f>
        <v>44559.984800000006</v>
      </c>
    </row>
    <row r="16" spans="1:31" s="64" customFormat="1">
      <c r="A16" s="93" t="s">
        <v>161</v>
      </c>
      <c r="B16" s="61" t="str">
        <f>VLOOKUP(A16,'CENTRO DE COSTOS'!A:D,4,FALSE)</f>
        <v>DIEGO FERNANDO HENAO CARDONA</v>
      </c>
      <c r="C16" s="61" t="str">
        <f>VLOOKUP(A16,'CENTRO DE COSTOS'!A:C,2,FALSE)</f>
        <v>0004-0003</v>
      </c>
      <c r="D16" s="93">
        <v>76520</v>
      </c>
      <c r="E16" s="94" t="s">
        <v>230</v>
      </c>
      <c r="F16" s="95">
        <v>80386</v>
      </c>
      <c r="G16" s="66" t="s">
        <v>102</v>
      </c>
      <c r="H16" s="96" t="s">
        <v>132</v>
      </c>
      <c r="I16" s="95" t="s">
        <v>208</v>
      </c>
      <c r="J16" s="102" t="s">
        <v>231</v>
      </c>
      <c r="K16" s="95" t="s">
        <v>232</v>
      </c>
      <c r="L16" s="67" t="s">
        <v>107</v>
      </c>
      <c r="M16" s="56" t="s">
        <v>233</v>
      </c>
      <c r="N16" s="97">
        <v>45849</v>
      </c>
      <c r="O16" s="98">
        <v>45852</v>
      </c>
      <c r="P16" s="103" t="s">
        <v>109</v>
      </c>
      <c r="Q16" s="104" t="s">
        <v>109</v>
      </c>
      <c r="R16" s="93" t="s">
        <v>110</v>
      </c>
      <c r="S16" s="99" t="s">
        <v>234</v>
      </c>
      <c r="T16" s="65" t="s">
        <v>112</v>
      </c>
      <c r="U16" s="93" t="s">
        <v>235</v>
      </c>
      <c r="V16" s="102" t="s">
        <v>150</v>
      </c>
      <c r="W16" s="98" t="s">
        <v>115</v>
      </c>
      <c r="X16" s="100" t="s">
        <v>214</v>
      </c>
      <c r="Y16" s="93">
        <v>12</v>
      </c>
      <c r="Z16" s="93">
        <v>0</v>
      </c>
      <c r="AA16" s="93">
        <v>0</v>
      </c>
      <c r="AB16" s="93">
        <v>0</v>
      </c>
      <c r="AC16" s="93">
        <v>1</v>
      </c>
      <c r="AD16" s="62">
        <f>IF(V16="TIPO I",'BASE LIQUIDACION'!$D$3,IF(V16="TIPO II",'BASE LIQUIDACION'!$D$4,IF(V16="TIPO III",'BASE LIQUIDACION'!$D$5,'BASE LIQUIDACION'!$D$7)))</f>
        <v>44559.984800000006</v>
      </c>
      <c r="AE16" s="62">
        <f>Y16*'BASE LIQUIDACION'!$B$12+Z16*'BASE LIQUIDACION'!$B$11+AA16*'BASE LIQUIDACION'!$B$13+AB16*'BASE LIQUIDACION'!$B$14+AC16*AD16</f>
        <v>239376.33008000001</v>
      </c>
    </row>
    <row r="17" spans="1:31" s="64" customFormat="1">
      <c r="A17" s="93" t="s">
        <v>170</v>
      </c>
      <c r="B17" s="61" t="str">
        <f>VLOOKUP(A17,'CENTRO DE COSTOS'!A:D,4,FALSE)</f>
        <v>WILLIAM ASDRUBAL ROZO ROZO</v>
      </c>
      <c r="C17" s="61" t="str">
        <f>VLOOKUP(A17,'CENTRO DE COSTOS'!A:C,2,FALSE)</f>
        <v>0004-0004</v>
      </c>
      <c r="D17" s="93">
        <v>11001</v>
      </c>
      <c r="E17" s="94" t="s">
        <v>236</v>
      </c>
      <c r="F17" s="95">
        <v>80243</v>
      </c>
      <c r="G17" s="66" t="s">
        <v>102</v>
      </c>
      <c r="H17" s="96" t="s">
        <v>103</v>
      </c>
      <c r="I17" s="95" t="s">
        <v>172</v>
      </c>
      <c r="J17" s="102" t="s">
        <v>170</v>
      </c>
      <c r="K17" s="95" t="s">
        <v>237</v>
      </c>
      <c r="L17" s="67" t="s">
        <v>107</v>
      </c>
      <c r="M17" s="56" t="s">
        <v>238</v>
      </c>
      <c r="N17" s="97">
        <v>45849</v>
      </c>
      <c r="O17" s="98">
        <v>45853</v>
      </c>
      <c r="P17" s="103" t="s">
        <v>109</v>
      </c>
      <c r="Q17" s="104" t="s">
        <v>109</v>
      </c>
      <c r="R17" s="93" t="s">
        <v>147</v>
      </c>
      <c r="S17" s="99" t="s">
        <v>239</v>
      </c>
      <c r="T17" s="65" t="s">
        <v>112</v>
      </c>
      <c r="U17" s="93" t="s">
        <v>240</v>
      </c>
      <c r="V17" s="102" t="s">
        <v>150</v>
      </c>
      <c r="W17" s="98" t="s">
        <v>115</v>
      </c>
      <c r="X17" s="100" t="s">
        <v>241</v>
      </c>
      <c r="Y17" s="93">
        <v>0</v>
      </c>
      <c r="Z17" s="93">
        <v>0</v>
      </c>
      <c r="AA17" s="93">
        <v>0</v>
      </c>
      <c r="AB17" s="93">
        <v>0</v>
      </c>
      <c r="AC17" s="93">
        <v>1</v>
      </c>
      <c r="AD17" s="62">
        <f>IF(V17="TIPO I",'BASE LIQUIDACION'!$D$3,IF(V17="TIPO II",'BASE LIQUIDACION'!$D$4,IF(V17="TIPO III",'BASE LIQUIDACION'!$D$5,'BASE LIQUIDACION'!$D$7)))</f>
        <v>44559.984800000006</v>
      </c>
      <c r="AE17" s="62">
        <f>Y17*'BASE LIQUIDACION'!$B$12+Z17*'BASE LIQUIDACION'!$B$11+AA17*'BASE LIQUIDACION'!$B$13+AB17*'BASE LIQUIDACION'!$B$14+AC17*AD17</f>
        <v>44559.984800000006</v>
      </c>
    </row>
    <row r="18" spans="1:31" s="64" customFormat="1">
      <c r="A18" s="93" t="s">
        <v>152</v>
      </c>
      <c r="B18" s="61" t="str">
        <f>VLOOKUP(A18,'CENTRO DE COSTOS'!A:D,4,FALSE)</f>
        <v>JOSE MAURICIO HERNANDEZ ROJAS</v>
      </c>
      <c r="C18" s="61" t="str">
        <f>VLOOKUP(A18,'CENTRO DE COSTOS'!A:C,2,FALSE)</f>
        <v>0004-0001</v>
      </c>
      <c r="D18" s="93">
        <v>70820</v>
      </c>
      <c r="E18" s="94" t="s">
        <v>242</v>
      </c>
      <c r="F18" s="95">
        <v>80303</v>
      </c>
      <c r="G18" s="66" t="s">
        <v>102</v>
      </c>
      <c r="H18" s="96" t="s">
        <v>103</v>
      </c>
      <c r="I18" s="95" t="s">
        <v>154</v>
      </c>
      <c r="J18" s="102" t="s">
        <v>243</v>
      </c>
      <c r="K18" s="95" t="s">
        <v>244</v>
      </c>
      <c r="L18" s="67" t="s">
        <v>107</v>
      </c>
      <c r="M18" s="56" t="s">
        <v>245</v>
      </c>
      <c r="N18" s="97">
        <v>45849</v>
      </c>
      <c r="O18" s="98">
        <v>45852</v>
      </c>
      <c r="P18" s="103" t="s">
        <v>109</v>
      </c>
      <c r="Q18" s="104" t="s">
        <v>109</v>
      </c>
      <c r="R18" s="93" t="s">
        <v>147</v>
      </c>
      <c r="S18" s="99" t="s">
        <v>246</v>
      </c>
      <c r="T18" s="65" t="s">
        <v>112</v>
      </c>
      <c r="U18" s="93" t="s">
        <v>247</v>
      </c>
      <c r="V18" s="102" t="s">
        <v>139</v>
      </c>
      <c r="W18" s="98" t="s">
        <v>115</v>
      </c>
      <c r="X18" s="100" t="s">
        <v>160</v>
      </c>
      <c r="Y18" s="93">
        <v>0</v>
      </c>
      <c r="Z18" s="93">
        <v>0</v>
      </c>
      <c r="AA18" s="93">
        <v>0</v>
      </c>
      <c r="AB18" s="93">
        <v>0</v>
      </c>
      <c r="AC18" s="93">
        <v>1</v>
      </c>
      <c r="AD18" s="62">
        <f>IF(V18="TIPO I",'BASE LIQUIDACION'!$D$3,IF(V18="TIPO II",'BASE LIQUIDACION'!$D$4,IF(V18="TIPO III",'BASE LIQUIDACION'!$D$5,'BASE LIQUIDACION'!$D$7)))</f>
        <v>134410.38956000001</v>
      </c>
      <c r="AE18" s="62">
        <f>Y18*'BASE LIQUIDACION'!$B$12+Z18*'BASE LIQUIDACION'!$B$11+AA18*'BASE LIQUIDACION'!$B$13+AB18*'BASE LIQUIDACION'!$B$14+AC18*AD18</f>
        <v>134410.38956000001</v>
      </c>
    </row>
    <row r="19" spans="1:31" s="64" customFormat="1">
      <c r="A19" s="93" t="s">
        <v>248</v>
      </c>
      <c r="B19" s="61" t="str">
        <f>VLOOKUP(A19,'CENTRO DE COSTOS'!A:D,4,FALSE)</f>
        <v>KEVIN ALEXIS CORZO BUSTOS</v>
      </c>
      <c r="C19" s="61" t="str">
        <f>VLOOKUP(A19,'CENTRO DE COSTOS'!A:C,2,FALSE)</f>
        <v>0004-0007</v>
      </c>
      <c r="D19" s="93">
        <v>50001</v>
      </c>
      <c r="E19" s="94" t="s">
        <v>249</v>
      </c>
      <c r="F19" s="95">
        <v>55873</v>
      </c>
      <c r="G19" s="66" t="s">
        <v>102</v>
      </c>
      <c r="H19" s="96" t="s">
        <v>189</v>
      </c>
      <c r="I19" s="95" t="s">
        <v>250</v>
      </c>
      <c r="J19" s="102" t="s">
        <v>248</v>
      </c>
      <c r="K19" s="95" t="s">
        <v>251</v>
      </c>
      <c r="L19" s="67" t="s">
        <v>107</v>
      </c>
      <c r="M19" s="56" t="s">
        <v>252</v>
      </c>
      <c r="N19" s="97">
        <v>45849</v>
      </c>
      <c r="O19" s="98">
        <v>45852</v>
      </c>
      <c r="P19" s="103" t="s">
        <v>109</v>
      </c>
      <c r="Q19" s="104" t="s">
        <v>109</v>
      </c>
      <c r="R19" s="93" t="s">
        <v>147</v>
      </c>
      <c r="S19" s="99" t="s">
        <v>253</v>
      </c>
      <c r="T19" s="65" t="s">
        <v>112</v>
      </c>
      <c r="U19" s="93" t="s">
        <v>254</v>
      </c>
      <c r="V19" s="102" t="s">
        <v>150</v>
      </c>
      <c r="W19" s="98" t="s">
        <v>115</v>
      </c>
      <c r="X19" s="100" t="s">
        <v>255</v>
      </c>
      <c r="Y19" s="101">
        <v>0</v>
      </c>
      <c r="Z19" s="93">
        <v>0</v>
      </c>
      <c r="AA19" s="93">
        <v>0</v>
      </c>
      <c r="AB19" s="93">
        <v>0</v>
      </c>
      <c r="AC19" s="93">
        <v>1</v>
      </c>
      <c r="AD19" s="62">
        <f>IF(V19="TIPO I",'BASE LIQUIDACION'!$D$3,IF(V19="TIPO II",'BASE LIQUIDACION'!$D$4,IF(V19="TIPO III",'BASE LIQUIDACION'!$D$5,'BASE LIQUIDACION'!$D$7)))</f>
        <v>44559.984800000006</v>
      </c>
      <c r="AE19" s="62">
        <f>Y19*'BASE LIQUIDACION'!$B$12+Z19*'BASE LIQUIDACION'!$B$11+AA19*'BASE LIQUIDACION'!$B$13+AB19*'BASE LIQUIDACION'!$B$14+AC19*AD19</f>
        <v>44559.984800000006</v>
      </c>
    </row>
    <row r="20" spans="1:31" s="64" customFormat="1">
      <c r="A20" s="93" t="s">
        <v>256</v>
      </c>
      <c r="B20" s="61" t="str">
        <f>VLOOKUP(A20,'CENTRO DE COSTOS'!A:D,4,FALSE)</f>
        <v>MIGUEL JULIÁN HERNÁNDEZ GUARÍN</v>
      </c>
      <c r="C20" s="61" t="str">
        <f>VLOOKUP(A20,'CENTRO DE COSTOS'!A:C,2,FALSE)</f>
        <v>0004-0008</v>
      </c>
      <c r="D20" s="93">
        <v>68001</v>
      </c>
      <c r="E20" s="94" t="s">
        <v>257</v>
      </c>
      <c r="F20" s="95">
        <v>80422</v>
      </c>
      <c r="G20" s="66" t="s">
        <v>102</v>
      </c>
      <c r="H20" s="96" t="s">
        <v>132</v>
      </c>
      <c r="I20" s="95" t="s">
        <v>258</v>
      </c>
      <c r="J20" s="102" t="s">
        <v>256</v>
      </c>
      <c r="K20" s="95" t="s">
        <v>259</v>
      </c>
      <c r="L20" s="67" t="s">
        <v>107</v>
      </c>
      <c r="M20" s="56" t="s">
        <v>260</v>
      </c>
      <c r="N20" s="97">
        <v>45852</v>
      </c>
      <c r="O20" s="98">
        <v>45856</v>
      </c>
      <c r="P20" s="103" t="s">
        <v>109</v>
      </c>
      <c r="Q20" s="104" t="s">
        <v>109</v>
      </c>
      <c r="R20" s="93" t="s">
        <v>110</v>
      </c>
      <c r="S20" s="99" t="s">
        <v>261</v>
      </c>
      <c r="T20" s="65" t="s">
        <v>112</v>
      </c>
      <c r="U20" s="93" t="s">
        <v>262</v>
      </c>
      <c r="V20" s="102" t="s">
        <v>150</v>
      </c>
      <c r="W20" s="98" t="s">
        <v>115</v>
      </c>
      <c r="X20" s="100" t="s">
        <v>263</v>
      </c>
      <c r="Y20" s="93">
        <v>0</v>
      </c>
      <c r="Z20" s="93">
        <v>0</v>
      </c>
      <c r="AA20" s="93">
        <v>0</v>
      </c>
      <c r="AB20" s="93">
        <v>0</v>
      </c>
      <c r="AC20" s="93">
        <v>1</v>
      </c>
      <c r="AD20" s="62">
        <f>IF(V20="TIPO I",'BASE LIQUIDACION'!$D$3,IF(V20="TIPO II",'BASE LIQUIDACION'!$D$4,IF(V20="TIPO III",'BASE LIQUIDACION'!$D$5,'BASE LIQUIDACION'!$D$7)))</f>
        <v>44559.984800000006</v>
      </c>
      <c r="AE20" s="62">
        <f>Y20*'BASE LIQUIDACION'!$B$12+Z20*'BASE LIQUIDACION'!$B$11+AA20*'BASE LIQUIDACION'!$B$13+AB20*'BASE LIQUIDACION'!$B$14+AC20*AD20</f>
        <v>44559.984800000006</v>
      </c>
    </row>
    <row r="21" spans="1:31" s="64" customFormat="1">
      <c r="A21" s="93" t="s">
        <v>100</v>
      </c>
      <c r="B21" s="61" t="str">
        <f>VLOOKUP(A21,'CENTRO DE COSTOS'!A:D,4,FALSE)</f>
        <v>JUAN SEBASTIÁN RÍOS CASTRILLÓN</v>
      </c>
      <c r="C21" s="61" t="str">
        <f>VLOOKUP(A21,'CENTRO DE COSTOS'!A:C,2,FALSE)</f>
        <v>0004-0005</v>
      </c>
      <c r="D21" s="93">
        <v>5001</v>
      </c>
      <c r="E21" s="94" t="s">
        <v>264</v>
      </c>
      <c r="F21" s="95">
        <v>80507</v>
      </c>
      <c r="G21" s="66" t="s">
        <v>102</v>
      </c>
      <c r="H21" s="96" t="s">
        <v>119</v>
      </c>
      <c r="I21" s="95" t="s">
        <v>104</v>
      </c>
      <c r="J21" s="102" t="s">
        <v>100</v>
      </c>
      <c r="K21" s="95" t="s">
        <v>265</v>
      </c>
      <c r="L21" s="67" t="s">
        <v>107</v>
      </c>
      <c r="M21" s="56" t="s">
        <v>266</v>
      </c>
      <c r="N21" s="97">
        <v>45856</v>
      </c>
      <c r="O21" s="98">
        <v>45861</v>
      </c>
      <c r="P21" s="103" t="s">
        <v>124</v>
      </c>
      <c r="Q21" s="104" t="s">
        <v>125</v>
      </c>
      <c r="R21" s="93" t="s">
        <v>110</v>
      </c>
      <c r="S21" s="99" t="s">
        <v>267</v>
      </c>
      <c r="T21" s="65" t="s">
        <v>112</v>
      </c>
      <c r="U21" s="93" t="s">
        <v>268</v>
      </c>
      <c r="V21" s="102" t="s">
        <v>150</v>
      </c>
      <c r="W21" s="98" t="s">
        <v>115</v>
      </c>
      <c r="X21" s="100" t="s">
        <v>269</v>
      </c>
      <c r="Y21" s="93">
        <v>0</v>
      </c>
      <c r="Z21" s="93">
        <v>0</v>
      </c>
      <c r="AA21" s="93">
        <v>0</v>
      </c>
      <c r="AB21" s="93">
        <v>0</v>
      </c>
      <c r="AC21" s="93">
        <v>1</v>
      </c>
      <c r="AD21" s="62">
        <f>IF(V21="TIPO I",'BASE LIQUIDACION'!$D$3,IF(V21="TIPO II",'BASE LIQUIDACION'!$D$4,IF(V21="TIPO III",'BASE LIQUIDACION'!$D$5,'BASE LIQUIDACION'!$D$7)))</f>
        <v>44559.984800000006</v>
      </c>
      <c r="AE21" s="62">
        <f>Y21*'BASE LIQUIDACION'!$B$12+Z21*'BASE LIQUIDACION'!$B$11+AA21*'BASE LIQUIDACION'!$B$13+AB21*'BASE LIQUIDACION'!$B$14+AC21*AD21</f>
        <v>44559.984800000006</v>
      </c>
    </row>
    <row r="22" spans="1:31" s="64" customFormat="1">
      <c r="A22" s="93" t="s">
        <v>100</v>
      </c>
      <c r="B22" s="61" t="str">
        <f>VLOOKUP(A22,'CENTRO DE COSTOS'!A:D,4,FALSE)</f>
        <v>JUAN SEBASTIÁN RÍOS CASTRILLÓN</v>
      </c>
      <c r="C22" s="61" t="str">
        <f>VLOOKUP(A22,'CENTRO DE COSTOS'!A:C,2,FALSE)</f>
        <v>0004-0005</v>
      </c>
      <c r="D22" s="93">
        <v>5120</v>
      </c>
      <c r="E22" s="94" t="s">
        <v>270</v>
      </c>
      <c r="F22" s="95">
        <v>80488</v>
      </c>
      <c r="G22" s="66" t="s">
        <v>102</v>
      </c>
      <c r="H22" s="96" t="s">
        <v>119</v>
      </c>
      <c r="I22" s="95" t="s">
        <v>104</v>
      </c>
      <c r="J22" s="102" t="s">
        <v>271</v>
      </c>
      <c r="K22" s="95" t="s">
        <v>272</v>
      </c>
      <c r="L22" s="67" t="s">
        <v>107</v>
      </c>
      <c r="M22" s="56" t="s">
        <v>273</v>
      </c>
      <c r="N22" s="97">
        <v>45856</v>
      </c>
      <c r="O22" s="98">
        <v>45860</v>
      </c>
      <c r="P22" s="103" t="s">
        <v>124</v>
      </c>
      <c r="Q22" s="104" t="s">
        <v>125</v>
      </c>
      <c r="R22" s="93" t="s">
        <v>147</v>
      </c>
      <c r="S22" s="99" t="s">
        <v>274</v>
      </c>
      <c r="T22" s="65" t="s">
        <v>112</v>
      </c>
      <c r="U22" s="93" t="s">
        <v>275</v>
      </c>
      <c r="V22" s="102" t="s">
        <v>128</v>
      </c>
      <c r="W22" s="98" t="s">
        <v>115</v>
      </c>
      <c r="X22" s="100" t="s">
        <v>276</v>
      </c>
      <c r="Y22" s="93">
        <v>0</v>
      </c>
      <c r="Z22" s="93">
        <v>0</v>
      </c>
      <c r="AA22" s="93">
        <v>0</v>
      </c>
      <c r="AB22" s="93">
        <v>0</v>
      </c>
      <c r="AC22" s="93">
        <v>1</v>
      </c>
      <c r="AD22" s="62">
        <f>IF(V22="TIPO I",'BASE LIQUIDACION'!$D$3,IF(V22="TIPO II",'BASE LIQUIDACION'!$D$4,IF(V22="TIPO III",'BASE LIQUIDACION'!$D$5,'BASE LIQUIDACION'!$D$7)))</f>
        <v>464809.03136000002</v>
      </c>
      <c r="AE22" s="62">
        <f>Y22*'BASE LIQUIDACION'!$B$12+Z22*'BASE LIQUIDACION'!$B$11+AA22*'BASE LIQUIDACION'!$B$13+AB22*'BASE LIQUIDACION'!$B$14+AC22*AD22</f>
        <v>464809.03136000002</v>
      </c>
    </row>
    <row r="23" spans="1:31" s="64" customFormat="1">
      <c r="A23" s="93" t="s">
        <v>179</v>
      </c>
      <c r="B23" s="61" t="str">
        <f>VLOOKUP(A23,'CENTRO DE COSTOS'!A:D,4,FALSE)</f>
        <v>KEVIN ALEXIS CORZO BUSTOS</v>
      </c>
      <c r="C23" s="61" t="str">
        <f>VLOOKUP(A23,'CENTRO DE COSTOS'!A:C,2,FALSE)</f>
        <v>0004-0007</v>
      </c>
      <c r="D23" s="93">
        <v>18001</v>
      </c>
      <c r="E23" s="94" t="s">
        <v>277</v>
      </c>
      <c r="F23" s="95">
        <v>80487</v>
      </c>
      <c r="G23" s="66" t="s">
        <v>102</v>
      </c>
      <c r="H23" s="96" t="s">
        <v>119</v>
      </c>
      <c r="I23" s="95" t="s">
        <v>181</v>
      </c>
      <c r="J23" s="102" t="s">
        <v>182</v>
      </c>
      <c r="K23" s="95" t="s">
        <v>278</v>
      </c>
      <c r="L23" s="67" t="s">
        <v>107</v>
      </c>
      <c r="M23" s="56" t="s">
        <v>279</v>
      </c>
      <c r="N23" s="97">
        <v>45856</v>
      </c>
      <c r="O23" s="98">
        <v>45859</v>
      </c>
      <c r="P23" s="103" t="s">
        <v>124</v>
      </c>
      <c r="Q23" s="104" t="s">
        <v>125</v>
      </c>
      <c r="R23" s="93" t="s">
        <v>147</v>
      </c>
      <c r="S23" s="99" t="s">
        <v>280</v>
      </c>
      <c r="T23" s="65" t="s">
        <v>112</v>
      </c>
      <c r="U23" s="93" t="s">
        <v>281</v>
      </c>
      <c r="V23" s="102" t="s">
        <v>128</v>
      </c>
      <c r="W23" s="98" t="s">
        <v>115</v>
      </c>
      <c r="X23" s="100" t="s">
        <v>187</v>
      </c>
      <c r="Y23" s="93">
        <v>0</v>
      </c>
      <c r="Z23" s="93">
        <v>0</v>
      </c>
      <c r="AA23" s="93">
        <v>0</v>
      </c>
      <c r="AB23" s="93">
        <v>0</v>
      </c>
      <c r="AC23" s="93">
        <v>1</v>
      </c>
      <c r="AD23" s="62">
        <f>IF(V23="TIPO I",'BASE LIQUIDACION'!$D$3,IF(V23="TIPO II",'BASE LIQUIDACION'!$D$4,IF(V23="TIPO III",'BASE LIQUIDACION'!$D$5,'BASE LIQUIDACION'!$D$7)))</f>
        <v>464809.03136000002</v>
      </c>
      <c r="AE23" s="62">
        <f>Y23*'BASE LIQUIDACION'!$B$12+Z23*'BASE LIQUIDACION'!$B$11+AA23*'BASE LIQUIDACION'!$B$13+AB23*'BASE LIQUIDACION'!$B$14+AC23*AD23</f>
        <v>464809.03136000002</v>
      </c>
    </row>
    <row r="24" spans="1:31" s="64" customFormat="1">
      <c r="A24" s="93" t="s">
        <v>282</v>
      </c>
      <c r="B24" s="61" t="str">
        <f>VLOOKUP(A24,'CENTRO DE COSTOS'!A:D,4,FALSE)</f>
        <v>JOSE MAURICIO HERNANDEZ ROJAS</v>
      </c>
      <c r="C24" s="61" t="str">
        <f>VLOOKUP(A24,'CENTRO DE COSTOS'!A:C,2,FALSE)</f>
        <v>0004-0001</v>
      </c>
      <c r="D24" s="93">
        <v>20001</v>
      </c>
      <c r="E24" s="94" t="s">
        <v>283</v>
      </c>
      <c r="F24" s="95">
        <v>80503</v>
      </c>
      <c r="G24" s="66" t="s">
        <v>102</v>
      </c>
      <c r="H24" s="96" t="s">
        <v>119</v>
      </c>
      <c r="I24" s="95" t="s">
        <v>284</v>
      </c>
      <c r="J24" s="102" t="s">
        <v>282</v>
      </c>
      <c r="K24" s="95" t="s">
        <v>285</v>
      </c>
      <c r="L24" s="67" t="s">
        <v>107</v>
      </c>
      <c r="M24" s="56" t="s">
        <v>286</v>
      </c>
      <c r="N24" s="97">
        <v>45856</v>
      </c>
      <c r="O24" s="98">
        <v>45859</v>
      </c>
      <c r="P24" s="103" t="s">
        <v>124</v>
      </c>
      <c r="Q24" s="104" t="s">
        <v>125</v>
      </c>
      <c r="R24" s="93" t="s">
        <v>147</v>
      </c>
      <c r="S24" s="99" t="s">
        <v>287</v>
      </c>
      <c r="T24" s="65" t="s">
        <v>112</v>
      </c>
      <c r="U24" s="93" t="s">
        <v>288</v>
      </c>
      <c r="V24" s="102" t="s">
        <v>150</v>
      </c>
      <c r="W24" s="98" t="s">
        <v>115</v>
      </c>
      <c r="X24" s="100" t="s">
        <v>289</v>
      </c>
      <c r="Y24" s="93">
        <v>0</v>
      </c>
      <c r="Z24" s="93">
        <v>0</v>
      </c>
      <c r="AA24" s="93">
        <v>0</v>
      </c>
      <c r="AB24" s="93">
        <v>0</v>
      </c>
      <c r="AC24" s="93">
        <v>1</v>
      </c>
      <c r="AD24" s="62">
        <f>IF(V24="TIPO I",'BASE LIQUIDACION'!$D$3,IF(V24="TIPO II",'BASE LIQUIDACION'!$D$4,IF(V24="TIPO III",'BASE LIQUIDACION'!$D$5,'BASE LIQUIDACION'!$D$7)))</f>
        <v>44559.984800000006</v>
      </c>
      <c r="AE24" s="62">
        <f>Y24*'BASE LIQUIDACION'!$B$12+Z24*'BASE LIQUIDACION'!$B$11+AA24*'BASE LIQUIDACION'!$B$13+AB24*'BASE LIQUIDACION'!$B$14+AC24*AD24</f>
        <v>44559.984800000006</v>
      </c>
    </row>
    <row r="25" spans="1:31" s="64" customFormat="1">
      <c r="A25" s="93" t="s">
        <v>290</v>
      </c>
      <c r="B25" s="61" t="str">
        <f>VLOOKUP(A25,'CENTRO DE COSTOS'!A:D,4,FALSE)</f>
        <v>JOSE MAURICIO HERNANDEZ ROJAS</v>
      </c>
      <c r="C25" s="61" t="str">
        <f>VLOOKUP(A25,'CENTRO DE COSTOS'!A:C,2,FALSE)</f>
        <v>0004-0001</v>
      </c>
      <c r="D25" s="93">
        <v>23555</v>
      </c>
      <c r="E25" s="94" t="s">
        <v>291</v>
      </c>
      <c r="F25" s="95">
        <v>80498</v>
      </c>
      <c r="G25" s="66" t="s">
        <v>102</v>
      </c>
      <c r="H25" s="96" t="s">
        <v>119</v>
      </c>
      <c r="I25" s="95" t="s">
        <v>292</v>
      </c>
      <c r="J25" s="102" t="s">
        <v>293</v>
      </c>
      <c r="K25" s="95" t="s">
        <v>294</v>
      </c>
      <c r="L25" s="67" t="s">
        <v>107</v>
      </c>
      <c r="M25" s="56" t="s">
        <v>295</v>
      </c>
      <c r="N25" s="97">
        <v>45856</v>
      </c>
      <c r="O25" s="98">
        <v>45866</v>
      </c>
      <c r="P25" s="103" t="s">
        <v>124</v>
      </c>
      <c r="Q25" s="104" t="s">
        <v>125</v>
      </c>
      <c r="R25" s="93" t="s">
        <v>110</v>
      </c>
      <c r="S25" s="99" t="s">
        <v>296</v>
      </c>
      <c r="T25" s="65" t="s">
        <v>112</v>
      </c>
      <c r="U25" s="93" t="s">
        <v>297</v>
      </c>
      <c r="V25" s="102" t="s">
        <v>139</v>
      </c>
      <c r="W25" s="98" t="s">
        <v>115</v>
      </c>
      <c r="X25" s="100" t="s">
        <v>298</v>
      </c>
      <c r="Y25" s="93">
        <v>0</v>
      </c>
      <c r="Z25" s="93">
        <v>0</v>
      </c>
      <c r="AA25" s="93">
        <v>0</v>
      </c>
      <c r="AB25" s="93">
        <v>0</v>
      </c>
      <c r="AC25" s="93">
        <v>1</v>
      </c>
      <c r="AD25" s="62">
        <f>IF(V25="TIPO I",'BASE LIQUIDACION'!$D$3,IF(V25="TIPO II",'BASE LIQUIDACION'!$D$4,IF(V25="TIPO III",'BASE LIQUIDACION'!$D$5,'BASE LIQUIDACION'!$D$7)))</f>
        <v>134410.38956000001</v>
      </c>
      <c r="AE25" s="62">
        <f>Y25*'BASE LIQUIDACION'!$B$12+Z25*'BASE LIQUIDACION'!$B$11+AA25*'BASE LIQUIDACION'!$B$13+AB25*'BASE LIQUIDACION'!$B$14+AC25*AD25</f>
        <v>134410.38956000001</v>
      </c>
    </row>
    <row r="26" spans="1:31" s="64" customFormat="1">
      <c r="A26" s="93" t="s">
        <v>117</v>
      </c>
      <c r="B26" s="61" t="str">
        <f>VLOOKUP(A26,'CENTRO DE COSTOS'!A:D,4,FALSE)</f>
        <v>JOSE MAURICIO HERNANDEZ ROJAS</v>
      </c>
      <c r="C26" s="61" t="str">
        <f>VLOOKUP(A26,'CENTRO DE COSTOS'!A:C,2,FALSE)</f>
        <v>0004-0001</v>
      </c>
      <c r="D26" s="93">
        <v>44001</v>
      </c>
      <c r="E26" s="94" t="s">
        <v>299</v>
      </c>
      <c r="F26" s="95">
        <v>80499</v>
      </c>
      <c r="G26" s="66" t="s">
        <v>102</v>
      </c>
      <c r="H26" s="96" t="s">
        <v>119</v>
      </c>
      <c r="I26" s="95" t="s">
        <v>120</v>
      </c>
      <c r="J26" s="102" t="s">
        <v>300</v>
      </c>
      <c r="K26" s="95" t="s">
        <v>301</v>
      </c>
      <c r="L26" s="67" t="s">
        <v>107</v>
      </c>
      <c r="M26" s="56" t="s">
        <v>302</v>
      </c>
      <c r="N26" s="97">
        <v>45856</v>
      </c>
      <c r="O26" s="98">
        <v>45860</v>
      </c>
      <c r="P26" s="103" t="s">
        <v>124</v>
      </c>
      <c r="Q26" s="104" t="s">
        <v>125</v>
      </c>
      <c r="R26" s="93" t="s">
        <v>147</v>
      </c>
      <c r="S26" s="99" t="s">
        <v>303</v>
      </c>
      <c r="T26" s="65" t="s">
        <v>112</v>
      </c>
      <c r="U26" s="93" t="s">
        <v>304</v>
      </c>
      <c r="V26" s="102" t="s">
        <v>114</v>
      </c>
      <c r="W26" s="98" t="s">
        <v>115</v>
      </c>
      <c r="X26" s="100" t="s">
        <v>129</v>
      </c>
      <c r="Y26" s="93">
        <v>0</v>
      </c>
      <c r="Z26" s="93">
        <v>0</v>
      </c>
      <c r="AA26" s="93">
        <v>0</v>
      </c>
      <c r="AB26" s="93">
        <v>0</v>
      </c>
      <c r="AC26" s="93">
        <v>1</v>
      </c>
      <c r="AD26" s="62">
        <f>IF(V26="TIPO I",'BASE LIQUIDACION'!$D$3,IF(V26="TIPO II",'BASE LIQUIDACION'!$D$4,IF(V26="TIPO III",'BASE LIQUIDACION'!$D$5,'BASE LIQUIDACION'!$D$7)))</f>
        <v>222904.27188000001</v>
      </c>
      <c r="AE26" s="62">
        <f>Y26*'BASE LIQUIDACION'!$B$12+Z26*'BASE LIQUIDACION'!$B$11+AA26*'BASE LIQUIDACION'!$B$13+AB26*'BASE LIQUIDACION'!$B$14+AC26*AD26</f>
        <v>222904.27188000001</v>
      </c>
    </row>
    <row r="27" spans="1:31" s="64" customFormat="1">
      <c r="A27" s="93" t="s">
        <v>256</v>
      </c>
      <c r="B27" s="61" t="str">
        <f>VLOOKUP(A27,'CENTRO DE COSTOS'!A:D,4,FALSE)</f>
        <v>MIGUEL JULIÁN HERNÁNDEZ GUARÍN</v>
      </c>
      <c r="C27" s="61" t="str">
        <f>VLOOKUP(A27,'CENTRO DE COSTOS'!A:C,2,FALSE)</f>
        <v>0004-0008</v>
      </c>
      <c r="D27" s="93">
        <v>68001</v>
      </c>
      <c r="E27" s="94" t="s">
        <v>305</v>
      </c>
      <c r="F27" s="95">
        <v>80472</v>
      </c>
      <c r="G27" s="66" t="s">
        <v>102</v>
      </c>
      <c r="H27" s="96" t="s">
        <v>119</v>
      </c>
      <c r="I27" s="95" t="s">
        <v>258</v>
      </c>
      <c r="J27" s="102" t="s">
        <v>256</v>
      </c>
      <c r="K27" s="95" t="s">
        <v>306</v>
      </c>
      <c r="L27" s="67" t="s">
        <v>107</v>
      </c>
      <c r="M27" s="56" t="s">
        <v>307</v>
      </c>
      <c r="N27" s="97">
        <v>45856</v>
      </c>
      <c r="O27" s="98">
        <v>45859</v>
      </c>
      <c r="P27" s="103" t="s">
        <v>124</v>
      </c>
      <c r="Q27" s="104" t="s">
        <v>125</v>
      </c>
      <c r="R27" s="93" t="s">
        <v>147</v>
      </c>
      <c r="S27" s="99" t="s">
        <v>308</v>
      </c>
      <c r="T27" s="65" t="s">
        <v>112</v>
      </c>
      <c r="U27" s="93" t="s">
        <v>309</v>
      </c>
      <c r="V27" s="102" t="s">
        <v>150</v>
      </c>
      <c r="W27" s="98" t="s">
        <v>115</v>
      </c>
      <c r="X27" s="100" t="s">
        <v>310</v>
      </c>
      <c r="Y27" s="93">
        <v>0</v>
      </c>
      <c r="Z27" s="93">
        <v>0</v>
      </c>
      <c r="AA27" s="93">
        <v>0</v>
      </c>
      <c r="AB27" s="93">
        <v>0</v>
      </c>
      <c r="AC27" s="93">
        <v>1</v>
      </c>
      <c r="AD27" s="62">
        <f>IF(V27="TIPO I",'BASE LIQUIDACION'!$D$3,IF(V27="TIPO II",'BASE LIQUIDACION'!$D$4,IF(V27="TIPO III",'BASE LIQUIDACION'!$D$5,'BASE LIQUIDACION'!$D$7)))</f>
        <v>44559.984800000006</v>
      </c>
      <c r="AE27" s="62">
        <f>Y27*'BASE LIQUIDACION'!$B$12+Z27*'BASE LIQUIDACION'!$B$11+AA27*'BASE LIQUIDACION'!$B$13+AB27*'BASE LIQUIDACION'!$B$14+AC27*AD27</f>
        <v>44559.984800000006</v>
      </c>
    </row>
    <row r="28" spans="1:31" s="64" customFormat="1">
      <c r="A28" s="93" t="s">
        <v>161</v>
      </c>
      <c r="B28" s="61" t="str">
        <f>VLOOKUP(A28,'CENTRO DE COSTOS'!A:D,4,FALSE)</f>
        <v>DIEGO FERNANDO HENAO CARDONA</v>
      </c>
      <c r="C28" s="61" t="str">
        <f>VLOOKUP(A28,'CENTRO DE COSTOS'!A:C,2,FALSE)</f>
        <v>0004-0003</v>
      </c>
      <c r="D28" s="93">
        <v>76001</v>
      </c>
      <c r="E28" s="94" t="s">
        <v>311</v>
      </c>
      <c r="F28" s="95">
        <v>80474</v>
      </c>
      <c r="G28" s="66" t="s">
        <v>102</v>
      </c>
      <c r="H28" s="96" t="s">
        <v>119</v>
      </c>
      <c r="I28" s="95" t="s">
        <v>208</v>
      </c>
      <c r="J28" s="102" t="s">
        <v>161</v>
      </c>
      <c r="K28" s="95" t="s">
        <v>312</v>
      </c>
      <c r="L28" s="67" t="s">
        <v>107</v>
      </c>
      <c r="M28" s="56" t="s">
        <v>313</v>
      </c>
      <c r="N28" s="97">
        <v>45856</v>
      </c>
      <c r="O28" s="98">
        <v>45860</v>
      </c>
      <c r="P28" s="103" t="s">
        <v>124</v>
      </c>
      <c r="Q28" s="104" t="s">
        <v>125</v>
      </c>
      <c r="R28" s="93" t="s">
        <v>147</v>
      </c>
      <c r="S28" s="99" t="s">
        <v>314</v>
      </c>
      <c r="T28" s="65" t="s">
        <v>112</v>
      </c>
      <c r="U28" s="93" t="s">
        <v>315</v>
      </c>
      <c r="V28" s="102" t="s">
        <v>150</v>
      </c>
      <c r="W28" s="98" t="s">
        <v>115</v>
      </c>
      <c r="X28" s="100" t="s">
        <v>214</v>
      </c>
      <c r="Y28" s="93">
        <v>0</v>
      </c>
      <c r="Z28" s="93">
        <v>0</v>
      </c>
      <c r="AA28" s="93">
        <v>0</v>
      </c>
      <c r="AB28" s="93">
        <v>0</v>
      </c>
      <c r="AC28" s="93">
        <v>1</v>
      </c>
      <c r="AD28" s="62">
        <f>IF(V28="TIPO I",'BASE LIQUIDACION'!$D$3,IF(V28="TIPO II",'BASE LIQUIDACION'!$D$4,IF(V28="TIPO III",'BASE LIQUIDACION'!$D$5,'BASE LIQUIDACION'!$D$7)))</f>
        <v>44559.984800000006</v>
      </c>
      <c r="AE28" s="62">
        <f>Y28*'BASE LIQUIDACION'!$B$12+Z28*'BASE LIQUIDACION'!$B$11+AA28*'BASE LIQUIDACION'!$B$13+AB28*'BASE LIQUIDACION'!$B$14+AC28*AD28</f>
        <v>44559.984800000006</v>
      </c>
    </row>
    <row r="29" spans="1:31" s="64" customFormat="1">
      <c r="A29" s="93" t="s">
        <v>316</v>
      </c>
      <c r="B29" s="61" t="str">
        <f>VLOOKUP(A29,'CENTRO DE COSTOS'!A:D,4,FALSE)</f>
        <v>JUAN SEBASTIÁN RÍOS CASTRILLÓN</v>
      </c>
      <c r="C29" s="61" t="str">
        <f>VLOOKUP(A29,'CENTRO DE COSTOS'!A:C,2,FALSE)</f>
        <v>0004-0005</v>
      </c>
      <c r="D29" s="93">
        <v>5045</v>
      </c>
      <c r="E29" s="94" t="s">
        <v>317</v>
      </c>
      <c r="F29" s="95">
        <v>80466</v>
      </c>
      <c r="G29" s="66" t="s">
        <v>102</v>
      </c>
      <c r="H29" s="96" t="s">
        <v>119</v>
      </c>
      <c r="I29" s="95" t="s">
        <v>104</v>
      </c>
      <c r="J29" s="102" t="s">
        <v>316</v>
      </c>
      <c r="K29" s="95" t="s">
        <v>318</v>
      </c>
      <c r="L29" s="67" t="s">
        <v>107</v>
      </c>
      <c r="M29" s="56" t="s">
        <v>319</v>
      </c>
      <c r="N29" s="97">
        <v>45856</v>
      </c>
      <c r="O29" s="98">
        <v>45860</v>
      </c>
      <c r="P29" s="103" t="s">
        <v>124</v>
      </c>
      <c r="Q29" s="104" t="s">
        <v>125</v>
      </c>
      <c r="R29" s="93" t="s">
        <v>147</v>
      </c>
      <c r="S29" s="99" t="s">
        <v>320</v>
      </c>
      <c r="T29" s="65" t="s">
        <v>112</v>
      </c>
      <c r="U29" s="93" t="s">
        <v>321</v>
      </c>
      <c r="V29" s="102" t="s">
        <v>150</v>
      </c>
      <c r="W29" s="98" t="s">
        <v>115</v>
      </c>
      <c r="X29" s="100" t="s">
        <v>322</v>
      </c>
      <c r="Y29" s="93">
        <v>0</v>
      </c>
      <c r="Z29" s="93">
        <v>0</v>
      </c>
      <c r="AA29" s="93">
        <v>0</v>
      </c>
      <c r="AB29" s="93">
        <v>0</v>
      </c>
      <c r="AC29" s="93">
        <v>1</v>
      </c>
      <c r="AD29" s="62">
        <f>IF(V29="TIPO I",'BASE LIQUIDACION'!$D$3,IF(V29="TIPO II",'BASE LIQUIDACION'!$D$4,IF(V29="TIPO III",'BASE LIQUIDACION'!$D$5,'BASE LIQUIDACION'!$D$7)))</f>
        <v>44559.984800000006</v>
      </c>
      <c r="AE29" s="62">
        <f>Y29*'BASE LIQUIDACION'!$B$12+Z29*'BASE LIQUIDACION'!$B$11+AA29*'BASE LIQUIDACION'!$B$13+AB29*'BASE LIQUIDACION'!$B$14+AC29*AD29</f>
        <v>44559.984800000006</v>
      </c>
    </row>
    <row r="30" spans="1:31" s="64" customFormat="1">
      <c r="A30" s="93" t="s">
        <v>316</v>
      </c>
      <c r="B30" s="61" t="str">
        <f>VLOOKUP(A30,'CENTRO DE COSTOS'!A:D,4,FALSE)</f>
        <v>JUAN SEBASTIÁN RÍOS CASTRILLÓN</v>
      </c>
      <c r="C30" s="61" t="str">
        <f>VLOOKUP(A30,'CENTRO DE COSTOS'!A:C,2,FALSE)</f>
        <v>0004-0005</v>
      </c>
      <c r="D30" s="93">
        <v>5045</v>
      </c>
      <c r="E30" s="94" t="s">
        <v>323</v>
      </c>
      <c r="F30" s="95">
        <v>80476</v>
      </c>
      <c r="G30" s="66" t="s">
        <v>102</v>
      </c>
      <c r="H30" s="96" t="s">
        <v>119</v>
      </c>
      <c r="I30" s="95" t="s">
        <v>104</v>
      </c>
      <c r="J30" s="102" t="s">
        <v>316</v>
      </c>
      <c r="K30" s="95" t="s">
        <v>324</v>
      </c>
      <c r="L30" s="67" t="s">
        <v>107</v>
      </c>
      <c r="M30" s="56" t="s">
        <v>325</v>
      </c>
      <c r="N30" s="97">
        <v>45856</v>
      </c>
      <c r="O30" s="98">
        <v>45860</v>
      </c>
      <c r="P30" s="103" t="s">
        <v>124</v>
      </c>
      <c r="Q30" s="104" t="s">
        <v>125</v>
      </c>
      <c r="R30" s="93" t="s">
        <v>147</v>
      </c>
      <c r="S30" s="99" t="s">
        <v>326</v>
      </c>
      <c r="T30" s="65" t="s">
        <v>112</v>
      </c>
      <c r="U30" s="93" t="s">
        <v>327</v>
      </c>
      <c r="V30" s="102" t="s">
        <v>150</v>
      </c>
      <c r="W30" s="98" t="s">
        <v>115</v>
      </c>
      <c r="X30" s="100" t="s">
        <v>322</v>
      </c>
      <c r="Y30" s="93">
        <v>0</v>
      </c>
      <c r="Z30" s="93">
        <v>0</v>
      </c>
      <c r="AA30" s="93">
        <v>0</v>
      </c>
      <c r="AB30" s="93">
        <v>0</v>
      </c>
      <c r="AC30" s="93">
        <v>1</v>
      </c>
      <c r="AD30" s="62">
        <f>IF(V30="TIPO I",'BASE LIQUIDACION'!$D$3,IF(V30="TIPO II",'BASE LIQUIDACION'!$D$4,IF(V30="TIPO III",'BASE LIQUIDACION'!$D$5,'BASE LIQUIDACION'!$D$7)))</f>
        <v>44559.984800000006</v>
      </c>
      <c r="AE30" s="62">
        <f>Y30*'BASE LIQUIDACION'!$B$12+Z30*'BASE LIQUIDACION'!$B$11+AA30*'BASE LIQUIDACION'!$B$13+AB30*'BASE LIQUIDACION'!$B$14+AC30*AD30</f>
        <v>44559.984800000006</v>
      </c>
    </row>
    <row r="31" spans="1:31" s="64" customFormat="1">
      <c r="A31" s="93" t="s">
        <v>248</v>
      </c>
      <c r="B31" s="61" t="str">
        <f>VLOOKUP(A31,'CENTRO DE COSTOS'!A:D,4,FALSE)</f>
        <v>KEVIN ALEXIS CORZO BUSTOS</v>
      </c>
      <c r="C31" s="61" t="str">
        <f>VLOOKUP(A31,'CENTRO DE COSTOS'!A:C,2,FALSE)</f>
        <v>0004-0007</v>
      </c>
      <c r="D31" s="93">
        <v>50287</v>
      </c>
      <c r="E31" s="94" t="s">
        <v>328</v>
      </c>
      <c r="F31" s="95">
        <v>80524</v>
      </c>
      <c r="G31" s="66" t="s">
        <v>102</v>
      </c>
      <c r="H31" s="96" t="s">
        <v>132</v>
      </c>
      <c r="I31" s="95" t="s">
        <v>250</v>
      </c>
      <c r="J31" s="102" t="s">
        <v>329</v>
      </c>
      <c r="K31" s="95" t="s">
        <v>330</v>
      </c>
      <c r="L31" s="67" t="s">
        <v>107</v>
      </c>
      <c r="M31" s="56" t="s">
        <v>331</v>
      </c>
      <c r="N31" s="97">
        <v>45856</v>
      </c>
      <c r="O31" s="98">
        <v>45860</v>
      </c>
      <c r="P31" s="103" t="s">
        <v>109</v>
      </c>
      <c r="Q31" s="104" t="s">
        <v>109</v>
      </c>
      <c r="R31" s="93" t="s">
        <v>147</v>
      </c>
      <c r="S31" s="99" t="s">
        <v>332</v>
      </c>
      <c r="T31" s="65" t="s">
        <v>112</v>
      </c>
      <c r="U31" s="93" t="s">
        <v>333</v>
      </c>
      <c r="V31" s="102" t="s">
        <v>114</v>
      </c>
      <c r="W31" s="98" t="s">
        <v>115</v>
      </c>
      <c r="X31" s="100" t="s">
        <v>334</v>
      </c>
      <c r="Y31" s="93">
        <v>0</v>
      </c>
      <c r="Z31" s="93">
        <v>0</v>
      </c>
      <c r="AA31" s="93">
        <v>0</v>
      </c>
      <c r="AB31" s="93">
        <v>0</v>
      </c>
      <c r="AC31" s="93">
        <v>1</v>
      </c>
      <c r="AD31" s="62">
        <f>IF(V31="TIPO I",'BASE LIQUIDACION'!$D$3,IF(V31="TIPO II",'BASE LIQUIDACION'!$D$4,IF(V31="TIPO III",'BASE LIQUIDACION'!$D$5,'BASE LIQUIDACION'!$D$7)))</f>
        <v>222904.27188000001</v>
      </c>
      <c r="AE31" s="62">
        <f>Y31*'BASE LIQUIDACION'!$B$12+Z31*'BASE LIQUIDACION'!$B$11+AA31*'BASE LIQUIDACION'!$B$13+AB31*'BASE LIQUIDACION'!$B$14+AC31*AD31</f>
        <v>222904.27188000001</v>
      </c>
    </row>
    <row r="32" spans="1:31" s="64" customFormat="1">
      <c r="A32" s="93" t="s">
        <v>100</v>
      </c>
      <c r="B32" s="61" t="str">
        <f>VLOOKUP(A32,'CENTRO DE COSTOS'!A:D,4,FALSE)</f>
        <v>JUAN SEBASTIÁN RÍOS CASTRILLÓN</v>
      </c>
      <c r="C32" s="61" t="str">
        <f>VLOOKUP(A32,'CENTRO DE COSTOS'!A:C,2,FALSE)</f>
        <v>0004-0005</v>
      </c>
      <c r="D32" s="93">
        <v>5790</v>
      </c>
      <c r="E32" s="94" t="s">
        <v>335</v>
      </c>
      <c r="F32" s="95">
        <v>80542</v>
      </c>
      <c r="G32" s="66" t="s">
        <v>102</v>
      </c>
      <c r="H32" s="96" t="s">
        <v>132</v>
      </c>
      <c r="I32" s="95" t="s">
        <v>104</v>
      </c>
      <c r="J32" s="102" t="s">
        <v>336</v>
      </c>
      <c r="K32" s="95" t="s">
        <v>337</v>
      </c>
      <c r="L32" s="67" t="s">
        <v>107</v>
      </c>
      <c r="M32" s="56" t="s">
        <v>338</v>
      </c>
      <c r="N32" s="97">
        <v>45856</v>
      </c>
      <c r="O32" s="98">
        <v>45860</v>
      </c>
      <c r="P32" s="103" t="s">
        <v>109</v>
      </c>
      <c r="Q32" s="104" t="s">
        <v>109</v>
      </c>
      <c r="R32" s="93" t="s">
        <v>147</v>
      </c>
      <c r="S32" s="99" t="s">
        <v>339</v>
      </c>
      <c r="T32" s="65" t="s">
        <v>112</v>
      </c>
      <c r="U32" s="93" t="s">
        <v>340</v>
      </c>
      <c r="V32" s="102" t="s">
        <v>128</v>
      </c>
      <c r="W32" s="98" t="s">
        <v>115</v>
      </c>
      <c r="X32" s="100" t="s">
        <v>276</v>
      </c>
      <c r="Y32" s="93">
        <v>0</v>
      </c>
      <c r="Z32" s="93">
        <v>0</v>
      </c>
      <c r="AA32" s="93">
        <v>0</v>
      </c>
      <c r="AB32" s="93">
        <v>0</v>
      </c>
      <c r="AC32" s="93">
        <v>1</v>
      </c>
      <c r="AD32" s="62">
        <f>IF(V32="TIPO I",'BASE LIQUIDACION'!$D$3,IF(V32="TIPO II",'BASE LIQUIDACION'!$D$4,IF(V32="TIPO III",'BASE LIQUIDACION'!$D$5,'BASE LIQUIDACION'!$D$7)))</f>
        <v>464809.03136000002</v>
      </c>
      <c r="AE32" s="62">
        <f>Y32*'BASE LIQUIDACION'!$B$12+Z32*'BASE LIQUIDACION'!$B$11+AA32*'BASE LIQUIDACION'!$B$13+AB32*'BASE LIQUIDACION'!$B$14+AC32*AD32</f>
        <v>464809.03136000002</v>
      </c>
    </row>
    <row r="33" spans="1:31" s="64" customFormat="1">
      <c r="A33" s="93" t="s">
        <v>341</v>
      </c>
      <c r="B33" s="61" t="str">
        <f>VLOOKUP(A33,'CENTRO DE COSTOS'!A:D,4,FALSE)</f>
        <v>JOSE MAURICIO HERNANDEZ ROJAS</v>
      </c>
      <c r="C33" s="61" t="str">
        <f>VLOOKUP(A33,'CENTRO DE COSTOS'!A:C,2,FALSE)</f>
        <v>0004-0001</v>
      </c>
      <c r="D33" s="93">
        <v>13430</v>
      </c>
      <c r="E33" s="94" t="s">
        <v>342</v>
      </c>
      <c r="F33" s="95">
        <v>80532</v>
      </c>
      <c r="G33" s="66" t="s">
        <v>102</v>
      </c>
      <c r="H33" s="96" t="s">
        <v>132</v>
      </c>
      <c r="I33" s="95" t="s">
        <v>343</v>
      </c>
      <c r="J33" s="102" t="s">
        <v>344</v>
      </c>
      <c r="K33" s="95" t="s">
        <v>345</v>
      </c>
      <c r="L33" s="67" t="s">
        <v>107</v>
      </c>
      <c r="M33" s="56" t="s">
        <v>346</v>
      </c>
      <c r="N33" s="97">
        <v>45856</v>
      </c>
      <c r="O33" s="98">
        <v>45862</v>
      </c>
      <c r="P33" s="103" t="s">
        <v>109</v>
      </c>
      <c r="Q33" s="104" t="s">
        <v>109</v>
      </c>
      <c r="R33" s="93" t="s">
        <v>110</v>
      </c>
      <c r="S33" s="99" t="s">
        <v>347</v>
      </c>
      <c r="T33" s="65" t="s">
        <v>112</v>
      </c>
      <c r="U33" s="93" t="s">
        <v>348</v>
      </c>
      <c r="V33" s="102" t="s">
        <v>128</v>
      </c>
      <c r="W33" s="98" t="s">
        <v>115</v>
      </c>
      <c r="X33" s="100" t="s">
        <v>349</v>
      </c>
      <c r="Y33" s="93">
        <v>0</v>
      </c>
      <c r="Z33" s="93">
        <v>0</v>
      </c>
      <c r="AA33" s="93">
        <v>0</v>
      </c>
      <c r="AB33" s="93">
        <v>0</v>
      </c>
      <c r="AC33" s="93">
        <v>1</v>
      </c>
      <c r="AD33" s="62">
        <f>IF(V33="TIPO I",'BASE LIQUIDACION'!$D$3,IF(V33="TIPO II",'BASE LIQUIDACION'!$D$4,IF(V33="TIPO III",'BASE LIQUIDACION'!$D$5,'BASE LIQUIDACION'!$D$7)))</f>
        <v>464809.03136000002</v>
      </c>
      <c r="AE33" s="62">
        <f>Y33*'BASE LIQUIDACION'!$B$12+Z33*'BASE LIQUIDACION'!$B$11+AA33*'BASE LIQUIDACION'!$B$13+AB33*'BASE LIQUIDACION'!$B$14+AC33*AD33</f>
        <v>464809.03136000002</v>
      </c>
    </row>
    <row r="34" spans="1:31" s="64" customFormat="1">
      <c r="A34" s="93" t="s">
        <v>179</v>
      </c>
      <c r="B34" s="61" t="str">
        <f>VLOOKUP(A34,'CENTRO DE COSTOS'!A:D,4,FALSE)</f>
        <v>KEVIN ALEXIS CORZO BUSTOS</v>
      </c>
      <c r="C34" s="61" t="str">
        <f>VLOOKUP(A34,'CENTRO DE COSTOS'!A:C,2,FALSE)</f>
        <v>0004-0007</v>
      </c>
      <c r="D34" s="93">
        <v>18001</v>
      </c>
      <c r="E34" s="94" t="s">
        <v>350</v>
      </c>
      <c r="F34" s="95">
        <v>80558</v>
      </c>
      <c r="G34" s="66" t="s">
        <v>102</v>
      </c>
      <c r="H34" s="96" t="s">
        <v>132</v>
      </c>
      <c r="I34" s="95" t="s">
        <v>181</v>
      </c>
      <c r="J34" s="102" t="s">
        <v>182</v>
      </c>
      <c r="K34" s="95" t="s">
        <v>351</v>
      </c>
      <c r="L34" s="67" t="s">
        <v>107</v>
      </c>
      <c r="M34" s="56" t="s">
        <v>352</v>
      </c>
      <c r="N34" s="97">
        <v>45859</v>
      </c>
      <c r="O34" s="98">
        <v>45862</v>
      </c>
      <c r="P34" s="103" t="s">
        <v>109</v>
      </c>
      <c r="Q34" s="104" t="s">
        <v>109</v>
      </c>
      <c r="R34" s="93" t="s">
        <v>147</v>
      </c>
      <c r="S34" s="99" t="s">
        <v>353</v>
      </c>
      <c r="T34" s="65" t="s">
        <v>112</v>
      </c>
      <c r="U34" s="93" t="s">
        <v>354</v>
      </c>
      <c r="V34" s="102" t="s">
        <v>128</v>
      </c>
      <c r="W34" s="98" t="s">
        <v>115</v>
      </c>
      <c r="X34" s="100" t="s">
        <v>187</v>
      </c>
      <c r="Y34" s="93">
        <v>0</v>
      </c>
      <c r="Z34" s="93">
        <v>0</v>
      </c>
      <c r="AA34" s="93">
        <v>0</v>
      </c>
      <c r="AB34" s="93">
        <v>0</v>
      </c>
      <c r="AC34" s="93">
        <v>1</v>
      </c>
      <c r="AD34" s="62">
        <f>IF(V34="TIPO I",'BASE LIQUIDACION'!$D$3,IF(V34="TIPO II",'BASE LIQUIDACION'!$D$4,IF(V34="TIPO III",'BASE LIQUIDACION'!$D$5,'BASE LIQUIDACION'!$D$7)))</f>
        <v>464809.03136000002</v>
      </c>
      <c r="AE34" s="62">
        <f>Y34*'BASE LIQUIDACION'!$B$12+Z34*'BASE LIQUIDACION'!$B$11+AA34*'BASE LIQUIDACION'!$B$13+AB34*'BASE LIQUIDACION'!$B$14+AC34*AD34</f>
        <v>464809.03136000002</v>
      </c>
    </row>
    <row r="35" spans="1:31" s="64" customFormat="1">
      <c r="A35" s="93" t="s">
        <v>161</v>
      </c>
      <c r="B35" s="61" t="str">
        <f>VLOOKUP(A35,'CENTRO DE COSTOS'!A:D,4,FALSE)</f>
        <v>DIEGO FERNANDO HENAO CARDONA</v>
      </c>
      <c r="C35" s="61" t="str">
        <f>VLOOKUP(A35,'CENTRO DE COSTOS'!A:C,2,FALSE)</f>
        <v>0004-0003</v>
      </c>
      <c r="D35" s="93">
        <v>19001</v>
      </c>
      <c r="E35" s="94" t="s">
        <v>355</v>
      </c>
      <c r="F35" s="95">
        <v>33708</v>
      </c>
      <c r="G35" s="66" t="s">
        <v>102</v>
      </c>
      <c r="H35" s="96" t="s">
        <v>189</v>
      </c>
      <c r="I35" s="95" t="s">
        <v>163</v>
      </c>
      <c r="J35" s="102" t="s">
        <v>164</v>
      </c>
      <c r="K35" s="95" t="s">
        <v>356</v>
      </c>
      <c r="L35" s="67" t="s">
        <v>107</v>
      </c>
      <c r="M35" s="56" t="s">
        <v>357</v>
      </c>
      <c r="N35" s="97">
        <v>45861</v>
      </c>
      <c r="O35" s="98">
        <v>45863</v>
      </c>
      <c r="P35" s="103" t="s">
        <v>109</v>
      </c>
      <c r="Q35" s="104" t="s">
        <v>109</v>
      </c>
      <c r="R35" s="93" t="s">
        <v>147</v>
      </c>
      <c r="S35" s="99" t="s">
        <v>358</v>
      </c>
      <c r="T35" s="65" t="s">
        <v>112</v>
      </c>
      <c r="U35" s="93" t="s">
        <v>359</v>
      </c>
      <c r="V35" s="102" t="s">
        <v>114</v>
      </c>
      <c r="W35" s="98" t="s">
        <v>115</v>
      </c>
      <c r="X35" s="100" t="s">
        <v>169</v>
      </c>
      <c r="Y35" s="93">
        <v>0</v>
      </c>
      <c r="Z35" s="93">
        <v>0</v>
      </c>
      <c r="AA35" s="93">
        <v>0</v>
      </c>
      <c r="AB35" s="93">
        <v>0</v>
      </c>
      <c r="AC35" s="93">
        <v>1</v>
      </c>
      <c r="AD35" s="62">
        <f>IF(V35="TIPO I",'BASE LIQUIDACION'!$D$3,IF(V35="TIPO II",'BASE LIQUIDACION'!$D$4,IF(V35="TIPO III",'BASE LIQUIDACION'!$D$5,'BASE LIQUIDACION'!$D$7)))</f>
        <v>222904.27188000001</v>
      </c>
      <c r="AE35" s="62">
        <f>Y35*'BASE LIQUIDACION'!$B$12+Z35*'BASE LIQUIDACION'!$B$11+AA35*'BASE LIQUIDACION'!$B$13+AB35*'BASE LIQUIDACION'!$B$14+AC35*AD35</f>
        <v>222904.27188000001</v>
      </c>
    </row>
    <row r="36" spans="1:31" s="64" customFormat="1">
      <c r="A36" s="93" t="s">
        <v>360</v>
      </c>
      <c r="B36" s="61" t="str">
        <f>VLOOKUP(A36,'CENTRO DE COSTOS'!A:D,4,FALSE)</f>
        <v>KEVIN ALEXIS CORZO BUSTOS</v>
      </c>
      <c r="C36" s="61" t="str">
        <f>VLOOKUP(A36,'CENTRO DE COSTOS'!A:C,2,FALSE)</f>
        <v>0004-0007</v>
      </c>
      <c r="D36" s="93">
        <v>73001</v>
      </c>
      <c r="E36" s="94" t="s">
        <v>361</v>
      </c>
      <c r="F36" s="95">
        <v>80671</v>
      </c>
      <c r="G36" s="66" t="s">
        <v>102</v>
      </c>
      <c r="H36" s="96" t="s">
        <v>132</v>
      </c>
      <c r="I36" s="95" t="s">
        <v>362</v>
      </c>
      <c r="J36" s="102" t="s">
        <v>360</v>
      </c>
      <c r="K36" s="95" t="s">
        <v>363</v>
      </c>
      <c r="L36" s="67" t="s">
        <v>107</v>
      </c>
      <c r="M36" s="56" t="s">
        <v>364</v>
      </c>
      <c r="N36" s="97">
        <v>45866</v>
      </c>
      <c r="O36" s="98">
        <v>45867</v>
      </c>
      <c r="P36" s="103" t="s">
        <v>109</v>
      </c>
      <c r="Q36" s="104" t="s">
        <v>109</v>
      </c>
      <c r="R36" s="93" t="s">
        <v>147</v>
      </c>
      <c r="S36" s="99" t="s">
        <v>365</v>
      </c>
      <c r="T36" s="65" t="s">
        <v>112</v>
      </c>
      <c r="U36" s="93" t="s">
        <v>366</v>
      </c>
      <c r="V36" s="102" t="s">
        <v>150</v>
      </c>
      <c r="W36" s="98" t="s">
        <v>115</v>
      </c>
      <c r="X36" s="100" t="s">
        <v>367</v>
      </c>
      <c r="Y36" s="93">
        <v>0</v>
      </c>
      <c r="Z36" s="93">
        <v>0</v>
      </c>
      <c r="AA36" s="93">
        <v>0</v>
      </c>
      <c r="AB36" s="93">
        <v>0</v>
      </c>
      <c r="AC36" s="93">
        <v>1</v>
      </c>
      <c r="AD36" s="62">
        <f>IF(V36="TIPO I",'BASE LIQUIDACION'!$D$3,IF(V36="TIPO II",'BASE LIQUIDACION'!$D$4,IF(V36="TIPO III",'BASE LIQUIDACION'!$D$5,'BASE LIQUIDACION'!$D$7)))</f>
        <v>44559.984800000006</v>
      </c>
      <c r="AE36" s="62">
        <f>Y36*'BASE LIQUIDACION'!$B$12+Z36*'BASE LIQUIDACION'!$B$11+AA36*'BASE LIQUIDACION'!$B$13+AB36*'BASE LIQUIDACION'!$B$14+AC36*AD36</f>
        <v>44559.984800000006</v>
      </c>
    </row>
    <row r="37" spans="1:31" s="64" customFormat="1">
      <c r="A37" s="93" t="s">
        <v>100</v>
      </c>
      <c r="B37" s="61" t="str">
        <f>VLOOKUP(A37,'CENTRO DE COSTOS'!A:D,4,FALSE)</f>
        <v>JUAN SEBASTIÁN RÍOS CASTRILLÓN</v>
      </c>
      <c r="C37" s="61" t="str">
        <f>VLOOKUP(A37,'CENTRO DE COSTOS'!A:C,2,FALSE)</f>
        <v>0004-0005</v>
      </c>
      <c r="D37" s="93">
        <v>5001</v>
      </c>
      <c r="E37" s="94" t="s">
        <v>368</v>
      </c>
      <c r="F37" s="95">
        <v>13412</v>
      </c>
      <c r="G37" s="66" t="s">
        <v>102</v>
      </c>
      <c r="H37" s="96" t="s">
        <v>189</v>
      </c>
      <c r="I37" s="95" t="s">
        <v>104</v>
      </c>
      <c r="J37" s="102" t="s">
        <v>100</v>
      </c>
      <c r="K37" s="95" t="s">
        <v>369</v>
      </c>
      <c r="L37" s="67" t="s">
        <v>107</v>
      </c>
      <c r="M37" s="56" t="s">
        <v>370</v>
      </c>
      <c r="N37" s="97">
        <v>45866</v>
      </c>
      <c r="O37" s="98">
        <v>45867</v>
      </c>
      <c r="P37" s="103" t="s">
        <v>109</v>
      </c>
      <c r="Q37" s="104" t="s">
        <v>109</v>
      </c>
      <c r="R37" s="93" t="s">
        <v>147</v>
      </c>
      <c r="S37" s="99" t="s">
        <v>371</v>
      </c>
      <c r="T37" s="65" t="s">
        <v>112</v>
      </c>
      <c r="U37" s="93" t="s">
        <v>372</v>
      </c>
      <c r="V37" s="102" t="s">
        <v>150</v>
      </c>
      <c r="W37" s="98" t="s">
        <v>115</v>
      </c>
      <c r="X37" s="100" t="s">
        <v>373</v>
      </c>
      <c r="Y37" s="93">
        <v>0</v>
      </c>
      <c r="Z37" s="93">
        <v>0</v>
      </c>
      <c r="AA37" s="93">
        <v>0</v>
      </c>
      <c r="AB37" s="93">
        <v>0</v>
      </c>
      <c r="AC37" s="93">
        <v>1</v>
      </c>
      <c r="AD37" s="62">
        <f>IF(V37="TIPO I",'BASE LIQUIDACION'!$D$3,IF(V37="TIPO II",'BASE LIQUIDACION'!$D$4,IF(V37="TIPO III",'BASE LIQUIDACION'!$D$5,'BASE LIQUIDACION'!$D$7)))</f>
        <v>44559.984800000006</v>
      </c>
      <c r="AE37" s="62">
        <f>Y37*'BASE LIQUIDACION'!$B$12+Z37*'BASE LIQUIDACION'!$B$11+AA37*'BASE LIQUIDACION'!$B$13+AB37*'BASE LIQUIDACION'!$B$14+AC37*AD37</f>
        <v>44559.984800000006</v>
      </c>
    </row>
    <row r="38" spans="1:31" s="64" customFormat="1">
      <c r="A38" s="93" t="s">
        <v>290</v>
      </c>
      <c r="B38" s="61" t="str">
        <f>VLOOKUP(A38,'CENTRO DE COSTOS'!A:D,4,FALSE)</f>
        <v>JOSE MAURICIO HERNANDEZ ROJAS</v>
      </c>
      <c r="C38" s="61" t="str">
        <f>VLOOKUP(A38,'CENTRO DE COSTOS'!A:C,2,FALSE)</f>
        <v>0004-0001</v>
      </c>
      <c r="D38" s="93">
        <v>23001</v>
      </c>
      <c r="E38" s="94" t="s">
        <v>374</v>
      </c>
      <c r="F38" s="95">
        <v>80741</v>
      </c>
      <c r="G38" s="66" t="s">
        <v>102</v>
      </c>
      <c r="H38" s="96" t="s">
        <v>132</v>
      </c>
      <c r="I38" s="95" t="s">
        <v>292</v>
      </c>
      <c r="J38" s="102" t="s">
        <v>290</v>
      </c>
      <c r="K38" s="95" t="s">
        <v>375</v>
      </c>
      <c r="L38" s="67" t="s">
        <v>107</v>
      </c>
      <c r="M38" s="56" t="s">
        <v>376</v>
      </c>
      <c r="N38" s="97">
        <v>45868</v>
      </c>
      <c r="O38" s="98">
        <v>45869</v>
      </c>
      <c r="P38" s="103" t="s">
        <v>109</v>
      </c>
      <c r="Q38" s="104" t="s">
        <v>109</v>
      </c>
      <c r="R38" s="93" t="s">
        <v>147</v>
      </c>
      <c r="S38" s="99" t="s">
        <v>377</v>
      </c>
      <c r="T38" s="65" t="s">
        <v>112</v>
      </c>
      <c r="U38" s="93" t="s">
        <v>378</v>
      </c>
      <c r="V38" s="102" t="s">
        <v>150</v>
      </c>
      <c r="W38" s="98" t="s">
        <v>115</v>
      </c>
      <c r="X38" s="100" t="s">
        <v>379</v>
      </c>
      <c r="Y38" s="93">
        <v>0</v>
      </c>
      <c r="Z38" s="93">
        <v>0</v>
      </c>
      <c r="AA38" s="93">
        <v>0</v>
      </c>
      <c r="AB38" s="93">
        <v>0</v>
      </c>
      <c r="AC38" s="93">
        <v>1</v>
      </c>
      <c r="AD38" s="62">
        <f>IF(V38="TIPO I",'BASE LIQUIDACION'!$D$3,IF(V38="TIPO II",'BASE LIQUIDACION'!$D$4,IF(V38="TIPO III",'BASE LIQUIDACION'!$D$5,'BASE LIQUIDACION'!$D$7)))</f>
        <v>44559.984800000006</v>
      </c>
      <c r="AE38" s="62">
        <f>Y38*'BASE LIQUIDACION'!$B$12+Z38*'BASE LIQUIDACION'!$B$11+AA38*'BASE LIQUIDACION'!$B$13+AB38*'BASE LIQUIDACION'!$B$14+AC38*AD38</f>
        <v>44559.984800000006</v>
      </c>
    </row>
    <row r="39" spans="1:31" s="64" customFormat="1">
      <c r="A39" s="93" t="s">
        <v>248</v>
      </c>
      <c r="B39" s="65" t="str">
        <f>VLOOKUP(A39,'CENTRO DE COSTOS'!A:D,4,FALSE)</f>
        <v>KEVIN ALEXIS CORZO BUSTOS</v>
      </c>
      <c r="C39" s="65" t="str">
        <f>VLOOKUP(A39,'CENTRO DE COSTOS'!A:C,2,FALSE)</f>
        <v>0004-0007</v>
      </c>
      <c r="D39" s="93">
        <v>95001</v>
      </c>
      <c r="E39" s="94" t="s">
        <v>380</v>
      </c>
      <c r="F39" s="95">
        <v>80059</v>
      </c>
      <c r="G39" s="66" t="s">
        <v>102</v>
      </c>
      <c r="H39" s="96" t="s">
        <v>132</v>
      </c>
      <c r="I39" s="95" t="s">
        <v>381</v>
      </c>
      <c r="J39" s="102" t="s">
        <v>382</v>
      </c>
      <c r="K39" s="95" t="s">
        <v>383</v>
      </c>
      <c r="L39" s="67" t="s">
        <v>107</v>
      </c>
      <c r="M39" s="56" t="s">
        <v>384</v>
      </c>
      <c r="N39" s="97">
        <v>45832</v>
      </c>
      <c r="O39" s="98">
        <v>45839</v>
      </c>
      <c r="P39" s="103" t="s">
        <v>109</v>
      </c>
      <c r="Q39" s="104" t="s">
        <v>109</v>
      </c>
      <c r="R39" s="93" t="s">
        <v>110</v>
      </c>
      <c r="S39" s="99" t="s">
        <v>385</v>
      </c>
      <c r="T39" s="65" t="s">
        <v>112</v>
      </c>
      <c r="U39" s="93" t="s">
        <v>386</v>
      </c>
      <c r="V39" s="102" t="s">
        <v>128</v>
      </c>
      <c r="W39" s="98" t="s">
        <v>115</v>
      </c>
      <c r="X39" s="100" t="s">
        <v>334</v>
      </c>
      <c r="Y39" s="93">
        <v>15</v>
      </c>
      <c r="Z39" s="93">
        <v>0</v>
      </c>
      <c r="AA39" s="93">
        <v>0</v>
      </c>
      <c r="AB39" s="93">
        <v>0</v>
      </c>
      <c r="AC39" s="93">
        <v>0</v>
      </c>
      <c r="AD39" s="88">
        <f>IF(V39="TIPO I",'BASE LIQUIDACION'!$D$3,IF(V39="TIPO II",'BASE LIQUIDACION'!$D$4,IF(V39="TIPO III",'BASE LIQUIDACION'!$D$5,'BASE LIQUIDACION'!$D$7)))</f>
        <v>464809.03136000002</v>
      </c>
      <c r="AE39" s="88">
        <f>Y39*'BASE LIQUIDACION'!$B$12+Z39*'BASE LIQUIDACION'!$B$11+AA39*'BASE LIQUIDACION'!$B$13+AB39*'BASE LIQUIDACION'!$B$14+AC39*AD39</f>
        <v>243520.43159999998</v>
      </c>
    </row>
    <row r="40" spans="1:31" s="64" customFormat="1">
      <c r="A40" s="93" t="s">
        <v>161</v>
      </c>
      <c r="B40" s="65" t="str">
        <f>VLOOKUP(A40,'CENTRO DE COSTOS'!A:D,4,FALSE)</f>
        <v>DIEGO FERNANDO HENAO CARDONA</v>
      </c>
      <c r="C40" s="65" t="str">
        <f>VLOOKUP(A40,'CENTRO DE COSTOS'!A:C,2,FALSE)</f>
        <v>0004-0003</v>
      </c>
      <c r="D40" s="93">
        <v>76130</v>
      </c>
      <c r="E40" s="94" t="s">
        <v>387</v>
      </c>
      <c r="F40" s="95">
        <v>80125</v>
      </c>
      <c r="G40" s="85" t="s">
        <v>102</v>
      </c>
      <c r="H40" s="96" t="s">
        <v>132</v>
      </c>
      <c r="I40" s="95" t="s">
        <v>208</v>
      </c>
      <c r="J40" s="102" t="s">
        <v>388</v>
      </c>
      <c r="K40" s="95" t="s">
        <v>389</v>
      </c>
      <c r="L40" s="86" t="s">
        <v>107</v>
      </c>
      <c r="M40" s="56" t="s">
        <v>390</v>
      </c>
      <c r="N40" s="97">
        <v>45839</v>
      </c>
      <c r="O40" s="98">
        <v>45841</v>
      </c>
      <c r="P40" s="103" t="s">
        <v>109</v>
      </c>
      <c r="Q40" s="104" t="s">
        <v>109</v>
      </c>
      <c r="R40" s="93" t="s">
        <v>110</v>
      </c>
      <c r="S40" s="99" t="s">
        <v>391</v>
      </c>
      <c r="T40" s="65" t="s">
        <v>112</v>
      </c>
      <c r="U40" s="93" t="s">
        <v>392</v>
      </c>
      <c r="V40" s="102" t="s">
        <v>139</v>
      </c>
      <c r="W40" s="98" t="s">
        <v>115</v>
      </c>
      <c r="X40" s="100" t="s">
        <v>393</v>
      </c>
      <c r="Y40" s="93">
        <v>10</v>
      </c>
      <c r="Z40" s="93">
        <v>0</v>
      </c>
      <c r="AA40" s="93">
        <v>0</v>
      </c>
      <c r="AB40" s="93">
        <v>0</v>
      </c>
      <c r="AC40" s="93">
        <v>0</v>
      </c>
      <c r="AD40" s="87">
        <f>IF(V40="TIPO I",'BASE LIQUIDACION'!$D$3,IF(V40="TIPO II",'BASE LIQUIDACION'!$D$4,IF(V40="TIPO III",'BASE LIQUIDACION'!$D$5,'BASE LIQUIDACION'!$D$7)))</f>
        <v>134410.38956000001</v>
      </c>
      <c r="AE40" s="87">
        <f>Y40*'BASE LIQUIDACION'!$B$12+Z40*'BASE LIQUIDACION'!$B$11+AA40*'BASE LIQUIDACION'!$B$13+AB40*'BASE LIQUIDACION'!$B$14+AC40*AD40</f>
        <v>162346.95439999999</v>
      </c>
    </row>
    <row r="41" spans="1:31" s="64" customFormat="1">
      <c r="A41" s="93" t="s">
        <v>161</v>
      </c>
      <c r="B41" s="65" t="str">
        <f>VLOOKUP(A41,'CENTRO DE COSTOS'!A:D,4,FALSE)</f>
        <v>DIEGO FERNANDO HENAO CARDONA</v>
      </c>
      <c r="C41" s="65" t="str">
        <f>VLOOKUP(A41,'CENTRO DE COSTOS'!A:C,2,FALSE)</f>
        <v>0004-0003</v>
      </c>
      <c r="D41" s="93">
        <v>76001</v>
      </c>
      <c r="E41" s="94" t="s">
        <v>394</v>
      </c>
      <c r="F41" s="95">
        <v>80124</v>
      </c>
      <c r="G41" s="85" t="s">
        <v>102</v>
      </c>
      <c r="H41" s="96" t="s">
        <v>132</v>
      </c>
      <c r="I41" s="95" t="s">
        <v>208</v>
      </c>
      <c r="J41" s="102" t="s">
        <v>161</v>
      </c>
      <c r="K41" s="95" t="s">
        <v>395</v>
      </c>
      <c r="L41" s="86" t="s">
        <v>107</v>
      </c>
      <c r="M41" s="56" t="s">
        <v>396</v>
      </c>
      <c r="N41" s="97">
        <v>45839</v>
      </c>
      <c r="O41" s="98">
        <v>45840</v>
      </c>
      <c r="P41" s="103" t="s">
        <v>109</v>
      </c>
      <c r="Q41" s="104" t="s">
        <v>109</v>
      </c>
      <c r="R41" s="93" t="s">
        <v>110</v>
      </c>
      <c r="S41" s="99" t="s">
        <v>397</v>
      </c>
      <c r="T41" s="65" t="s">
        <v>112</v>
      </c>
      <c r="U41" s="93" t="s">
        <v>398</v>
      </c>
      <c r="V41" s="102" t="s">
        <v>150</v>
      </c>
      <c r="W41" s="98" t="s">
        <v>115</v>
      </c>
      <c r="X41" s="100" t="s">
        <v>214</v>
      </c>
      <c r="Y41" s="93">
        <v>10</v>
      </c>
      <c r="Z41" s="93">
        <v>0</v>
      </c>
      <c r="AA41" s="93">
        <v>0</v>
      </c>
      <c r="AB41" s="93">
        <v>0</v>
      </c>
      <c r="AC41" s="93">
        <v>0</v>
      </c>
      <c r="AD41" s="87">
        <f>IF(V41="TIPO I",'BASE LIQUIDACION'!$D$3,IF(V41="TIPO II",'BASE LIQUIDACION'!$D$4,IF(V41="TIPO III",'BASE LIQUIDACION'!$D$5,'BASE LIQUIDACION'!$D$7)))</f>
        <v>44559.984800000006</v>
      </c>
      <c r="AE41" s="87">
        <f>Y41*'BASE LIQUIDACION'!$B$12+Z41*'BASE LIQUIDACION'!$B$11+AA41*'BASE LIQUIDACION'!$B$13+AB41*'BASE LIQUIDACION'!$B$14+AC41*AD41</f>
        <v>162346.95439999999</v>
      </c>
    </row>
    <row r="42" spans="1:31" s="64" customFormat="1">
      <c r="A42" s="93" t="s">
        <v>399</v>
      </c>
      <c r="B42" s="65" t="str">
        <f>VLOOKUP(A42,'CENTRO DE COSTOS'!A:D,4,FALSE)</f>
        <v>MIGUEL JULIÁN HERNÁNDEZ GUARÍN</v>
      </c>
      <c r="C42" s="65" t="str">
        <f>VLOOKUP(A42,'CENTRO DE COSTOS'!A:C,2,FALSE)</f>
        <v>0004-0008</v>
      </c>
      <c r="D42" s="93">
        <v>15814</v>
      </c>
      <c r="E42" s="94" t="s">
        <v>400</v>
      </c>
      <c r="F42" s="95">
        <v>66400</v>
      </c>
      <c r="G42" s="85" t="s">
        <v>102</v>
      </c>
      <c r="H42" s="96" t="s">
        <v>189</v>
      </c>
      <c r="I42" s="95" t="s">
        <v>401</v>
      </c>
      <c r="J42" s="102" t="s">
        <v>402</v>
      </c>
      <c r="K42" s="95" t="s">
        <v>403</v>
      </c>
      <c r="L42" s="86" t="s">
        <v>107</v>
      </c>
      <c r="M42" s="56" t="s">
        <v>404</v>
      </c>
      <c r="N42" s="97">
        <v>45839</v>
      </c>
      <c r="O42" s="98">
        <v>45841</v>
      </c>
      <c r="P42" s="103" t="s">
        <v>109</v>
      </c>
      <c r="Q42" s="104" t="s">
        <v>109</v>
      </c>
      <c r="R42" s="93" t="s">
        <v>110</v>
      </c>
      <c r="S42" s="99" t="s">
        <v>405</v>
      </c>
      <c r="T42" s="65" t="s">
        <v>112</v>
      </c>
      <c r="U42" s="93" t="s">
        <v>406</v>
      </c>
      <c r="V42" s="102" t="s">
        <v>139</v>
      </c>
      <c r="W42" s="98" t="s">
        <v>115</v>
      </c>
      <c r="X42" s="100" t="s">
        <v>407</v>
      </c>
      <c r="Y42" s="93">
        <v>15</v>
      </c>
      <c r="Z42" s="93">
        <v>0</v>
      </c>
      <c r="AA42" s="93">
        <v>0</v>
      </c>
      <c r="AB42" s="93">
        <v>0</v>
      </c>
      <c r="AC42" s="93">
        <v>0</v>
      </c>
      <c r="AD42" s="87">
        <f>IF(V42="TIPO I",'BASE LIQUIDACION'!$D$3,IF(V42="TIPO II",'BASE LIQUIDACION'!$D$4,IF(V42="TIPO III",'BASE LIQUIDACION'!$D$5,'BASE LIQUIDACION'!$D$7)))</f>
        <v>134410.38956000001</v>
      </c>
      <c r="AE42" s="87">
        <f>Y42*'BASE LIQUIDACION'!$B$12+Z42*'BASE LIQUIDACION'!$B$11+AA42*'BASE LIQUIDACION'!$B$13+AB42*'BASE LIQUIDACION'!$B$14+AC42*AD42</f>
        <v>243520.43159999998</v>
      </c>
    </row>
    <row r="43" spans="1:31" s="64" customFormat="1">
      <c r="A43" s="93" t="s">
        <v>100</v>
      </c>
      <c r="B43" s="65" t="str">
        <f>VLOOKUP(A43,'CENTRO DE COSTOS'!A:D,4,FALSE)</f>
        <v>JUAN SEBASTIÁN RÍOS CASTRILLÓN</v>
      </c>
      <c r="C43" s="65" t="str">
        <f>VLOOKUP(A43,'CENTRO DE COSTOS'!A:C,2,FALSE)</f>
        <v>0004-0005</v>
      </c>
      <c r="D43" s="93">
        <v>5030</v>
      </c>
      <c r="E43" s="94" t="s">
        <v>408</v>
      </c>
      <c r="F43" s="95">
        <v>80254</v>
      </c>
      <c r="G43" s="85" t="s">
        <v>102</v>
      </c>
      <c r="H43" s="96" t="s">
        <v>132</v>
      </c>
      <c r="I43" s="95" t="s">
        <v>104</v>
      </c>
      <c r="J43" s="102" t="s">
        <v>409</v>
      </c>
      <c r="K43" s="95" t="s">
        <v>410</v>
      </c>
      <c r="L43" s="86" t="s">
        <v>107</v>
      </c>
      <c r="M43" s="56" t="s">
        <v>411</v>
      </c>
      <c r="N43" s="97">
        <v>45845</v>
      </c>
      <c r="O43" s="98">
        <v>45848</v>
      </c>
      <c r="P43" s="103" t="s">
        <v>109</v>
      </c>
      <c r="Q43" s="104" t="s">
        <v>109</v>
      </c>
      <c r="R43" s="93" t="s">
        <v>110</v>
      </c>
      <c r="S43" s="99" t="s">
        <v>412</v>
      </c>
      <c r="T43" s="65" t="s">
        <v>112</v>
      </c>
      <c r="U43" s="93" t="s">
        <v>413</v>
      </c>
      <c r="V43" s="102" t="s">
        <v>139</v>
      </c>
      <c r="W43" s="98" t="s">
        <v>115</v>
      </c>
      <c r="X43" s="100" t="s">
        <v>221</v>
      </c>
      <c r="Y43" s="93">
        <v>15</v>
      </c>
      <c r="Z43" s="93">
        <v>0</v>
      </c>
      <c r="AA43" s="93">
        <v>0</v>
      </c>
      <c r="AB43" s="93">
        <v>0</v>
      </c>
      <c r="AC43" s="93">
        <v>0</v>
      </c>
      <c r="AD43" s="87">
        <f>IF(V43="TIPO I",'BASE LIQUIDACION'!$D$3,IF(V43="TIPO II",'BASE LIQUIDACION'!$D$4,IF(V43="TIPO III",'BASE LIQUIDACION'!$D$5,'BASE LIQUIDACION'!$D$7)))</f>
        <v>134410.38956000001</v>
      </c>
      <c r="AE43" s="87">
        <f>Y43*'BASE LIQUIDACION'!$B$12+Z43*'BASE LIQUIDACION'!$B$11+AA43*'BASE LIQUIDACION'!$B$13+AB43*'BASE LIQUIDACION'!$B$14+AC43*AD43</f>
        <v>243520.43159999998</v>
      </c>
    </row>
    <row r="44" spans="1:31" s="4" customFormat="1">
      <c r="A44" s="93" t="s">
        <v>161</v>
      </c>
      <c r="B44" s="65" t="str">
        <f>VLOOKUP(A44,'CENTRO DE COSTOS'!A:D,4,FALSE)</f>
        <v>DIEGO FERNANDO HENAO CARDONA</v>
      </c>
      <c r="C44" s="65" t="str">
        <f>VLOOKUP(A44,'CENTRO DE COSTOS'!A:C,2,FALSE)</f>
        <v>0004-0003</v>
      </c>
      <c r="D44" s="93">
        <v>76111</v>
      </c>
      <c r="E44" s="94" t="s">
        <v>414</v>
      </c>
      <c r="F44" s="95">
        <v>80268</v>
      </c>
      <c r="G44" s="85" t="s">
        <v>102</v>
      </c>
      <c r="H44" s="96" t="s">
        <v>132</v>
      </c>
      <c r="I44" s="95" t="s">
        <v>208</v>
      </c>
      <c r="J44" s="102" t="s">
        <v>415</v>
      </c>
      <c r="K44" s="95" t="s">
        <v>416</v>
      </c>
      <c r="L44" s="86" t="s">
        <v>107</v>
      </c>
      <c r="M44" s="56" t="s">
        <v>417</v>
      </c>
      <c r="N44" s="97">
        <v>45845</v>
      </c>
      <c r="O44" s="98">
        <v>45846</v>
      </c>
      <c r="P44" s="103" t="s">
        <v>109</v>
      </c>
      <c r="Q44" s="104" t="s">
        <v>109</v>
      </c>
      <c r="R44" s="93" t="s">
        <v>110</v>
      </c>
      <c r="S44" s="99" t="s">
        <v>418</v>
      </c>
      <c r="T44" s="65" t="s">
        <v>112</v>
      </c>
      <c r="U44" s="93" t="s">
        <v>419</v>
      </c>
      <c r="V44" s="102" t="s">
        <v>139</v>
      </c>
      <c r="W44" s="98" t="s">
        <v>115</v>
      </c>
      <c r="X44" s="100" t="s">
        <v>393</v>
      </c>
      <c r="Y44" s="93">
        <v>15</v>
      </c>
      <c r="Z44" s="93">
        <v>0</v>
      </c>
      <c r="AA44" s="93">
        <v>0</v>
      </c>
      <c r="AB44" s="93">
        <v>0</v>
      </c>
      <c r="AC44" s="93">
        <v>0</v>
      </c>
      <c r="AD44" s="87">
        <f>IF(V44="TIPO I",'BASE LIQUIDACION'!$D$3,IF(V44="TIPO II",'BASE LIQUIDACION'!$D$4,IF(V44="TIPO III",'BASE LIQUIDACION'!$D$5,'BASE LIQUIDACION'!$D$7)))</f>
        <v>134410.38956000001</v>
      </c>
      <c r="AE44" s="87">
        <f>Y44*'BASE LIQUIDACION'!$B$12+Z44*'BASE LIQUIDACION'!$B$11+AA44*'BASE LIQUIDACION'!$B$13+AB44*'BASE LIQUIDACION'!$B$14+AC44*AD44</f>
        <v>243520.43159999998</v>
      </c>
    </row>
    <row r="45" spans="1:31" s="4" customFormat="1">
      <c r="A45" s="93" t="s">
        <v>256</v>
      </c>
      <c r="B45" s="65" t="str">
        <f>VLOOKUP(A45,'CENTRO DE COSTOS'!A:D,4,FALSE)</f>
        <v>MIGUEL JULIÁN HERNÁNDEZ GUARÍN</v>
      </c>
      <c r="C45" s="65" t="str">
        <f>VLOOKUP(A45,'CENTRO DE COSTOS'!A:C,2,FALSE)</f>
        <v>0004-0008</v>
      </c>
      <c r="D45" s="93">
        <v>68001</v>
      </c>
      <c r="E45" s="94" t="s">
        <v>420</v>
      </c>
      <c r="F45" s="95">
        <v>80246</v>
      </c>
      <c r="G45" s="85" t="s">
        <v>102</v>
      </c>
      <c r="H45" s="96" t="s">
        <v>132</v>
      </c>
      <c r="I45" s="95" t="s">
        <v>258</v>
      </c>
      <c r="J45" s="102" t="s">
        <v>256</v>
      </c>
      <c r="K45" s="95" t="s">
        <v>421</v>
      </c>
      <c r="L45" s="86" t="s">
        <v>107</v>
      </c>
      <c r="M45" s="56" t="s">
        <v>422</v>
      </c>
      <c r="N45" s="97">
        <v>45845</v>
      </c>
      <c r="O45" s="98">
        <v>45846</v>
      </c>
      <c r="P45" s="103" t="s">
        <v>109</v>
      </c>
      <c r="Q45" s="104" t="s">
        <v>109</v>
      </c>
      <c r="R45" s="93" t="s">
        <v>110</v>
      </c>
      <c r="S45" s="99" t="s">
        <v>423</v>
      </c>
      <c r="T45" s="65" t="s">
        <v>112</v>
      </c>
      <c r="U45" s="93" t="s">
        <v>424</v>
      </c>
      <c r="V45" s="102" t="s">
        <v>150</v>
      </c>
      <c r="W45" s="98" t="s">
        <v>115</v>
      </c>
      <c r="X45" s="100" t="s">
        <v>425</v>
      </c>
      <c r="Y45" s="93">
        <v>10</v>
      </c>
      <c r="Z45" s="93">
        <v>0</v>
      </c>
      <c r="AA45" s="93">
        <v>0</v>
      </c>
      <c r="AB45" s="93">
        <v>0</v>
      </c>
      <c r="AC45" s="93">
        <v>0</v>
      </c>
      <c r="AD45" s="87">
        <f>IF(V45="TIPO I",'BASE LIQUIDACION'!$D$3,IF(V45="TIPO II",'BASE LIQUIDACION'!$D$4,IF(V45="TIPO III",'BASE LIQUIDACION'!$D$5,'BASE LIQUIDACION'!$D$7)))</f>
        <v>44559.984800000006</v>
      </c>
      <c r="AE45" s="87">
        <f>Y45*'BASE LIQUIDACION'!$B$12+Z45*'BASE LIQUIDACION'!$B$11+AA45*'BASE LIQUIDACION'!$B$13+AB45*'BASE LIQUIDACION'!$B$14+AC45*AD45</f>
        <v>162346.95439999999</v>
      </c>
    </row>
    <row r="46" spans="1:31" s="4" customFormat="1">
      <c r="A46" s="93" t="s">
        <v>399</v>
      </c>
      <c r="B46" s="65" t="str">
        <f>VLOOKUP(A46,'CENTRO DE COSTOS'!A:D,4,FALSE)</f>
        <v>MIGUEL JULIÁN HERNÁNDEZ GUARÍN</v>
      </c>
      <c r="C46" s="65" t="str">
        <f>VLOOKUP(A46,'CENTRO DE COSTOS'!A:C,2,FALSE)</f>
        <v>0004-0008</v>
      </c>
      <c r="D46" s="93">
        <v>15822</v>
      </c>
      <c r="E46" s="94" t="s">
        <v>426</v>
      </c>
      <c r="F46" s="95">
        <v>80358</v>
      </c>
      <c r="G46" s="85" t="s">
        <v>102</v>
      </c>
      <c r="H46" s="96" t="s">
        <v>132</v>
      </c>
      <c r="I46" s="95" t="s">
        <v>401</v>
      </c>
      <c r="J46" s="102" t="s">
        <v>427</v>
      </c>
      <c r="K46" s="95" t="s">
        <v>428</v>
      </c>
      <c r="L46" s="86" t="s">
        <v>107</v>
      </c>
      <c r="M46" s="56" t="s">
        <v>429</v>
      </c>
      <c r="N46" s="97">
        <v>45849</v>
      </c>
      <c r="O46" s="98">
        <v>45852</v>
      </c>
      <c r="P46" s="103" t="s">
        <v>109</v>
      </c>
      <c r="Q46" s="104" t="s">
        <v>109</v>
      </c>
      <c r="R46" s="93" t="s">
        <v>110</v>
      </c>
      <c r="S46" s="99" t="s">
        <v>430</v>
      </c>
      <c r="T46" s="65" t="s">
        <v>112</v>
      </c>
      <c r="U46" s="93" t="s">
        <v>431</v>
      </c>
      <c r="V46" s="102" t="s">
        <v>139</v>
      </c>
      <c r="W46" s="98" t="s">
        <v>115</v>
      </c>
      <c r="X46" s="100" t="s">
        <v>407</v>
      </c>
      <c r="Y46" s="93">
        <v>15</v>
      </c>
      <c r="Z46" s="93">
        <v>0</v>
      </c>
      <c r="AA46" s="93">
        <v>0</v>
      </c>
      <c r="AB46" s="93">
        <v>0</v>
      </c>
      <c r="AC46" s="93">
        <v>0</v>
      </c>
      <c r="AD46" s="87">
        <f>IF(V46="TIPO I",'BASE LIQUIDACION'!$D$3,IF(V46="TIPO II",'BASE LIQUIDACION'!$D$4,IF(V46="TIPO III",'BASE LIQUIDACION'!$D$5,'BASE LIQUIDACION'!$D$7)))</f>
        <v>134410.38956000001</v>
      </c>
      <c r="AE46" s="87">
        <f>Y46*'BASE LIQUIDACION'!$B$12+Z46*'BASE LIQUIDACION'!$B$11+AA46*'BASE LIQUIDACION'!$B$13+AB46*'BASE LIQUIDACION'!$B$14+AC46*AD46</f>
        <v>243520.43159999998</v>
      </c>
    </row>
    <row r="47" spans="1:31" s="4" customFormat="1">
      <c r="A47" s="93" t="s">
        <v>432</v>
      </c>
      <c r="B47" s="65" t="str">
        <f>VLOOKUP(A47,'CENTRO DE COSTOS'!A:D,4,FALSE)</f>
        <v>KEVIN ALEXIS CORZO BUSTOS</v>
      </c>
      <c r="C47" s="65" t="str">
        <f>VLOOKUP(A47,'CENTRO DE COSTOS'!A:C,2,FALSE)</f>
        <v>0004-0007</v>
      </c>
      <c r="D47" s="93">
        <v>85010</v>
      </c>
      <c r="E47" s="94" t="s">
        <v>433</v>
      </c>
      <c r="F47" s="95">
        <v>80421</v>
      </c>
      <c r="G47" s="85" t="s">
        <v>102</v>
      </c>
      <c r="H47" s="96" t="s">
        <v>132</v>
      </c>
      <c r="I47" s="95" t="s">
        <v>434</v>
      </c>
      <c r="J47" s="102" t="s">
        <v>435</v>
      </c>
      <c r="K47" s="95" t="s">
        <v>436</v>
      </c>
      <c r="L47" s="86" t="s">
        <v>107</v>
      </c>
      <c r="M47" s="56" t="s">
        <v>437</v>
      </c>
      <c r="N47" s="97">
        <v>45852</v>
      </c>
      <c r="O47" s="98">
        <v>45854</v>
      </c>
      <c r="P47" s="103" t="s">
        <v>109</v>
      </c>
      <c r="Q47" s="104" t="s">
        <v>109</v>
      </c>
      <c r="R47" s="93" t="s">
        <v>110</v>
      </c>
      <c r="S47" s="99" t="s">
        <v>438</v>
      </c>
      <c r="T47" s="65" t="s">
        <v>112</v>
      </c>
      <c r="U47" s="93" t="s">
        <v>439</v>
      </c>
      <c r="V47" s="102" t="s">
        <v>139</v>
      </c>
      <c r="W47" s="98" t="s">
        <v>115</v>
      </c>
      <c r="X47" s="100" t="s">
        <v>440</v>
      </c>
      <c r="Y47" s="93">
        <v>10</v>
      </c>
      <c r="Z47" s="93">
        <v>0</v>
      </c>
      <c r="AA47" s="93">
        <v>0</v>
      </c>
      <c r="AB47" s="93">
        <v>0</v>
      </c>
      <c r="AC47" s="93">
        <v>0</v>
      </c>
      <c r="AD47" s="87">
        <f>IF(V47="TIPO I",'BASE LIQUIDACION'!$D$3,IF(V47="TIPO II",'BASE LIQUIDACION'!$D$4,IF(V47="TIPO III",'BASE LIQUIDACION'!$D$5,'BASE LIQUIDACION'!$D$7)))</f>
        <v>134410.38956000001</v>
      </c>
      <c r="AE47" s="87">
        <f>Y47*'BASE LIQUIDACION'!$B$12+Z47*'BASE LIQUIDACION'!$B$11+AA47*'BASE LIQUIDACION'!$B$13+AB47*'BASE LIQUIDACION'!$B$14+AC47*AD47</f>
        <v>162346.95439999999</v>
      </c>
    </row>
    <row r="48" spans="1:31" s="4" customFormat="1">
      <c r="A48" s="93" t="s">
        <v>161</v>
      </c>
      <c r="B48" s="65" t="str">
        <f>VLOOKUP(A48,'CENTRO DE COSTOS'!A:D,4,FALSE)</f>
        <v>DIEGO FERNANDO HENAO CARDONA</v>
      </c>
      <c r="C48" s="65" t="str">
        <f>VLOOKUP(A48,'CENTRO DE COSTOS'!A:C,2,FALSE)</f>
        <v>0004-0003</v>
      </c>
      <c r="D48" s="93">
        <v>76001</v>
      </c>
      <c r="E48" s="94" t="s">
        <v>441</v>
      </c>
      <c r="F48" s="95">
        <v>80442</v>
      </c>
      <c r="G48" s="85" t="s">
        <v>102</v>
      </c>
      <c r="H48" s="96" t="s">
        <v>132</v>
      </c>
      <c r="I48" s="95" t="s">
        <v>208</v>
      </c>
      <c r="J48" s="102" t="s">
        <v>161</v>
      </c>
      <c r="K48" s="95" t="s">
        <v>442</v>
      </c>
      <c r="L48" s="86" t="s">
        <v>107</v>
      </c>
      <c r="M48" s="56" t="s">
        <v>443</v>
      </c>
      <c r="N48" s="97">
        <v>45854</v>
      </c>
      <c r="O48" s="98">
        <v>45855</v>
      </c>
      <c r="P48" s="103" t="s">
        <v>109</v>
      </c>
      <c r="Q48" s="104" t="s">
        <v>109</v>
      </c>
      <c r="R48" s="93" t="s">
        <v>110</v>
      </c>
      <c r="S48" s="99" t="s">
        <v>444</v>
      </c>
      <c r="T48" s="65" t="s">
        <v>112</v>
      </c>
      <c r="U48" s="93" t="s">
        <v>445</v>
      </c>
      <c r="V48" s="102" t="s">
        <v>150</v>
      </c>
      <c r="W48" s="98" t="s">
        <v>115</v>
      </c>
      <c r="X48" s="100" t="s">
        <v>214</v>
      </c>
      <c r="Y48" s="93">
        <v>8</v>
      </c>
      <c r="Z48" s="93">
        <v>0</v>
      </c>
      <c r="AA48" s="93">
        <v>0</v>
      </c>
      <c r="AB48" s="93">
        <v>0</v>
      </c>
      <c r="AC48" s="93">
        <v>0</v>
      </c>
      <c r="AD48" s="87">
        <f>IF(V48="TIPO I",'BASE LIQUIDACION'!$D$3,IF(V48="TIPO II",'BASE LIQUIDACION'!$D$4,IF(V48="TIPO III",'BASE LIQUIDACION'!$D$5,'BASE LIQUIDACION'!$D$7)))</f>
        <v>44559.984800000006</v>
      </c>
      <c r="AE48" s="87">
        <f>Y48*'BASE LIQUIDACION'!$B$12+Z48*'BASE LIQUIDACION'!$B$11+AA48*'BASE LIQUIDACION'!$B$13+AB48*'BASE LIQUIDACION'!$B$14+AC48*AD48</f>
        <v>129877.56352</v>
      </c>
    </row>
    <row r="49" spans="1:31" s="4" customFormat="1">
      <c r="A49" s="93" t="s">
        <v>256</v>
      </c>
      <c r="B49" s="65" t="str">
        <f>VLOOKUP(A49,'CENTRO DE COSTOS'!A:D,4,FALSE)</f>
        <v>MIGUEL JULIÁN HERNÁNDEZ GUARÍN</v>
      </c>
      <c r="C49" s="65" t="str">
        <f>VLOOKUP(A49,'CENTRO DE COSTOS'!A:C,2,FALSE)</f>
        <v>0004-0008</v>
      </c>
      <c r="D49" s="93">
        <v>68679</v>
      </c>
      <c r="E49" s="94" t="s">
        <v>446</v>
      </c>
      <c r="F49" s="95">
        <v>80460</v>
      </c>
      <c r="G49" s="85" t="s">
        <v>102</v>
      </c>
      <c r="H49" s="96" t="s">
        <v>132</v>
      </c>
      <c r="I49" s="95" t="s">
        <v>258</v>
      </c>
      <c r="J49" s="102" t="s">
        <v>447</v>
      </c>
      <c r="K49" s="95" t="s">
        <v>448</v>
      </c>
      <c r="L49" s="86" t="s">
        <v>107</v>
      </c>
      <c r="M49" s="56" t="s">
        <v>449</v>
      </c>
      <c r="N49" s="97">
        <v>45854</v>
      </c>
      <c r="O49" s="98">
        <v>45856</v>
      </c>
      <c r="P49" s="103" t="s">
        <v>109</v>
      </c>
      <c r="Q49" s="104" t="s">
        <v>109</v>
      </c>
      <c r="R49" s="93" t="s">
        <v>110</v>
      </c>
      <c r="S49" s="99" t="s">
        <v>450</v>
      </c>
      <c r="T49" s="65" t="s">
        <v>112</v>
      </c>
      <c r="U49" s="93" t="s">
        <v>451</v>
      </c>
      <c r="V49" s="102" t="s">
        <v>139</v>
      </c>
      <c r="W49" s="98" t="s">
        <v>115</v>
      </c>
      <c r="X49" s="100" t="s">
        <v>310</v>
      </c>
      <c r="Y49" s="93">
        <v>15</v>
      </c>
      <c r="Z49" s="93">
        <v>0</v>
      </c>
      <c r="AA49" s="93">
        <v>0</v>
      </c>
      <c r="AB49" s="93">
        <v>0</v>
      </c>
      <c r="AC49" s="93">
        <v>0</v>
      </c>
      <c r="AD49" s="87">
        <f>IF(V49="TIPO I",'BASE LIQUIDACION'!$D$3,IF(V49="TIPO II",'BASE LIQUIDACION'!$D$4,IF(V49="TIPO III",'BASE LIQUIDACION'!$D$5,'BASE LIQUIDACION'!$D$7)))</f>
        <v>134410.38956000001</v>
      </c>
      <c r="AE49" s="87">
        <f>Y49*'BASE LIQUIDACION'!$B$12+Z49*'BASE LIQUIDACION'!$B$11+AA49*'BASE LIQUIDACION'!$B$13+AB49*'BASE LIQUIDACION'!$B$14+AC49*AD49</f>
        <v>243520.43159999998</v>
      </c>
    </row>
    <row r="50" spans="1:31" s="4" customFormat="1">
      <c r="A50" s="93" t="s">
        <v>161</v>
      </c>
      <c r="B50" s="65" t="str">
        <f>VLOOKUP(A50,'CENTRO DE COSTOS'!A:D,4,FALSE)</f>
        <v>DIEGO FERNANDO HENAO CARDONA</v>
      </c>
      <c r="C50" s="65" t="str">
        <f>VLOOKUP(A50,'CENTRO DE COSTOS'!A:C,2,FALSE)</f>
        <v>0004-0003</v>
      </c>
      <c r="D50" s="93">
        <v>76001</v>
      </c>
      <c r="E50" s="94" t="s">
        <v>452</v>
      </c>
      <c r="F50" s="95">
        <v>80443</v>
      </c>
      <c r="G50" s="85" t="s">
        <v>102</v>
      </c>
      <c r="H50" s="96" t="s">
        <v>132</v>
      </c>
      <c r="I50" s="95" t="s">
        <v>208</v>
      </c>
      <c r="J50" s="102" t="s">
        <v>161</v>
      </c>
      <c r="K50" s="95" t="s">
        <v>453</v>
      </c>
      <c r="L50" s="86" t="s">
        <v>107</v>
      </c>
      <c r="M50" s="56" t="s">
        <v>454</v>
      </c>
      <c r="N50" s="97">
        <v>45854</v>
      </c>
      <c r="O50" s="98">
        <v>45856</v>
      </c>
      <c r="P50" s="103" t="s">
        <v>109</v>
      </c>
      <c r="Q50" s="104" t="s">
        <v>109</v>
      </c>
      <c r="R50" s="93" t="s">
        <v>110</v>
      </c>
      <c r="S50" s="99" t="s">
        <v>455</v>
      </c>
      <c r="T50" s="65" t="s">
        <v>112</v>
      </c>
      <c r="U50" s="93" t="s">
        <v>456</v>
      </c>
      <c r="V50" s="102" t="s">
        <v>150</v>
      </c>
      <c r="W50" s="98" t="s">
        <v>115</v>
      </c>
      <c r="X50" s="100" t="s">
        <v>457</v>
      </c>
      <c r="Y50" s="93">
        <v>7</v>
      </c>
      <c r="Z50" s="93">
        <v>0</v>
      </c>
      <c r="AA50" s="93">
        <v>0</v>
      </c>
      <c r="AB50" s="93">
        <v>0</v>
      </c>
      <c r="AC50" s="93">
        <v>0</v>
      </c>
      <c r="AD50" s="87">
        <f>IF(V50="TIPO I",'BASE LIQUIDACION'!$D$3,IF(V50="TIPO II",'BASE LIQUIDACION'!$D$4,IF(V50="TIPO III",'BASE LIQUIDACION'!$D$5,'BASE LIQUIDACION'!$D$7)))</f>
        <v>44559.984800000006</v>
      </c>
      <c r="AE50" s="87">
        <f>Y50*'BASE LIQUIDACION'!$B$12+Z50*'BASE LIQUIDACION'!$B$11+AA50*'BASE LIQUIDACION'!$B$13+AB50*'BASE LIQUIDACION'!$B$14+AC50*AD50</f>
        <v>113642.86808</v>
      </c>
    </row>
    <row r="51" spans="1:31" s="4" customFormat="1">
      <c r="A51" s="93" t="s">
        <v>100</v>
      </c>
      <c r="B51" s="65" t="str">
        <f>VLOOKUP(A51,'CENTRO DE COSTOS'!A:D,4,FALSE)</f>
        <v>JUAN SEBASTIÁN RÍOS CASTRILLÓN</v>
      </c>
      <c r="C51" s="65" t="str">
        <f>VLOOKUP(A51,'CENTRO DE COSTOS'!A:C,2,FALSE)</f>
        <v>0004-0005</v>
      </c>
      <c r="D51" s="93">
        <v>5364</v>
      </c>
      <c r="E51" s="94" t="s">
        <v>458</v>
      </c>
      <c r="F51" s="95">
        <v>80446</v>
      </c>
      <c r="G51" s="85" t="s">
        <v>102</v>
      </c>
      <c r="H51" s="96" t="s">
        <v>132</v>
      </c>
      <c r="I51" s="95" t="s">
        <v>104</v>
      </c>
      <c r="J51" s="102" t="s">
        <v>459</v>
      </c>
      <c r="K51" s="95" t="s">
        <v>460</v>
      </c>
      <c r="L51" s="86" t="s">
        <v>107</v>
      </c>
      <c r="M51" s="56" t="s">
        <v>461</v>
      </c>
      <c r="N51" s="97">
        <v>45854</v>
      </c>
      <c r="O51" s="98">
        <v>45856</v>
      </c>
      <c r="P51" s="103" t="s">
        <v>109</v>
      </c>
      <c r="Q51" s="104" t="s">
        <v>109</v>
      </c>
      <c r="R51" s="93" t="s">
        <v>110</v>
      </c>
      <c r="S51" s="99" t="s">
        <v>462</v>
      </c>
      <c r="T51" s="65" t="s">
        <v>112</v>
      </c>
      <c r="U51" s="93" t="s">
        <v>463</v>
      </c>
      <c r="V51" s="102" t="s">
        <v>114</v>
      </c>
      <c r="W51" s="98" t="s">
        <v>115</v>
      </c>
      <c r="X51" s="100" t="s">
        <v>269</v>
      </c>
      <c r="Y51" s="93">
        <v>8</v>
      </c>
      <c r="Z51" s="93">
        <v>0</v>
      </c>
      <c r="AA51" s="93">
        <v>0</v>
      </c>
      <c r="AB51" s="93">
        <v>0</v>
      </c>
      <c r="AC51" s="93">
        <v>0</v>
      </c>
      <c r="AD51" s="87">
        <f>IF(V51="TIPO I",'BASE LIQUIDACION'!$D$3,IF(V51="TIPO II",'BASE LIQUIDACION'!$D$4,IF(V51="TIPO III",'BASE LIQUIDACION'!$D$5,'BASE LIQUIDACION'!$D$7)))</f>
        <v>222904.27188000001</v>
      </c>
      <c r="AE51" s="87">
        <f>Y51*'BASE LIQUIDACION'!$B$12+Z51*'BASE LIQUIDACION'!$B$11+AA51*'BASE LIQUIDACION'!$B$13+AB51*'BASE LIQUIDACION'!$B$14+AC51*AD51</f>
        <v>129877.56352</v>
      </c>
    </row>
    <row r="52" spans="1:31" s="4" customFormat="1">
      <c r="A52" s="93" t="s">
        <v>341</v>
      </c>
      <c r="B52" s="65" t="str">
        <f>VLOOKUP(A52,'CENTRO DE COSTOS'!A:D,4,FALSE)</f>
        <v>JOSE MAURICIO HERNANDEZ ROJAS</v>
      </c>
      <c r="C52" s="65" t="str">
        <f>VLOOKUP(A52,'CENTRO DE COSTOS'!A:C,2,FALSE)</f>
        <v>0004-0001</v>
      </c>
      <c r="D52" s="93">
        <v>13001</v>
      </c>
      <c r="E52" s="94" t="s">
        <v>464</v>
      </c>
      <c r="F52" s="95">
        <v>80518</v>
      </c>
      <c r="G52" s="85" t="s">
        <v>102</v>
      </c>
      <c r="H52" s="96" t="s">
        <v>132</v>
      </c>
      <c r="I52" s="95" t="s">
        <v>343</v>
      </c>
      <c r="J52" s="102" t="s">
        <v>341</v>
      </c>
      <c r="K52" s="95" t="s">
        <v>465</v>
      </c>
      <c r="L52" s="86" t="s">
        <v>107</v>
      </c>
      <c r="M52" s="56" t="s">
        <v>466</v>
      </c>
      <c r="N52" s="97">
        <v>45856</v>
      </c>
      <c r="O52" s="98">
        <v>45860</v>
      </c>
      <c r="P52" s="103" t="s">
        <v>109</v>
      </c>
      <c r="Q52" s="104" t="s">
        <v>109</v>
      </c>
      <c r="R52" s="93" t="s">
        <v>110</v>
      </c>
      <c r="S52" s="99" t="s">
        <v>467</v>
      </c>
      <c r="T52" s="65" t="s">
        <v>112</v>
      </c>
      <c r="U52" s="93" t="s">
        <v>468</v>
      </c>
      <c r="V52" s="102" t="s">
        <v>150</v>
      </c>
      <c r="W52" s="98" t="s">
        <v>115</v>
      </c>
      <c r="X52" s="100" t="s">
        <v>469</v>
      </c>
      <c r="Y52" s="93">
        <v>10</v>
      </c>
      <c r="Z52" s="93">
        <v>0</v>
      </c>
      <c r="AA52" s="93">
        <v>0</v>
      </c>
      <c r="AB52" s="93">
        <v>0</v>
      </c>
      <c r="AC52" s="93">
        <v>0</v>
      </c>
      <c r="AD52" s="87">
        <f>IF(V52="TIPO I",'BASE LIQUIDACION'!$D$3,IF(V52="TIPO II",'BASE LIQUIDACION'!$D$4,IF(V52="TIPO III",'BASE LIQUIDACION'!$D$5,'BASE LIQUIDACION'!$D$7)))</f>
        <v>44559.984800000006</v>
      </c>
      <c r="AE52" s="87">
        <f>Y52*'BASE LIQUIDACION'!$B$12+Z52*'BASE LIQUIDACION'!$B$11+AA52*'BASE LIQUIDACION'!$B$13+AB52*'BASE LIQUIDACION'!$B$14+AC52*AD52</f>
        <v>162346.95439999999</v>
      </c>
    </row>
    <row r="53" spans="1:31" s="4" customFormat="1">
      <c r="A53" s="93" t="s">
        <v>170</v>
      </c>
      <c r="B53" s="65" t="str">
        <f>VLOOKUP(A53,'CENTRO DE COSTOS'!A:D,4,FALSE)</f>
        <v>WILLIAM ASDRUBAL ROZO ROZO</v>
      </c>
      <c r="C53" s="65" t="str">
        <f>VLOOKUP(A53,'CENTRO DE COSTOS'!A:C,2,FALSE)</f>
        <v>0004-0004</v>
      </c>
      <c r="D53" s="93">
        <v>25290</v>
      </c>
      <c r="E53" s="94" t="s">
        <v>470</v>
      </c>
      <c r="F53" s="95">
        <v>80525</v>
      </c>
      <c r="G53" s="85" t="s">
        <v>102</v>
      </c>
      <c r="H53" s="96" t="s">
        <v>132</v>
      </c>
      <c r="I53" s="95" t="s">
        <v>172</v>
      </c>
      <c r="J53" s="102" t="s">
        <v>471</v>
      </c>
      <c r="K53" s="95" t="s">
        <v>472</v>
      </c>
      <c r="L53" s="86" t="s">
        <v>107</v>
      </c>
      <c r="M53" s="56" t="s">
        <v>473</v>
      </c>
      <c r="N53" s="97">
        <v>45856</v>
      </c>
      <c r="O53" s="98">
        <v>45860</v>
      </c>
      <c r="P53" s="103" t="s">
        <v>109</v>
      </c>
      <c r="Q53" s="104" t="s">
        <v>109</v>
      </c>
      <c r="R53" s="93" t="s">
        <v>110</v>
      </c>
      <c r="S53" s="99" t="s">
        <v>474</v>
      </c>
      <c r="T53" s="65" t="s">
        <v>112</v>
      </c>
      <c r="U53" s="93" t="s">
        <v>475</v>
      </c>
      <c r="V53" s="102" t="s">
        <v>139</v>
      </c>
      <c r="W53" s="98" t="s">
        <v>115</v>
      </c>
      <c r="X53" s="100" t="s">
        <v>476</v>
      </c>
      <c r="Y53" s="93">
        <v>10</v>
      </c>
      <c r="Z53" s="93">
        <v>0</v>
      </c>
      <c r="AA53" s="93">
        <v>0</v>
      </c>
      <c r="AB53" s="93">
        <v>0</v>
      </c>
      <c r="AC53" s="93">
        <v>0</v>
      </c>
      <c r="AD53" s="87">
        <f>IF(V53="TIPO I",'BASE LIQUIDACION'!$D$3,IF(V53="TIPO II",'BASE LIQUIDACION'!$D$4,IF(V53="TIPO III",'BASE LIQUIDACION'!$D$5,'BASE LIQUIDACION'!$D$7)))</f>
        <v>134410.38956000001</v>
      </c>
      <c r="AE53" s="87">
        <f>Y53*'BASE LIQUIDACION'!$B$12+Z53*'BASE LIQUIDACION'!$B$11+AA53*'BASE LIQUIDACION'!$B$13+AB53*'BASE LIQUIDACION'!$B$14+AC53*AD53</f>
        <v>162346.95439999999</v>
      </c>
    </row>
    <row r="54" spans="1:31" s="4" customFormat="1">
      <c r="A54" s="93" t="s">
        <v>360</v>
      </c>
      <c r="B54" s="65" t="str">
        <f>VLOOKUP(A54,'CENTRO DE COSTOS'!A:D,4,FALSE)</f>
        <v>KEVIN ALEXIS CORZO BUSTOS</v>
      </c>
      <c r="C54" s="65" t="str">
        <f>VLOOKUP(A54,'CENTRO DE COSTOS'!A:C,2,FALSE)</f>
        <v>0004-0007</v>
      </c>
      <c r="D54" s="93">
        <v>73001</v>
      </c>
      <c r="E54" s="94" t="s">
        <v>477</v>
      </c>
      <c r="F54" s="95">
        <v>80561</v>
      </c>
      <c r="G54" s="85" t="s">
        <v>102</v>
      </c>
      <c r="H54" s="96" t="s">
        <v>132</v>
      </c>
      <c r="I54" s="95" t="s">
        <v>362</v>
      </c>
      <c r="J54" s="102" t="s">
        <v>360</v>
      </c>
      <c r="K54" s="95" t="s">
        <v>478</v>
      </c>
      <c r="L54" s="86" t="s">
        <v>107</v>
      </c>
      <c r="M54" s="56" t="s">
        <v>479</v>
      </c>
      <c r="N54" s="97">
        <v>45859</v>
      </c>
      <c r="O54" s="98">
        <v>45862</v>
      </c>
      <c r="P54" s="103" t="s">
        <v>109</v>
      </c>
      <c r="Q54" s="104" t="s">
        <v>109</v>
      </c>
      <c r="R54" s="93" t="s">
        <v>110</v>
      </c>
      <c r="S54" s="99" t="s">
        <v>480</v>
      </c>
      <c r="T54" s="65" t="s">
        <v>112</v>
      </c>
      <c r="U54" s="93" t="s">
        <v>481</v>
      </c>
      <c r="V54" s="102" t="s">
        <v>150</v>
      </c>
      <c r="W54" s="98" t="s">
        <v>115</v>
      </c>
      <c r="X54" s="100" t="s">
        <v>367</v>
      </c>
      <c r="Y54" s="93">
        <v>15</v>
      </c>
      <c r="Z54" s="93">
        <v>0</v>
      </c>
      <c r="AA54" s="93">
        <v>0</v>
      </c>
      <c r="AB54" s="93">
        <v>0</v>
      </c>
      <c r="AC54" s="93">
        <v>0</v>
      </c>
      <c r="AD54" s="87">
        <f>IF(V54="TIPO I",'BASE LIQUIDACION'!$D$3,IF(V54="TIPO II",'BASE LIQUIDACION'!$D$4,IF(V54="TIPO III",'BASE LIQUIDACION'!$D$5,'BASE LIQUIDACION'!$D$7)))</f>
        <v>44559.984800000006</v>
      </c>
      <c r="AE54" s="87">
        <f>Y54*'BASE LIQUIDACION'!$B$12+Z54*'BASE LIQUIDACION'!$B$11+AA54*'BASE LIQUIDACION'!$B$13+AB54*'BASE LIQUIDACION'!$B$14+AC54*AD54</f>
        <v>243520.43159999998</v>
      </c>
    </row>
    <row r="55" spans="1:31" s="4" customFormat="1">
      <c r="A55" s="93" t="s">
        <v>130</v>
      </c>
      <c r="B55" s="65" t="str">
        <f>VLOOKUP(A55,'CENTRO DE COSTOS'!A:D,4,FALSE)</f>
        <v>DIEGO FERNANDO HENAO CARDONA</v>
      </c>
      <c r="C55" s="65" t="str">
        <f>VLOOKUP(A55,'CENTRO DE COSTOS'!A:C,2,FALSE)</f>
        <v>0004-0002</v>
      </c>
      <c r="D55" s="93">
        <v>76823</v>
      </c>
      <c r="E55" s="94" t="s">
        <v>482</v>
      </c>
      <c r="F55" s="95">
        <v>80631</v>
      </c>
      <c r="G55" s="85" t="s">
        <v>102</v>
      </c>
      <c r="H55" s="96" t="s">
        <v>132</v>
      </c>
      <c r="I55" s="95" t="s">
        <v>208</v>
      </c>
      <c r="J55" s="102" t="s">
        <v>483</v>
      </c>
      <c r="K55" s="95" t="s">
        <v>484</v>
      </c>
      <c r="L55" s="86" t="s">
        <v>107</v>
      </c>
      <c r="M55" s="56" t="s">
        <v>485</v>
      </c>
      <c r="N55" s="97">
        <v>45861</v>
      </c>
      <c r="O55" s="98">
        <v>45863</v>
      </c>
      <c r="P55" s="103" t="s">
        <v>109</v>
      </c>
      <c r="Q55" s="104" t="s">
        <v>109</v>
      </c>
      <c r="R55" s="93" t="s">
        <v>110</v>
      </c>
      <c r="S55" s="99" t="s">
        <v>486</v>
      </c>
      <c r="T55" s="65" t="s">
        <v>112</v>
      </c>
      <c r="U55" s="93" t="s">
        <v>487</v>
      </c>
      <c r="V55" s="102" t="s">
        <v>139</v>
      </c>
      <c r="W55" s="98" t="s">
        <v>115</v>
      </c>
      <c r="X55" s="100" t="s">
        <v>151</v>
      </c>
      <c r="Y55" s="93">
        <v>8</v>
      </c>
      <c r="Z55" s="93">
        <v>0</v>
      </c>
      <c r="AA55" s="93">
        <v>0</v>
      </c>
      <c r="AB55" s="93">
        <v>0</v>
      </c>
      <c r="AC55" s="93">
        <v>0</v>
      </c>
      <c r="AD55" s="87">
        <f>IF(V55="TIPO I",'BASE LIQUIDACION'!$D$3,IF(V55="TIPO II",'BASE LIQUIDACION'!$D$4,IF(V55="TIPO III",'BASE LIQUIDACION'!$D$5,'BASE LIQUIDACION'!$D$7)))</f>
        <v>134410.38956000001</v>
      </c>
      <c r="AE55" s="87">
        <f>Y55*'BASE LIQUIDACION'!$B$12+Z55*'BASE LIQUIDACION'!$B$11+AA55*'BASE LIQUIDACION'!$B$13+AB55*'BASE LIQUIDACION'!$B$14+AC55*AD55</f>
        <v>129877.56352</v>
      </c>
    </row>
    <row r="56" spans="1:31" s="4" customFormat="1">
      <c r="A56" s="93" t="s">
        <v>161</v>
      </c>
      <c r="B56" s="65" t="str">
        <f>VLOOKUP(A56,'CENTRO DE COSTOS'!A:D,4,FALSE)</f>
        <v>DIEGO FERNANDO HENAO CARDONA</v>
      </c>
      <c r="C56" s="65" t="str">
        <f>VLOOKUP(A56,'CENTRO DE COSTOS'!A:C,2,FALSE)</f>
        <v>0004-0003</v>
      </c>
      <c r="D56" s="93">
        <v>76001</v>
      </c>
      <c r="E56" s="94" t="s">
        <v>488</v>
      </c>
      <c r="F56" s="95">
        <v>80588</v>
      </c>
      <c r="G56" s="85" t="s">
        <v>102</v>
      </c>
      <c r="H56" s="96" t="s">
        <v>132</v>
      </c>
      <c r="I56" s="95" t="s">
        <v>208</v>
      </c>
      <c r="J56" s="102" t="s">
        <v>161</v>
      </c>
      <c r="K56" s="95" t="s">
        <v>489</v>
      </c>
      <c r="L56" s="86" t="s">
        <v>107</v>
      </c>
      <c r="M56" s="56" t="s">
        <v>490</v>
      </c>
      <c r="N56" s="97">
        <v>45861</v>
      </c>
      <c r="O56" s="98">
        <v>45862</v>
      </c>
      <c r="P56" s="103" t="s">
        <v>109</v>
      </c>
      <c r="Q56" s="104" t="s">
        <v>109</v>
      </c>
      <c r="R56" s="93" t="s">
        <v>110</v>
      </c>
      <c r="S56" s="99" t="s">
        <v>491</v>
      </c>
      <c r="T56" s="65" t="s">
        <v>112</v>
      </c>
      <c r="U56" s="93" t="s">
        <v>492</v>
      </c>
      <c r="V56" s="102" t="s">
        <v>150</v>
      </c>
      <c r="W56" s="98" t="s">
        <v>115</v>
      </c>
      <c r="X56" s="100" t="s">
        <v>214</v>
      </c>
      <c r="Y56" s="93">
        <v>16</v>
      </c>
      <c r="Z56" s="93">
        <v>0</v>
      </c>
      <c r="AA56" s="93">
        <v>1</v>
      </c>
      <c r="AB56" s="93">
        <v>0</v>
      </c>
      <c r="AC56" s="93">
        <v>0</v>
      </c>
      <c r="AD56" s="87">
        <f>IF(V56="TIPO I",'BASE LIQUIDACION'!$D$3,IF(V56="TIPO II",'BASE LIQUIDACION'!$D$4,IF(V56="TIPO III",'BASE LIQUIDACION'!$D$5,'BASE LIQUIDACION'!$D$7)))</f>
        <v>44559.984800000006</v>
      </c>
      <c r="AE56" s="87">
        <f>Y56*'BASE LIQUIDACION'!$B$12+Z56*'BASE LIQUIDACION'!$B$11+AA56*'BASE LIQUIDACION'!$B$13+AB56*'BASE LIQUIDACION'!$B$14+AC56*AD56</f>
        <v>517146.94660000002</v>
      </c>
    </row>
    <row r="57" spans="1:31" s="4" customFormat="1">
      <c r="A57" s="93" t="s">
        <v>256</v>
      </c>
      <c r="B57" s="65" t="str">
        <f>VLOOKUP(A57,'CENTRO DE COSTOS'!A:D,4,FALSE)</f>
        <v>MIGUEL JULIÁN HERNÁNDEZ GUARÍN</v>
      </c>
      <c r="C57" s="65" t="str">
        <f>VLOOKUP(A57,'CENTRO DE COSTOS'!A:C,2,FALSE)</f>
        <v>0004-0008</v>
      </c>
      <c r="D57" s="93">
        <v>68001</v>
      </c>
      <c r="E57" s="94" t="s">
        <v>493</v>
      </c>
      <c r="F57" s="95">
        <v>80583</v>
      </c>
      <c r="G57" s="85" t="s">
        <v>102</v>
      </c>
      <c r="H57" s="96" t="s">
        <v>132</v>
      </c>
      <c r="I57" s="95" t="s">
        <v>258</v>
      </c>
      <c r="J57" s="102" t="s">
        <v>256</v>
      </c>
      <c r="K57" s="95" t="s">
        <v>494</v>
      </c>
      <c r="L57" s="86" t="s">
        <v>107</v>
      </c>
      <c r="M57" s="56" t="s">
        <v>495</v>
      </c>
      <c r="N57" s="97">
        <v>45861</v>
      </c>
      <c r="O57" s="98">
        <v>45862</v>
      </c>
      <c r="P57" s="103" t="s">
        <v>109</v>
      </c>
      <c r="Q57" s="104" t="s">
        <v>109</v>
      </c>
      <c r="R57" s="93" t="s">
        <v>110</v>
      </c>
      <c r="S57" s="99" t="s">
        <v>496</v>
      </c>
      <c r="T57" s="65" t="s">
        <v>112</v>
      </c>
      <c r="U57" s="93" t="s">
        <v>497</v>
      </c>
      <c r="V57" s="102" t="s">
        <v>150</v>
      </c>
      <c r="W57" s="98" t="s">
        <v>115</v>
      </c>
      <c r="X57" s="100" t="s">
        <v>263</v>
      </c>
      <c r="Y57" s="93">
        <v>14</v>
      </c>
      <c r="Z57" s="93">
        <v>0</v>
      </c>
      <c r="AA57" s="93">
        <v>0</v>
      </c>
      <c r="AB57" s="93">
        <v>0</v>
      </c>
      <c r="AC57" s="93">
        <v>0</v>
      </c>
      <c r="AD57" s="87">
        <f>IF(V57="TIPO I",'BASE LIQUIDACION'!$D$3,IF(V57="TIPO II",'BASE LIQUIDACION'!$D$4,IF(V57="TIPO III",'BASE LIQUIDACION'!$D$5,'BASE LIQUIDACION'!$D$7)))</f>
        <v>44559.984800000006</v>
      </c>
      <c r="AE57" s="87">
        <f>Y57*'BASE LIQUIDACION'!$B$12+Z57*'BASE LIQUIDACION'!$B$11+AA57*'BASE LIQUIDACION'!$B$13+AB57*'BASE LIQUIDACION'!$B$14+AC57*AD57</f>
        <v>227285.73616</v>
      </c>
    </row>
    <row r="58" spans="1:31" s="4" customFormat="1">
      <c r="A58" s="93" t="s">
        <v>161</v>
      </c>
      <c r="B58" s="65" t="str">
        <f>VLOOKUP(A58,'CENTRO DE COSTOS'!A:D,4,FALSE)</f>
        <v>DIEGO FERNANDO HENAO CARDONA</v>
      </c>
      <c r="C58" s="65" t="str">
        <f>VLOOKUP(A58,'CENTRO DE COSTOS'!A:C,2,FALSE)</f>
        <v>0004-0003</v>
      </c>
      <c r="D58" s="93">
        <v>76001</v>
      </c>
      <c r="E58" s="94" t="s">
        <v>498</v>
      </c>
      <c r="F58" s="95">
        <v>80587</v>
      </c>
      <c r="G58" s="85" t="s">
        <v>102</v>
      </c>
      <c r="H58" s="96" t="s">
        <v>132</v>
      </c>
      <c r="I58" s="95" t="s">
        <v>208</v>
      </c>
      <c r="J58" s="102" t="s">
        <v>161</v>
      </c>
      <c r="K58" s="95" t="s">
        <v>499</v>
      </c>
      <c r="L58" s="86" t="s">
        <v>107</v>
      </c>
      <c r="M58" s="56" t="s">
        <v>500</v>
      </c>
      <c r="N58" s="97">
        <v>45861</v>
      </c>
      <c r="O58" s="98">
        <v>45862</v>
      </c>
      <c r="P58" s="103" t="s">
        <v>109</v>
      </c>
      <c r="Q58" s="104" t="s">
        <v>109</v>
      </c>
      <c r="R58" s="93" t="s">
        <v>110</v>
      </c>
      <c r="S58" s="99" t="s">
        <v>501</v>
      </c>
      <c r="T58" s="65" t="s">
        <v>112</v>
      </c>
      <c r="U58" s="93" t="s">
        <v>502</v>
      </c>
      <c r="V58" s="102" t="s">
        <v>150</v>
      </c>
      <c r="W58" s="98" t="s">
        <v>115</v>
      </c>
      <c r="X58" s="100" t="s">
        <v>214</v>
      </c>
      <c r="Y58" s="93">
        <v>10</v>
      </c>
      <c r="Z58" s="93">
        <v>0</v>
      </c>
      <c r="AA58" s="93">
        <v>0</v>
      </c>
      <c r="AB58" s="93">
        <v>0</v>
      </c>
      <c r="AC58" s="93">
        <v>0</v>
      </c>
      <c r="AD58" s="87">
        <f>IF(V58="TIPO I",'BASE LIQUIDACION'!$D$3,IF(V58="TIPO II",'BASE LIQUIDACION'!$D$4,IF(V58="TIPO III",'BASE LIQUIDACION'!$D$5,'BASE LIQUIDACION'!$D$7)))</f>
        <v>44559.984800000006</v>
      </c>
      <c r="AE58" s="87">
        <f>Y58*'BASE LIQUIDACION'!$B$12+Z58*'BASE LIQUIDACION'!$B$11+AA58*'BASE LIQUIDACION'!$B$13+AB58*'BASE LIQUIDACION'!$B$14+AC58*AD58</f>
        <v>162346.95439999999</v>
      </c>
    </row>
    <row r="59" spans="1:31" s="4" customFormat="1">
      <c r="A59" s="93" t="s">
        <v>170</v>
      </c>
      <c r="B59" s="65" t="str">
        <f>VLOOKUP(A59,'CENTRO DE COSTOS'!A:D,4,FALSE)</f>
        <v>WILLIAM ASDRUBAL ROZO ROZO</v>
      </c>
      <c r="C59" s="65" t="str">
        <f>VLOOKUP(A59,'CENTRO DE COSTOS'!A:C,2,FALSE)</f>
        <v>0004-0004</v>
      </c>
      <c r="D59" s="93">
        <v>25754</v>
      </c>
      <c r="E59" s="94" t="s">
        <v>503</v>
      </c>
      <c r="F59" s="95">
        <v>80698</v>
      </c>
      <c r="G59" s="85" t="s">
        <v>102</v>
      </c>
      <c r="H59" s="96" t="s">
        <v>132</v>
      </c>
      <c r="I59" s="95" t="s">
        <v>172</v>
      </c>
      <c r="J59" s="102" t="s">
        <v>504</v>
      </c>
      <c r="K59" s="95" t="s">
        <v>505</v>
      </c>
      <c r="L59" s="86" t="s">
        <v>107</v>
      </c>
      <c r="M59" s="56" t="s">
        <v>506</v>
      </c>
      <c r="N59" s="97">
        <v>45866</v>
      </c>
      <c r="O59" s="98">
        <v>45867</v>
      </c>
      <c r="P59" s="103" t="s">
        <v>109</v>
      </c>
      <c r="Q59" s="104" t="s">
        <v>109</v>
      </c>
      <c r="R59" s="93" t="s">
        <v>110</v>
      </c>
      <c r="S59" s="99" t="s">
        <v>507</v>
      </c>
      <c r="T59" s="65" t="s">
        <v>112</v>
      </c>
      <c r="U59" s="93" t="s">
        <v>508</v>
      </c>
      <c r="V59" s="102" t="s">
        <v>150</v>
      </c>
      <c r="W59" s="98" t="s">
        <v>115</v>
      </c>
      <c r="X59" s="100" t="s">
        <v>509</v>
      </c>
      <c r="Y59" s="93">
        <v>8</v>
      </c>
      <c r="Z59" s="93">
        <v>0</v>
      </c>
      <c r="AA59" s="93">
        <v>0</v>
      </c>
      <c r="AB59" s="93">
        <v>0</v>
      </c>
      <c r="AC59" s="93">
        <v>0</v>
      </c>
      <c r="AD59" s="87">
        <f>IF(V59="TIPO I",'BASE LIQUIDACION'!$D$3,IF(V59="TIPO II",'BASE LIQUIDACION'!$D$4,IF(V59="TIPO III",'BASE LIQUIDACION'!$D$5,'BASE LIQUIDACION'!$D$7)))</f>
        <v>44559.984800000006</v>
      </c>
      <c r="AE59" s="87">
        <f>Y59*'BASE LIQUIDACION'!$B$12+Z59*'BASE LIQUIDACION'!$B$11+AA59*'BASE LIQUIDACION'!$B$13+AB59*'BASE LIQUIDACION'!$B$14+AC59*AD59</f>
        <v>129877.56352</v>
      </c>
    </row>
    <row r="60" spans="1:31" s="4" customFormat="1">
      <c r="A60" s="93" t="s">
        <v>161</v>
      </c>
      <c r="B60" s="65" t="str">
        <f>VLOOKUP(A60,'CENTRO DE COSTOS'!A:D,4,FALSE)</f>
        <v>DIEGO FERNANDO HENAO CARDONA</v>
      </c>
      <c r="C60" s="65" t="str">
        <f>VLOOKUP(A60,'CENTRO DE COSTOS'!A:C,2,FALSE)</f>
        <v>0004-0003</v>
      </c>
      <c r="D60" s="93">
        <v>19698</v>
      </c>
      <c r="E60" s="93" t="s">
        <v>510</v>
      </c>
      <c r="F60" s="95">
        <v>80695</v>
      </c>
      <c r="G60" s="106" t="s">
        <v>102</v>
      </c>
      <c r="H60" s="96" t="s">
        <v>132</v>
      </c>
      <c r="I60" s="95" t="s">
        <v>163</v>
      </c>
      <c r="J60" s="102" t="s">
        <v>511</v>
      </c>
      <c r="K60" s="95" t="s">
        <v>512</v>
      </c>
      <c r="L60" s="107" t="s">
        <v>107</v>
      </c>
      <c r="M60" s="108" t="s">
        <v>513</v>
      </c>
      <c r="N60" s="97">
        <v>45866</v>
      </c>
      <c r="O60" s="98">
        <v>45867</v>
      </c>
      <c r="P60" s="109" t="s">
        <v>109</v>
      </c>
      <c r="Q60" s="102" t="s">
        <v>109</v>
      </c>
      <c r="R60" s="93" t="s">
        <v>110</v>
      </c>
      <c r="S60" s="95" t="s">
        <v>514</v>
      </c>
      <c r="T60" s="65" t="s">
        <v>112</v>
      </c>
      <c r="U60" s="93" t="s">
        <v>515</v>
      </c>
      <c r="V60" s="102" t="s">
        <v>139</v>
      </c>
      <c r="W60" s="98" t="s">
        <v>115</v>
      </c>
      <c r="X60" s="100" t="s">
        <v>516</v>
      </c>
      <c r="Y60" s="93">
        <v>10</v>
      </c>
      <c r="Z60" s="93">
        <v>0</v>
      </c>
      <c r="AA60" s="93">
        <v>0</v>
      </c>
      <c r="AB60" s="93">
        <v>0</v>
      </c>
      <c r="AC60" s="93">
        <v>0</v>
      </c>
      <c r="AD60" s="110">
        <f>IF(V60="TIPO I",'BASE LIQUIDACION'!$D$3,IF(V60="TIPO II",'BASE LIQUIDACION'!$D$4,IF(V60="TIPO III",'BASE LIQUIDACION'!$D$5,'BASE LIQUIDACION'!$D$7)))</f>
        <v>134410.38956000001</v>
      </c>
      <c r="AE60" s="87">
        <f>Y60*'BASE LIQUIDACION'!$B$12+Z60*'BASE LIQUIDACION'!$B$11+AA60*'BASE LIQUIDACION'!$B$13+AB60*'BASE LIQUIDACION'!$B$14+AC60*AD60</f>
        <v>162346.95439999999</v>
      </c>
    </row>
    <row r="61" spans="1:31" s="4" customFormat="1">
      <c r="A61" s="94" t="s">
        <v>130</v>
      </c>
      <c r="B61" s="61" t="str">
        <f>VLOOKUP(A61,'CENTRO DE COSTOS'!A:D,4,FALSE)</f>
        <v>DIEGO FERNANDO HENAO CARDONA</v>
      </c>
      <c r="C61" s="61" t="str">
        <f>VLOOKUP(A61,'CENTRO DE COSTOS'!A:C,2,FALSE)</f>
        <v>0004-0002</v>
      </c>
      <c r="D61" s="94">
        <v>66170</v>
      </c>
      <c r="E61" s="94" t="s">
        <v>517</v>
      </c>
      <c r="F61" s="99">
        <v>80663</v>
      </c>
      <c r="G61" s="111" t="s">
        <v>102</v>
      </c>
      <c r="H61" s="99" t="s">
        <v>132</v>
      </c>
      <c r="I61" s="99" t="s">
        <v>133</v>
      </c>
      <c r="J61" s="104" t="s">
        <v>518</v>
      </c>
      <c r="K61" s="99" t="s">
        <v>519</v>
      </c>
      <c r="L61" s="112" t="s">
        <v>107</v>
      </c>
      <c r="M61" s="56" t="s">
        <v>520</v>
      </c>
      <c r="N61" s="113">
        <v>45866</v>
      </c>
      <c r="O61" s="114">
        <v>45867</v>
      </c>
      <c r="P61" s="103" t="s">
        <v>109</v>
      </c>
      <c r="Q61" s="104" t="s">
        <v>109</v>
      </c>
      <c r="R61" s="94" t="s">
        <v>110</v>
      </c>
      <c r="S61" s="99" t="s">
        <v>521</v>
      </c>
      <c r="T61" s="61" t="s">
        <v>112</v>
      </c>
      <c r="U61" s="94" t="s">
        <v>522</v>
      </c>
      <c r="V61" s="104" t="s">
        <v>150</v>
      </c>
      <c r="W61" s="114" t="s">
        <v>115</v>
      </c>
      <c r="X61" s="115" t="s">
        <v>140</v>
      </c>
      <c r="Y61" s="94">
        <v>10</v>
      </c>
      <c r="Z61" s="94">
        <v>0</v>
      </c>
      <c r="AA61" s="94">
        <v>0</v>
      </c>
      <c r="AB61" s="94">
        <v>0</v>
      </c>
      <c r="AC61" s="94">
        <v>0</v>
      </c>
      <c r="AD61" s="62">
        <f>IF(V61="TIPO I",'BASE LIQUIDACION'!$D$3,IF(V61="TIPO II",'BASE LIQUIDACION'!$D$4,IF(V61="TIPO III",'BASE LIQUIDACION'!$D$5,'BASE LIQUIDACION'!$D$7)))</f>
        <v>44559.984800000006</v>
      </c>
      <c r="AE61" s="105">
        <f>Y61*'BASE LIQUIDACION'!$B$12+Z61*'BASE LIQUIDACION'!$B$11+AA61*'BASE LIQUIDACION'!$B$13+AB61*'BASE LIQUIDACION'!$B$14+AC61*AD61</f>
        <v>162346.95439999999</v>
      </c>
    </row>
    <row r="62" spans="1:31" s="4" customFormat="1">
      <c r="A62" s="94" t="s">
        <v>170</v>
      </c>
      <c r="B62" s="61" t="str">
        <f>VLOOKUP(A62,'CENTRO DE COSTOS'!A:D,4,FALSE)</f>
        <v>WILLIAM ASDRUBAL ROZO ROZO</v>
      </c>
      <c r="C62" s="61" t="str">
        <f>VLOOKUP(A62,'CENTRO DE COSTOS'!A:C,2,FALSE)</f>
        <v>0004-0004</v>
      </c>
      <c r="D62" s="94">
        <v>25754</v>
      </c>
      <c r="E62" s="94" t="s">
        <v>523</v>
      </c>
      <c r="F62" s="99">
        <v>80699</v>
      </c>
      <c r="G62" s="111" t="s">
        <v>102</v>
      </c>
      <c r="H62" s="99" t="s">
        <v>132</v>
      </c>
      <c r="I62" s="99" t="s">
        <v>172</v>
      </c>
      <c r="J62" s="104" t="s">
        <v>504</v>
      </c>
      <c r="K62" s="99" t="s">
        <v>524</v>
      </c>
      <c r="L62" s="112" t="s">
        <v>107</v>
      </c>
      <c r="M62" s="56" t="s">
        <v>525</v>
      </c>
      <c r="N62" s="113">
        <v>45866</v>
      </c>
      <c r="O62" s="114">
        <v>45867</v>
      </c>
      <c r="P62" s="103" t="s">
        <v>109</v>
      </c>
      <c r="Q62" s="104" t="s">
        <v>109</v>
      </c>
      <c r="R62" s="94" t="s">
        <v>110</v>
      </c>
      <c r="S62" s="99" t="s">
        <v>526</v>
      </c>
      <c r="T62" s="61" t="s">
        <v>112</v>
      </c>
      <c r="U62" s="94" t="s">
        <v>527</v>
      </c>
      <c r="V62" s="104" t="s">
        <v>150</v>
      </c>
      <c r="W62" s="114" t="s">
        <v>115</v>
      </c>
      <c r="X62" s="115" t="s">
        <v>509</v>
      </c>
      <c r="Y62" s="94">
        <v>8</v>
      </c>
      <c r="Z62" s="94">
        <v>0</v>
      </c>
      <c r="AA62" s="94">
        <v>0</v>
      </c>
      <c r="AB62" s="94">
        <v>0</v>
      </c>
      <c r="AC62" s="94">
        <v>0</v>
      </c>
      <c r="AD62" s="62">
        <f>IF(V62="TIPO I",'BASE LIQUIDACION'!$D$3,IF(V62="TIPO II",'BASE LIQUIDACION'!$D$4,IF(V62="TIPO III",'BASE LIQUIDACION'!$D$5,'BASE LIQUIDACION'!$D$7)))</f>
        <v>44559.984800000006</v>
      </c>
      <c r="AE62" s="105">
        <f>Y62*'BASE LIQUIDACION'!$B$12+Z62*'BASE LIQUIDACION'!$B$11+AA62*'BASE LIQUIDACION'!$B$13+AB62*'BASE LIQUIDACION'!$B$14+AC62*AD62</f>
        <v>129877.56352</v>
      </c>
    </row>
    <row r="63" spans="1:31" s="4" customFormat="1">
      <c r="A63" s="94" t="s">
        <v>256</v>
      </c>
      <c r="B63" s="61" t="str">
        <f>VLOOKUP(A63,'CENTRO DE COSTOS'!A:D,4,FALSE)</f>
        <v>MIGUEL JULIÁN HERNÁNDEZ GUARÍN</v>
      </c>
      <c r="C63" s="61" t="str">
        <f>VLOOKUP(A63,'CENTRO DE COSTOS'!A:C,2,FALSE)</f>
        <v>0004-0008</v>
      </c>
      <c r="D63" s="94">
        <v>68276</v>
      </c>
      <c r="E63" s="94" t="s">
        <v>528</v>
      </c>
      <c r="F63" s="99">
        <v>80143</v>
      </c>
      <c r="G63" s="111" t="s">
        <v>102</v>
      </c>
      <c r="H63" s="99" t="s">
        <v>132</v>
      </c>
      <c r="I63" s="99" t="s">
        <v>258</v>
      </c>
      <c r="J63" s="104" t="s">
        <v>529</v>
      </c>
      <c r="K63" s="99" t="s">
        <v>530</v>
      </c>
      <c r="L63" s="112" t="s">
        <v>107</v>
      </c>
      <c r="M63" s="56" t="s">
        <v>531</v>
      </c>
      <c r="N63" s="113">
        <v>45839</v>
      </c>
      <c r="O63" s="114">
        <v>45840</v>
      </c>
      <c r="P63" s="103" t="s">
        <v>109</v>
      </c>
      <c r="Q63" s="104" t="s">
        <v>109</v>
      </c>
      <c r="R63" s="94" t="s">
        <v>110</v>
      </c>
      <c r="S63" s="99" t="s">
        <v>532</v>
      </c>
      <c r="T63" s="61" t="s">
        <v>112</v>
      </c>
      <c r="U63" s="94" t="s">
        <v>533</v>
      </c>
      <c r="V63" s="104" t="s">
        <v>150</v>
      </c>
      <c r="W63" s="114" t="s">
        <v>115</v>
      </c>
      <c r="X63" s="115" t="s">
        <v>310</v>
      </c>
      <c r="Y63" s="94">
        <v>0</v>
      </c>
      <c r="Z63" s="94">
        <v>0</v>
      </c>
      <c r="AA63" s="94">
        <v>1</v>
      </c>
      <c r="AB63" s="94">
        <v>0</v>
      </c>
      <c r="AC63" s="94">
        <v>0</v>
      </c>
      <c r="AD63" s="62">
        <f>IF(V63="TIPO I",'BASE LIQUIDACION'!$D$3,IF(V63="TIPO II",'BASE LIQUIDACION'!$D$4,IF(V63="TIPO III",'BASE LIQUIDACION'!$D$5,'BASE LIQUIDACION'!$D$7)))</f>
        <v>44559.984800000006</v>
      </c>
      <c r="AE63" s="105">
        <f>Y63*'BASE LIQUIDACION'!$B$12+Z63*'BASE LIQUIDACION'!$B$11+AA63*'BASE LIQUIDACION'!$B$13+AB63*'BASE LIQUIDACION'!$B$14+AC63*AD63</f>
        <v>257391.81956</v>
      </c>
    </row>
    <row r="64" spans="1:31" s="4" customFormat="1">
      <c r="A64" s="94" t="s">
        <v>256</v>
      </c>
      <c r="B64" s="61" t="str">
        <f>VLOOKUP(A64,'CENTRO DE COSTOS'!A:D,4,FALSE)</f>
        <v>MIGUEL JULIÁN HERNÁNDEZ GUARÍN</v>
      </c>
      <c r="C64" s="61" t="str">
        <f>VLOOKUP(A64,'CENTRO DE COSTOS'!A:C,2,FALSE)</f>
        <v>0004-0008</v>
      </c>
      <c r="D64" s="94">
        <v>68001</v>
      </c>
      <c r="E64" s="94" t="s">
        <v>534</v>
      </c>
      <c r="F64" s="99">
        <v>80354</v>
      </c>
      <c r="G64" s="111" t="s">
        <v>102</v>
      </c>
      <c r="H64" s="99" t="s">
        <v>132</v>
      </c>
      <c r="I64" s="99" t="s">
        <v>258</v>
      </c>
      <c r="J64" s="104" t="s">
        <v>256</v>
      </c>
      <c r="K64" s="99" t="s">
        <v>535</v>
      </c>
      <c r="L64" s="112" t="s">
        <v>107</v>
      </c>
      <c r="M64" s="56" t="s">
        <v>536</v>
      </c>
      <c r="N64" s="113">
        <v>45849</v>
      </c>
      <c r="O64" s="114">
        <v>45852</v>
      </c>
      <c r="P64" s="103" t="s">
        <v>109</v>
      </c>
      <c r="Q64" s="104" t="s">
        <v>109</v>
      </c>
      <c r="R64" s="94" t="s">
        <v>110</v>
      </c>
      <c r="S64" s="99" t="s">
        <v>537</v>
      </c>
      <c r="T64" s="61" t="s">
        <v>112</v>
      </c>
      <c r="U64" s="94" t="s">
        <v>538</v>
      </c>
      <c r="V64" s="104" t="s">
        <v>150</v>
      </c>
      <c r="W64" s="114" t="s">
        <v>115</v>
      </c>
      <c r="X64" s="115" t="s">
        <v>310</v>
      </c>
      <c r="Y64" s="94">
        <v>0</v>
      </c>
      <c r="Z64" s="94">
        <v>0</v>
      </c>
      <c r="AA64" s="94">
        <v>1</v>
      </c>
      <c r="AB64" s="94">
        <v>0</v>
      </c>
      <c r="AC64" s="94">
        <v>0</v>
      </c>
      <c r="AD64" s="62">
        <f>IF(V64="TIPO I",'BASE LIQUIDACION'!$D$3,IF(V64="TIPO II",'BASE LIQUIDACION'!$D$4,IF(V64="TIPO III",'BASE LIQUIDACION'!$D$5,'BASE LIQUIDACION'!$D$7)))</f>
        <v>44559.984800000006</v>
      </c>
      <c r="AE64" s="105">
        <f>Y64*'BASE LIQUIDACION'!$B$12+Z64*'BASE LIQUIDACION'!$B$11+AA64*'BASE LIQUIDACION'!$B$13+AB64*'BASE LIQUIDACION'!$B$14+AC64*AD64</f>
        <v>257391.81956</v>
      </c>
    </row>
    <row r="65" spans="1:31" s="4" customFormat="1">
      <c r="A65" s="94" t="s">
        <v>161</v>
      </c>
      <c r="B65" s="61" t="str">
        <f>VLOOKUP(A65,'CENTRO DE COSTOS'!A:D,4,FALSE)</f>
        <v>DIEGO FERNANDO HENAO CARDONA</v>
      </c>
      <c r="C65" s="61" t="str">
        <f>VLOOKUP(A65,'CENTRO DE COSTOS'!A:C,2,FALSE)</f>
        <v>0004-0003</v>
      </c>
      <c r="D65" s="94">
        <v>19698</v>
      </c>
      <c r="E65" s="94" t="s">
        <v>539</v>
      </c>
      <c r="F65" s="99">
        <v>80696</v>
      </c>
      <c r="G65" s="111" t="s">
        <v>102</v>
      </c>
      <c r="H65" s="99" t="s">
        <v>132</v>
      </c>
      <c r="I65" s="99" t="s">
        <v>163</v>
      </c>
      <c r="J65" s="104" t="s">
        <v>511</v>
      </c>
      <c r="K65" s="99" t="s">
        <v>540</v>
      </c>
      <c r="L65" s="112" t="s">
        <v>107</v>
      </c>
      <c r="M65" s="56" t="s">
        <v>541</v>
      </c>
      <c r="N65" s="113">
        <v>45866</v>
      </c>
      <c r="O65" s="114">
        <v>45868</v>
      </c>
      <c r="P65" s="103" t="s">
        <v>109</v>
      </c>
      <c r="Q65" s="104" t="s">
        <v>109</v>
      </c>
      <c r="R65" s="94" t="s">
        <v>110</v>
      </c>
      <c r="S65" s="99" t="s">
        <v>542</v>
      </c>
      <c r="T65" s="61" t="s">
        <v>112</v>
      </c>
      <c r="U65" s="94" t="s">
        <v>543</v>
      </c>
      <c r="V65" s="104" t="s">
        <v>139</v>
      </c>
      <c r="W65" s="114" t="s">
        <v>115</v>
      </c>
      <c r="X65" s="115" t="s">
        <v>457</v>
      </c>
      <c r="Y65" s="94">
        <v>0</v>
      </c>
      <c r="Z65" s="94">
        <v>0</v>
      </c>
      <c r="AA65" s="94">
        <v>1</v>
      </c>
      <c r="AB65" s="94">
        <v>0</v>
      </c>
      <c r="AC65" s="94">
        <v>0</v>
      </c>
      <c r="AD65" s="62">
        <f>IF(V65="TIPO I",'BASE LIQUIDACION'!$D$3,IF(V65="TIPO II",'BASE LIQUIDACION'!$D$4,IF(V65="TIPO III",'BASE LIQUIDACION'!$D$5,'BASE LIQUIDACION'!$D$7)))</f>
        <v>134410.38956000001</v>
      </c>
      <c r="AE65" s="105">
        <f>Y65*'BASE LIQUIDACION'!$B$12+Z65*'BASE LIQUIDACION'!$B$11+AA65*'BASE LIQUIDACION'!$B$13+AB65*'BASE LIQUIDACION'!$B$14+AC65*AD65</f>
        <v>257391.81956</v>
      </c>
    </row>
    <row r="66" spans="1:31" s="4" customFormat="1">
      <c r="A66" s="94" t="s">
        <v>256</v>
      </c>
      <c r="B66" s="61" t="str">
        <f>VLOOKUP(A66,'CENTRO DE COSTOS'!A:D,4,FALSE)</f>
        <v>MIGUEL JULIÁN HERNÁNDEZ GUARÍN</v>
      </c>
      <c r="C66" s="61" t="str">
        <f>VLOOKUP(A66,'CENTRO DE COSTOS'!A:C,2,FALSE)</f>
        <v>0004-0008</v>
      </c>
      <c r="D66" s="94">
        <v>68755</v>
      </c>
      <c r="E66" s="94" t="s">
        <v>544</v>
      </c>
      <c r="F66" s="99">
        <v>80192</v>
      </c>
      <c r="G66" s="111" t="s">
        <v>102</v>
      </c>
      <c r="H66" s="99" t="s">
        <v>132</v>
      </c>
      <c r="I66" s="99" t="s">
        <v>258</v>
      </c>
      <c r="J66" s="104" t="s">
        <v>545</v>
      </c>
      <c r="K66" s="99" t="s">
        <v>546</v>
      </c>
      <c r="L66" s="112" t="s">
        <v>107</v>
      </c>
      <c r="M66" s="56" t="s">
        <v>547</v>
      </c>
      <c r="N66" s="113">
        <v>45839</v>
      </c>
      <c r="O66" s="114">
        <v>45841</v>
      </c>
      <c r="P66" s="103" t="s">
        <v>109</v>
      </c>
      <c r="Q66" s="104" t="s">
        <v>109</v>
      </c>
      <c r="R66" s="94" t="s">
        <v>110</v>
      </c>
      <c r="S66" s="99" t="s">
        <v>548</v>
      </c>
      <c r="T66" s="61" t="s">
        <v>112</v>
      </c>
      <c r="U66" s="94" t="s">
        <v>549</v>
      </c>
      <c r="V66" s="104" t="s">
        <v>114</v>
      </c>
      <c r="W66" s="114" t="s">
        <v>115</v>
      </c>
      <c r="X66" s="115" t="s">
        <v>550</v>
      </c>
      <c r="Y66" s="94">
        <v>0</v>
      </c>
      <c r="Z66" s="94">
        <v>0</v>
      </c>
      <c r="AA66" s="94">
        <v>0</v>
      </c>
      <c r="AB66" s="94">
        <v>1</v>
      </c>
      <c r="AC66" s="94">
        <v>0</v>
      </c>
      <c r="AD66" s="62">
        <f>IF(V66="TIPO I",'BASE LIQUIDACION'!$D$3,IF(V66="TIPO II",'BASE LIQUIDACION'!$D$4,IF(V66="TIPO III",'BASE LIQUIDACION'!$D$5,'BASE LIQUIDACION'!$D$7)))</f>
        <v>222904.27188000001</v>
      </c>
      <c r="AE66" s="105">
        <f>Y66*'BASE LIQUIDACION'!$B$12+Z66*'BASE LIQUIDACION'!$B$11+AA66*'BASE LIQUIDACION'!$B$13+AB66*'BASE LIQUIDACION'!$B$14+AC66*AD66</f>
        <v>306552.28452000004</v>
      </c>
    </row>
    <row r="67" spans="1:31" s="4" customFormat="1">
      <c r="A67" s="94" t="s">
        <v>399</v>
      </c>
      <c r="B67" s="61" t="str">
        <f>VLOOKUP(A67,'CENTRO DE COSTOS'!A:D,4,FALSE)</f>
        <v>MIGUEL JULIÁN HERNÁNDEZ GUARÍN</v>
      </c>
      <c r="C67" s="61" t="str">
        <f>VLOOKUP(A67,'CENTRO DE COSTOS'!A:C,2,FALSE)</f>
        <v>0004-0008</v>
      </c>
      <c r="D67" s="94">
        <v>15646</v>
      </c>
      <c r="E67" s="94" t="s">
        <v>551</v>
      </c>
      <c r="F67" s="99">
        <v>80299</v>
      </c>
      <c r="G67" s="111" t="s">
        <v>102</v>
      </c>
      <c r="H67" s="99" t="s">
        <v>132</v>
      </c>
      <c r="I67" s="99" t="s">
        <v>401</v>
      </c>
      <c r="J67" s="104" t="s">
        <v>552</v>
      </c>
      <c r="K67" s="99" t="s">
        <v>553</v>
      </c>
      <c r="L67" s="112" t="s">
        <v>107</v>
      </c>
      <c r="M67" s="56" t="s">
        <v>554</v>
      </c>
      <c r="N67" s="113">
        <v>45845</v>
      </c>
      <c r="O67" s="114">
        <v>45846</v>
      </c>
      <c r="P67" s="103" t="s">
        <v>109</v>
      </c>
      <c r="Q67" s="104" t="s">
        <v>109</v>
      </c>
      <c r="R67" s="94" t="s">
        <v>110</v>
      </c>
      <c r="S67" s="99" t="s">
        <v>555</v>
      </c>
      <c r="T67" s="61" t="s">
        <v>112</v>
      </c>
      <c r="U67" s="94" t="s">
        <v>556</v>
      </c>
      <c r="V67" s="104" t="s">
        <v>139</v>
      </c>
      <c r="W67" s="114" t="s">
        <v>115</v>
      </c>
      <c r="X67" s="115" t="s">
        <v>557</v>
      </c>
      <c r="Y67" s="94">
        <v>0</v>
      </c>
      <c r="Z67" s="94">
        <v>0</v>
      </c>
      <c r="AA67" s="94">
        <v>0</v>
      </c>
      <c r="AB67" s="94">
        <v>1</v>
      </c>
      <c r="AC67" s="94">
        <v>0</v>
      </c>
      <c r="AD67" s="62">
        <f>IF(V67="TIPO I",'BASE LIQUIDACION'!$D$3,IF(V67="TIPO II",'BASE LIQUIDACION'!$D$4,IF(V67="TIPO III",'BASE LIQUIDACION'!$D$5,'BASE LIQUIDACION'!$D$7)))</f>
        <v>134410.38956000001</v>
      </c>
      <c r="AE67" s="105">
        <f>Y67*'BASE LIQUIDACION'!$B$12+Z67*'BASE LIQUIDACION'!$B$11+AA67*'BASE LIQUIDACION'!$B$13+AB67*'BASE LIQUIDACION'!$B$14+AC67*AD67</f>
        <v>306552.28452000004</v>
      </c>
    </row>
    <row r="68" spans="1:31" s="4" customFormat="1">
      <c r="A68" s="94" t="s">
        <v>399</v>
      </c>
      <c r="B68" s="61" t="str">
        <f>VLOOKUP(A68,'CENTRO DE COSTOS'!A:D,4,FALSE)</f>
        <v>MIGUEL JULIÁN HERNÁNDEZ GUARÍN</v>
      </c>
      <c r="C68" s="61" t="str">
        <f>VLOOKUP(A68,'CENTRO DE COSTOS'!A:C,2,FALSE)</f>
        <v>0004-0008</v>
      </c>
      <c r="D68" s="94">
        <v>15693</v>
      </c>
      <c r="E68" s="94" t="s">
        <v>558</v>
      </c>
      <c r="F68" s="99">
        <v>80298</v>
      </c>
      <c r="G68" s="111" t="s">
        <v>102</v>
      </c>
      <c r="H68" s="99" t="s">
        <v>132</v>
      </c>
      <c r="I68" s="99" t="s">
        <v>401</v>
      </c>
      <c r="J68" s="104" t="s">
        <v>559</v>
      </c>
      <c r="K68" s="99" t="s">
        <v>560</v>
      </c>
      <c r="L68" s="112" t="s">
        <v>107</v>
      </c>
      <c r="M68" s="56" t="s">
        <v>561</v>
      </c>
      <c r="N68" s="113">
        <v>45845</v>
      </c>
      <c r="O68" s="114">
        <v>45846</v>
      </c>
      <c r="P68" s="103" t="s">
        <v>109</v>
      </c>
      <c r="Q68" s="104" t="s">
        <v>109</v>
      </c>
      <c r="R68" s="94" t="s">
        <v>110</v>
      </c>
      <c r="S68" s="99" t="s">
        <v>562</v>
      </c>
      <c r="T68" s="61" t="s">
        <v>112</v>
      </c>
      <c r="U68" s="94" t="s">
        <v>563</v>
      </c>
      <c r="V68" s="104" t="s">
        <v>139</v>
      </c>
      <c r="W68" s="114" t="s">
        <v>115</v>
      </c>
      <c r="X68" s="115" t="s">
        <v>564</v>
      </c>
      <c r="Y68" s="94">
        <v>0</v>
      </c>
      <c r="Z68" s="94">
        <v>0</v>
      </c>
      <c r="AA68" s="94">
        <v>0</v>
      </c>
      <c r="AB68" s="94">
        <v>1</v>
      </c>
      <c r="AC68" s="94">
        <v>0</v>
      </c>
      <c r="AD68" s="62">
        <f>IF(V68="TIPO I",'BASE LIQUIDACION'!$D$3,IF(V68="TIPO II",'BASE LIQUIDACION'!$D$4,IF(V68="TIPO III",'BASE LIQUIDACION'!$D$5,'BASE LIQUIDACION'!$D$7)))</f>
        <v>134410.38956000001</v>
      </c>
      <c r="AE68" s="105">
        <f>Y68*'BASE LIQUIDACION'!$B$12+Z68*'BASE LIQUIDACION'!$B$11+AA68*'BASE LIQUIDACION'!$B$13+AB68*'BASE LIQUIDACION'!$B$14+AC68*AD68</f>
        <v>306552.28452000004</v>
      </c>
    </row>
    <row r="69" spans="1:31" s="4" customFormat="1">
      <c r="A69" s="94" t="s">
        <v>399</v>
      </c>
      <c r="B69" s="61" t="str">
        <f>VLOOKUP(A69,'CENTRO DE COSTOS'!A:D,4,FALSE)</f>
        <v>MIGUEL JULIÁN HERNÁNDEZ GUARÍN</v>
      </c>
      <c r="C69" s="61" t="str">
        <f>VLOOKUP(A69,'CENTRO DE COSTOS'!A:C,2,FALSE)</f>
        <v>0004-0008</v>
      </c>
      <c r="D69" s="94">
        <v>15299</v>
      </c>
      <c r="E69" s="94" t="s">
        <v>565</v>
      </c>
      <c r="F69" s="99">
        <v>80526</v>
      </c>
      <c r="G69" s="111" t="s">
        <v>102</v>
      </c>
      <c r="H69" s="99" t="s">
        <v>132</v>
      </c>
      <c r="I69" s="99" t="s">
        <v>401</v>
      </c>
      <c r="J69" s="104" t="s">
        <v>566</v>
      </c>
      <c r="K69" s="99" t="s">
        <v>567</v>
      </c>
      <c r="L69" s="112" t="s">
        <v>107</v>
      </c>
      <c r="M69" s="56" t="s">
        <v>568</v>
      </c>
      <c r="N69" s="113">
        <v>45856</v>
      </c>
      <c r="O69" s="114">
        <v>45860</v>
      </c>
      <c r="P69" s="103" t="s">
        <v>109</v>
      </c>
      <c r="Q69" s="104" t="s">
        <v>109</v>
      </c>
      <c r="R69" s="94" t="s">
        <v>110</v>
      </c>
      <c r="S69" s="99" t="s">
        <v>569</v>
      </c>
      <c r="T69" s="61" t="s">
        <v>112</v>
      </c>
      <c r="U69" s="94" t="s">
        <v>570</v>
      </c>
      <c r="V69" s="104" t="s">
        <v>114</v>
      </c>
      <c r="W69" s="114" t="s">
        <v>115</v>
      </c>
      <c r="X69" s="115" t="s">
        <v>564</v>
      </c>
      <c r="Y69" s="94">
        <v>0</v>
      </c>
      <c r="Z69" s="94">
        <v>0</v>
      </c>
      <c r="AA69" s="94">
        <v>0</v>
      </c>
      <c r="AB69" s="94">
        <v>1</v>
      </c>
      <c r="AC69" s="94">
        <v>0</v>
      </c>
      <c r="AD69" s="62">
        <f>IF(V69="TIPO I",'BASE LIQUIDACION'!$D$3,IF(V69="TIPO II",'BASE LIQUIDACION'!$D$4,IF(V69="TIPO III",'BASE LIQUIDACION'!$D$5,'BASE LIQUIDACION'!$D$7)))</f>
        <v>222904.27188000001</v>
      </c>
      <c r="AE69" s="105">
        <f>Y69*'BASE LIQUIDACION'!$B$12+Z69*'BASE LIQUIDACION'!$B$11+AA69*'BASE LIQUIDACION'!$B$13+AB69*'BASE LIQUIDACION'!$B$14+AC69*AD69</f>
        <v>306552.28452000004</v>
      </c>
    </row>
    <row r="70" spans="1:31" s="4" customFormat="1">
      <c r="A70" s="94" t="s">
        <v>399</v>
      </c>
      <c r="B70" s="61" t="str">
        <f>VLOOKUP(A70,'CENTRO DE COSTOS'!A:D,4,FALSE)</f>
        <v>MIGUEL JULIÁN HERNÁNDEZ GUARÍN</v>
      </c>
      <c r="C70" s="61" t="str">
        <f>VLOOKUP(A70,'CENTRO DE COSTOS'!A:C,2,FALSE)</f>
        <v>0004-0008</v>
      </c>
      <c r="D70" s="94">
        <v>15238</v>
      </c>
      <c r="E70" s="94" t="s">
        <v>571</v>
      </c>
      <c r="F70" s="99">
        <v>80731</v>
      </c>
      <c r="G70" s="111" t="s">
        <v>102</v>
      </c>
      <c r="H70" s="99" t="s">
        <v>132</v>
      </c>
      <c r="I70" s="99" t="s">
        <v>401</v>
      </c>
      <c r="J70" s="104" t="s">
        <v>572</v>
      </c>
      <c r="K70" s="99" t="s">
        <v>573</v>
      </c>
      <c r="L70" s="112" t="s">
        <v>107</v>
      </c>
      <c r="M70" s="56" t="s">
        <v>574</v>
      </c>
      <c r="N70" s="113">
        <v>45868</v>
      </c>
      <c r="O70" s="114">
        <v>45869</v>
      </c>
      <c r="P70" s="103" t="s">
        <v>109</v>
      </c>
      <c r="Q70" s="104" t="s">
        <v>109</v>
      </c>
      <c r="R70" s="94" t="s">
        <v>110</v>
      </c>
      <c r="S70" s="99" t="s">
        <v>575</v>
      </c>
      <c r="T70" s="61" t="s">
        <v>112</v>
      </c>
      <c r="U70" s="94" t="s">
        <v>576</v>
      </c>
      <c r="V70" s="104" t="s">
        <v>139</v>
      </c>
      <c r="W70" s="114" t="s">
        <v>115</v>
      </c>
      <c r="X70" s="115" t="s">
        <v>407</v>
      </c>
      <c r="Y70" s="94">
        <v>0</v>
      </c>
      <c r="Z70" s="94">
        <v>0</v>
      </c>
      <c r="AA70" s="94">
        <v>0</v>
      </c>
      <c r="AB70" s="94">
        <v>1</v>
      </c>
      <c r="AC70" s="94">
        <v>0</v>
      </c>
      <c r="AD70" s="62">
        <f>IF(V70="TIPO I",'BASE LIQUIDACION'!$D$3,IF(V70="TIPO II",'BASE LIQUIDACION'!$D$4,IF(V70="TIPO III",'BASE LIQUIDACION'!$D$5,'BASE LIQUIDACION'!$D$7)))</f>
        <v>134410.38956000001</v>
      </c>
      <c r="AE70" s="105">
        <f>Y70*'BASE LIQUIDACION'!$B$12+Z70*'BASE LIQUIDACION'!$B$11+AA70*'BASE LIQUIDACION'!$B$13+AB70*'BASE LIQUIDACION'!$B$14+AC70*AD70</f>
        <v>306552.28452000004</v>
      </c>
    </row>
    <row r="71" spans="1:31">
      <c r="AE71" s="89">
        <f>SUM(AE2:AE70)</f>
        <v>13282762.715599997</v>
      </c>
    </row>
  </sheetData>
  <conditionalFormatting sqref="E71:E1048576">
    <cfRule type="duplicateValues" dxfId="7" priority="991"/>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1F77D-E178-4EA9-B086-9B27EF477197}">
  <dimension ref="A1:F1124"/>
  <sheetViews>
    <sheetView workbookViewId="0">
      <selection activeCell="I25" sqref="I25"/>
    </sheetView>
  </sheetViews>
  <sheetFormatPr defaultColWidth="8.85546875" defaultRowHeight="13.15"/>
  <cols>
    <col min="1" max="6" width="15.85546875" customWidth="1"/>
  </cols>
  <sheetData>
    <row r="1" spans="1:6" ht="41.45">
      <c r="A1" s="32" t="s">
        <v>577</v>
      </c>
      <c r="B1" s="33" t="s">
        <v>78</v>
      </c>
      <c r="C1" s="33" t="s">
        <v>77</v>
      </c>
      <c r="D1" s="33" t="s">
        <v>578</v>
      </c>
      <c r="E1" s="34" t="s">
        <v>579</v>
      </c>
      <c r="F1" s="34" t="s">
        <v>580</v>
      </c>
    </row>
    <row r="2" spans="1:6">
      <c r="A2" s="35">
        <v>91430</v>
      </c>
      <c r="B2" s="36" t="s">
        <v>581</v>
      </c>
      <c r="C2" s="37" t="s">
        <v>582</v>
      </c>
      <c r="D2" s="37" t="s">
        <v>170</v>
      </c>
      <c r="E2" s="37" t="s">
        <v>583</v>
      </c>
      <c r="F2" s="38" t="s">
        <v>584</v>
      </c>
    </row>
    <row r="3" spans="1:6">
      <c r="A3" s="35">
        <v>91669</v>
      </c>
      <c r="B3" s="36" t="s">
        <v>585</v>
      </c>
      <c r="C3" s="37" t="s">
        <v>582</v>
      </c>
      <c r="D3" s="37" t="s">
        <v>170</v>
      </c>
      <c r="E3" s="37" t="s">
        <v>583</v>
      </c>
      <c r="F3" s="38" t="s">
        <v>584</v>
      </c>
    </row>
    <row r="4" spans="1:6">
      <c r="A4" s="35">
        <v>91263</v>
      </c>
      <c r="B4" s="37" t="s">
        <v>586</v>
      </c>
      <c r="C4" s="37" t="s">
        <v>582</v>
      </c>
      <c r="D4" s="37" t="s">
        <v>170</v>
      </c>
      <c r="E4" s="37" t="s">
        <v>583</v>
      </c>
      <c r="F4" s="38" t="s">
        <v>584</v>
      </c>
    </row>
    <row r="5" spans="1:6">
      <c r="A5" s="35">
        <v>91405</v>
      </c>
      <c r="B5" s="37" t="s">
        <v>587</v>
      </c>
      <c r="C5" s="37" t="s">
        <v>582</v>
      </c>
      <c r="D5" s="37" t="s">
        <v>170</v>
      </c>
      <c r="E5" s="37" t="s">
        <v>583</v>
      </c>
      <c r="F5" s="38" t="s">
        <v>584</v>
      </c>
    </row>
    <row r="6" spans="1:6">
      <c r="A6" s="35">
        <v>91407</v>
      </c>
      <c r="B6" s="37" t="s">
        <v>588</v>
      </c>
      <c r="C6" s="37" t="s">
        <v>582</v>
      </c>
      <c r="D6" s="37" t="s">
        <v>170</v>
      </c>
      <c r="E6" s="37" t="s">
        <v>583</v>
      </c>
      <c r="F6" s="38" t="s">
        <v>584</v>
      </c>
    </row>
    <row r="7" spans="1:6">
      <c r="A7" s="35">
        <v>91001</v>
      </c>
      <c r="B7" s="37" t="s">
        <v>589</v>
      </c>
      <c r="C7" s="37" t="s">
        <v>582</v>
      </c>
      <c r="D7" s="37" t="s">
        <v>170</v>
      </c>
      <c r="E7" s="37" t="s">
        <v>583</v>
      </c>
      <c r="F7" s="38" t="s">
        <v>584</v>
      </c>
    </row>
    <row r="8" spans="1:6">
      <c r="A8" s="35">
        <v>91460</v>
      </c>
      <c r="B8" s="37" t="s">
        <v>590</v>
      </c>
      <c r="C8" s="37" t="s">
        <v>582</v>
      </c>
      <c r="D8" s="37" t="s">
        <v>170</v>
      </c>
      <c r="E8" s="37" t="s">
        <v>583</v>
      </c>
      <c r="F8" s="38" t="s">
        <v>584</v>
      </c>
    </row>
    <row r="9" spans="1:6">
      <c r="A9" s="35">
        <v>91530</v>
      </c>
      <c r="B9" s="37" t="s">
        <v>591</v>
      </c>
      <c r="C9" s="37" t="s">
        <v>582</v>
      </c>
      <c r="D9" s="37" t="s">
        <v>170</v>
      </c>
      <c r="E9" s="37" t="s">
        <v>583</v>
      </c>
      <c r="F9" s="38" t="s">
        <v>584</v>
      </c>
    </row>
    <row r="10" spans="1:6">
      <c r="A10" s="35">
        <v>91536</v>
      </c>
      <c r="B10" s="37" t="s">
        <v>592</v>
      </c>
      <c r="C10" s="37" t="s">
        <v>582</v>
      </c>
      <c r="D10" s="37" t="s">
        <v>170</v>
      </c>
      <c r="E10" s="37" t="s">
        <v>583</v>
      </c>
      <c r="F10" s="38" t="s">
        <v>584</v>
      </c>
    </row>
    <row r="11" spans="1:6">
      <c r="A11" s="35">
        <v>91540</v>
      </c>
      <c r="B11" s="37" t="s">
        <v>593</v>
      </c>
      <c r="C11" s="37" t="s">
        <v>582</v>
      </c>
      <c r="D11" s="37" t="s">
        <v>170</v>
      </c>
      <c r="E11" s="37" t="s">
        <v>583</v>
      </c>
      <c r="F11" s="38" t="s">
        <v>584</v>
      </c>
    </row>
    <row r="12" spans="1:6">
      <c r="A12" s="35">
        <v>91798</v>
      </c>
      <c r="B12" s="37" t="s">
        <v>594</v>
      </c>
      <c r="C12" s="37" t="s">
        <v>582</v>
      </c>
      <c r="D12" s="37" t="s">
        <v>170</v>
      </c>
      <c r="E12" s="37" t="s">
        <v>583</v>
      </c>
      <c r="F12" s="38" t="s">
        <v>584</v>
      </c>
    </row>
    <row r="13" spans="1:6">
      <c r="A13" s="35">
        <v>5055</v>
      </c>
      <c r="B13" s="36" t="s">
        <v>595</v>
      </c>
      <c r="C13" s="37" t="s">
        <v>104</v>
      </c>
      <c r="D13" s="37" t="s">
        <v>100</v>
      </c>
      <c r="E13" s="37" t="s">
        <v>115</v>
      </c>
      <c r="F13" s="38" t="s">
        <v>128</v>
      </c>
    </row>
    <row r="14" spans="1:6">
      <c r="A14" s="35">
        <v>5059</v>
      </c>
      <c r="B14" s="36" t="s">
        <v>596</v>
      </c>
      <c r="C14" s="37" t="s">
        <v>104</v>
      </c>
      <c r="D14" s="37" t="s">
        <v>100</v>
      </c>
      <c r="E14" s="37" t="s">
        <v>115</v>
      </c>
      <c r="F14" s="38" t="s">
        <v>139</v>
      </c>
    </row>
    <row r="15" spans="1:6">
      <c r="A15" s="35">
        <v>5079</v>
      </c>
      <c r="B15" s="36" t="s">
        <v>597</v>
      </c>
      <c r="C15" s="37" t="s">
        <v>104</v>
      </c>
      <c r="D15" s="37" t="s">
        <v>100</v>
      </c>
      <c r="E15" s="37" t="s">
        <v>115</v>
      </c>
      <c r="F15" s="38" t="s">
        <v>139</v>
      </c>
    </row>
    <row r="16" spans="1:6">
      <c r="A16" s="35">
        <v>5093</v>
      </c>
      <c r="B16" s="36" t="s">
        <v>598</v>
      </c>
      <c r="C16" s="37" t="s">
        <v>104</v>
      </c>
      <c r="D16" s="37" t="s">
        <v>100</v>
      </c>
      <c r="E16" s="37" t="s">
        <v>115</v>
      </c>
      <c r="F16" s="38" t="s">
        <v>114</v>
      </c>
    </row>
    <row r="17" spans="1:6">
      <c r="A17" s="35">
        <v>5107</v>
      </c>
      <c r="B17" s="36" t="s">
        <v>599</v>
      </c>
      <c r="C17" s="37" t="s">
        <v>104</v>
      </c>
      <c r="D17" s="37" t="s">
        <v>100</v>
      </c>
      <c r="E17" s="37" t="s">
        <v>115</v>
      </c>
      <c r="F17" s="38" t="s">
        <v>114</v>
      </c>
    </row>
    <row r="18" spans="1:6">
      <c r="A18" s="35">
        <v>5129</v>
      </c>
      <c r="B18" s="36" t="s">
        <v>600</v>
      </c>
      <c r="C18" s="37" t="s">
        <v>104</v>
      </c>
      <c r="D18" s="37" t="s">
        <v>100</v>
      </c>
      <c r="E18" s="37" t="s">
        <v>115</v>
      </c>
      <c r="F18" s="38" t="s">
        <v>150</v>
      </c>
    </row>
    <row r="19" spans="1:6">
      <c r="A19" s="35">
        <v>5206</v>
      </c>
      <c r="B19" s="36" t="s">
        <v>601</v>
      </c>
      <c r="C19" s="37" t="s">
        <v>104</v>
      </c>
      <c r="D19" s="37" t="s">
        <v>100</v>
      </c>
      <c r="E19" s="37" t="s">
        <v>115</v>
      </c>
      <c r="F19" s="38" t="s">
        <v>139</v>
      </c>
    </row>
    <row r="20" spans="1:6">
      <c r="A20" s="35">
        <v>5209</v>
      </c>
      <c r="B20" s="36" t="s">
        <v>602</v>
      </c>
      <c r="C20" s="37" t="s">
        <v>104</v>
      </c>
      <c r="D20" s="37" t="s">
        <v>100</v>
      </c>
      <c r="E20" s="37" t="s">
        <v>115</v>
      </c>
      <c r="F20" s="38" t="s">
        <v>114</v>
      </c>
    </row>
    <row r="21" spans="1:6">
      <c r="A21" s="35">
        <v>5313</v>
      </c>
      <c r="B21" s="36" t="s">
        <v>603</v>
      </c>
      <c r="C21" s="37" t="s">
        <v>104</v>
      </c>
      <c r="D21" s="37" t="s">
        <v>100</v>
      </c>
      <c r="E21" s="37" t="s">
        <v>115</v>
      </c>
      <c r="F21" s="38" t="s">
        <v>139</v>
      </c>
    </row>
    <row r="22" spans="1:6">
      <c r="A22" s="35">
        <v>5315</v>
      </c>
      <c r="B22" s="36" t="s">
        <v>604</v>
      </c>
      <c r="C22" s="37" t="s">
        <v>104</v>
      </c>
      <c r="D22" s="37" t="s">
        <v>100</v>
      </c>
      <c r="E22" s="37" t="s">
        <v>115</v>
      </c>
      <c r="F22" s="38" t="s">
        <v>114</v>
      </c>
    </row>
    <row r="23" spans="1:6">
      <c r="A23" s="35">
        <v>5368</v>
      </c>
      <c r="B23" s="36" t="s">
        <v>605</v>
      </c>
      <c r="C23" s="37" t="s">
        <v>104</v>
      </c>
      <c r="D23" s="37" t="s">
        <v>100</v>
      </c>
      <c r="E23" s="37" t="s">
        <v>115</v>
      </c>
      <c r="F23" s="38" t="s">
        <v>114</v>
      </c>
    </row>
    <row r="24" spans="1:6">
      <c r="A24" s="35">
        <v>5400</v>
      </c>
      <c r="B24" s="36" t="s">
        <v>606</v>
      </c>
      <c r="C24" s="37" t="s">
        <v>104</v>
      </c>
      <c r="D24" s="37" t="s">
        <v>100</v>
      </c>
      <c r="E24" s="37" t="s">
        <v>115</v>
      </c>
      <c r="F24" s="38" t="s">
        <v>139</v>
      </c>
    </row>
    <row r="25" spans="1:6">
      <c r="A25" s="35">
        <v>5483</v>
      </c>
      <c r="B25" s="36" t="s">
        <v>607</v>
      </c>
      <c r="C25" s="37" t="s">
        <v>104</v>
      </c>
      <c r="D25" s="37" t="s">
        <v>100</v>
      </c>
      <c r="E25" s="37" t="s">
        <v>115</v>
      </c>
      <c r="F25" s="38" t="s">
        <v>128</v>
      </c>
    </row>
    <row r="26" spans="1:6">
      <c r="A26" s="35">
        <v>5615</v>
      </c>
      <c r="B26" s="36" t="s">
        <v>608</v>
      </c>
      <c r="C26" s="37" t="s">
        <v>104</v>
      </c>
      <c r="D26" s="37" t="s">
        <v>100</v>
      </c>
      <c r="E26" s="37" t="s">
        <v>115</v>
      </c>
      <c r="F26" s="38" t="s">
        <v>139</v>
      </c>
    </row>
    <row r="27" spans="1:6">
      <c r="A27" s="35">
        <v>5628</v>
      </c>
      <c r="B27" s="36" t="s">
        <v>609</v>
      </c>
      <c r="C27" s="37" t="s">
        <v>104</v>
      </c>
      <c r="D27" s="37" t="s">
        <v>100</v>
      </c>
      <c r="E27" s="37" t="s">
        <v>115</v>
      </c>
      <c r="F27" s="38" t="s">
        <v>114</v>
      </c>
    </row>
    <row r="28" spans="1:6">
      <c r="A28" s="35">
        <v>5649</v>
      </c>
      <c r="B28" s="36" t="s">
        <v>610</v>
      </c>
      <c r="C28" s="37" t="s">
        <v>104</v>
      </c>
      <c r="D28" s="37" t="s">
        <v>100</v>
      </c>
      <c r="E28" s="37" t="s">
        <v>115</v>
      </c>
      <c r="F28" s="38" t="s">
        <v>114</v>
      </c>
    </row>
    <row r="29" spans="1:6">
      <c r="A29" s="35">
        <v>5652</v>
      </c>
      <c r="B29" s="36" t="s">
        <v>611</v>
      </c>
      <c r="C29" s="37" t="s">
        <v>104</v>
      </c>
      <c r="D29" s="37" t="s">
        <v>100</v>
      </c>
      <c r="E29" s="37" t="s">
        <v>115</v>
      </c>
      <c r="F29" s="38" t="s">
        <v>114</v>
      </c>
    </row>
    <row r="30" spans="1:6">
      <c r="A30" s="35">
        <v>5660</v>
      </c>
      <c r="B30" s="36" t="s">
        <v>612</v>
      </c>
      <c r="C30" s="37" t="s">
        <v>104</v>
      </c>
      <c r="D30" s="37" t="s">
        <v>100</v>
      </c>
      <c r="E30" s="37" t="s">
        <v>115</v>
      </c>
      <c r="F30" s="38" t="s">
        <v>114</v>
      </c>
    </row>
    <row r="31" spans="1:6">
      <c r="A31" s="35">
        <v>5664</v>
      </c>
      <c r="B31" s="36" t="s">
        <v>613</v>
      </c>
      <c r="C31" s="37" t="s">
        <v>104</v>
      </c>
      <c r="D31" s="37" t="s">
        <v>100</v>
      </c>
      <c r="E31" s="37" t="s">
        <v>115</v>
      </c>
      <c r="F31" s="38" t="s">
        <v>139</v>
      </c>
    </row>
    <row r="32" spans="1:6">
      <c r="A32" s="35">
        <v>5679</v>
      </c>
      <c r="B32" s="36" t="s">
        <v>614</v>
      </c>
      <c r="C32" s="37" t="s">
        <v>104</v>
      </c>
      <c r="D32" s="37" t="s">
        <v>100</v>
      </c>
      <c r="E32" s="37" t="s">
        <v>115</v>
      </c>
      <c r="F32" s="38" t="s">
        <v>139</v>
      </c>
    </row>
    <row r="33" spans="1:6">
      <c r="A33" s="35">
        <v>5819</v>
      </c>
      <c r="B33" s="36" t="s">
        <v>615</v>
      </c>
      <c r="C33" s="37" t="s">
        <v>104</v>
      </c>
      <c r="D33" s="37" t="s">
        <v>100</v>
      </c>
      <c r="E33" s="37" t="s">
        <v>115</v>
      </c>
      <c r="F33" s="38" t="s">
        <v>128</v>
      </c>
    </row>
    <row r="34" spans="1:6">
      <c r="A34" s="35">
        <v>5856</v>
      </c>
      <c r="B34" s="36" t="s">
        <v>616</v>
      </c>
      <c r="C34" s="37" t="s">
        <v>104</v>
      </c>
      <c r="D34" s="37" t="s">
        <v>100</v>
      </c>
      <c r="E34" s="37" t="s">
        <v>115</v>
      </c>
      <c r="F34" s="38" t="s">
        <v>114</v>
      </c>
    </row>
    <row r="35" spans="1:6">
      <c r="A35" s="35">
        <v>5861</v>
      </c>
      <c r="B35" s="36" t="s">
        <v>617</v>
      </c>
      <c r="C35" s="37" t="s">
        <v>104</v>
      </c>
      <c r="D35" s="37" t="s">
        <v>100</v>
      </c>
      <c r="E35" s="37" t="s">
        <v>115</v>
      </c>
      <c r="F35" s="38" t="s">
        <v>139</v>
      </c>
    </row>
    <row r="36" spans="1:6">
      <c r="A36" s="35">
        <v>5002</v>
      </c>
      <c r="B36" s="37" t="s">
        <v>618</v>
      </c>
      <c r="C36" s="37" t="s">
        <v>104</v>
      </c>
      <c r="D36" s="37" t="s">
        <v>100</v>
      </c>
      <c r="E36" s="37" t="s">
        <v>115</v>
      </c>
      <c r="F36" s="38" t="s">
        <v>114</v>
      </c>
    </row>
    <row r="37" spans="1:6">
      <c r="A37" s="35">
        <v>5004</v>
      </c>
      <c r="B37" s="37" t="s">
        <v>619</v>
      </c>
      <c r="C37" s="37" t="s">
        <v>104</v>
      </c>
      <c r="D37" s="37" t="s">
        <v>100</v>
      </c>
      <c r="E37" s="37" t="s">
        <v>115</v>
      </c>
      <c r="F37" s="38" t="s">
        <v>128</v>
      </c>
    </row>
    <row r="38" spans="1:6">
      <c r="A38" s="35">
        <v>5021</v>
      </c>
      <c r="B38" s="37" t="s">
        <v>620</v>
      </c>
      <c r="C38" s="37" t="s">
        <v>104</v>
      </c>
      <c r="D38" s="37" t="s">
        <v>100</v>
      </c>
      <c r="E38" s="37" t="s">
        <v>115</v>
      </c>
      <c r="F38" s="38" t="s">
        <v>114</v>
      </c>
    </row>
    <row r="39" spans="1:6">
      <c r="A39" s="35">
        <v>5030</v>
      </c>
      <c r="B39" s="37" t="s">
        <v>409</v>
      </c>
      <c r="C39" s="37" t="s">
        <v>104</v>
      </c>
      <c r="D39" s="37" t="s">
        <v>100</v>
      </c>
      <c r="E39" s="37" t="s">
        <v>115</v>
      </c>
      <c r="F39" s="38" t="s">
        <v>139</v>
      </c>
    </row>
    <row r="40" spans="1:6">
      <c r="A40" s="35">
        <v>5031</v>
      </c>
      <c r="B40" s="37" t="s">
        <v>621</v>
      </c>
      <c r="C40" s="37" t="s">
        <v>104</v>
      </c>
      <c r="D40" s="37" t="s">
        <v>100</v>
      </c>
      <c r="E40" s="37" t="s">
        <v>115</v>
      </c>
      <c r="F40" s="38" t="s">
        <v>128</v>
      </c>
    </row>
    <row r="41" spans="1:6">
      <c r="A41" s="35">
        <v>5034</v>
      </c>
      <c r="B41" s="37" t="s">
        <v>622</v>
      </c>
      <c r="C41" s="37" t="s">
        <v>104</v>
      </c>
      <c r="D41" s="37" t="s">
        <v>100</v>
      </c>
      <c r="E41" s="37" t="s">
        <v>115</v>
      </c>
      <c r="F41" s="38" t="s">
        <v>114</v>
      </c>
    </row>
    <row r="42" spans="1:6">
      <c r="A42" s="35">
        <v>5036</v>
      </c>
      <c r="B42" s="37" t="s">
        <v>623</v>
      </c>
      <c r="C42" s="37" t="s">
        <v>104</v>
      </c>
      <c r="D42" s="37" t="s">
        <v>100</v>
      </c>
      <c r="E42" s="37" t="s">
        <v>115</v>
      </c>
      <c r="F42" s="38" t="s">
        <v>139</v>
      </c>
    </row>
    <row r="43" spans="1:6">
      <c r="A43" s="35">
        <v>5038</v>
      </c>
      <c r="B43" s="37" t="s">
        <v>624</v>
      </c>
      <c r="C43" s="37" t="s">
        <v>104</v>
      </c>
      <c r="D43" s="37" t="s">
        <v>100</v>
      </c>
      <c r="E43" s="37" t="s">
        <v>115</v>
      </c>
      <c r="F43" s="38" t="s">
        <v>114</v>
      </c>
    </row>
    <row r="44" spans="1:6">
      <c r="A44" s="35">
        <v>5040</v>
      </c>
      <c r="B44" s="37" t="s">
        <v>625</v>
      </c>
      <c r="C44" s="37" t="s">
        <v>104</v>
      </c>
      <c r="D44" s="37" t="s">
        <v>100</v>
      </c>
      <c r="E44" s="37" t="s">
        <v>115</v>
      </c>
      <c r="F44" s="38" t="s">
        <v>128</v>
      </c>
    </row>
    <row r="45" spans="1:6">
      <c r="A45" s="35">
        <v>5044</v>
      </c>
      <c r="B45" s="37" t="s">
        <v>626</v>
      </c>
      <c r="C45" s="37" t="s">
        <v>104</v>
      </c>
      <c r="D45" s="37" t="s">
        <v>100</v>
      </c>
      <c r="E45" s="37" t="s">
        <v>115</v>
      </c>
      <c r="F45" s="38" t="s">
        <v>114</v>
      </c>
    </row>
    <row r="46" spans="1:6">
      <c r="A46" s="35">
        <v>5045</v>
      </c>
      <c r="B46" s="37" t="s">
        <v>316</v>
      </c>
      <c r="C46" s="37" t="s">
        <v>104</v>
      </c>
      <c r="D46" s="37" t="s">
        <v>316</v>
      </c>
      <c r="E46" s="37" t="s">
        <v>115</v>
      </c>
      <c r="F46" s="38" t="s">
        <v>150</v>
      </c>
    </row>
    <row r="47" spans="1:6">
      <c r="A47" s="35">
        <v>5051</v>
      </c>
      <c r="B47" s="37" t="s">
        <v>627</v>
      </c>
      <c r="C47" s="37" t="s">
        <v>104</v>
      </c>
      <c r="D47" s="37" t="s">
        <v>290</v>
      </c>
      <c r="E47" s="37" t="s">
        <v>115</v>
      </c>
      <c r="F47" s="38" t="s">
        <v>139</v>
      </c>
    </row>
    <row r="48" spans="1:6">
      <c r="A48" s="35">
        <v>5088</v>
      </c>
      <c r="B48" s="37" t="s">
        <v>628</v>
      </c>
      <c r="C48" s="37" t="s">
        <v>104</v>
      </c>
      <c r="D48" s="37" t="s">
        <v>100</v>
      </c>
      <c r="E48" s="37" t="s">
        <v>115</v>
      </c>
      <c r="F48" s="38" t="s">
        <v>150</v>
      </c>
    </row>
    <row r="49" spans="1:6">
      <c r="A49" s="35">
        <v>5086</v>
      </c>
      <c r="B49" s="37" t="s">
        <v>629</v>
      </c>
      <c r="C49" s="37" t="s">
        <v>104</v>
      </c>
      <c r="D49" s="37" t="s">
        <v>100</v>
      </c>
      <c r="E49" s="37" t="s">
        <v>115</v>
      </c>
      <c r="F49" s="38" t="s">
        <v>139</v>
      </c>
    </row>
    <row r="50" spans="1:6">
      <c r="A50" s="35">
        <v>5091</v>
      </c>
      <c r="B50" s="37" t="s">
        <v>105</v>
      </c>
      <c r="C50" s="37" t="s">
        <v>104</v>
      </c>
      <c r="D50" s="37" t="s">
        <v>100</v>
      </c>
      <c r="E50" s="37" t="s">
        <v>115</v>
      </c>
      <c r="F50" s="38" t="s">
        <v>114</v>
      </c>
    </row>
    <row r="51" spans="1:6">
      <c r="A51" s="35">
        <v>5113</v>
      </c>
      <c r="B51" s="37" t="s">
        <v>630</v>
      </c>
      <c r="C51" s="37" t="s">
        <v>104</v>
      </c>
      <c r="D51" s="37" t="s">
        <v>100</v>
      </c>
      <c r="E51" s="37" t="s">
        <v>115</v>
      </c>
      <c r="F51" s="38" t="s">
        <v>128</v>
      </c>
    </row>
    <row r="52" spans="1:6">
      <c r="A52" s="35">
        <v>5120</v>
      </c>
      <c r="B52" s="37" t="s">
        <v>271</v>
      </c>
      <c r="C52" s="37" t="s">
        <v>104</v>
      </c>
      <c r="D52" s="37" t="s">
        <v>100</v>
      </c>
      <c r="E52" s="37" t="s">
        <v>115</v>
      </c>
      <c r="F52" s="38" t="s">
        <v>128</v>
      </c>
    </row>
    <row r="53" spans="1:6">
      <c r="A53" s="35">
        <v>5125</v>
      </c>
      <c r="B53" s="37" t="s">
        <v>631</v>
      </c>
      <c r="C53" s="37" t="s">
        <v>104</v>
      </c>
      <c r="D53" s="37" t="s">
        <v>100</v>
      </c>
      <c r="E53" s="37" t="s">
        <v>115</v>
      </c>
      <c r="F53" s="38" t="s">
        <v>114</v>
      </c>
    </row>
    <row r="54" spans="1:6">
      <c r="A54" s="35">
        <v>5134</v>
      </c>
      <c r="B54" s="37" t="s">
        <v>632</v>
      </c>
      <c r="C54" s="37" t="s">
        <v>104</v>
      </c>
      <c r="D54" s="37" t="s">
        <v>100</v>
      </c>
      <c r="E54" s="37" t="s">
        <v>115</v>
      </c>
      <c r="F54" s="38" t="s">
        <v>114</v>
      </c>
    </row>
    <row r="55" spans="1:6">
      <c r="A55" s="35">
        <v>5138</v>
      </c>
      <c r="B55" s="37" t="s">
        <v>633</v>
      </c>
      <c r="C55" s="37" t="s">
        <v>104</v>
      </c>
      <c r="D55" s="37" t="s">
        <v>100</v>
      </c>
      <c r="E55" s="37" t="s">
        <v>115</v>
      </c>
      <c r="F55" s="38" t="s">
        <v>114</v>
      </c>
    </row>
    <row r="56" spans="1:6">
      <c r="A56" s="35">
        <v>5142</v>
      </c>
      <c r="B56" s="37" t="s">
        <v>634</v>
      </c>
      <c r="C56" s="37" t="s">
        <v>104</v>
      </c>
      <c r="D56" s="37" t="s">
        <v>100</v>
      </c>
      <c r="E56" s="37" t="s">
        <v>115</v>
      </c>
      <c r="F56" s="38" t="s">
        <v>114</v>
      </c>
    </row>
    <row r="57" spans="1:6">
      <c r="A57" s="35">
        <v>5145</v>
      </c>
      <c r="B57" s="37" t="s">
        <v>635</v>
      </c>
      <c r="C57" s="37" t="s">
        <v>104</v>
      </c>
      <c r="D57" s="37" t="s">
        <v>100</v>
      </c>
      <c r="E57" s="37" t="s">
        <v>115</v>
      </c>
      <c r="F57" s="38" t="s">
        <v>114</v>
      </c>
    </row>
    <row r="58" spans="1:6">
      <c r="A58" s="35">
        <v>5147</v>
      </c>
      <c r="B58" s="37" t="s">
        <v>636</v>
      </c>
      <c r="C58" s="37" t="s">
        <v>104</v>
      </c>
      <c r="D58" s="37" t="s">
        <v>316</v>
      </c>
      <c r="E58" s="37" t="s">
        <v>115</v>
      </c>
      <c r="F58" s="38" t="s">
        <v>150</v>
      </c>
    </row>
    <row r="59" spans="1:6">
      <c r="A59" s="35">
        <v>5150</v>
      </c>
      <c r="B59" s="37" t="s">
        <v>637</v>
      </c>
      <c r="C59" s="37" t="s">
        <v>104</v>
      </c>
      <c r="D59" s="37" t="s">
        <v>100</v>
      </c>
      <c r="E59" s="37" t="s">
        <v>115</v>
      </c>
      <c r="F59" s="38" t="s">
        <v>114</v>
      </c>
    </row>
    <row r="60" spans="1:6">
      <c r="A60" s="35">
        <v>5154</v>
      </c>
      <c r="B60" s="37" t="s">
        <v>638</v>
      </c>
      <c r="C60" s="37" t="s">
        <v>104</v>
      </c>
      <c r="D60" s="37" t="s">
        <v>290</v>
      </c>
      <c r="E60" s="37" t="s">
        <v>115</v>
      </c>
      <c r="F60" s="38" t="s">
        <v>139</v>
      </c>
    </row>
    <row r="61" spans="1:6">
      <c r="A61" s="35">
        <v>5172</v>
      </c>
      <c r="B61" s="37" t="s">
        <v>639</v>
      </c>
      <c r="C61" s="37" t="s">
        <v>104</v>
      </c>
      <c r="D61" s="37" t="s">
        <v>316</v>
      </c>
      <c r="E61" s="37" t="s">
        <v>115</v>
      </c>
      <c r="F61" s="38" t="s">
        <v>139</v>
      </c>
    </row>
    <row r="62" spans="1:6">
      <c r="A62" s="35">
        <v>5190</v>
      </c>
      <c r="B62" s="37" t="s">
        <v>640</v>
      </c>
      <c r="C62" s="37" t="s">
        <v>104</v>
      </c>
      <c r="D62" s="37" t="s">
        <v>100</v>
      </c>
      <c r="E62" s="37" t="s">
        <v>115</v>
      </c>
      <c r="F62" s="38" t="s">
        <v>139</v>
      </c>
    </row>
    <row r="63" spans="1:6">
      <c r="A63" s="35">
        <v>5101</v>
      </c>
      <c r="B63" s="37" t="s">
        <v>641</v>
      </c>
      <c r="C63" s="37" t="s">
        <v>104</v>
      </c>
      <c r="D63" s="37" t="s">
        <v>100</v>
      </c>
      <c r="E63" s="37" t="s">
        <v>115</v>
      </c>
      <c r="F63" s="38" t="s">
        <v>139</v>
      </c>
    </row>
    <row r="64" spans="1:6">
      <c r="A64" s="35">
        <v>5197</v>
      </c>
      <c r="B64" s="37" t="s">
        <v>642</v>
      </c>
      <c r="C64" s="37" t="s">
        <v>104</v>
      </c>
      <c r="D64" s="37" t="s">
        <v>100</v>
      </c>
      <c r="E64" s="37" t="s">
        <v>115</v>
      </c>
      <c r="F64" s="38" t="s">
        <v>139</v>
      </c>
    </row>
    <row r="65" spans="1:6">
      <c r="A65" s="35">
        <v>5212</v>
      </c>
      <c r="B65" s="37" t="s">
        <v>643</v>
      </c>
      <c r="C65" s="37" t="s">
        <v>104</v>
      </c>
      <c r="D65" s="37" t="s">
        <v>100</v>
      </c>
      <c r="E65" s="37" t="s">
        <v>115</v>
      </c>
      <c r="F65" s="38" t="s">
        <v>150</v>
      </c>
    </row>
    <row r="66" spans="1:6">
      <c r="A66" s="35">
        <v>5234</v>
      </c>
      <c r="B66" s="37" t="s">
        <v>644</v>
      </c>
      <c r="C66" s="37" t="s">
        <v>104</v>
      </c>
      <c r="D66" s="37" t="s">
        <v>100</v>
      </c>
      <c r="E66" s="37" t="s">
        <v>115</v>
      </c>
      <c r="F66" s="38" t="s">
        <v>128</v>
      </c>
    </row>
    <row r="67" spans="1:6">
      <c r="A67" s="35">
        <v>5237</v>
      </c>
      <c r="B67" s="37" t="s">
        <v>645</v>
      </c>
      <c r="C67" s="37" t="s">
        <v>104</v>
      </c>
      <c r="D67" s="37" t="s">
        <v>100</v>
      </c>
      <c r="E67" s="37" t="s">
        <v>115</v>
      </c>
      <c r="F67" s="38" t="s">
        <v>139</v>
      </c>
    </row>
    <row r="68" spans="1:6">
      <c r="A68" s="35">
        <v>5240</v>
      </c>
      <c r="B68" s="37" t="s">
        <v>646</v>
      </c>
      <c r="C68" s="37" t="s">
        <v>104</v>
      </c>
      <c r="D68" s="37" t="s">
        <v>100</v>
      </c>
      <c r="E68" s="37" t="s">
        <v>115</v>
      </c>
      <c r="F68" s="38" t="s">
        <v>139</v>
      </c>
    </row>
    <row r="69" spans="1:6">
      <c r="A69" s="35">
        <v>5250</v>
      </c>
      <c r="B69" s="37" t="s">
        <v>647</v>
      </c>
      <c r="C69" s="37" t="s">
        <v>104</v>
      </c>
      <c r="D69" s="37" t="s">
        <v>290</v>
      </c>
      <c r="E69" s="37" t="s">
        <v>115</v>
      </c>
      <c r="F69" s="38" t="s">
        <v>128</v>
      </c>
    </row>
    <row r="70" spans="1:6">
      <c r="A70" s="35">
        <v>5148</v>
      </c>
      <c r="B70" s="37" t="s">
        <v>648</v>
      </c>
      <c r="C70" s="37" t="s">
        <v>104</v>
      </c>
      <c r="D70" s="37" t="s">
        <v>100</v>
      </c>
      <c r="E70" s="37" t="s">
        <v>115</v>
      </c>
      <c r="F70" s="38" t="s">
        <v>139</v>
      </c>
    </row>
    <row r="71" spans="1:6">
      <c r="A71" s="35">
        <v>5697</v>
      </c>
      <c r="B71" s="37" t="s">
        <v>649</v>
      </c>
      <c r="C71" s="37" t="s">
        <v>104</v>
      </c>
      <c r="D71" s="37" t="s">
        <v>100</v>
      </c>
      <c r="E71" s="37" t="s">
        <v>115</v>
      </c>
      <c r="F71" s="38" t="s">
        <v>139</v>
      </c>
    </row>
    <row r="72" spans="1:6">
      <c r="A72" s="35">
        <v>5264</v>
      </c>
      <c r="B72" s="37" t="s">
        <v>650</v>
      </c>
      <c r="C72" s="37" t="s">
        <v>104</v>
      </c>
      <c r="D72" s="37" t="s">
        <v>100</v>
      </c>
      <c r="E72" s="37" t="s">
        <v>115</v>
      </c>
      <c r="F72" s="38" t="s">
        <v>139</v>
      </c>
    </row>
    <row r="73" spans="1:6">
      <c r="A73" s="35">
        <v>5266</v>
      </c>
      <c r="B73" s="37" t="s">
        <v>651</v>
      </c>
      <c r="C73" s="37" t="s">
        <v>104</v>
      </c>
      <c r="D73" s="37" t="s">
        <v>100</v>
      </c>
      <c r="E73" s="37" t="s">
        <v>115</v>
      </c>
      <c r="F73" s="38" t="s">
        <v>150</v>
      </c>
    </row>
    <row r="74" spans="1:6">
      <c r="A74" s="35">
        <v>5282</v>
      </c>
      <c r="B74" s="37" t="s">
        <v>652</v>
      </c>
      <c r="C74" s="37" t="s">
        <v>104</v>
      </c>
      <c r="D74" s="37" t="s">
        <v>100</v>
      </c>
      <c r="E74" s="37" t="s">
        <v>115</v>
      </c>
      <c r="F74" s="38" t="s">
        <v>139</v>
      </c>
    </row>
    <row r="75" spans="1:6">
      <c r="A75" s="35">
        <v>5284</v>
      </c>
      <c r="B75" s="37" t="s">
        <v>653</v>
      </c>
      <c r="C75" s="37" t="s">
        <v>104</v>
      </c>
      <c r="D75" s="37" t="s">
        <v>100</v>
      </c>
      <c r="E75" s="37" t="s">
        <v>115</v>
      </c>
      <c r="F75" s="38" t="s">
        <v>128</v>
      </c>
    </row>
    <row r="76" spans="1:6">
      <c r="A76" s="35">
        <v>5306</v>
      </c>
      <c r="B76" s="37" t="s">
        <v>654</v>
      </c>
      <c r="C76" s="37" t="s">
        <v>104</v>
      </c>
      <c r="D76" s="37" t="s">
        <v>100</v>
      </c>
      <c r="E76" s="37" t="s">
        <v>115</v>
      </c>
      <c r="F76" s="38" t="s">
        <v>114</v>
      </c>
    </row>
    <row r="77" spans="1:6">
      <c r="A77" s="35">
        <v>5308</v>
      </c>
      <c r="B77" s="37" t="s">
        <v>655</v>
      </c>
      <c r="C77" s="37" t="s">
        <v>104</v>
      </c>
      <c r="D77" s="37" t="s">
        <v>100</v>
      </c>
      <c r="E77" s="37" t="s">
        <v>115</v>
      </c>
      <c r="F77" s="38" t="s">
        <v>150</v>
      </c>
    </row>
    <row r="78" spans="1:6">
      <c r="A78" s="35">
        <v>5310</v>
      </c>
      <c r="B78" s="37" t="s">
        <v>656</v>
      </c>
      <c r="C78" s="37" t="s">
        <v>104</v>
      </c>
      <c r="D78" s="37" t="s">
        <v>100</v>
      </c>
      <c r="E78" s="37" t="s">
        <v>115</v>
      </c>
      <c r="F78" s="38" t="s">
        <v>139</v>
      </c>
    </row>
    <row r="79" spans="1:6">
      <c r="A79" s="35">
        <v>5318</v>
      </c>
      <c r="B79" s="37" t="s">
        <v>657</v>
      </c>
      <c r="C79" s="37" t="s">
        <v>104</v>
      </c>
      <c r="D79" s="37" t="s">
        <v>100</v>
      </c>
      <c r="E79" s="37" t="s">
        <v>115</v>
      </c>
      <c r="F79" s="38" t="s">
        <v>139</v>
      </c>
    </row>
    <row r="80" spans="1:6">
      <c r="A80" s="35">
        <v>5321</v>
      </c>
      <c r="B80" s="37" t="s">
        <v>658</v>
      </c>
      <c r="C80" s="37" t="s">
        <v>104</v>
      </c>
      <c r="D80" s="37" t="s">
        <v>100</v>
      </c>
      <c r="E80" s="37" t="s">
        <v>115</v>
      </c>
      <c r="F80" s="38" t="s">
        <v>139</v>
      </c>
    </row>
    <row r="81" spans="1:6">
      <c r="A81" s="35">
        <v>5347</v>
      </c>
      <c r="B81" s="37" t="s">
        <v>659</v>
      </c>
      <c r="C81" s="37" t="s">
        <v>104</v>
      </c>
      <c r="D81" s="37" t="s">
        <v>100</v>
      </c>
      <c r="E81" s="37" t="s">
        <v>115</v>
      </c>
      <c r="F81" s="38" t="s">
        <v>139</v>
      </c>
    </row>
    <row r="82" spans="1:6">
      <c r="A82" s="35">
        <v>5353</v>
      </c>
      <c r="B82" s="37" t="s">
        <v>660</v>
      </c>
      <c r="C82" s="37" t="s">
        <v>104</v>
      </c>
      <c r="D82" s="37" t="s">
        <v>100</v>
      </c>
      <c r="E82" s="37" t="s">
        <v>115</v>
      </c>
      <c r="F82" s="38" t="s">
        <v>114</v>
      </c>
    </row>
    <row r="83" spans="1:6">
      <c r="A83" s="35">
        <v>5360</v>
      </c>
      <c r="B83" s="37" t="s">
        <v>661</v>
      </c>
      <c r="C83" s="37" t="s">
        <v>104</v>
      </c>
      <c r="D83" s="37" t="s">
        <v>100</v>
      </c>
      <c r="E83" s="37" t="s">
        <v>115</v>
      </c>
      <c r="F83" s="38" t="s">
        <v>150</v>
      </c>
    </row>
    <row r="84" spans="1:6">
      <c r="A84" s="35">
        <v>5361</v>
      </c>
      <c r="B84" s="37" t="s">
        <v>662</v>
      </c>
      <c r="C84" s="37" t="s">
        <v>104</v>
      </c>
      <c r="D84" s="37" t="s">
        <v>100</v>
      </c>
      <c r="E84" s="37" t="s">
        <v>115</v>
      </c>
      <c r="F84" s="38" t="s">
        <v>128</v>
      </c>
    </row>
    <row r="85" spans="1:6">
      <c r="A85" s="35">
        <v>5364</v>
      </c>
      <c r="B85" s="37" t="s">
        <v>459</v>
      </c>
      <c r="C85" s="37" t="s">
        <v>104</v>
      </c>
      <c r="D85" s="37" t="s">
        <v>100</v>
      </c>
      <c r="E85" s="37" t="s">
        <v>115</v>
      </c>
      <c r="F85" s="38" t="s">
        <v>114</v>
      </c>
    </row>
    <row r="86" spans="1:6">
      <c r="A86" s="35">
        <v>5376</v>
      </c>
      <c r="B86" s="37" t="s">
        <v>663</v>
      </c>
      <c r="C86" s="37" t="s">
        <v>104</v>
      </c>
      <c r="D86" s="37" t="s">
        <v>100</v>
      </c>
      <c r="E86" s="37" t="s">
        <v>115</v>
      </c>
      <c r="F86" s="38" t="s">
        <v>139</v>
      </c>
    </row>
    <row r="87" spans="1:6">
      <c r="A87" s="35">
        <v>5380</v>
      </c>
      <c r="B87" s="37" t="s">
        <v>664</v>
      </c>
      <c r="C87" s="37" t="s">
        <v>104</v>
      </c>
      <c r="D87" s="37" t="s">
        <v>100</v>
      </c>
      <c r="E87" s="37" t="s">
        <v>115</v>
      </c>
      <c r="F87" s="38" t="s">
        <v>150</v>
      </c>
    </row>
    <row r="88" spans="1:6">
      <c r="A88" s="35">
        <v>5390</v>
      </c>
      <c r="B88" s="37" t="s">
        <v>665</v>
      </c>
      <c r="C88" s="37" t="s">
        <v>104</v>
      </c>
      <c r="D88" s="37" t="s">
        <v>100</v>
      </c>
      <c r="E88" s="37" t="s">
        <v>115</v>
      </c>
      <c r="F88" s="38" t="s">
        <v>139</v>
      </c>
    </row>
    <row r="89" spans="1:6">
      <c r="A89" s="35">
        <v>5411</v>
      </c>
      <c r="B89" s="37" t="s">
        <v>666</v>
      </c>
      <c r="C89" s="37" t="s">
        <v>104</v>
      </c>
      <c r="D89" s="37" t="s">
        <v>100</v>
      </c>
      <c r="E89" s="37" t="s">
        <v>115</v>
      </c>
      <c r="F89" s="38" t="s">
        <v>114</v>
      </c>
    </row>
    <row r="90" spans="1:6">
      <c r="A90" s="35">
        <v>5425</v>
      </c>
      <c r="B90" s="37" t="s">
        <v>667</v>
      </c>
      <c r="C90" s="37" t="s">
        <v>104</v>
      </c>
      <c r="D90" s="37" t="s">
        <v>100</v>
      </c>
      <c r="E90" s="37" t="s">
        <v>115</v>
      </c>
      <c r="F90" s="38" t="s">
        <v>114</v>
      </c>
    </row>
    <row r="91" spans="1:6">
      <c r="A91" s="35">
        <v>5440</v>
      </c>
      <c r="B91" s="37" t="s">
        <v>668</v>
      </c>
      <c r="C91" s="37" t="s">
        <v>104</v>
      </c>
      <c r="D91" s="37" t="s">
        <v>100</v>
      </c>
      <c r="E91" s="37" t="s">
        <v>115</v>
      </c>
      <c r="F91" s="38" t="s">
        <v>139</v>
      </c>
    </row>
    <row r="92" spans="1:6">
      <c r="A92" s="35">
        <v>5001</v>
      </c>
      <c r="B92" s="37" t="s">
        <v>100</v>
      </c>
      <c r="C92" s="37" t="s">
        <v>104</v>
      </c>
      <c r="D92" s="37" t="s">
        <v>100</v>
      </c>
      <c r="E92" s="37" t="s">
        <v>115</v>
      </c>
      <c r="F92" s="38" t="s">
        <v>150</v>
      </c>
    </row>
    <row r="93" spans="1:6">
      <c r="A93" s="35">
        <v>5467</v>
      </c>
      <c r="B93" s="37" t="s">
        <v>669</v>
      </c>
      <c r="C93" s="37" t="s">
        <v>104</v>
      </c>
      <c r="D93" s="37" t="s">
        <v>100</v>
      </c>
      <c r="E93" s="37" t="s">
        <v>115</v>
      </c>
      <c r="F93" s="38" t="s">
        <v>139</v>
      </c>
    </row>
    <row r="94" spans="1:6">
      <c r="A94" s="35">
        <v>5475</v>
      </c>
      <c r="B94" s="37" t="s">
        <v>670</v>
      </c>
      <c r="C94" s="37" t="s">
        <v>104</v>
      </c>
      <c r="D94" s="37" t="s">
        <v>316</v>
      </c>
      <c r="E94" s="37" t="s">
        <v>671</v>
      </c>
      <c r="F94" s="38" t="s">
        <v>584</v>
      </c>
    </row>
    <row r="95" spans="1:6">
      <c r="A95" s="35">
        <v>5480</v>
      </c>
      <c r="B95" s="37" t="s">
        <v>672</v>
      </c>
      <c r="C95" s="37" t="s">
        <v>104</v>
      </c>
      <c r="D95" s="37" t="s">
        <v>316</v>
      </c>
      <c r="E95" s="37" t="s">
        <v>115</v>
      </c>
      <c r="F95" s="38" t="s">
        <v>139</v>
      </c>
    </row>
    <row r="96" spans="1:6">
      <c r="A96" s="35">
        <v>5495</v>
      </c>
      <c r="B96" s="37" t="s">
        <v>673</v>
      </c>
      <c r="C96" s="37" t="s">
        <v>104</v>
      </c>
      <c r="D96" s="37" t="s">
        <v>290</v>
      </c>
      <c r="E96" s="37" t="s">
        <v>115</v>
      </c>
      <c r="F96" s="38" t="s">
        <v>114</v>
      </c>
    </row>
    <row r="97" spans="1:6">
      <c r="A97" s="35">
        <v>5490</v>
      </c>
      <c r="B97" s="37" t="s">
        <v>674</v>
      </c>
      <c r="C97" s="37" t="s">
        <v>104</v>
      </c>
      <c r="D97" s="37" t="s">
        <v>316</v>
      </c>
      <c r="E97" s="37" t="s">
        <v>115</v>
      </c>
      <c r="F97" s="38" t="s">
        <v>139</v>
      </c>
    </row>
    <row r="98" spans="1:6">
      <c r="A98" s="35">
        <v>5501</v>
      </c>
      <c r="B98" s="37" t="s">
        <v>675</v>
      </c>
      <c r="C98" s="37" t="s">
        <v>104</v>
      </c>
      <c r="D98" s="37" t="s">
        <v>100</v>
      </c>
      <c r="E98" s="37" t="s">
        <v>115</v>
      </c>
      <c r="F98" s="38" t="s">
        <v>139</v>
      </c>
    </row>
    <row r="99" spans="1:6">
      <c r="A99" s="35">
        <v>5541</v>
      </c>
      <c r="B99" s="37" t="s">
        <v>676</v>
      </c>
      <c r="C99" s="37" t="s">
        <v>104</v>
      </c>
      <c r="D99" s="37" t="s">
        <v>100</v>
      </c>
      <c r="E99" s="37" t="s">
        <v>115</v>
      </c>
      <c r="F99" s="38" t="s">
        <v>139</v>
      </c>
    </row>
    <row r="100" spans="1:6">
      <c r="A100" s="35">
        <v>5543</v>
      </c>
      <c r="B100" s="37" t="s">
        <v>677</v>
      </c>
      <c r="C100" s="37" t="s">
        <v>104</v>
      </c>
      <c r="D100" s="37" t="s">
        <v>100</v>
      </c>
      <c r="E100" s="37" t="s">
        <v>115</v>
      </c>
      <c r="F100" s="38" t="s">
        <v>128</v>
      </c>
    </row>
    <row r="101" spans="1:6">
      <c r="A101" s="35">
        <v>5576</v>
      </c>
      <c r="B101" s="37" t="s">
        <v>678</v>
      </c>
      <c r="C101" s="37" t="s">
        <v>104</v>
      </c>
      <c r="D101" s="37" t="s">
        <v>100</v>
      </c>
      <c r="E101" s="37" t="s">
        <v>115</v>
      </c>
      <c r="F101" s="38" t="s">
        <v>114</v>
      </c>
    </row>
    <row r="102" spans="1:6">
      <c r="A102" s="35">
        <v>5579</v>
      </c>
      <c r="B102" s="37" t="s">
        <v>679</v>
      </c>
      <c r="C102" s="37" t="s">
        <v>104</v>
      </c>
      <c r="D102" s="37" t="s">
        <v>100</v>
      </c>
      <c r="E102" s="37" t="s">
        <v>115</v>
      </c>
      <c r="F102" s="38" t="s">
        <v>114</v>
      </c>
    </row>
    <row r="103" spans="1:6">
      <c r="A103" s="35">
        <v>5585</v>
      </c>
      <c r="B103" s="37" t="s">
        <v>680</v>
      </c>
      <c r="C103" s="37" t="s">
        <v>104</v>
      </c>
      <c r="D103" s="37" t="s">
        <v>100</v>
      </c>
      <c r="E103" s="37" t="s">
        <v>115</v>
      </c>
      <c r="F103" s="38" t="s">
        <v>128</v>
      </c>
    </row>
    <row r="104" spans="1:6">
      <c r="A104" s="35">
        <v>5591</v>
      </c>
      <c r="B104" s="37" t="s">
        <v>681</v>
      </c>
      <c r="C104" s="37" t="s">
        <v>104</v>
      </c>
      <c r="D104" s="37" t="s">
        <v>100</v>
      </c>
      <c r="E104" s="37" t="s">
        <v>115</v>
      </c>
      <c r="F104" s="38" t="s">
        <v>128</v>
      </c>
    </row>
    <row r="105" spans="1:6">
      <c r="A105" s="35">
        <v>5604</v>
      </c>
      <c r="B105" s="37" t="s">
        <v>682</v>
      </c>
      <c r="C105" s="37" t="s">
        <v>104</v>
      </c>
      <c r="D105" s="37" t="s">
        <v>100</v>
      </c>
      <c r="E105" s="37" t="s">
        <v>115</v>
      </c>
      <c r="F105" s="38" t="s">
        <v>128</v>
      </c>
    </row>
    <row r="106" spans="1:6">
      <c r="A106" s="35">
        <v>5607</v>
      </c>
      <c r="B106" s="37" t="s">
        <v>683</v>
      </c>
      <c r="C106" s="37" t="s">
        <v>104</v>
      </c>
      <c r="D106" s="37" t="s">
        <v>100</v>
      </c>
      <c r="E106" s="37" t="s">
        <v>115</v>
      </c>
      <c r="F106" s="38" t="s">
        <v>139</v>
      </c>
    </row>
    <row r="107" spans="1:6">
      <c r="A107" s="35">
        <v>5631</v>
      </c>
      <c r="B107" s="37" t="s">
        <v>684</v>
      </c>
      <c r="C107" s="37" t="s">
        <v>104</v>
      </c>
      <c r="D107" s="37" t="s">
        <v>100</v>
      </c>
      <c r="E107" s="37" t="s">
        <v>115</v>
      </c>
      <c r="F107" s="38" t="s">
        <v>150</v>
      </c>
    </row>
    <row r="108" spans="1:6">
      <c r="A108" s="35">
        <v>5642</v>
      </c>
      <c r="B108" s="37" t="s">
        <v>685</v>
      </c>
      <c r="C108" s="37" t="s">
        <v>104</v>
      </c>
      <c r="D108" s="37" t="s">
        <v>100</v>
      </c>
      <c r="E108" s="37" t="s">
        <v>115</v>
      </c>
      <c r="F108" s="38" t="s">
        <v>139</v>
      </c>
    </row>
    <row r="109" spans="1:6">
      <c r="A109" s="35">
        <v>5647</v>
      </c>
      <c r="B109" s="37" t="s">
        <v>686</v>
      </c>
      <c r="C109" s="37" t="s">
        <v>104</v>
      </c>
      <c r="D109" s="37" t="s">
        <v>100</v>
      </c>
      <c r="E109" s="37" t="s">
        <v>115</v>
      </c>
      <c r="F109" s="38" t="s">
        <v>114</v>
      </c>
    </row>
    <row r="110" spans="1:6">
      <c r="A110" s="35">
        <v>5656</v>
      </c>
      <c r="B110" s="37" t="s">
        <v>687</v>
      </c>
      <c r="C110" s="37" t="s">
        <v>104</v>
      </c>
      <c r="D110" s="37" t="s">
        <v>100</v>
      </c>
      <c r="E110" s="37" t="s">
        <v>115</v>
      </c>
      <c r="F110" s="38" t="s">
        <v>139</v>
      </c>
    </row>
    <row r="111" spans="1:6">
      <c r="A111" s="35">
        <v>5658</v>
      </c>
      <c r="B111" s="37" t="s">
        <v>688</v>
      </c>
      <c r="C111" s="37" t="s">
        <v>104</v>
      </c>
      <c r="D111" s="37" t="s">
        <v>100</v>
      </c>
      <c r="E111" s="37" t="s">
        <v>115</v>
      </c>
      <c r="F111" s="38" t="s">
        <v>114</v>
      </c>
    </row>
    <row r="112" spans="1:6">
      <c r="A112" s="35">
        <v>5659</v>
      </c>
      <c r="B112" s="37" t="s">
        <v>689</v>
      </c>
      <c r="C112" s="37" t="s">
        <v>104</v>
      </c>
      <c r="D112" s="37" t="s">
        <v>290</v>
      </c>
      <c r="E112" s="37" t="s">
        <v>115</v>
      </c>
      <c r="F112" s="38" t="s">
        <v>139</v>
      </c>
    </row>
    <row r="113" spans="1:6">
      <c r="A113" s="35">
        <v>5665</v>
      </c>
      <c r="B113" s="37" t="s">
        <v>690</v>
      </c>
      <c r="C113" s="37" t="s">
        <v>104</v>
      </c>
      <c r="D113" s="37" t="s">
        <v>316</v>
      </c>
      <c r="E113" s="37" t="s">
        <v>115</v>
      </c>
      <c r="F113" s="38" t="s">
        <v>114</v>
      </c>
    </row>
    <row r="114" spans="1:6">
      <c r="A114" s="35">
        <v>5667</v>
      </c>
      <c r="B114" s="37" t="s">
        <v>691</v>
      </c>
      <c r="C114" s="37" t="s">
        <v>104</v>
      </c>
      <c r="D114" s="37" t="s">
        <v>100</v>
      </c>
      <c r="E114" s="37" t="s">
        <v>115</v>
      </c>
      <c r="F114" s="38" t="s">
        <v>114</v>
      </c>
    </row>
    <row r="115" spans="1:6">
      <c r="A115" s="35">
        <v>5670</v>
      </c>
      <c r="B115" s="37" t="s">
        <v>692</v>
      </c>
      <c r="C115" s="37" t="s">
        <v>104</v>
      </c>
      <c r="D115" s="37" t="s">
        <v>100</v>
      </c>
      <c r="E115" s="37" t="s">
        <v>115</v>
      </c>
      <c r="F115" s="38" t="s">
        <v>114</v>
      </c>
    </row>
    <row r="116" spans="1:6">
      <c r="A116" s="35">
        <v>5674</v>
      </c>
      <c r="B116" s="37" t="s">
        <v>693</v>
      </c>
      <c r="C116" s="37" t="s">
        <v>104</v>
      </c>
      <c r="D116" s="37" t="s">
        <v>100</v>
      </c>
      <c r="E116" s="37" t="s">
        <v>115</v>
      </c>
      <c r="F116" s="38" t="s">
        <v>139</v>
      </c>
    </row>
    <row r="117" spans="1:6">
      <c r="A117" s="35">
        <v>5042</v>
      </c>
      <c r="B117" s="37" t="s">
        <v>694</v>
      </c>
      <c r="C117" s="37" t="s">
        <v>104</v>
      </c>
      <c r="D117" s="37" t="s">
        <v>100</v>
      </c>
      <c r="E117" s="37" t="s">
        <v>115</v>
      </c>
      <c r="F117" s="38" t="s">
        <v>139</v>
      </c>
    </row>
    <row r="118" spans="1:6">
      <c r="A118" s="35">
        <v>5686</v>
      </c>
      <c r="B118" s="37" t="s">
        <v>695</v>
      </c>
      <c r="C118" s="37" t="s">
        <v>104</v>
      </c>
      <c r="D118" s="37" t="s">
        <v>100</v>
      </c>
      <c r="E118" s="37" t="s">
        <v>115</v>
      </c>
      <c r="F118" s="38" t="s">
        <v>139</v>
      </c>
    </row>
    <row r="119" spans="1:6">
      <c r="A119" s="35">
        <v>5690</v>
      </c>
      <c r="B119" s="37" t="s">
        <v>696</v>
      </c>
      <c r="C119" s="37" t="s">
        <v>104</v>
      </c>
      <c r="D119" s="37" t="s">
        <v>100</v>
      </c>
      <c r="E119" s="37" t="s">
        <v>115</v>
      </c>
      <c r="F119" s="38" t="s">
        <v>139</v>
      </c>
    </row>
    <row r="120" spans="1:6">
      <c r="A120" s="35">
        <v>5736</v>
      </c>
      <c r="B120" s="37" t="s">
        <v>697</v>
      </c>
      <c r="C120" s="37" t="s">
        <v>104</v>
      </c>
      <c r="D120" s="37" t="s">
        <v>100</v>
      </c>
      <c r="E120" s="37" t="s">
        <v>115</v>
      </c>
      <c r="F120" s="38" t="s">
        <v>128</v>
      </c>
    </row>
    <row r="121" spans="1:6">
      <c r="A121" s="35">
        <v>5756</v>
      </c>
      <c r="B121" s="37" t="s">
        <v>698</v>
      </c>
      <c r="C121" s="37" t="s">
        <v>104</v>
      </c>
      <c r="D121" s="37" t="s">
        <v>100</v>
      </c>
      <c r="E121" s="37" t="s">
        <v>115</v>
      </c>
      <c r="F121" s="38" t="s">
        <v>114</v>
      </c>
    </row>
    <row r="122" spans="1:6">
      <c r="A122" s="35">
        <v>5761</v>
      </c>
      <c r="B122" s="37" t="s">
        <v>699</v>
      </c>
      <c r="C122" s="37" t="s">
        <v>104</v>
      </c>
      <c r="D122" s="37" t="s">
        <v>100</v>
      </c>
      <c r="E122" s="37" t="s">
        <v>115</v>
      </c>
      <c r="F122" s="38" t="s">
        <v>139</v>
      </c>
    </row>
    <row r="123" spans="1:6">
      <c r="A123" s="35">
        <v>5789</v>
      </c>
      <c r="B123" s="37" t="s">
        <v>700</v>
      </c>
      <c r="C123" s="37" t="s">
        <v>104</v>
      </c>
      <c r="D123" s="37" t="s">
        <v>100</v>
      </c>
      <c r="E123" s="37" t="s">
        <v>115</v>
      </c>
      <c r="F123" s="38" t="s">
        <v>114</v>
      </c>
    </row>
    <row r="124" spans="1:6">
      <c r="A124" s="35">
        <v>5790</v>
      </c>
      <c r="B124" s="37" t="s">
        <v>336</v>
      </c>
      <c r="C124" s="37" t="s">
        <v>104</v>
      </c>
      <c r="D124" s="37" t="s">
        <v>100</v>
      </c>
      <c r="E124" s="37" t="s">
        <v>115</v>
      </c>
      <c r="F124" s="38" t="s">
        <v>128</v>
      </c>
    </row>
    <row r="125" spans="1:6">
      <c r="A125" s="35">
        <v>5792</v>
      </c>
      <c r="B125" s="37" t="s">
        <v>701</v>
      </c>
      <c r="C125" s="37" t="s">
        <v>104</v>
      </c>
      <c r="D125" s="37" t="s">
        <v>100</v>
      </c>
      <c r="E125" s="37" t="s">
        <v>115</v>
      </c>
      <c r="F125" s="38" t="s">
        <v>114</v>
      </c>
    </row>
    <row r="126" spans="1:6">
      <c r="A126" s="35">
        <v>5809</v>
      </c>
      <c r="B126" s="37" t="s">
        <v>702</v>
      </c>
      <c r="C126" s="37" t="s">
        <v>104</v>
      </c>
      <c r="D126" s="37" t="s">
        <v>100</v>
      </c>
      <c r="E126" s="37" t="s">
        <v>115</v>
      </c>
      <c r="F126" s="38" t="s">
        <v>139</v>
      </c>
    </row>
    <row r="127" spans="1:6">
      <c r="A127" s="35">
        <v>5837</v>
      </c>
      <c r="B127" s="37" t="s">
        <v>703</v>
      </c>
      <c r="C127" s="37" t="s">
        <v>104</v>
      </c>
      <c r="D127" s="37" t="s">
        <v>316</v>
      </c>
      <c r="E127" s="37" t="s">
        <v>115</v>
      </c>
      <c r="F127" s="38" t="s">
        <v>139</v>
      </c>
    </row>
    <row r="128" spans="1:6">
      <c r="A128" s="35">
        <v>5842</v>
      </c>
      <c r="B128" s="37" t="s">
        <v>704</v>
      </c>
      <c r="C128" s="37" t="s">
        <v>104</v>
      </c>
      <c r="D128" s="37" t="s">
        <v>100</v>
      </c>
      <c r="E128" s="37" t="s">
        <v>115</v>
      </c>
      <c r="F128" s="38" t="s">
        <v>128</v>
      </c>
    </row>
    <row r="129" spans="1:6">
      <c r="A129" s="35">
        <v>5847</v>
      </c>
      <c r="B129" s="37" t="s">
        <v>705</v>
      </c>
      <c r="C129" s="37" t="s">
        <v>104</v>
      </c>
      <c r="D129" s="37" t="s">
        <v>100</v>
      </c>
      <c r="E129" s="37" t="s">
        <v>115</v>
      </c>
      <c r="F129" s="38" t="s">
        <v>128</v>
      </c>
    </row>
    <row r="130" spans="1:6">
      <c r="A130" s="35">
        <v>5854</v>
      </c>
      <c r="B130" s="37" t="s">
        <v>706</v>
      </c>
      <c r="C130" s="37" t="s">
        <v>104</v>
      </c>
      <c r="D130" s="37" t="s">
        <v>100</v>
      </c>
      <c r="E130" s="37" t="s">
        <v>115</v>
      </c>
      <c r="F130" s="38" t="s">
        <v>114</v>
      </c>
    </row>
    <row r="131" spans="1:6">
      <c r="A131" s="35">
        <v>5858</v>
      </c>
      <c r="B131" s="37" t="s">
        <v>707</v>
      </c>
      <c r="C131" s="37" t="s">
        <v>104</v>
      </c>
      <c r="D131" s="37" t="s">
        <v>100</v>
      </c>
      <c r="E131" s="37" t="s">
        <v>115</v>
      </c>
      <c r="F131" s="38" t="s">
        <v>114</v>
      </c>
    </row>
    <row r="132" spans="1:6">
      <c r="A132" s="35">
        <v>5873</v>
      </c>
      <c r="B132" s="37" t="s">
        <v>708</v>
      </c>
      <c r="C132" s="37" t="s">
        <v>104</v>
      </c>
      <c r="D132" s="37" t="s">
        <v>316</v>
      </c>
      <c r="E132" s="37" t="s">
        <v>583</v>
      </c>
      <c r="F132" s="38" t="s">
        <v>584</v>
      </c>
    </row>
    <row r="133" spans="1:6">
      <c r="A133" s="35">
        <v>5885</v>
      </c>
      <c r="B133" s="37" t="s">
        <v>709</v>
      </c>
      <c r="C133" s="37" t="s">
        <v>104</v>
      </c>
      <c r="D133" s="37" t="s">
        <v>100</v>
      </c>
      <c r="E133" s="37" t="s">
        <v>115</v>
      </c>
      <c r="F133" s="38" t="s">
        <v>139</v>
      </c>
    </row>
    <row r="134" spans="1:6">
      <c r="A134" s="35">
        <v>5887</v>
      </c>
      <c r="B134" s="37" t="s">
        <v>710</v>
      </c>
      <c r="C134" s="37" t="s">
        <v>104</v>
      </c>
      <c r="D134" s="37" t="s">
        <v>100</v>
      </c>
      <c r="E134" s="37" t="s">
        <v>115</v>
      </c>
      <c r="F134" s="38" t="s">
        <v>114</v>
      </c>
    </row>
    <row r="135" spans="1:6">
      <c r="A135" s="35">
        <v>5890</v>
      </c>
      <c r="B135" s="37" t="s">
        <v>711</v>
      </c>
      <c r="C135" s="37" t="s">
        <v>104</v>
      </c>
      <c r="D135" s="37" t="s">
        <v>100</v>
      </c>
      <c r="E135" s="37" t="s">
        <v>115</v>
      </c>
      <c r="F135" s="38" t="s">
        <v>139</v>
      </c>
    </row>
    <row r="136" spans="1:6">
      <c r="A136" s="35">
        <v>5893</v>
      </c>
      <c r="B136" s="37" t="s">
        <v>712</v>
      </c>
      <c r="C136" s="37" t="s">
        <v>104</v>
      </c>
      <c r="D136" s="37" t="s">
        <v>256</v>
      </c>
      <c r="E136" s="37" t="s">
        <v>115</v>
      </c>
      <c r="F136" s="38" t="s">
        <v>128</v>
      </c>
    </row>
    <row r="137" spans="1:6">
      <c r="A137" s="35">
        <v>5895</v>
      </c>
      <c r="B137" s="37" t="s">
        <v>713</v>
      </c>
      <c r="C137" s="37" t="s">
        <v>104</v>
      </c>
      <c r="D137" s="37" t="s">
        <v>290</v>
      </c>
      <c r="E137" s="37" t="s">
        <v>115</v>
      </c>
      <c r="F137" s="38" t="s">
        <v>128</v>
      </c>
    </row>
    <row r="138" spans="1:6">
      <c r="A138" s="35">
        <v>81001</v>
      </c>
      <c r="B138" s="37" t="s">
        <v>714</v>
      </c>
      <c r="C138" s="37" t="s">
        <v>714</v>
      </c>
      <c r="D138" s="37" t="s">
        <v>256</v>
      </c>
      <c r="E138" s="37" t="s">
        <v>583</v>
      </c>
      <c r="F138" s="38" t="s">
        <v>584</v>
      </c>
    </row>
    <row r="139" spans="1:6">
      <c r="A139" s="35">
        <v>81065</v>
      </c>
      <c r="B139" s="37" t="s">
        <v>715</v>
      </c>
      <c r="C139" s="37" t="s">
        <v>714</v>
      </c>
      <c r="D139" s="37" t="s">
        <v>256</v>
      </c>
      <c r="E139" s="37" t="s">
        <v>583</v>
      </c>
      <c r="F139" s="38" t="s">
        <v>584</v>
      </c>
    </row>
    <row r="140" spans="1:6">
      <c r="A140" s="35">
        <v>81220</v>
      </c>
      <c r="B140" s="37" t="s">
        <v>716</v>
      </c>
      <c r="C140" s="37" t="s">
        <v>714</v>
      </c>
      <c r="D140" s="37" t="s">
        <v>256</v>
      </c>
      <c r="E140" s="37" t="s">
        <v>583</v>
      </c>
      <c r="F140" s="38" t="s">
        <v>584</v>
      </c>
    </row>
    <row r="141" spans="1:6">
      <c r="A141" s="35">
        <v>81300</v>
      </c>
      <c r="B141" s="37" t="s">
        <v>717</v>
      </c>
      <c r="C141" s="37" t="s">
        <v>714</v>
      </c>
      <c r="D141" s="37" t="s">
        <v>256</v>
      </c>
      <c r="E141" s="37" t="s">
        <v>583</v>
      </c>
      <c r="F141" s="38" t="s">
        <v>584</v>
      </c>
    </row>
    <row r="142" spans="1:6">
      <c r="A142" s="35">
        <v>81591</v>
      </c>
      <c r="B142" s="37" t="s">
        <v>718</v>
      </c>
      <c r="C142" s="37" t="s">
        <v>714</v>
      </c>
      <c r="D142" s="37" t="s">
        <v>256</v>
      </c>
      <c r="E142" s="37" t="s">
        <v>583</v>
      </c>
      <c r="F142" s="38" t="s">
        <v>584</v>
      </c>
    </row>
    <row r="143" spans="1:6">
      <c r="A143" s="35">
        <v>81736</v>
      </c>
      <c r="B143" s="37" t="s">
        <v>719</v>
      </c>
      <c r="C143" s="37" t="s">
        <v>714</v>
      </c>
      <c r="D143" s="37" t="s">
        <v>256</v>
      </c>
      <c r="E143" s="37" t="s">
        <v>583</v>
      </c>
      <c r="F143" s="38" t="s">
        <v>584</v>
      </c>
    </row>
    <row r="144" spans="1:6">
      <c r="A144" s="35">
        <v>81794</v>
      </c>
      <c r="B144" s="37" t="s">
        <v>720</v>
      </c>
      <c r="C144" s="37" t="s">
        <v>714</v>
      </c>
      <c r="D144" s="37" t="s">
        <v>256</v>
      </c>
      <c r="E144" s="37" t="s">
        <v>583</v>
      </c>
      <c r="F144" s="38" t="s">
        <v>584</v>
      </c>
    </row>
    <row r="145" spans="1:6">
      <c r="A145" s="35">
        <v>8141</v>
      </c>
      <c r="B145" s="36" t="s">
        <v>388</v>
      </c>
      <c r="C145" s="37" t="s">
        <v>721</v>
      </c>
      <c r="D145" s="37" t="s">
        <v>722</v>
      </c>
      <c r="E145" s="37" t="s">
        <v>115</v>
      </c>
      <c r="F145" s="38" t="s">
        <v>139</v>
      </c>
    </row>
    <row r="146" spans="1:6">
      <c r="A146" s="35">
        <v>8573</v>
      </c>
      <c r="B146" s="36" t="s">
        <v>723</v>
      </c>
      <c r="C146" s="37" t="s">
        <v>721</v>
      </c>
      <c r="D146" s="37" t="s">
        <v>722</v>
      </c>
      <c r="E146" s="37" t="s">
        <v>115</v>
      </c>
      <c r="F146" s="38" t="s">
        <v>139</v>
      </c>
    </row>
    <row r="147" spans="1:6">
      <c r="A147" s="35">
        <v>8638</v>
      </c>
      <c r="B147" s="36" t="s">
        <v>609</v>
      </c>
      <c r="C147" s="37" t="s">
        <v>721</v>
      </c>
      <c r="D147" s="37" t="s">
        <v>722</v>
      </c>
      <c r="E147" s="37" t="s">
        <v>115</v>
      </c>
      <c r="F147" s="38" t="s">
        <v>139</v>
      </c>
    </row>
    <row r="148" spans="1:6">
      <c r="A148" s="35">
        <v>8078</v>
      </c>
      <c r="B148" s="37" t="s">
        <v>724</v>
      </c>
      <c r="C148" s="37" t="s">
        <v>721</v>
      </c>
      <c r="D148" s="37" t="s">
        <v>722</v>
      </c>
      <c r="E148" s="37" t="s">
        <v>115</v>
      </c>
      <c r="F148" s="38" t="s">
        <v>139</v>
      </c>
    </row>
    <row r="149" spans="1:6">
      <c r="A149" s="35">
        <v>8001</v>
      </c>
      <c r="B149" s="37" t="s">
        <v>722</v>
      </c>
      <c r="C149" s="37" t="s">
        <v>721</v>
      </c>
      <c r="D149" s="37" t="s">
        <v>722</v>
      </c>
      <c r="E149" s="37" t="s">
        <v>115</v>
      </c>
      <c r="F149" s="38" t="s">
        <v>150</v>
      </c>
    </row>
    <row r="150" spans="1:6">
      <c r="A150" s="35">
        <v>8137</v>
      </c>
      <c r="B150" s="37" t="s">
        <v>725</v>
      </c>
      <c r="C150" s="37" t="s">
        <v>721</v>
      </c>
      <c r="D150" s="37" t="s">
        <v>722</v>
      </c>
      <c r="E150" s="37" t="s">
        <v>115</v>
      </c>
      <c r="F150" s="38" t="s">
        <v>139</v>
      </c>
    </row>
    <row r="151" spans="1:6">
      <c r="A151" s="35">
        <v>8296</v>
      </c>
      <c r="B151" s="37" t="s">
        <v>726</v>
      </c>
      <c r="C151" s="37" t="s">
        <v>721</v>
      </c>
      <c r="D151" s="37" t="s">
        <v>722</v>
      </c>
      <c r="E151" s="37" t="s">
        <v>115</v>
      </c>
      <c r="F151" s="38" t="s">
        <v>150</v>
      </c>
    </row>
    <row r="152" spans="1:6">
      <c r="A152" s="35">
        <v>8372</v>
      </c>
      <c r="B152" s="37" t="s">
        <v>727</v>
      </c>
      <c r="C152" s="37" t="s">
        <v>721</v>
      </c>
      <c r="D152" s="37" t="s">
        <v>722</v>
      </c>
      <c r="E152" s="37" t="s">
        <v>115</v>
      </c>
      <c r="F152" s="38" t="s">
        <v>139</v>
      </c>
    </row>
    <row r="153" spans="1:6">
      <c r="A153" s="35">
        <v>8421</v>
      </c>
      <c r="B153" s="37" t="s">
        <v>728</v>
      </c>
      <c r="C153" s="37" t="s">
        <v>721</v>
      </c>
      <c r="D153" s="37" t="s">
        <v>722</v>
      </c>
      <c r="E153" s="37" t="s">
        <v>115</v>
      </c>
      <c r="F153" s="38" t="s">
        <v>139</v>
      </c>
    </row>
    <row r="154" spans="1:6">
      <c r="A154" s="35">
        <v>8433</v>
      </c>
      <c r="B154" s="37" t="s">
        <v>729</v>
      </c>
      <c r="C154" s="37" t="s">
        <v>721</v>
      </c>
      <c r="D154" s="37" t="s">
        <v>722</v>
      </c>
      <c r="E154" s="37" t="s">
        <v>115</v>
      </c>
      <c r="F154" s="38" t="s">
        <v>139</v>
      </c>
    </row>
    <row r="155" spans="1:6">
      <c r="A155" s="35">
        <v>8436</v>
      </c>
      <c r="B155" s="37" t="s">
        <v>730</v>
      </c>
      <c r="C155" s="37" t="s">
        <v>721</v>
      </c>
      <c r="D155" s="37" t="s">
        <v>722</v>
      </c>
      <c r="E155" s="37" t="s">
        <v>115</v>
      </c>
      <c r="F155" s="38" t="s">
        <v>139</v>
      </c>
    </row>
    <row r="156" spans="1:6">
      <c r="A156" s="35">
        <v>8520</v>
      </c>
      <c r="B156" s="37" t="s">
        <v>731</v>
      </c>
      <c r="C156" s="37" t="s">
        <v>721</v>
      </c>
      <c r="D156" s="37" t="s">
        <v>722</v>
      </c>
      <c r="E156" s="37" t="s">
        <v>115</v>
      </c>
      <c r="F156" s="38" t="s">
        <v>139</v>
      </c>
    </row>
    <row r="157" spans="1:6">
      <c r="A157" s="35">
        <v>8549</v>
      </c>
      <c r="B157" s="37" t="s">
        <v>732</v>
      </c>
      <c r="C157" s="37" t="s">
        <v>721</v>
      </c>
      <c r="D157" s="37" t="s">
        <v>722</v>
      </c>
      <c r="E157" s="37" t="s">
        <v>115</v>
      </c>
      <c r="F157" s="38" t="s">
        <v>139</v>
      </c>
    </row>
    <row r="158" spans="1:6">
      <c r="A158" s="35">
        <v>8558</v>
      </c>
      <c r="B158" s="37" t="s">
        <v>733</v>
      </c>
      <c r="C158" s="37" t="s">
        <v>721</v>
      </c>
      <c r="D158" s="37" t="s">
        <v>722</v>
      </c>
      <c r="E158" s="37" t="s">
        <v>115</v>
      </c>
      <c r="F158" s="38" t="s">
        <v>139</v>
      </c>
    </row>
    <row r="159" spans="1:6">
      <c r="A159" s="35">
        <v>8560</v>
      </c>
      <c r="B159" s="37" t="s">
        <v>734</v>
      </c>
      <c r="C159" s="37" t="s">
        <v>721</v>
      </c>
      <c r="D159" s="37" t="s">
        <v>722</v>
      </c>
      <c r="E159" s="37" t="s">
        <v>115</v>
      </c>
      <c r="F159" s="38" t="s">
        <v>139</v>
      </c>
    </row>
    <row r="160" spans="1:6">
      <c r="A160" s="35">
        <v>8606</v>
      </c>
      <c r="B160" s="37" t="s">
        <v>735</v>
      </c>
      <c r="C160" s="37" t="s">
        <v>721</v>
      </c>
      <c r="D160" s="37" t="s">
        <v>722</v>
      </c>
      <c r="E160" s="37" t="s">
        <v>115</v>
      </c>
      <c r="F160" s="38" t="s">
        <v>139</v>
      </c>
    </row>
    <row r="161" spans="1:6">
      <c r="A161" s="35">
        <v>8634</v>
      </c>
      <c r="B161" s="37" t="s">
        <v>736</v>
      </c>
      <c r="C161" s="37" t="s">
        <v>721</v>
      </c>
      <c r="D161" s="37" t="s">
        <v>722</v>
      </c>
      <c r="E161" s="37" t="s">
        <v>115</v>
      </c>
      <c r="F161" s="38" t="s">
        <v>139</v>
      </c>
    </row>
    <row r="162" spans="1:6">
      <c r="A162" s="35">
        <v>8675</v>
      </c>
      <c r="B162" s="37" t="s">
        <v>737</v>
      </c>
      <c r="C162" s="37" t="s">
        <v>721</v>
      </c>
      <c r="D162" s="37" t="s">
        <v>722</v>
      </c>
      <c r="E162" s="37" t="s">
        <v>115</v>
      </c>
      <c r="F162" s="38" t="s">
        <v>139</v>
      </c>
    </row>
    <row r="163" spans="1:6">
      <c r="A163" s="35">
        <v>8685</v>
      </c>
      <c r="B163" s="37" t="s">
        <v>738</v>
      </c>
      <c r="C163" s="37" t="s">
        <v>721</v>
      </c>
      <c r="D163" s="37" t="s">
        <v>722</v>
      </c>
      <c r="E163" s="37" t="s">
        <v>115</v>
      </c>
      <c r="F163" s="38" t="s">
        <v>139</v>
      </c>
    </row>
    <row r="164" spans="1:6">
      <c r="A164" s="35">
        <v>8758</v>
      </c>
      <c r="B164" s="37" t="s">
        <v>739</v>
      </c>
      <c r="C164" s="37" t="s">
        <v>721</v>
      </c>
      <c r="D164" s="37" t="s">
        <v>722</v>
      </c>
      <c r="E164" s="37" t="s">
        <v>115</v>
      </c>
      <c r="F164" s="38" t="s">
        <v>150</v>
      </c>
    </row>
    <row r="165" spans="1:6">
      <c r="A165" s="35">
        <v>8770</v>
      </c>
      <c r="B165" s="37" t="s">
        <v>740</v>
      </c>
      <c r="C165" s="37" t="s">
        <v>721</v>
      </c>
      <c r="D165" s="37" t="s">
        <v>722</v>
      </c>
      <c r="E165" s="37" t="s">
        <v>115</v>
      </c>
      <c r="F165" s="38" t="s">
        <v>139</v>
      </c>
    </row>
    <row r="166" spans="1:6">
      <c r="A166" s="35">
        <v>8832</v>
      </c>
      <c r="B166" s="37" t="s">
        <v>741</v>
      </c>
      <c r="C166" s="37" t="s">
        <v>721</v>
      </c>
      <c r="D166" s="37" t="s">
        <v>722</v>
      </c>
      <c r="E166" s="37" t="s">
        <v>115</v>
      </c>
      <c r="F166" s="38" t="s">
        <v>139</v>
      </c>
    </row>
    <row r="167" spans="1:6">
      <c r="A167" s="35">
        <v>8849</v>
      </c>
      <c r="B167" s="37" t="s">
        <v>742</v>
      </c>
      <c r="C167" s="37" t="s">
        <v>721</v>
      </c>
      <c r="D167" s="37" t="s">
        <v>722</v>
      </c>
      <c r="E167" s="37" t="s">
        <v>115</v>
      </c>
      <c r="F167" s="38" t="s">
        <v>139</v>
      </c>
    </row>
    <row r="168" spans="1:6">
      <c r="A168" s="35">
        <v>13140</v>
      </c>
      <c r="B168" s="36" t="s">
        <v>743</v>
      </c>
      <c r="C168" s="37" t="s">
        <v>343</v>
      </c>
      <c r="D168" s="37" t="s">
        <v>341</v>
      </c>
      <c r="E168" s="37" t="s">
        <v>115</v>
      </c>
      <c r="F168" s="38" t="s">
        <v>139</v>
      </c>
    </row>
    <row r="169" spans="1:6">
      <c r="A169" s="35">
        <v>13212</v>
      </c>
      <c r="B169" s="36" t="s">
        <v>292</v>
      </c>
      <c r="C169" s="37" t="s">
        <v>343</v>
      </c>
      <c r="D169" s="37" t="s">
        <v>341</v>
      </c>
      <c r="E169" s="37" t="s">
        <v>115</v>
      </c>
      <c r="F169" s="38" t="s">
        <v>128</v>
      </c>
    </row>
    <row r="170" spans="1:6">
      <c r="A170" s="35">
        <v>13268</v>
      </c>
      <c r="B170" s="36" t="s">
        <v>744</v>
      </c>
      <c r="C170" s="37" t="s">
        <v>343</v>
      </c>
      <c r="D170" s="37" t="s">
        <v>282</v>
      </c>
      <c r="E170" s="37" t="s">
        <v>115</v>
      </c>
      <c r="F170" s="38" t="s">
        <v>128</v>
      </c>
    </row>
    <row r="171" spans="1:6">
      <c r="A171" s="35">
        <v>13473</v>
      </c>
      <c r="B171" s="36" t="s">
        <v>745</v>
      </c>
      <c r="C171" s="37" t="s">
        <v>343</v>
      </c>
      <c r="D171" s="37" t="s">
        <v>282</v>
      </c>
      <c r="E171" s="37" t="s">
        <v>115</v>
      </c>
      <c r="F171" s="38" t="s">
        <v>128</v>
      </c>
    </row>
    <row r="172" spans="1:6">
      <c r="A172" s="35">
        <v>13670</v>
      </c>
      <c r="B172" s="36" t="s">
        <v>746</v>
      </c>
      <c r="C172" s="37" t="s">
        <v>343</v>
      </c>
      <c r="D172" s="37" t="s">
        <v>256</v>
      </c>
      <c r="E172" s="37" t="s">
        <v>747</v>
      </c>
      <c r="F172" s="38" t="s">
        <v>584</v>
      </c>
    </row>
    <row r="173" spans="1:6">
      <c r="A173" s="35">
        <v>13683</v>
      </c>
      <c r="B173" s="36" t="s">
        <v>748</v>
      </c>
      <c r="C173" s="37" t="s">
        <v>343</v>
      </c>
      <c r="D173" s="37" t="s">
        <v>341</v>
      </c>
      <c r="E173" s="37" t="s">
        <v>115</v>
      </c>
      <c r="F173" s="38" t="s">
        <v>139</v>
      </c>
    </row>
    <row r="174" spans="1:6">
      <c r="A174" s="35">
        <v>13873</v>
      </c>
      <c r="B174" s="36" t="s">
        <v>749</v>
      </c>
      <c r="C174" s="37" t="s">
        <v>343</v>
      </c>
      <c r="D174" s="37" t="s">
        <v>341</v>
      </c>
      <c r="E174" s="37" t="s">
        <v>115</v>
      </c>
      <c r="F174" s="38" t="s">
        <v>139</v>
      </c>
    </row>
    <row r="175" spans="1:6">
      <c r="A175" s="35">
        <v>13006</v>
      </c>
      <c r="B175" s="37" t="s">
        <v>750</v>
      </c>
      <c r="C175" s="37" t="s">
        <v>343</v>
      </c>
      <c r="D175" s="37" t="s">
        <v>341</v>
      </c>
      <c r="E175" s="37" t="s">
        <v>115</v>
      </c>
      <c r="F175" s="38" t="s">
        <v>128</v>
      </c>
    </row>
    <row r="176" spans="1:6">
      <c r="A176" s="35">
        <v>13030</v>
      </c>
      <c r="B176" s="37" t="s">
        <v>751</v>
      </c>
      <c r="C176" s="37" t="s">
        <v>343</v>
      </c>
      <c r="D176" s="37" t="s">
        <v>341</v>
      </c>
      <c r="E176" s="37" t="s">
        <v>115</v>
      </c>
      <c r="F176" s="38" t="s">
        <v>128</v>
      </c>
    </row>
    <row r="177" spans="1:6">
      <c r="A177" s="35">
        <v>13042</v>
      </c>
      <c r="B177" s="37" t="s">
        <v>752</v>
      </c>
      <c r="C177" s="37" t="s">
        <v>343</v>
      </c>
      <c r="D177" s="37" t="s">
        <v>282</v>
      </c>
      <c r="E177" s="37" t="s">
        <v>115</v>
      </c>
      <c r="F177" s="38" t="s">
        <v>128</v>
      </c>
    </row>
    <row r="178" spans="1:6">
      <c r="A178" s="35">
        <v>13052</v>
      </c>
      <c r="B178" s="37" t="s">
        <v>753</v>
      </c>
      <c r="C178" s="37" t="s">
        <v>343</v>
      </c>
      <c r="D178" s="37" t="s">
        <v>341</v>
      </c>
      <c r="E178" s="37" t="s">
        <v>115</v>
      </c>
      <c r="F178" s="38" t="s">
        <v>139</v>
      </c>
    </row>
    <row r="179" spans="1:6">
      <c r="A179" s="35">
        <v>13062</v>
      </c>
      <c r="B179" s="37" t="s">
        <v>754</v>
      </c>
      <c r="C179" s="37" t="s">
        <v>343</v>
      </c>
      <c r="D179" s="37" t="s">
        <v>341</v>
      </c>
      <c r="E179" s="37" t="s">
        <v>115</v>
      </c>
      <c r="F179" s="38" t="s">
        <v>139</v>
      </c>
    </row>
    <row r="180" spans="1:6">
      <c r="A180" s="35">
        <v>13074</v>
      </c>
      <c r="B180" s="37" t="s">
        <v>755</v>
      </c>
      <c r="C180" s="37" t="s">
        <v>343</v>
      </c>
      <c r="D180" s="37" t="s">
        <v>282</v>
      </c>
      <c r="E180" s="37" t="s">
        <v>115</v>
      </c>
      <c r="F180" s="38" t="s">
        <v>128</v>
      </c>
    </row>
    <row r="181" spans="1:6">
      <c r="A181" s="35">
        <v>13160</v>
      </c>
      <c r="B181" s="37" t="s">
        <v>756</v>
      </c>
      <c r="C181" s="37" t="s">
        <v>343</v>
      </c>
      <c r="D181" s="37" t="s">
        <v>256</v>
      </c>
      <c r="E181" s="37" t="s">
        <v>747</v>
      </c>
      <c r="F181" s="38" t="s">
        <v>584</v>
      </c>
    </row>
    <row r="182" spans="1:6">
      <c r="A182" s="35">
        <v>13001</v>
      </c>
      <c r="B182" s="37" t="s">
        <v>341</v>
      </c>
      <c r="C182" s="37" t="s">
        <v>343</v>
      </c>
      <c r="D182" s="37" t="s">
        <v>341</v>
      </c>
      <c r="E182" s="37" t="s">
        <v>115</v>
      </c>
      <c r="F182" s="38" t="s">
        <v>150</v>
      </c>
    </row>
    <row r="183" spans="1:6">
      <c r="A183" s="35">
        <v>13188</v>
      </c>
      <c r="B183" s="37" t="s">
        <v>757</v>
      </c>
      <c r="C183" s="37" t="s">
        <v>343</v>
      </c>
      <c r="D183" s="37" t="s">
        <v>341</v>
      </c>
      <c r="E183" s="37" t="s">
        <v>115</v>
      </c>
      <c r="F183" s="38" t="s">
        <v>128</v>
      </c>
    </row>
    <row r="184" spans="1:6">
      <c r="A184" s="35">
        <v>13222</v>
      </c>
      <c r="B184" s="37" t="s">
        <v>758</v>
      </c>
      <c r="C184" s="37" t="s">
        <v>343</v>
      </c>
      <c r="D184" s="37" t="s">
        <v>341</v>
      </c>
      <c r="E184" s="37" t="s">
        <v>115</v>
      </c>
      <c r="F184" s="38" t="s">
        <v>139</v>
      </c>
    </row>
    <row r="185" spans="1:6">
      <c r="A185" s="35">
        <v>13244</v>
      </c>
      <c r="B185" s="37" t="s">
        <v>759</v>
      </c>
      <c r="C185" s="37" t="s">
        <v>343</v>
      </c>
      <c r="D185" s="37" t="s">
        <v>341</v>
      </c>
      <c r="E185" s="37" t="s">
        <v>115</v>
      </c>
      <c r="F185" s="38" t="s">
        <v>114</v>
      </c>
    </row>
    <row r="186" spans="1:6">
      <c r="A186" s="35">
        <v>13248</v>
      </c>
      <c r="B186" s="37" t="s">
        <v>760</v>
      </c>
      <c r="C186" s="37" t="s">
        <v>343</v>
      </c>
      <c r="D186" s="37" t="s">
        <v>341</v>
      </c>
      <c r="E186" s="37" t="s">
        <v>115</v>
      </c>
      <c r="F186" s="38" t="s">
        <v>128</v>
      </c>
    </row>
    <row r="187" spans="1:6">
      <c r="A187" s="35">
        <v>13300</v>
      </c>
      <c r="B187" s="37" t="s">
        <v>761</v>
      </c>
      <c r="C187" s="37" t="s">
        <v>343</v>
      </c>
      <c r="D187" s="37" t="s">
        <v>282</v>
      </c>
      <c r="E187" s="37" t="s">
        <v>115</v>
      </c>
      <c r="F187" s="38" t="s">
        <v>128</v>
      </c>
    </row>
    <row r="188" spans="1:6">
      <c r="A188" s="35">
        <v>13430</v>
      </c>
      <c r="B188" s="37" t="s">
        <v>344</v>
      </c>
      <c r="C188" s="37" t="s">
        <v>343</v>
      </c>
      <c r="D188" s="37" t="s">
        <v>341</v>
      </c>
      <c r="E188" s="37" t="s">
        <v>115</v>
      </c>
      <c r="F188" s="38" t="s">
        <v>128</v>
      </c>
    </row>
    <row r="189" spans="1:6">
      <c r="A189" s="35">
        <v>13433</v>
      </c>
      <c r="B189" s="37" t="s">
        <v>762</v>
      </c>
      <c r="C189" s="37" t="s">
        <v>343</v>
      </c>
      <c r="D189" s="37" t="s">
        <v>341</v>
      </c>
      <c r="E189" s="37" t="s">
        <v>115</v>
      </c>
      <c r="F189" s="38" t="s">
        <v>139</v>
      </c>
    </row>
    <row r="190" spans="1:6">
      <c r="A190" s="35">
        <v>13440</v>
      </c>
      <c r="B190" s="37" t="s">
        <v>763</v>
      </c>
      <c r="C190" s="37" t="s">
        <v>343</v>
      </c>
      <c r="D190" s="37" t="s">
        <v>341</v>
      </c>
      <c r="E190" s="37" t="s">
        <v>115</v>
      </c>
      <c r="F190" s="38" t="s">
        <v>128</v>
      </c>
    </row>
    <row r="191" spans="1:6">
      <c r="A191" s="35">
        <v>13442</v>
      </c>
      <c r="B191" s="37" t="s">
        <v>764</v>
      </c>
      <c r="C191" s="37" t="s">
        <v>343</v>
      </c>
      <c r="D191" s="37" t="s">
        <v>341</v>
      </c>
      <c r="E191" s="37" t="s">
        <v>115</v>
      </c>
      <c r="F191" s="38" t="s">
        <v>139</v>
      </c>
    </row>
    <row r="192" spans="1:6">
      <c r="A192" s="35">
        <v>13468</v>
      </c>
      <c r="B192" s="37" t="s">
        <v>765</v>
      </c>
      <c r="C192" s="37" t="s">
        <v>343</v>
      </c>
      <c r="D192" s="37" t="s">
        <v>341</v>
      </c>
      <c r="E192" s="37" t="s">
        <v>115</v>
      </c>
      <c r="F192" s="38" t="s">
        <v>128</v>
      </c>
    </row>
    <row r="193" spans="1:6">
      <c r="A193" s="35">
        <v>13458</v>
      </c>
      <c r="B193" s="37" t="s">
        <v>766</v>
      </c>
      <c r="C193" s="37" t="s">
        <v>343</v>
      </c>
      <c r="D193" s="37" t="s">
        <v>341</v>
      </c>
      <c r="E193" s="37" t="s">
        <v>747</v>
      </c>
      <c r="F193" s="38" t="s">
        <v>584</v>
      </c>
    </row>
    <row r="194" spans="1:6">
      <c r="A194" s="35">
        <v>13490</v>
      </c>
      <c r="B194" s="37" t="s">
        <v>767</v>
      </c>
      <c r="C194" s="37" t="s">
        <v>343</v>
      </c>
      <c r="D194" s="37" t="s">
        <v>341</v>
      </c>
      <c r="E194" s="37" t="s">
        <v>115</v>
      </c>
      <c r="F194" s="38" t="s">
        <v>128</v>
      </c>
    </row>
    <row r="195" spans="1:6">
      <c r="A195" s="35">
        <v>13549</v>
      </c>
      <c r="B195" s="37" t="s">
        <v>768</v>
      </c>
      <c r="C195" s="37" t="s">
        <v>343</v>
      </c>
      <c r="D195" s="37" t="s">
        <v>341</v>
      </c>
      <c r="E195" s="37" t="s">
        <v>115</v>
      </c>
      <c r="F195" s="38" t="s">
        <v>128</v>
      </c>
    </row>
    <row r="196" spans="1:6">
      <c r="A196" s="35">
        <v>13580</v>
      </c>
      <c r="B196" s="37" t="s">
        <v>769</v>
      </c>
      <c r="C196" s="37" t="s">
        <v>343</v>
      </c>
      <c r="D196" s="37" t="s">
        <v>341</v>
      </c>
      <c r="E196" s="37" t="s">
        <v>115</v>
      </c>
      <c r="F196" s="38" t="s">
        <v>128</v>
      </c>
    </row>
    <row r="197" spans="1:6">
      <c r="A197" s="35">
        <v>13600</v>
      </c>
      <c r="B197" s="37" t="s">
        <v>770</v>
      </c>
      <c r="C197" s="37" t="s">
        <v>343</v>
      </c>
      <c r="D197" s="37" t="s">
        <v>282</v>
      </c>
      <c r="E197" s="37" t="s">
        <v>115</v>
      </c>
      <c r="F197" s="38" t="s">
        <v>128</v>
      </c>
    </row>
    <row r="198" spans="1:6">
      <c r="A198" s="35">
        <v>13620</v>
      </c>
      <c r="B198" s="37" t="s">
        <v>771</v>
      </c>
      <c r="C198" s="37" t="s">
        <v>343</v>
      </c>
      <c r="D198" s="37" t="s">
        <v>341</v>
      </c>
      <c r="E198" s="37" t="s">
        <v>115</v>
      </c>
      <c r="F198" s="38" t="s">
        <v>114</v>
      </c>
    </row>
    <row r="199" spans="1:6">
      <c r="A199" s="35">
        <v>13647</v>
      </c>
      <c r="B199" s="37" t="s">
        <v>772</v>
      </c>
      <c r="C199" s="37" t="s">
        <v>343</v>
      </c>
      <c r="D199" s="37" t="s">
        <v>341</v>
      </c>
      <c r="E199" s="37" t="s">
        <v>115</v>
      </c>
      <c r="F199" s="38" t="s">
        <v>139</v>
      </c>
    </row>
    <row r="200" spans="1:6">
      <c r="A200" s="35">
        <v>13650</v>
      </c>
      <c r="B200" s="37" t="s">
        <v>773</v>
      </c>
      <c r="C200" s="37" t="s">
        <v>343</v>
      </c>
      <c r="D200" s="37" t="s">
        <v>341</v>
      </c>
      <c r="E200" s="37" t="s">
        <v>115</v>
      </c>
      <c r="F200" s="38" t="s">
        <v>128</v>
      </c>
    </row>
    <row r="201" spans="1:6">
      <c r="A201" s="35">
        <v>13654</v>
      </c>
      <c r="B201" s="37" t="s">
        <v>774</v>
      </c>
      <c r="C201" s="37" t="s">
        <v>343</v>
      </c>
      <c r="D201" s="37" t="s">
        <v>341</v>
      </c>
      <c r="E201" s="37" t="s">
        <v>115</v>
      </c>
      <c r="F201" s="38" t="s">
        <v>114</v>
      </c>
    </row>
    <row r="202" spans="1:6">
      <c r="A202" s="35">
        <v>13655</v>
      </c>
      <c r="B202" s="37" t="s">
        <v>775</v>
      </c>
      <c r="C202" s="37" t="s">
        <v>343</v>
      </c>
      <c r="D202" s="37" t="s">
        <v>341</v>
      </c>
      <c r="E202" s="37" t="s">
        <v>115</v>
      </c>
      <c r="F202" s="38" t="s">
        <v>128</v>
      </c>
    </row>
    <row r="203" spans="1:6">
      <c r="A203" s="35">
        <v>13657</v>
      </c>
      <c r="B203" s="37" t="s">
        <v>776</v>
      </c>
      <c r="C203" s="37" t="s">
        <v>343</v>
      </c>
      <c r="D203" s="37" t="s">
        <v>341</v>
      </c>
      <c r="E203" s="37" t="s">
        <v>115</v>
      </c>
      <c r="F203" s="38" t="s">
        <v>139</v>
      </c>
    </row>
    <row r="204" spans="1:6">
      <c r="A204" s="35">
        <v>13667</v>
      </c>
      <c r="B204" s="37" t="s">
        <v>777</v>
      </c>
      <c r="C204" s="37" t="s">
        <v>343</v>
      </c>
      <c r="D204" s="37" t="s">
        <v>341</v>
      </c>
      <c r="E204" s="37" t="s">
        <v>115</v>
      </c>
      <c r="F204" s="38" t="s">
        <v>128</v>
      </c>
    </row>
    <row r="205" spans="1:6">
      <c r="A205" s="35">
        <v>13673</v>
      </c>
      <c r="B205" s="37" t="s">
        <v>778</v>
      </c>
      <c r="C205" s="37" t="s">
        <v>343</v>
      </c>
      <c r="D205" s="37" t="s">
        <v>341</v>
      </c>
      <c r="E205" s="37" t="s">
        <v>115</v>
      </c>
      <c r="F205" s="38" t="s">
        <v>139</v>
      </c>
    </row>
    <row r="206" spans="1:6">
      <c r="A206" s="35">
        <v>13688</v>
      </c>
      <c r="B206" s="37" t="s">
        <v>779</v>
      </c>
      <c r="C206" s="37" t="s">
        <v>343</v>
      </c>
      <c r="D206" s="37" t="s">
        <v>256</v>
      </c>
      <c r="E206" s="37" t="s">
        <v>747</v>
      </c>
      <c r="F206" s="38" t="s">
        <v>584</v>
      </c>
    </row>
    <row r="207" spans="1:6">
      <c r="A207" s="35">
        <v>13744</v>
      </c>
      <c r="B207" s="37" t="s">
        <v>780</v>
      </c>
      <c r="C207" s="37" t="s">
        <v>343</v>
      </c>
      <c r="D207" s="37" t="s">
        <v>256</v>
      </c>
      <c r="E207" s="37" t="s">
        <v>747</v>
      </c>
      <c r="F207" s="38" t="s">
        <v>584</v>
      </c>
    </row>
    <row r="208" spans="1:6">
      <c r="A208" s="35">
        <v>13760</v>
      </c>
      <c r="B208" s="37" t="s">
        <v>781</v>
      </c>
      <c r="C208" s="37" t="s">
        <v>343</v>
      </c>
      <c r="D208" s="37" t="s">
        <v>341</v>
      </c>
      <c r="E208" s="37" t="s">
        <v>115</v>
      </c>
      <c r="F208" s="38" t="s">
        <v>114</v>
      </c>
    </row>
    <row r="209" spans="1:6">
      <c r="A209" s="35">
        <v>13780</v>
      </c>
      <c r="B209" s="37" t="s">
        <v>782</v>
      </c>
      <c r="C209" s="37" t="s">
        <v>343</v>
      </c>
      <c r="D209" s="37" t="s">
        <v>341</v>
      </c>
      <c r="E209" s="37" t="s">
        <v>115</v>
      </c>
      <c r="F209" s="38" t="s">
        <v>128</v>
      </c>
    </row>
    <row r="210" spans="1:6">
      <c r="A210" s="35">
        <v>13810</v>
      </c>
      <c r="B210" s="37" t="s">
        <v>783</v>
      </c>
      <c r="C210" s="37" t="s">
        <v>343</v>
      </c>
      <c r="D210" s="37" t="s">
        <v>341</v>
      </c>
      <c r="E210" s="37" t="s">
        <v>115</v>
      </c>
      <c r="F210" s="38" t="s">
        <v>128</v>
      </c>
    </row>
    <row r="211" spans="1:6">
      <c r="A211" s="35">
        <v>13836</v>
      </c>
      <c r="B211" s="37" t="s">
        <v>784</v>
      </c>
      <c r="C211" s="37" t="s">
        <v>343</v>
      </c>
      <c r="D211" s="37" t="s">
        <v>341</v>
      </c>
      <c r="E211" s="37" t="s">
        <v>115</v>
      </c>
      <c r="F211" s="38" t="s">
        <v>139</v>
      </c>
    </row>
    <row r="212" spans="1:6">
      <c r="A212" s="35">
        <v>13838</v>
      </c>
      <c r="B212" s="37" t="s">
        <v>785</v>
      </c>
      <c r="C212" s="37" t="s">
        <v>343</v>
      </c>
      <c r="D212" s="37" t="s">
        <v>341</v>
      </c>
      <c r="E212" s="37" t="s">
        <v>115</v>
      </c>
      <c r="F212" s="38" t="s">
        <v>139</v>
      </c>
    </row>
    <row r="213" spans="1:6">
      <c r="A213" s="35">
        <v>13894</v>
      </c>
      <c r="B213" s="37" t="s">
        <v>786</v>
      </c>
      <c r="C213" s="37" t="s">
        <v>343</v>
      </c>
      <c r="D213" s="37" t="s">
        <v>341</v>
      </c>
      <c r="E213" s="37" t="s">
        <v>115</v>
      </c>
      <c r="F213" s="38" t="s">
        <v>128</v>
      </c>
    </row>
    <row r="214" spans="1:6">
      <c r="A214" s="35">
        <v>15087</v>
      </c>
      <c r="B214" s="36" t="s">
        <v>787</v>
      </c>
      <c r="C214" s="37" t="s">
        <v>401</v>
      </c>
      <c r="D214" s="37" t="s">
        <v>399</v>
      </c>
      <c r="E214" s="37" t="s">
        <v>115</v>
      </c>
      <c r="F214" s="38" t="s">
        <v>139</v>
      </c>
    </row>
    <row r="215" spans="1:6">
      <c r="A215" s="35">
        <v>15106</v>
      </c>
      <c r="B215" s="36" t="s">
        <v>599</v>
      </c>
      <c r="C215" s="37" t="s">
        <v>401</v>
      </c>
      <c r="D215" s="37" t="s">
        <v>399</v>
      </c>
      <c r="E215" s="37" t="s">
        <v>115</v>
      </c>
      <c r="F215" s="38" t="s">
        <v>114</v>
      </c>
    </row>
    <row r="216" spans="1:6">
      <c r="A216" s="35">
        <v>15109</v>
      </c>
      <c r="B216" s="36" t="s">
        <v>788</v>
      </c>
      <c r="C216" s="37" t="s">
        <v>401</v>
      </c>
      <c r="D216" s="37" t="s">
        <v>399</v>
      </c>
      <c r="E216" s="37" t="s">
        <v>115</v>
      </c>
      <c r="F216" s="38" t="s">
        <v>128</v>
      </c>
    </row>
    <row r="217" spans="1:6">
      <c r="A217" s="35">
        <v>15131</v>
      </c>
      <c r="B217" s="36" t="s">
        <v>600</v>
      </c>
      <c r="C217" s="37" t="s">
        <v>401</v>
      </c>
      <c r="D217" s="37" t="s">
        <v>399</v>
      </c>
      <c r="E217" s="37" t="s">
        <v>115</v>
      </c>
      <c r="F217" s="38" t="s">
        <v>139</v>
      </c>
    </row>
    <row r="218" spans="1:6">
      <c r="A218" s="35">
        <v>15189</v>
      </c>
      <c r="B218" s="36" t="s">
        <v>789</v>
      </c>
      <c r="C218" s="37" t="s">
        <v>401</v>
      </c>
      <c r="D218" s="37" t="s">
        <v>399</v>
      </c>
      <c r="E218" s="37" t="s">
        <v>115</v>
      </c>
      <c r="F218" s="38" t="s">
        <v>139</v>
      </c>
    </row>
    <row r="219" spans="1:6">
      <c r="A219" s="35">
        <v>15368</v>
      </c>
      <c r="B219" s="36" t="s">
        <v>605</v>
      </c>
      <c r="C219" s="37" t="s">
        <v>401</v>
      </c>
      <c r="D219" s="37" t="s">
        <v>399</v>
      </c>
      <c r="E219" s="37" t="s">
        <v>115</v>
      </c>
      <c r="F219" s="38" t="s">
        <v>128</v>
      </c>
    </row>
    <row r="220" spans="1:6">
      <c r="A220" s="35">
        <v>15401</v>
      </c>
      <c r="B220" s="36" t="s">
        <v>581</v>
      </c>
      <c r="C220" s="37" t="s">
        <v>401</v>
      </c>
      <c r="D220" s="37" t="s">
        <v>399</v>
      </c>
      <c r="E220" s="37" t="s">
        <v>115</v>
      </c>
      <c r="F220" s="38" t="s">
        <v>128</v>
      </c>
    </row>
    <row r="221" spans="1:6">
      <c r="A221" s="35">
        <v>15455</v>
      </c>
      <c r="B221" s="36" t="s">
        <v>790</v>
      </c>
      <c r="C221" s="37" t="s">
        <v>401</v>
      </c>
      <c r="D221" s="37" t="s">
        <v>399</v>
      </c>
      <c r="E221" s="37" t="s">
        <v>115</v>
      </c>
      <c r="F221" s="38" t="s">
        <v>128</v>
      </c>
    </row>
    <row r="222" spans="1:6">
      <c r="A222" s="35">
        <v>15514</v>
      </c>
      <c r="B222" s="36" t="s">
        <v>791</v>
      </c>
      <c r="C222" s="37" t="s">
        <v>401</v>
      </c>
      <c r="D222" s="37" t="s">
        <v>399</v>
      </c>
      <c r="E222" s="37" t="s">
        <v>115</v>
      </c>
      <c r="F222" s="38" t="s">
        <v>128</v>
      </c>
    </row>
    <row r="223" spans="1:6">
      <c r="A223" s="35">
        <v>15690</v>
      </c>
      <c r="B223" s="36" t="s">
        <v>792</v>
      </c>
      <c r="C223" s="37" t="s">
        <v>401</v>
      </c>
      <c r="D223" s="37" t="s">
        <v>399</v>
      </c>
      <c r="E223" s="37" t="s">
        <v>115</v>
      </c>
      <c r="F223" s="38" t="s">
        <v>114</v>
      </c>
    </row>
    <row r="224" spans="1:6">
      <c r="A224" s="35">
        <v>15022</v>
      </c>
      <c r="B224" s="37" t="s">
        <v>793</v>
      </c>
      <c r="C224" s="37" t="s">
        <v>401</v>
      </c>
      <c r="D224" s="37" t="s">
        <v>399</v>
      </c>
      <c r="E224" s="37" t="s">
        <v>115</v>
      </c>
      <c r="F224" s="38" t="s">
        <v>114</v>
      </c>
    </row>
    <row r="225" spans="1:6">
      <c r="A225" s="35">
        <v>15047</v>
      </c>
      <c r="B225" s="37" t="s">
        <v>794</v>
      </c>
      <c r="C225" s="37" t="s">
        <v>401</v>
      </c>
      <c r="D225" s="37" t="s">
        <v>399</v>
      </c>
      <c r="E225" s="37" t="s">
        <v>115</v>
      </c>
      <c r="F225" s="38" t="s">
        <v>114</v>
      </c>
    </row>
    <row r="226" spans="1:6">
      <c r="A226" s="35">
        <v>15051</v>
      </c>
      <c r="B226" s="37" t="s">
        <v>795</v>
      </c>
      <c r="C226" s="37" t="s">
        <v>401</v>
      </c>
      <c r="D226" s="37" t="s">
        <v>399</v>
      </c>
      <c r="E226" s="37" t="s">
        <v>115</v>
      </c>
      <c r="F226" s="38" t="s">
        <v>139</v>
      </c>
    </row>
    <row r="227" spans="1:6">
      <c r="A227" s="35">
        <v>15090</v>
      </c>
      <c r="B227" s="37" t="s">
        <v>796</v>
      </c>
      <c r="C227" s="37" t="s">
        <v>401</v>
      </c>
      <c r="D227" s="37" t="s">
        <v>399</v>
      </c>
      <c r="E227" s="37" t="s">
        <v>115</v>
      </c>
      <c r="F227" s="38" t="s">
        <v>114</v>
      </c>
    </row>
    <row r="228" spans="1:6">
      <c r="A228" s="35">
        <v>15092</v>
      </c>
      <c r="B228" s="37" t="s">
        <v>797</v>
      </c>
      <c r="C228" s="37" t="s">
        <v>401</v>
      </c>
      <c r="D228" s="37" t="s">
        <v>399</v>
      </c>
      <c r="E228" s="37" t="s">
        <v>115</v>
      </c>
      <c r="F228" s="38" t="s">
        <v>114</v>
      </c>
    </row>
    <row r="229" spans="1:6">
      <c r="A229" s="35">
        <v>15097</v>
      </c>
      <c r="B229" s="37" t="s">
        <v>798</v>
      </c>
      <c r="C229" s="37" t="s">
        <v>401</v>
      </c>
      <c r="D229" s="37" t="s">
        <v>399</v>
      </c>
      <c r="E229" s="37" t="s">
        <v>115</v>
      </c>
      <c r="F229" s="38" t="s">
        <v>128</v>
      </c>
    </row>
    <row r="230" spans="1:6">
      <c r="A230" s="35">
        <v>15104</v>
      </c>
      <c r="B230" s="37" t="s">
        <v>401</v>
      </c>
      <c r="C230" s="37" t="s">
        <v>401</v>
      </c>
      <c r="D230" s="37" t="s">
        <v>399</v>
      </c>
      <c r="E230" s="37" t="s">
        <v>115</v>
      </c>
      <c r="F230" s="38" t="s">
        <v>139</v>
      </c>
    </row>
    <row r="231" spans="1:6">
      <c r="A231" s="35">
        <v>15114</v>
      </c>
      <c r="B231" s="37" t="s">
        <v>799</v>
      </c>
      <c r="C231" s="37" t="s">
        <v>401</v>
      </c>
      <c r="D231" s="37" t="s">
        <v>399</v>
      </c>
      <c r="E231" s="37" t="s">
        <v>115</v>
      </c>
      <c r="F231" s="38" t="s">
        <v>139</v>
      </c>
    </row>
    <row r="232" spans="1:6">
      <c r="A232" s="35">
        <v>15135</v>
      </c>
      <c r="B232" s="37" t="s">
        <v>800</v>
      </c>
      <c r="C232" s="37" t="s">
        <v>401</v>
      </c>
      <c r="D232" s="37" t="s">
        <v>399</v>
      </c>
      <c r="E232" s="37" t="s">
        <v>115</v>
      </c>
      <c r="F232" s="38" t="s">
        <v>128</v>
      </c>
    </row>
    <row r="233" spans="1:6">
      <c r="A233" s="35">
        <v>15162</v>
      </c>
      <c r="B233" s="37" t="s">
        <v>801</v>
      </c>
      <c r="C233" s="37" t="s">
        <v>401</v>
      </c>
      <c r="D233" s="37" t="s">
        <v>399</v>
      </c>
      <c r="E233" s="37" t="s">
        <v>115</v>
      </c>
      <c r="F233" s="38" t="s">
        <v>139</v>
      </c>
    </row>
    <row r="234" spans="1:6">
      <c r="A234" s="35">
        <v>15172</v>
      </c>
      <c r="B234" s="37" t="s">
        <v>802</v>
      </c>
      <c r="C234" s="37" t="s">
        <v>401</v>
      </c>
      <c r="D234" s="37" t="s">
        <v>399</v>
      </c>
      <c r="E234" s="37" t="s">
        <v>115</v>
      </c>
      <c r="F234" s="38" t="s">
        <v>114</v>
      </c>
    </row>
    <row r="235" spans="1:6">
      <c r="A235" s="35">
        <v>15176</v>
      </c>
      <c r="B235" s="37" t="s">
        <v>803</v>
      </c>
      <c r="C235" s="37" t="s">
        <v>401</v>
      </c>
      <c r="D235" s="37" t="s">
        <v>399</v>
      </c>
      <c r="E235" s="37" t="s">
        <v>115</v>
      </c>
      <c r="F235" s="38" t="s">
        <v>114</v>
      </c>
    </row>
    <row r="236" spans="1:6">
      <c r="A236" s="35">
        <v>15232</v>
      </c>
      <c r="B236" s="37" t="s">
        <v>804</v>
      </c>
      <c r="C236" s="37" t="s">
        <v>401</v>
      </c>
      <c r="D236" s="37" t="s">
        <v>399</v>
      </c>
      <c r="E236" s="37" t="s">
        <v>115</v>
      </c>
      <c r="F236" s="38" t="s">
        <v>139</v>
      </c>
    </row>
    <row r="237" spans="1:6">
      <c r="A237" s="35">
        <v>15180</v>
      </c>
      <c r="B237" s="37" t="s">
        <v>805</v>
      </c>
      <c r="C237" s="37" t="s">
        <v>401</v>
      </c>
      <c r="D237" s="37" t="s">
        <v>399</v>
      </c>
      <c r="E237" s="37" t="s">
        <v>115</v>
      </c>
      <c r="F237" s="38" t="s">
        <v>128</v>
      </c>
    </row>
    <row r="238" spans="1:6">
      <c r="A238" s="35">
        <v>15183</v>
      </c>
      <c r="B238" s="37" t="s">
        <v>806</v>
      </c>
      <c r="C238" s="37" t="s">
        <v>401</v>
      </c>
      <c r="D238" s="37" t="s">
        <v>399</v>
      </c>
      <c r="E238" s="37" t="s">
        <v>115</v>
      </c>
      <c r="F238" s="38" t="s">
        <v>128</v>
      </c>
    </row>
    <row r="239" spans="1:6">
      <c r="A239" s="35">
        <v>15185</v>
      </c>
      <c r="B239" s="37" t="s">
        <v>807</v>
      </c>
      <c r="C239" s="37" t="s">
        <v>401</v>
      </c>
      <c r="D239" s="37" t="s">
        <v>399</v>
      </c>
      <c r="E239" s="37" t="s">
        <v>115</v>
      </c>
      <c r="F239" s="38" t="s">
        <v>139</v>
      </c>
    </row>
    <row r="240" spans="1:6">
      <c r="A240" s="35">
        <v>15187</v>
      </c>
      <c r="B240" s="37" t="s">
        <v>808</v>
      </c>
      <c r="C240" s="37" t="s">
        <v>401</v>
      </c>
      <c r="D240" s="37" t="s">
        <v>399</v>
      </c>
      <c r="E240" s="37" t="s">
        <v>115</v>
      </c>
      <c r="F240" s="38" t="s">
        <v>139</v>
      </c>
    </row>
    <row r="241" spans="1:6">
      <c r="A241" s="35">
        <v>15236</v>
      </c>
      <c r="B241" s="37" t="s">
        <v>809</v>
      </c>
      <c r="C241" s="37" t="s">
        <v>401</v>
      </c>
      <c r="D241" s="37" t="s">
        <v>399</v>
      </c>
      <c r="E241" s="37" t="s">
        <v>115</v>
      </c>
      <c r="F241" s="38" t="s">
        <v>114</v>
      </c>
    </row>
    <row r="242" spans="1:6">
      <c r="A242" s="35">
        <v>15204</v>
      </c>
      <c r="B242" s="37" t="s">
        <v>810</v>
      </c>
      <c r="C242" s="37" t="s">
        <v>401</v>
      </c>
      <c r="D242" s="37" t="s">
        <v>399</v>
      </c>
      <c r="E242" s="37" t="s">
        <v>115</v>
      </c>
      <c r="F242" s="38" t="s">
        <v>139</v>
      </c>
    </row>
    <row r="243" spans="1:6">
      <c r="A243" s="35">
        <v>15212</v>
      </c>
      <c r="B243" s="37" t="s">
        <v>811</v>
      </c>
      <c r="C243" s="37" t="s">
        <v>401</v>
      </c>
      <c r="D243" s="37" t="s">
        <v>399</v>
      </c>
      <c r="E243" s="37" t="s">
        <v>115</v>
      </c>
      <c r="F243" s="38" t="s">
        <v>114</v>
      </c>
    </row>
    <row r="244" spans="1:6">
      <c r="A244" s="35">
        <v>15215</v>
      </c>
      <c r="B244" s="37" t="s">
        <v>812</v>
      </c>
      <c r="C244" s="37" t="s">
        <v>401</v>
      </c>
      <c r="D244" s="37" t="s">
        <v>399</v>
      </c>
      <c r="E244" s="37" t="s">
        <v>115</v>
      </c>
      <c r="F244" s="38" t="s">
        <v>139</v>
      </c>
    </row>
    <row r="245" spans="1:6">
      <c r="A245" s="35">
        <v>15218</v>
      </c>
      <c r="B245" s="37" t="s">
        <v>813</v>
      </c>
      <c r="C245" s="37" t="s">
        <v>401</v>
      </c>
      <c r="D245" s="37" t="s">
        <v>399</v>
      </c>
      <c r="E245" s="37" t="s">
        <v>115</v>
      </c>
      <c r="F245" s="38" t="s">
        <v>128</v>
      </c>
    </row>
    <row r="246" spans="1:6">
      <c r="A246" s="35">
        <v>15223</v>
      </c>
      <c r="B246" s="37" t="s">
        <v>814</v>
      </c>
      <c r="C246" s="37" t="s">
        <v>401</v>
      </c>
      <c r="D246" s="37" t="s">
        <v>256</v>
      </c>
      <c r="E246" s="37" t="s">
        <v>583</v>
      </c>
      <c r="F246" s="38" t="s">
        <v>584</v>
      </c>
    </row>
    <row r="247" spans="1:6">
      <c r="A247" s="35">
        <v>15224</v>
      </c>
      <c r="B247" s="37" t="s">
        <v>815</v>
      </c>
      <c r="C247" s="37" t="s">
        <v>401</v>
      </c>
      <c r="D247" s="37" t="s">
        <v>399</v>
      </c>
      <c r="E247" s="37" t="s">
        <v>115</v>
      </c>
      <c r="F247" s="38" t="s">
        <v>139</v>
      </c>
    </row>
    <row r="248" spans="1:6">
      <c r="A248" s="35">
        <v>15226</v>
      </c>
      <c r="B248" s="37" t="s">
        <v>816</v>
      </c>
      <c r="C248" s="37" t="s">
        <v>401</v>
      </c>
      <c r="D248" s="37" t="s">
        <v>399</v>
      </c>
      <c r="E248" s="37" t="s">
        <v>115</v>
      </c>
      <c r="F248" s="38" t="s">
        <v>139</v>
      </c>
    </row>
    <row r="249" spans="1:6">
      <c r="A249" s="35">
        <v>15238</v>
      </c>
      <c r="B249" s="37" t="s">
        <v>572</v>
      </c>
      <c r="C249" s="37" t="s">
        <v>401</v>
      </c>
      <c r="D249" s="37" t="s">
        <v>399</v>
      </c>
      <c r="E249" s="37" t="s">
        <v>115</v>
      </c>
      <c r="F249" s="38" t="s">
        <v>139</v>
      </c>
    </row>
    <row r="250" spans="1:6">
      <c r="A250" s="35">
        <v>15244</v>
      </c>
      <c r="B250" s="37" t="s">
        <v>817</v>
      </c>
      <c r="C250" s="37" t="s">
        <v>401</v>
      </c>
      <c r="D250" s="37" t="s">
        <v>399</v>
      </c>
      <c r="E250" s="37" t="s">
        <v>115</v>
      </c>
      <c r="F250" s="38" t="s">
        <v>128</v>
      </c>
    </row>
    <row r="251" spans="1:6">
      <c r="A251" s="35">
        <v>15248</v>
      </c>
      <c r="B251" s="37" t="s">
        <v>818</v>
      </c>
      <c r="C251" s="37" t="s">
        <v>401</v>
      </c>
      <c r="D251" s="37" t="s">
        <v>399</v>
      </c>
      <c r="E251" s="37" t="s">
        <v>115</v>
      </c>
      <c r="F251" s="38" t="s">
        <v>128</v>
      </c>
    </row>
    <row r="252" spans="1:6">
      <c r="A252" s="35">
        <v>15272</v>
      </c>
      <c r="B252" s="37" t="s">
        <v>819</v>
      </c>
      <c r="C252" s="37" t="s">
        <v>401</v>
      </c>
      <c r="D252" s="37" t="s">
        <v>399</v>
      </c>
      <c r="E252" s="37" t="s">
        <v>115</v>
      </c>
      <c r="F252" s="38" t="s">
        <v>139</v>
      </c>
    </row>
    <row r="253" spans="1:6">
      <c r="A253" s="35">
        <v>15276</v>
      </c>
      <c r="B253" s="37" t="s">
        <v>820</v>
      </c>
      <c r="C253" s="37" t="s">
        <v>401</v>
      </c>
      <c r="D253" s="37" t="s">
        <v>399</v>
      </c>
      <c r="E253" s="37" t="s">
        <v>115</v>
      </c>
      <c r="F253" s="38" t="s">
        <v>139</v>
      </c>
    </row>
    <row r="254" spans="1:6">
      <c r="A254" s="35">
        <v>15293</v>
      </c>
      <c r="B254" s="37" t="s">
        <v>821</v>
      </c>
      <c r="C254" s="37" t="s">
        <v>401</v>
      </c>
      <c r="D254" s="37" t="s">
        <v>399</v>
      </c>
      <c r="E254" s="37" t="s">
        <v>115</v>
      </c>
      <c r="F254" s="38" t="s">
        <v>139</v>
      </c>
    </row>
    <row r="255" spans="1:6">
      <c r="A255" s="35">
        <v>15296</v>
      </c>
      <c r="B255" s="37" t="s">
        <v>822</v>
      </c>
      <c r="C255" s="37" t="s">
        <v>401</v>
      </c>
      <c r="D255" s="37" t="s">
        <v>399</v>
      </c>
      <c r="E255" s="37" t="s">
        <v>115</v>
      </c>
      <c r="F255" s="38" t="s">
        <v>114</v>
      </c>
    </row>
    <row r="256" spans="1:6">
      <c r="A256" s="35">
        <v>15299</v>
      </c>
      <c r="B256" s="37" t="s">
        <v>566</v>
      </c>
      <c r="C256" s="37" t="s">
        <v>401</v>
      </c>
      <c r="D256" s="37" t="s">
        <v>399</v>
      </c>
      <c r="E256" s="37" t="s">
        <v>115</v>
      </c>
      <c r="F256" s="38" t="s">
        <v>114</v>
      </c>
    </row>
    <row r="257" spans="1:6">
      <c r="A257" s="35">
        <v>15317</v>
      </c>
      <c r="B257" s="37" t="s">
        <v>823</v>
      </c>
      <c r="C257" s="37" t="s">
        <v>401</v>
      </c>
      <c r="D257" s="37" t="s">
        <v>399</v>
      </c>
      <c r="E257" s="37" t="s">
        <v>115</v>
      </c>
      <c r="F257" s="38" t="s">
        <v>128</v>
      </c>
    </row>
    <row r="258" spans="1:6">
      <c r="A258" s="35">
        <v>15322</v>
      </c>
      <c r="B258" s="37" t="s">
        <v>824</v>
      </c>
      <c r="C258" s="37" t="s">
        <v>401</v>
      </c>
      <c r="D258" s="37" t="s">
        <v>399</v>
      </c>
      <c r="E258" s="37" t="s">
        <v>115</v>
      </c>
      <c r="F258" s="38" t="s">
        <v>139</v>
      </c>
    </row>
    <row r="259" spans="1:6">
      <c r="A259" s="35">
        <v>15325</v>
      </c>
      <c r="B259" s="37" t="s">
        <v>825</v>
      </c>
      <c r="C259" s="37" t="s">
        <v>401</v>
      </c>
      <c r="D259" s="37" t="s">
        <v>399</v>
      </c>
      <c r="E259" s="37" t="s">
        <v>115</v>
      </c>
      <c r="F259" s="38" t="s">
        <v>114</v>
      </c>
    </row>
    <row r="260" spans="1:6">
      <c r="A260" s="35">
        <v>15332</v>
      </c>
      <c r="B260" s="37" t="s">
        <v>826</v>
      </c>
      <c r="C260" s="37" t="s">
        <v>401</v>
      </c>
      <c r="D260" s="37" t="s">
        <v>399</v>
      </c>
      <c r="E260" s="37" t="s">
        <v>115</v>
      </c>
      <c r="F260" s="38" t="s">
        <v>128</v>
      </c>
    </row>
    <row r="261" spans="1:6">
      <c r="A261" s="35">
        <v>15362</v>
      </c>
      <c r="B261" s="37" t="s">
        <v>827</v>
      </c>
      <c r="C261" s="37" t="s">
        <v>401</v>
      </c>
      <c r="D261" s="37" t="s">
        <v>399</v>
      </c>
      <c r="E261" s="37" t="s">
        <v>115</v>
      </c>
      <c r="F261" s="38" t="s">
        <v>139</v>
      </c>
    </row>
    <row r="262" spans="1:6">
      <c r="A262" s="35">
        <v>15367</v>
      </c>
      <c r="B262" s="37" t="s">
        <v>828</v>
      </c>
      <c r="C262" s="37" t="s">
        <v>401</v>
      </c>
      <c r="D262" s="37" t="s">
        <v>399</v>
      </c>
      <c r="E262" s="37" t="s">
        <v>115</v>
      </c>
      <c r="F262" s="38" t="s">
        <v>139</v>
      </c>
    </row>
    <row r="263" spans="1:6">
      <c r="A263" s="35">
        <v>15380</v>
      </c>
      <c r="B263" s="37" t="s">
        <v>829</v>
      </c>
      <c r="C263" s="37" t="s">
        <v>401</v>
      </c>
      <c r="D263" s="37" t="s">
        <v>399</v>
      </c>
      <c r="E263" s="37" t="s">
        <v>115</v>
      </c>
      <c r="F263" s="38" t="s">
        <v>114</v>
      </c>
    </row>
    <row r="264" spans="1:6">
      <c r="A264" s="35">
        <v>15403</v>
      </c>
      <c r="B264" s="37" t="s">
        <v>830</v>
      </c>
      <c r="C264" s="37" t="s">
        <v>401</v>
      </c>
      <c r="D264" s="37" t="s">
        <v>399</v>
      </c>
      <c r="E264" s="37" t="s">
        <v>115</v>
      </c>
      <c r="F264" s="38" t="s">
        <v>128</v>
      </c>
    </row>
    <row r="265" spans="1:6">
      <c r="A265" s="35">
        <v>15377</v>
      </c>
      <c r="B265" s="37" t="s">
        <v>831</v>
      </c>
      <c r="C265" s="37" t="s">
        <v>401</v>
      </c>
      <c r="D265" s="37" t="s">
        <v>399</v>
      </c>
      <c r="E265" s="37" t="s">
        <v>115</v>
      </c>
      <c r="F265" s="38" t="s">
        <v>128</v>
      </c>
    </row>
    <row r="266" spans="1:6">
      <c r="A266" s="35">
        <v>15425</v>
      </c>
      <c r="B266" s="37" t="s">
        <v>832</v>
      </c>
      <c r="C266" s="37" t="s">
        <v>401</v>
      </c>
      <c r="D266" s="37" t="s">
        <v>399</v>
      </c>
      <c r="E266" s="37" t="s">
        <v>115</v>
      </c>
      <c r="F266" s="38" t="s">
        <v>114</v>
      </c>
    </row>
    <row r="267" spans="1:6">
      <c r="A267" s="35">
        <v>15442</v>
      </c>
      <c r="B267" s="37" t="s">
        <v>833</v>
      </c>
      <c r="C267" s="37" t="s">
        <v>401</v>
      </c>
      <c r="D267" s="37" t="s">
        <v>399</v>
      </c>
      <c r="E267" s="37" t="s">
        <v>115</v>
      </c>
      <c r="F267" s="38" t="s">
        <v>128</v>
      </c>
    </row>
    <row r="268" spans="1:6">
      <c r="A268" s="35">
        <v>15464</v>
      </c>
      <c r="B268" s="37" t="s">
        <v>834</v>
      </c>
      <c r="C268" s="37" t="s">
        <v>401</v>
      </c>
      <c r="D268" s="37" t="s">
        <v>399</v>
      </c>
      <c r="E268" s="37" t="s">
        <v>115</v>
      </c>
      <c r="F268" s="38" t="s">
        <v>139</v>
      </c>
    </row>
    <row r="269" spans="1:6">
      <c r="A269" s="35">
        <v>15466</v>
      </c>
      <c r="B269" s="37" t="s">
        <v>835</v>
      </c>
      <c r="C269" s="37" t="s">
        <v>401</v>
      </c>
      <c r="D269" s="37" t="s">
        <v>399</v>
      </c>
      <c r="E269" s="37" t="s">
        <v>115</v>
      </c>
      <c r="F269" s="38" t="s">
        <v>114</v>
      </c>
    </row>
    <row r="270" spans="1:6">
      <c r="A270" s="35">
        <v>15469</v>
      </c>
      <c r="B270" s="37" t="s">
        <v>836</v>
      </c>
      <c r="C270" s="37" t="s">
        <v>401</v>
      </c>
      <c r="D270" s="37" t="s">
        <v>399</v>
      </c>
      <c r="E270" s="37" t="s">
        <v>115</v>
      </c>
      <c r="F270" s="38" t="s">
        <v>139</v>
      </c>
    </row>
    <row r="271" spans="1:6">
      <c r="A271" s="35">
        <v>15476</v>
      </c>
      <c r="B271" s="37" t="s">
        <v>837</v>
      </c>
      <c r="C271" s="37" t="s">
        <v>401</v>
      </c>
      <c r="D271" s="37" t="s">
        <v>399</v>
      </c>
      <c r="E271" s="37" t="s">
        <v>115</v>
      </c>
      <c r="F271" s="38" t="s">
        <v>150</v>
      </c>
    </row>
    <row r="272" spans="1:6">
      <c r="A272" s="35">
        <v>15480</v>
      </c>
      <c r="B272" s="37" t="s">
        <v>838</v>
      </c>
      <c r="C272" s="37" t="s">
        <v>401</v>
      </c>
      <c r="D272" s="37" t="s">
        <v>399</v>
      </c>
      <c r="E272" s="37" t="s">
        <v>115</v>
      </c>
      <c r="F272" s="38" t="s">
        <v>128</v>
      </c>
    </row>
    <row r="273" spans="1:6">
      <c r="A273" s="35">
        <v>15491</v>
      </c>
      <c r="B273" s="37" t="s">
        <v>839</v>
      </c>
      <c r="C273" s="37" t="s">
        <v>401</v>
      </c>
      <c r="D273" s="37" t="s">
        <v>399</v>
      </c>
      <c r="E273" s="37" t="s">
        <v>115</v>
      </c>
      <c r="F273" s="38" t="s">
        <v>139</v>
      </c>
    </row>
    <row r="274" spans="1:6">
      <c r="A274" s="35">
        <v>15494</v>
      </c>
      <c r="B274" s="37" t="s">
        <v>840</v>
      </c>
      <c r="C274" s="37" t="s">
        <v>401</v>
      </c>
      <c r="D274" s="37" t="s">
        <v>399</v>
      </c>
      <c r="E274" s="37" t="s">
        <v>115</v>
      </c>
      <c r="F274" s="38" t="s">
        <v>139</v>
      </c>
    </row>
    <row r="275" spans="1:6">
      <c r="A275" s="35">
        <v>15500</v>
      </c>
      <c r="B275" s="37" t="s">
        <v>841</v>
      </c>
      <c r="C275" s="37" t="s">
        <v>401</v>
      </c>
      <c r="D275" s="37" t="s">
        <v>399</v>
      </c>
      <c r="E275" s="37" t="s">
        <v>115</v>
      </c>
      <c r="F275" s="38" t="s">
        <v>139</v>
      </c>
    </row>
    <row r="276" spans="1:6">
      <c r="A276" s="35">
        <v>15507</v>
      </c>
      <c r="B276" s="37" t="s">
        <v>842</v>
      </c>
      <c r="C276" s="37" t="s">
        <v>401</v>
      </c>
      <c r="D276" s="37" t="s">
        <v>399</v>
      </c>
      <c r="E276" s="37" t="s">
        <v>115</v>
      </c>
      <c r="F276" s="38" t="s">
        <v>128</v>
      </c>
    </row>
    <row r="277" spans="1:6">
      <c r="A277" s="35">
        <v>15511</v>
      </c>
      <c r="B277" s="37" t="s">
        <v>843</v>
      </c>
      <c r="C277" s="37" t="s">
        <v>401</v>
      </c>
      <c r="D277" s="37" t="s">
        <v>399</v>
      </c>
      <c r="E277" s="37" t="s">
        <v>115</v>
      </c>
      <c r="F277" s="38" t="s">
        <v>114</v>
      </c>
    </row>
    <row r="278" spans="1:6">
      <c r="A278" s="35">
        <v>15516</v>
      </c>
      <c r="B278" s="37" t="s">
        <v>844</v>
      </c>
      <c r="C278" s="37" t="s">
        <v>401</v>
      </c>
      <c r="D278" s="37" t="s">
        <v>399</v>
      </c>
      <c r="E278" s="37" t="s">
        <v>115</v>
      </c>
      <c r="F278" s="38" t="s">
        <v>139</v>
      </c>
    </row>
    <row r="279" spans="1:6">
      <c r="A279" s="35">
        <v>15518</v>
      </c>
      <c r="B279" s="37" t="s">
        <v>845</v>
      </c>
      <c r="C279" s="37" t="s">
        <v>401</v>
      </c>
      <c r="D279" s="37" t="s">
        <v>432</v>
      </c>
      <c r="E279" s="37" t="s">
        <v>115</v>
      </c>
      <c r="F279" s="38" t="s">
        <v>114</v>
      </c>
    </row>
    <row r="280" spans="1:6">
      <c r="A280" s="35">
        <v>15522</v>
      </c>
      <c r="B280" s="37" t="s">
        <v>846</v>
      </c>
      <c r="C280" s="37" t="s">
        <v>401</v>
      </c>
      <c r="D280" s="37" t="s">
        <v>399</v>
      </c>
      <c r="E280" s="37" t="s">
        <v>115</v>
      </c>
      <c r="F280" s="38" t="s">
        <v>128</v>
      </c>
    </row>
    <row r="281" spans="1:6">
      <c r="A281" s="35">
        <v>15531</v>
      </c>
      <c r="B281" s="37" t="s">
        <v>847</v>
      </c>
      <c r="C281" s="37" t="s">
        <v>401</v>
      </c>
      <c r="D281" s="37" t="s">
        <v>399</v>
      </c>
      <c r="E281" s="37" t="s">
        <v>115</v>
      </c>
      <c r="F281" s="38" t="s">
        <v>114</v>
      </c>
    </row>
    <row r="282" spans="1:6">
      <c r="A282" s="35">
        <v>15533</v>
      </c>
      <c r="B282" s="37" t="s">
        <v>848</v>
      </c>
      <c r="C282" s="37" t="s">
        <v>401</v>
      </c>
      <c r="D282" s="37" t="s">
        <v>399</v>
      </c>
      <c r="E282" s="37" t="s">
        <v>115</v>
      </c>
      <c r="F282" s="38" t="s">
        <v>128</v>
      </c>
    </row>
    <row r="283" spans="1:6">
      <c r="A283" s="35">
        <v>15537</v>
      </c>
      <c r="B283" s="37" t="s">
        <v>849</v>
      </c>
      <c r="C283" s="37" t="s">
        <v>401</v>
      </c>
      <c r="D283" s="37" t="s">
        <v>399</v>
      </c>
      <c r="E283" s="37" t="s">
        <v>115</v>
      </c>
      <c r="F283" s="38" t="s">
        <v>139</v>
      </c>
    </row>
    <row r="284" spans="1:6">
      <c r="A284" s="35">
        <v>15542</v>
      </c>
      <c r="B284" s="37" t="s">
        <v>850</v>
      </c>
      <c r="C284" s="37" t="s">
        <v>401</v>
      </c>
      <c r="D284" s="37" t="s">
        <v>399</v>
      </c>
      <c r="E284" s="37" t="s">
        <v>115</v>
      </c>
      <c r="F284" s="38" t="s">
        <v>114</v>
      </c>
    </row>
    <row r="285" spans="1:6">
      <c r="A285" s="35">
        <v>15550</v>
      </c>
      <c r="B285" s="37" t="s">
        <v>851</v>
      </c>
      <c r="C285" s="37" t="s">
        <v>401</v>
      </c>
      <c r="D285" s="37" t="s">
        <v>399</v>
      </c>
      <c r="E285" s="37" t="s">
        <v>115</v>
      </c>
      <c r="F285" s="38" t="s">
        <v>128</v>
      </c>
    </row>
    <row r="286" spans="1:6">
      <c r="A286" s="35">
        <v>15572</v>
      </c>
      <c r="B286" s="37" t="s">
        <v>852</v>
      </c>
      <c r="C286" s="37" t="s">
        <v>401</v>
      </c>
      <c r="D286" s="37" t="s">
        <v>100</v>
      </c>
      <c r="E286" s="37" t="s">
        <v>115</v>
      </c>
      <c r="F286" s="38" t="s">
        <v>128</v>
      </c>
    </row>
    <row r="287" spans="1:6">
      <c r="A287" s="35">
        <v>15580</v>
      </c>
      <c r="B287" s="37" t="s">
        <v>853</v>
      </c>
      <c r="C287" s="37" t="s">
        <v>401</v>
      </c>
      <c r="D287" s="37" t="s">
        <v>399</v>
      </c>
      <c r="E287" s="37" t="s">
        <v>115</v>
      </c>
      <c r="F287" s="38" t="s">
        <v>128</v>
      </c>
    </row>
    <row r="288" spans="1:6">
      <c r="A288" s="35">
        <v>15599</v>
      </c>
      <c r="B288" s="37" t="s">
        <v>854</v>
      </c>
      <c r="C288" s="37" t="s">
        <v>401</v>
      </c>
      <c r="D288" s="37" t="s">
        <v>399</v>
      </c>
      <c r="E288" s="37" t="s">
        <v>115</v>
      </c>
      <c r="F288" s="38" t="s">
        <v>139</v>
      </c>
    </row>
    <row r="289" spans="1:6">
      <c r="A289" s="35">
        <v>15600</v>
      </c>
      <c r="B289" s="37" t="s">
        <v>855</v>
      </c>
      <c r="C289" s="37" t="s">
        <v>401</v>
      </c>
      <c r="D289" s="37" t="s">
        <v>399</v>
      </c>
      <c r="E289" s="37" t="s">
        <v>115</v>
      </c>
      <c r="F289" s="38" t="s">
        <v>139</v>
      </c>
    </row>
    <row r="290" spans="1:6">
      <c r="A290" s="35">
        <v>15621</v>
      </c>
      <c r="B290" s="37" t="s">
        <v>856</v>
      </c>
      <c r="C290" s="37" t="s">
        <v>401</v>
      </c>
      <c r="D290" s="37" t="s">
        <v>399</v>
      </c>
      <c r="E290" s="37" t="s">
        <v>115</v>
      </c>
      <c r="F290" s="38" t="s">
        <v>114</v>
      </c>
    </row>
    <row r="291" spans="1:6">
      <c r="A291" s="35">
        <v>15632</v>
      </c>
      <c r="B291" s="37" t="s">
        <v>857</v>
      </c>
      <c r="C291" s="37" t="s">
        <v>401</v>
      </c>
      <c r="D291" s="37" t="s">
        <v>399</v>
      </c>
      <c r="E291" s="37" t="s">
        <v>115</v>
      </c>
      <c r="F291" s="38" t="s">
        <v>139</v>
      </c>
    </row>
    <row r="292" spans="1:6">
      <c r="A292" s="35">
        <v>15638</v>
      </c>
      <c r="B292" s="37" t="s">
        <v>858</v>
      </c>
      <c r="C292" s="37" t="s">
        <v>401</v>
      </c>
      <c r="D292" s="37" t="s">
        <v>399</v>
      </c>
      <c r="E292" s="37" t="s">
        <v>115</v>
      </c>
      <c r="F292" s="38" t="s">
        <v>139</v>
      </c>
    </row>
    <row r="293" spans="1:6">
      <c r="A293" s="35">
        <v>15646</v>
      </c>
      <c r="B293" s="37" t="s">
        <v>552</v>
      </c>
      <c r="C293" s="37" t="s">
        <v>401</v>
      </c>
      <c r="D293" s="37" t="s">
        <v>399</v>
      </c>
      <c r="E293" s="37" t="s">
        <v>115</v>
      </c>
      <c r="F293" s="38" t="s">
        <v>139</v>
      </c>
    </row>
    <row r="294" spans="1:6">
      <c r="A294" s="35">
        <v>15660</v>
      </c>
      <c r="B294" s="37" t="s">
        <v>859</v>
      </c>
      <c r="C294" s="37" t="s">
        <v>401</v>
      </c>
      <c r="D294" s="37" t="s">
        <v>399</v>
      </c>
      <c r="E294" s="37" t="s">
        <v>115</v>
      </c>
      <c r="F294" s="38" t="s">
        <v>128</v>
      </c>
    </row>
    <row r="295" spans="1:6">
      <c r="A295" s="35">
        <v>15664</v>
      </c>
      <c r="B295" s="37" t="s">
        <v>860</v>
      </c>
      <c r="C295" s="37" t="s">
        <v>401</v>
      </c>
      <c r="D295" s="37" t="s">
        <v>399</v>
      </c>
      <c r="E295" s="37" t="s">
        <v>115</v>
      </c>
      <c r="F295" s="38" t="s">
        <v>139</v>
      </c>
    </row>
    <row r="296" spans="1:6">
      <c r="A296" s="35">
        <v>15667</v>
      </c>
      <c r="B296" s="37" t="s">
        <v>861</v>
      </c>
      <c r="C296" s="37" t="s">
        <v>401</v>
      </c>
      <c r="D296" s="37" t="s">
        <v>399</v>
      </c>
      <c r="E296" s="37" t="s">
        <v>115</v>
      </c>
      <c r="F296" s="38" t="s">
        <v>114</v>
      </c>
    </row>
    <row r="297" spans="1:6">
      <c r="A297" s="35">
        <v>15673</v>
      </c>
      <c r="B297" s="37" t="s">
        <v>862</v>
      </c>
      <c r="C297" s="37" t="s">
        <v>401</v>
      </c>
      <c r="D297" s="37" t="s">
        <v>399</v>
      </c>
      <c r="E297" s="37" t="s">
        <v>115</v>
      </c>
      <c r="F297" s="38" t="s">
        <v>128</v>
      </c>
    </row>
    <row r="298" spans="1:6">
      <c r="A298" s="35">
        <v>15676</v>
      </c>
      <c r="B298" s="37" t="s">
        <v>863</v>
      </c>
      <c r="C298" s="37" t="s">
        <v>401</v>
      </c>
      <c r="D298" s="37" t="s">
        <v>399</v>
      </c>
      <c r="E298" s="37" t="s">
        <v>115</v>
      </c>
      <c r="F298" s="38" t="s">
        <v>114</v>
      </c>
    </row>
    <row r="299" spans="1:6">
      <c r="A299" s="35">
        <v>15681</v>
      </c>
      <c r="B299" s="37" t="s">
        <v>864</v>
      </c>
      <c r="C299" s="37" t="s">
        <v>401</v>
      </c>
      <c r="D299" s="37" t="s">
        <v>399</v>
      </c>
      <c r="E299" s="37" t="s">
        <v>115</v>
      </c>
      <c r="F299" s="38" t="s">
        <v>128</v>
      </c>
    </row>
    <row r="300" spans="1:6">
      <c r="A300" s="35">
        <v>15693</v>
      </c>
      <c r="B300" s="37" t="s">
        <v>559</v>
      </c>
      <c r="C300" s="37" t="s">
        <v>401</v>
      </c>
      <c r="D300" s="37" t="s">
        <v>399</v>
      </c>
      <c r="E300" s="37" t="s">
        <v>115</v>
      </c>
      <c r="F300" s="38" t="s">
        <v>139</v>
      </c>
    </row>
    <row r="301" spans="1:6">
      <c r="A301" s="35">
        <v>15696</v>
      </c>
      <c r="B301" s="37" t="s">
        <v>865</v>
      </c>
      <c r="C301" s="37" t="s">
        <v>401</v>
      </c>
      <c r="D301" s="37" t="s">
        <v>399</v>
      </c>
      <c r="E301" s="37" t="s">
        <v>115</v>
      </c>
      <c r="F301" s="38" t="s">
        <v>139</v>
      </c>
    </row>
    <row r="302" spans="1:6">
      <c r="A302" s="35">
        <v>15686</v>
      </c>
      <c r="B302" s="37" t="s">
        <v>866</v>
      </c>
      <c r="C302" s="37" t="s">
        <v>401</v>
      </c>
      <c r="D302" s="37" t="s">
        <v>399</v>
      </c>
      <c r="E302" s="37" t="s">
        <v>115</v>
      </c>
      <c r="F302" s="38" t="s">
        <v>114</v>
      </c>
    </row>
    <row r="303" spans="1:6">
      <c r="A303" s="35">
        <v>15720</v>
      </c>
      <c r="B303" s="37" t="s">
        <v>867</v>
      </c>
      <c r="C303" s="37" t="s">
        <v>401</v>
      </c>
      <c r="D303" s="37" t="s">
        <v>399</v>
      </c>
      <c r="E303" s="37" t="s">
        <v>115</v>
      </c>
      <c r="F303" s="38" t="s">
        <v>114</v>
      </c>
    </row>
    <row r="304" spans="1:6">
      <c r="A304" s="35">
        <v>15723</v>
      </c>
      <c r="B304" s="37" t="s">
        <v>868</v>
      </c>
      <c r="C304" s="37" t="s">
        <v>401</v>
      </c>
      <c r="D304" s="37" t="s">
        <v>399</v>
      </c>
      <c r="E304" s="37" t="s">
        <v>115</v>
      </c>
      <c r="F304" s="38" t="s">
        <v>114</v>
      </c>
    </row>
    <row r="305" spans="1:6">
      <c r="A305" s="35">
        <v>15740</v>
      </c>
      <c r="B305" s="37" t="s">
        <v>869</v>
      </c>
      <c r="C305" s="37" t="s">
        <v>401</v>
      </c>
      <c r="D305" s="37" t="s">
        <v>399</v>
      </c>
      <c r="E305" s="37" t="s">
        <v>115</v>
      </c>
      <c r="F305" s="38" t="s">
        <v>139</v>
      </c>
    </row>
    <row r="306" spans="1:6">
      <c r="A306" s="35">
        <v>15753</v>
      </c>
      <c r="B306" s="37" t="s">
        <v>870</v>
      </c>
      <c r="C306" s="37" t="s">
        <v>401</v>
      </c>
      <c r="D306" s="37" t="s">
        <v>399</v>
      </c>
      <c r="E306" s="37" t="s">
        <v>115</v>
      </c>
      <c r="F306" s="38" t="s">
        <v>114</v>
      </c>
    </row>
    <row r="307" spans="1:6">
      <c r="A307" s="35">
        <v>15757</v>
      </c>
      <c r="B307" s="37" t="s">
        <v>871</v>
      </c>
      <c r="C307" s="37" t="s">
        <v>401</v>
      </c>
      <c r="D307" s="37" t="s">
        <v>399</v>
      </c>
      <c r="E307" s="37" t="s">
        <v>115</v>
      </c>
      <c r="F307" s="38" t="s">
        <v>114</v>
      </c>
    </row>
    <row r="308" spans="1:6">
      <c r="A308" s="35">
        <v>15755</v>
      </c>
      <c r="B308" s="37" t="s">
        <v>872</v>
      </c>
      <c r="C308" s="37" t="s">
        <v>401</v>
      </c>
      <c r="D308" s="37" t="s">
        <v>399</v>
      </c>
      <c r="E308" s="37" t="s">
        <v>115</v>
      </c>
      <c r="F308" s="38" t="s">
        <v>114</v>
      </c>
    </row>
    <row r="309" spans="1:6">
      <c r="A309" s="35">
        <v>15759</v>
      </c>
      <c r="B309" s="37" t="s">
        <v>873</v>
      </c>
      <c r="C309" s="37" t="s">
        <v>401</v>
      </c>
      <c r="D309" s="37" t="s">
        <v>399</v>
      </c>
      <c r="E309" s="37" t="s">
        <v>115</v>
      </c>
      <c r="F309" s="38" t="s">
        <v>139</v>
      </c>
    </row>
    <row r="310" spans="1:6">
      <c r="A310" s="35">
        <v>15761</v>
      </c>
      <c r="B310" s="37" t="s">
        <v>874</v>
      </c>
      <c r="C310" s="37" t="s">
        <v>401</v>
      </c>
      <c r="D310" s="37" t="s">
        <v>399</v>
      </c>
      <c r="E310" s="37" t="s">
        <v>115</v>
      </c>
      <c r="F310" s="38" t="s">
        <v>114</v>
      </c>
    </row>
    <row r="311" spans="1:6">
      <c r="A311" s="35">
        <v>15762</v>
      </c>
      <c r="B311" s="37" t="s">
        <v>875</v>
      </c>
      <c r="C311" s="37" t="s">
        <v>401</v>
      </c>
      <c r="D311" s="37" t="s">
        <v>399</v>
      </c>
      <c r="E311" s="37" t="s">
        <v>115</v>
      </c>
      <c r="F311" s="38" t="s">
        <v>139</v>
      </c>
    </row>
    <row r="312" spans="1:6">
      <c r="A312" s="35">
        <v>15764</v>
      </c>
      <c r="B312" s="37" t="s">
        <v>876</v>
      </c>
      <c r="C312" s="37" t="s">
        <v>401</v>
      </c>
      <c r="D312" s="37" t="s">
        <v>399</v>
      </c>
      <c r="E312" s="37" t="s">
        <v>115</v>
      </c>
      <c r="F312" s="38" t="s">
        <v>150</v>
      </c>
    </row>
    <row r="313" spans="1:6">
      <c r="A313" s="35">
        <v>15763</v>
      </c>
      <c r="B313" s="37" t="s">
        <v>877</v>
      </c>
      <c r="C313" s="37" t="s">
        <v>401</v>
      </c>
      <c r="D313" s="37" t="s">
        <v>399</v>
      </c>
      <c r="E313" s="37" t="s">
        <v>115</v>
      </c>
      <c r="F313" s="38" t="s">
        <v>139</v>
      </c>
    </row>
    <row r="314" spans="1:6">
      <c r="A314" s="35">
        <v>15774</v>
      </c>
      <c r="B314" s="37" t="s">
        <v>878</v>
      </c>
      <c r="C314" s="37" t="s">
        <v>401</v>
      </c>
      <c r="D314" s="37" t="s">
        <v>399</v>
      </c>
      <c r="E314" s="37" t="s">
        <v>115</v>
      </c>
      <c r="F314" s="38" t="s">
        <v>114</v>
      </c>
    </row>
    <row r="315" spans="1:6">
      <c r="A315" s="35">
        <v>15776</v>
      </c>
      <c r="B315" s="37" t="s">
        <v>879</v>
      </c>
      <c r="C315" s="37" t="s">
        <v>401</v>
      </c>
      <c r="D315" s="37" t="s">
        <v>399</v>
      </c>
      <c r="E315" s="37" t="s">
        <v>115</v>
      </c>
      <c r="F315" s="38" t="s">
        <v>139</v>
      </c>
    </row>
    <row r="316" spans="1:6">
      <c r="A316" s="35">
        <v>15778</v>
      </c>
      <c r="B316" s="37" t="s">
        <v>880</v>
      </c>
      <c r="C316" s="37" t="s">
        <v>401</v>
      </c>
      <c r="D316" s="37" t="s">
        <v>399</v>
      </c>
      <c r="E316" s="37" t="s">
        <v>115</v>
      </c>
      <c r="F316" s="38" t="s">
        <v>114</v>
      </c>
    </row>
    <row r="317" spans="1:6">
      <c r="A317" s="35">
        <v>15790</v>
      </c>
      <c r="B317" s="37" t="s">
        <v>881</v>
      </c>
      <c r="C317" s="37" t="s">
        <v>401</v>
      </c>
      <c r="D317" s="37" t="s">
        <v>399</v>
      </c>
      <c r="E317" s="37" t="s">
        <v>115</v>
      </c>
      <c r="F317" s="38" t="s">
        <v>114</v>
      </c>
    </row>
    <row r="318" spans="1:6">
      <c r="A318" s="35">
        <v>15798</v>
      </c>
      <c r="B318" s="37" t="s">
        <v>882</v>
      </c>
      <c r="C318" s="37" t="s">
        <v>401</v>
      </c>
      <c r="D318" s="37" t="s">
        <v>399</v>
      </c>
      <c r="E318" s="37" t="s">
        <v>115</v>
      </c>
      <c r="F318" s="38" t="s">
        <v>114</v>
      </c>
    </row>
    <row r="319" spans="1:6">
      <c r="A319" s="35">
        <v>15804</v>
      </c>
      <c r="B319" s="37" t="s">
        <v>883</v>
      </c>
      <c r="C319" s="37" t="s">
        <v>401</v>
      </c>
      <c r="D319" s="37" t="s">
        <v>399</v>
      </c>
      <c r="E319" s="37" t="s">
        <v>115</v>
      </c>
      <c r="F319" s="38" t="s">
        <v>139</v>
      </c>
    </row>
    <row r="320" spans="1:6">
      <c r="A320" s="35">
        <v>15806</v>
      </c>
      <c r="B320" s="37" t="s">
        <v>884</v>
      </c>
      <c r="C320" s="37" t="s">
        <v>401</v>
      </c>
      <c r="D320" s="37" t="s">
        <v>399</v>
      </c>
      <c r="E320" s="37" t="s">
        <v>115</v>
      </c>
      <c r="F320" s="38" t="s">
        <v>139</v>
      </c>
    </row>
    <row r="321" spans="1:6">
      <c r="A321" s="35">
        <v>15808</v>
      </c>
      <c r="B321" s="37" t="s">
        <v>885</v>
      </c>
      <c r="C321" s="37" t="s">
        <v>401</v>
      </c>
      <c r="D321" s="37" t="s">
        <v>399</v>
      </c>
      <c r="E321" s="37" t="s">
        <v>115</v>
      </c>
      <c r="F321" s="38" t="s">
        <v>139</v>
      </c>
    </row>
    <row r="322" spans="1:6">
      <c r="A322" s="35">
        <v>15810</v>
      </c>
      <c r="B322" s="37" t="s">
        <v>886</v>
      </c>
      <c r="C322" s="37" t="s">
        <v>401</v>
      </c>
      <c r="D322" s="37" t="s">
        <v>399</v>
      </c>
      <c r="E322" s="37" t="s">
        <v>115</v>
      </c>
      <c r="F322" s="38" t="s">
        <v>114</v>
      </c>
    </row>
    <row r="323" spans="1:6">
      <c r="A323" s="35">
        <v>15814</v>
      </c>
      <c r="B323" s="37" t="s">
        <v>402</v>
      </c>
      <c r="C323" s="37" t="s">
        <v>401</v>
      </c>
      <c r="D323" s="37" t="s">
        <v>399</v>
      </c>
      <c r="E323" s="37" t="s">
        <v>115</v>
      </c>
      <c r="F323" s="38" t="s">
        <v>139</v>
      </c>
    </row>
    <row r="324" spans="1:6">
      <c r="A324" s="35">
        <v>15816</v>
      </c>
      <c r="B324" s="37" t="s">
        <v>887</v>
      </c>
      <c r="C324" s="37" t="s">
        <v>401</v>
      </c>
      <c r="D324" s="37" t="s">
        <v>399</v>
      </c>
      <c r="E324" s="37" t="s">
        <v>115</v>
      </c>
      <c r="F324" s="38" t="s">
        <v>139</v>
      </c>
    </row>
    <row r="325" spans="1:6">
      <c r="A325" s="35">
        <v>15820</v>
      </c>
      <c r="B325" s="37" t="s">
        <v>888</v>
      </c>
      <c r="C325" s="37" t="s">
        <v>401</v>
      </c>
      <c r="D325" s="37" t="s">
        <v>399</v>
      </c>
      <c r="E325" s="37" t="s">
        <v>115</v>
      </c>
      <c r="F325" s="38" t="s">
        <v>114</v>
      </c>
    </row>
    <row r="326" spans="1:6">
      <c r="A326" s="35">
        <v>15822</v>
      </c>
      <c r="B326" s="37" t="s">
        <v>427</v>
      </c>
      <c r="C326" s="37" t="s">
        <v>401</v>
      </c>
      <c r="D326" s="37" t="s">
        <v>399</v>
      </c>
      <c r="E326" s="37" t="s">
        <v>115</v>
      </c>
      <c r="F326" s="38" t="s">
        <v>139</v>
      </c>
    </row>
    <row r="327" spans="1:6">
      <c r="A327" s="35">
        <v>15001</v>
      </c>
      <c r="B327" s="37" t="s">
        <v>399</v>
      </c>
      <c r="C327" s="37" t="s">
        <v>401</v>
      </c>
      <c r="D327" s="37" t="s">
        <v>399</v>
      </c>
      <c r="E327" s="37" t="s">
        <v>115</v>
      </c>
      <c r="F327" s="38" t="s">
        <v>150</v>
      </c>
    </row>
    <row r="328" spans="1:6">
      <c r="A328" s="35">
        <v>15832</v>
      </c>
      <c r="B328" s="37" t="s">
        <v>889</v>
      </c>
      <c r="C328" s="37" t="s">
        <v>401</v>
      </c>
      <c r="D328" s="37" t="s">
        <v>399</v>
      </c>
      <c r="E328" s="37" t="s">
        <v>115</v>
      </c>
      <c r="F328" s="38" t="s">
        <v>114</v>
      </c>
    </row>
    <row r="329" spans="1:6">
      <c r="A329" s="35">
        <v>15835</v>
      </c>
      <c r="B329" s="37" t="s">
        <v>890</v>
      </c>
      <c r="C329" s="37" t="s">
        <v>401</v>
      </c>
      <c r="D329" s="37" t="s">
        <v>399</v>
      </c>
      <c r="E329" s="37" t="s">
        <v>115</v>
      </c>
      <c r="F329" s="38" t="s">
        <v>139</v>
      </c>
    </row>
    <row r="330" spans="1:6">
      <c r="A330" s="35">
        <v>15837</v>
      </c>
      <c r="B330" s="37" t="s">
        <v>891</v>
      </c>
      <c r="C330" s="37" t="s">
        <v>401</v>
      </c>
      <c r="D330" s="37" t="s">
        <v>399</v>
      </c>
      <c r="E330" s="37" t="s">
        <v>115</v>
      </c>
      <c r="F330" s="38" t="s">
        <v>139</v>
      </c>
    </row>
    <row r="331" spans="1:6">
      <c r="A331" s="35">
        <v>15839</v>
      </c>
      <c r="B331" s="37" t="s">
        <v>892</v>
      </c>
      <c r="C331" s="37" t="s">
        <v>401</v>
      </c>
      <c r="D331" s="37" t="s">
        <v>399</v>
      </c>
      <c r="E331" s="37" t="s">
        <v>115</v>
      </c>
      <c r="F331" s="38" t="s">
        <v>139</v>
      </c>
    </row>
    <row r="332" spans="1:6">
      <c r="A332" s="35">
        <v>15842</v>
      </c>
      <c r="B332" s="37" t="s">
        <v>893</v>
      </c>
      <c r="C332" s="37" t="s">
        <v>401</v>
      </c>
      <c r="D332" s="37" t="s">
        <v>399</v>
      </c>
      <c r="E332" s="37" t="s">
        <v>115</v>
      </c>
      <c r="F332" s="38" t="s">
        <v>139</v>
      </c>
    </row>
    <row r="333" spans="1:6">
      <c r="A333" s="35">
        <v>15861</v>
      </c>
      <c r="B333" s="37" t="s">
        <v>894</v>
      </c>
      <c r="C333" s="37" t="s">
        <v>401</v>
      </c>
      <c r="D333" s="37" t="s">
        <v>399</v>
      </c>
      <c r="E333" s="37" t="s">
        <v>115</v>
      </c>
      <c r="F333" s="38" t="s">
        <v>139</v>
      </c>
    </row>
    <row r="334" spans="1:6">
      <c r="A334" s="35">
        <v>15407</v>
      </c>
      <c r="B334" s="37" t="s">
        <v>895</v>
      </c>
      <c r="C334" s="37" t="s">
        <v>401</v>
      </c>
      <c r="D334" s="37" t="s">
        <v>399</v>
      </c>
      <c r="E334" s="37" t="s">
        <v>115</v>
      </c>
      <c r="F334" s="38" t="s">
        <v>139</v>
      </c>
    </row>
    <row r="335" spans="1:6">
      <c r="A335" s="35">
        <v>15879</v>
      </c>
      <c r="B335" s="37" t="s">
        <v>896</v>
      </c>
      <c r="C335" s="37" t="s">
        <v>401</v>
      </c>
      <c r="D335" s="37" t="s">
        <v>399</v>
      </c>
      <c r="E335" s="37" t="s">
        <v>115</v>
      </c>
      <c r="F335" s="38" t="s">
        <v>139</v>
      </c>
    </row>
    <row r="336" spans="1:6">
      <c r="A336" s="35">
        <v>15897</v>
      </c>
      <c r="B336" s="37" t="s">
        <v>897</v>
      </c>
      <c r="C336" s="37" t="s">
        <v>401</v>
      </c>
      <c r="D336" s="37" t="s">
        <v>399</v>
      </c>
      <c r="E336" s="37" t="s">
        <v>115</v>
      </c>
      <c r="F336" s="38" t="s">
        <v>114</v>
      </c>
    </row>
    <row r="337" spans="1:6">
      <c r="A337" s="35">
        <v>17524</v>
      </c>
      <c r="B337" s="36" t="s">
        <v>898</v>
      </c>
      <c r="C337" s="37" t="s">
        <v>600</v>
      </c>
      <c r="D337" s="37" t="s">
        <v>899</v>
      </c>
      <c r="E337" s="37" t="s">
        <v>115</v>
      </c>
      <c r="F337" s="38" t="s">
        <v>139</v>
      </c>
    </row>
    <row r="338" spans="1:6">
      <c r="A338" s="35">
        <v>17614</v>
      </c>
      <c r="B338" s="36" t="s">
        <v>900</v>
      </c>
      <c r="C338" s="37" t="s">
        <v>600</v>
      </c>
      <c r="D338" s="37" t="s">
        <v>899</v>
      </c>
      <c r="E338" s="37" t="s">
        <v>115</v>
      </c>
      <c r="F338" s="38" t="s">
        <v>139</v>
      </c>
    </row>
    <row r="339" spans="1:6">
      <c r="A339" s="35">
        <v>17653</v>
      </c>
      <c r="B339" s="36" t="s">
        <v>901</v>
      </c>
      <c r="C339" s="37" t="s">
        <v>600</v>
      </c>
      <c r="D339" s="37" t="s">
        <v>899</v>
      </c>
      <c r="E339" s="37" t="s">
        <v>115</v>
      </c>
      <c r="F339" s="38" t="s">
        <v>139</v>
      </c>
    </row>
    <row r="340" spans="1:6">
      <c r="A340" s="35">
        <v>17013</v>
      </c>
      <c r="B340" s="37" t="s">
        <v>902</v>
      </c>
      <c r="C340" s="37" t="s">
        <v>600</v>
      </c>
      <c r="D340" s="37" t="s">
        <v>899</v>
      </c>
      <c r="E340" s="37" t="s">
        <v>115</v>
      </c>
      <c r="F340" s="38" t="s">
        <v>114</v>
      </c>
    </row>
    <row r="341" spans="1:6">
      <c r="A341" s="35">
        <v>17042</v>
      </c>
      <c r="B341" s="37" t="s">
        <v>903</v>
      </c>
      <c r="C341" s="37" t="s">
        <v>600</v>
      </c>
      <c r="D341" s="37" t="s">
        <v>899</v>
      </c>
      <c r="E341" s="37" t="s">
        <v>115</v>
      </c>
      <c r="F341" s="38" t="s">
        <v>139</v>
      </c>
    </row>
    <row r="342" spans="1:6">
      <c r="A342" s="35">
        <v>17050</v>
      </c>
      <c r="B342" s="37" t="s">
        <v>904</v>
      </c>
      <c r="C342" s="37" t="s">
        <v>600</v>
      </c>
      <c r="D342" s="37" t="s">
        <v>899</v>
      </c>
      <c r="E342" s="37" t="s">
        <v>115</v>
      </c>
      <c r="F342" s="38" t="s">
        <v>139</v>
      </c>
    </row>
    <row r="343" spans="1:6">
      <c r="A343" s="35">
        <v>17088</v>
      </c>
      <c r="B343" s="37" t="s">
        <v>905</v>
      </c>
      <c r="C343" s="37" t="s">
        <v>600</v>
      </c>
      <c r="D343" s="37" t="s">
        <v>899</v>
      </c>
      <c r="E343" s="37" t="s">
        <v>115</v>
      </c>
      <c r="F343" s="38" t="s">
        <v>139</v>
      </c>
    </row>
    <row r="344" spans="1:6">
      <c r="A344" s="35">
        <v>17174</v>
      </c>
      <c r="B344" s="37" t="s">
        <v>906</v>
      </c>
      <c r="C344" s="37" t="s">
        <v>600</v>
      </c>
      <c r="D344" s="37" t="s">
        <v>899</v>
      </c>
      <c r="E344" s="37" t="s">
        <v>115</v>
      </c>
      <c r="F344" s="38" t="s">
        <v>139</v>
      </c>
    </row>
    <row r="345" spans="1:6">
      <c r="A345" s="35">
        <v>17272</v>
      </c>
      <c r="B345" s="37" t="s">
        <v>907</v>
      </c>
      <c r="C345" s="37" t="s">
        <v>600</v>
      </c>
      <c r="D345" s="37" t="s">
        <v>899</v>
      </c>
      <c r="E345" s="37" t="s">
        <v>115</v>
      </c>
      <c r="F345" s="38" t="s">
        <v>139</v>
      </c>
    </row>
    <row r="346" spans="1:6">
      <c r="A346" s="35">
        <v>17380</v>
      </c>
      <c r="B346" s="37" t="s">
        <v>908</v>
      </c>
      <c r="C346" s="37" t="s">
        <v>600</v>
      </c>
      <c r="D346" s="37" t="s">
        <v>360</v>
      </c>
      <c r="E346" s="37" t="s">
        <v>115</v>
      </c>
      <c r="F346" s="38" t="s">
        <v>114</v>
      </c>
    </row>
    <row r="347" spans="1:6">
      <c r="A347" s="35">
        <v>17388</v>
      </c>
      <c r="B347" s="37" t="s">
        <v>909</v>
      </c>
      <c r="C347" s="37" t="s">
        <v>600</v>
      </c>
      <c r="D347" s="37" t="s">
        <v>899</v>
      </c>
      <c r="E347" s="37" t="s">
        <v>115</v>
      </c>
      <c r="F347" s="38" t="s">
        <v>139</v>
      </c>
    </row>
    <row r="348" spans="1:6">
      <c r="A348" s="35">
        <v>17001</v>
      </c>
      <c r="B348" s="37" t="s">
        <v>899</v>
      </c>
      <c r="C348" s="37" t="s">
        <v>600</v>
      </c>
      <c r="D348" s="37" t="s">
        <v>899</v>
      </c>
      <c r="E348" s="37" t="s">
        <v>115</v>
      </c>
      <c r="F348" s="38" t="s">
        <v>150</v>
      </c>
    </row>
    <row r="349" spans="1:6">
      <c r="A349" s="35">
        <v>17433</v>
      </c>
      <c r="B349" s="37" t="s">
        <v>910</v>
      </c>
      <c r="C349" s="37" t="s">
        <v>600</v>
      </c>
      <c r="D349" s="37" t="s">
        <v>899</v>
      </c>
      <c r="E349" s="37" t="s">
        <v>115</v>
      </c>
      <c r="F349" s="38" t="s">
        <v>114</v>
      </c>
    </row>
    <row r="350" spans="1:6">
      <c r="A350" s="35">
        <v>17442</v>
      </c>
      <c r="B350" s="37" t="s">
        <v>911</v>
      </c>
      <c r="C350" s="37" t="s">
        <v>600</v>
      </c>
      <c r="D350" s="37" t="s">
        <v>899</v>
      </c>
      <c r="E350" s="37" t="s">
        <v>115</v>
      </c>
      <c r="F350" s="38" t="s">
        <v>139</v>
      </c>
    </row>
    <row r="351" spans="1:6">
      <c r="A351" s="35">
        <v>17444</v>
      </c>
      <c r="B351" s="37" t="s">
        <v>912</v>
      </c>
      <c r="C351" s="37" t="s">
        <v>600</v>
      </c>
      <c r="D351" s="37" t="s">
        <v>899</v>
      </c>
      <c r="E351" s="37" t="s">
        <v>115</v>
      </c>
      <c r="F351" s="38" t="s">
        <v>114</v>
      </c>
    </row>
    <row r="352" spans="1:6">
      <c r="A352" s="35">
        <v>17446</v>
      </c>
      <c r="B352" s="37" t="s">
        <v>913</v>
      </c>
      <c r="C352" s="37" t="s">
        <v>600</v>
      </c>
      <c r="D352" s="37" t="s">
        <v>899</v>
      </c>
      <c r="E352" s="37" t="s">
        <v>115</v>
      </c>
      <c r="F352" s="38" t="s">
        <v>114</v>
      </c>
    </row>
    <row r="353" spans="1:6">
      <c r="A353" s="35">
        <v>17486</v>
      </c>
      <c r="B353" s="37" t="s">
        <v>914</v>
      </c>
      <c r="C353" s="37" t="s">
        <v>600</v>
      </c>
      <c r="D353" s="37" t="s">
        <v>899</v>
      </c>
      <c r="E353" s="37" t="s">
        <v>115</v>
      </c>
      <c r="F353" s="38" t="s">
        <v>139</v>
      </c>
    </row>
    <row r="354" spans="1:6">
      <c r="A354" s="35">
        <v>17495</v>
      </c>
      <c r="B354" s="37" t="s">
        <v>915</v>
      </c>
      <c r="C354" s="37" t="s">
        <v>600</v>
      </c>
      <c r="D354" s="37" t="s">
        <v>360</v>
      </c>
      <c r="E354" s="37" t="s">
        <v>115</v>
      </c>
      <c r="F354" s="38" t="s">
        <v>128</v>
      </c>
    </row>
    <row r="355" spans="1:6">
      <c r="A355" s="35">
        <v>17513</v>
      </c>
      <c r="B355" s="37" t="s">
        <v>916</v>
      </c>
      <c r="C355" s="37" t="s">
        <v>600</v>
      </c>
      <c r="D355" s="37" t="s">
        <v>899</v>
      </c>
      <c r="E355" s="37" t="s">
        <v>115</v>
      </c>
      <c r="F355" s="38" t="s">
        <v>114</v>
      </c>
    </row>
    <row r="356" spans="1:6">
      <c r="A356" s="35">
        <v>17541</v>
      </c>
      <c r="B356" s="37" t="s">
        <v>917</v>
      </c>
      <c r="C356" s="37" t="s">
        <v>600</v>
      </c>
      <c r="D356" s="37" t="s">
        <v>899</v>
      </c>
      <c r="E356" s="37" t="s">
        <v>115</v>
      </c>
      <c r="F356" s="38" t="s">
        <v>114</v>
      </c>
    </row>
    <row r="357" spans="1:6">
      <c r="A357" s="35">
        <v>17616</v>
      </c>
      <c r="B357" s="37" t="s">
        <v>133</v>
      </c>
      <c r="C357" s="37" t="s">
        <v>600</v>
      </c>
      <c r="D357" s="37" t="s">
        <v>899</v>
      </c>
      <c r="E357" s="37" t="s">
        <v>115</v>
      </c>
      <c r="F357" s="38" t="s">
        <v>139</v>
      </c>
    </row>
    <row r="358" spans="1:6">
      <c r="A358" s="35">
        <v>17662</v>
      </c>
      <c r="B358" s="37" t="s">
        <v>918</v>
      </c>
      <c r="C358" s="37" t="s">
        <v>600</v>
      </c>
      <c r="D358" s="37" t="s">
        <v>899</v>
      </c>
      <c r="E358" s="37" t="s">
        <v>115</v>
      </c>
      <c r="F358" s="38" t="s">
        <v>128</v>
      </c>
    </row>
    <row r="359" spans="1:6">
      <c r="A359" s="35">
        <v>17665</v>
      </c>
      <c r="B359" s="37" t="s">
        <v>919</v>
      </c>
      <c r="C359" s="37" t="s">
        <v>600</v>
      </c>
      <c r="D359" s="37" t="s">
        <v>899</v>
      </c>
      <c r="E359" s="37" t="s">
        <v>115</v>
      </c>
      <c r="F359" s="38" t="s">
        <v>139</v>
      </c>
    </row>
    <row r="360" spans="1:6">
      <c r="A360" s="35">
        <v>17777</v>
      </c>
      <c r="B360" s="37" t="s">
        <v>920</v>
      </c>
      <c r="C360" s="37" t="s">
        <v>600</v>
      </c>
      <c r="D360" s="37" t="s">
        <v>899</v>
      </c>
      <c r="E360" s="37" t="s">
        <v>115</v>
      </c>
      <c r="F360" s="38" t="s">
        <v>139</v>
      </c>
    </row>
    <row r="361" spans="1:6">
      <c r="A361" s="35">
        <v>17867</v>
      </c>
      <c r="B361" s="37" t="s">
        <v>921</v>
      </c>
      <c r="C361" s="37" t="s">
        <v>600</v>
      </c>
      <c r="D361" s="37" t="s">
        <v>899</v>
      </c>
      <c r="E361" s="37" t="s">
        <v>115</v>
      </c>
      <c r="F361" s="38" t="s">
        <v>114</v>
      </c>
    </row>
    <row r="362" spans="1:6">
      <c r="A362" s="35">
        <v>17873</v>
      </c>
      <c r="B362" s="37" t="s">
        <v>922</v>
      </c>
      <c r="C362" s="37" t="s">
        <v>600</v>
      </c>
      <c r="D362" s="37" t="s">
        <v>899</v>
      </c>
      <c r="E362" s="37" t="s">
        <v>115</v>
      </c>
      <c r="F362" s="38" t="s">
        <v>150</v>
      </c>
    </row>
    <row r="363" spans="1:6">
      <c r="A363" s="35">
        <v>17877</v>
      </c>
      <c r="B363" s="37" t="s">
        <v>923</v>
      </c>
      <c r="C363" s="37" t="s">
        <v>600</v>
      </c>
      <c r="D363" s="37" t="s">
        <v>130</v>
      </c>
      <c r="E363" s="37" t="s">
        <v>115</v>
      </c>
      <c r="F363" s="38" t="s">
        <v>139</v>
      </c>
    </row>
    <row r="364" spans="1:6">
      <c r="A364" s="35">
        <v>18029</v>
      </c>
      <c r="B364" s="36" t="s">
        <v>924</v>
      </c>
      <c r="C364" s="37" t="s">
        <v>181</v>
      </c>
      <c r="D364" s="37" t="s">
        <v>179</v>
      </c>
      <c r="E364" s="37" t="s">
        <v>115</v>
      </c>
      <c r="F364" s="38" t="s">
        <v>128</v>
      </c>
    </row>
    <row r="365" spans="1:6">
      <c r="A365" s="35">
        <v>18001</v>
      </c>
      <c r="B365" s="36" t="s">
        <v>182</v>
      </c>
      <c r="C365" s="37" t="s">
        <v>181</v>
      </c>
      <c r="D365" s="37" t="s">
        <v>179</v>
      </c>
      <c r="E365" s="37" t="s">
        <v>115</v>
      </c>
      <c r="F365" s="38" t="s">
        <v>128</v>
      </c>
    </row>
    <row r="366" spans="1:6">
      <c r="A366" s="35">
        <v>18592</v>
      </c>
      <c r="B366" s="36" t="s">
        <v>925</v>
      </c>
      <c r="C366" s="37" t="s">
        <v>181</v>
      </c>
      <c r="D366" s="37" t="s">
        <v>179</v>
      </c>
      <c r="E366" s="37" t="s">
        <v>115</v>
      </c>
      <c r="F366" s="38" t="s">
        <v>584</v>
      </c>
    </row>
    <row r="367" spans="1:6">
      <c r="A367" s="35">
        <v>18860</v>
      </c>
      <c r="B367" s="36" t="s">
        <v>616</v>
      </c>
      <c r="C367" s="37" t="s">
        <v>181</v>
      </c>
      <c r="D367" s="37" t="s">
        <v>179</v>
      </c>
      <c r="E367" s="37" t="s">
        <v>115</v>
      </c>
      <c r="F367" s="38" t="s">
        <v>128</v>
      </c>
    </row>
    <row r="368" spans="1:6">
      <c r="A368" s="35">
        <v>18094</v>
      </c>
      <c r="B368" s="37" t="s">
        <v>926</v>
      </c>
      <c r="C368" s="37" t="s">
        <v>181</v>
      </c>
      <c r="D368" s="37" t="s">
        <v>179</v>
      </c>
      <c r="E368" s="37" t="s">
        <v>115</v>
      </c>
      <c r="F368" s="38" t="s">
        <v>128</v>
      </c>
    </row>
    <row r="369" spans="1:6">
      <c r="A369" s="35">
        <v>18150</v>
      </c>
      <c r="B369" s="37" t="s">
        <v>927</v>
      </c>
      <c r="C369" s="37" t="s">
        <v>181</v>
      </c>
      <c r="D369" s="37" t="s">
        <v>179</v>
      </c>
      <c r="E369" s="37" t="s">
        <v>115</v>
      </c>
      <c r="F369" s="38" t="s">
        <v>584</v>
      </c>
    </row>
    <row r="370" spans="1:6">
      <c r="A370" s="35">
        <v>18205</v>
      </c>
      <c r="B370" s="37" t="s">
        <v>928</v>
      </c>
      <c r="C370" s="37" t="s">
        <v>181</v>
      </c>
      <c r="D370" s="37" t="s">
        <v>179</v>
      </c>
      <c r="E370" s="37" t="s">
        <v>115</v>
      </c>
      <c r="F370" s="38" t="s">
        <v>128</v>
      </c>
    </row>
    <row r="371" spans="1:6">
      <c r="A371" s="35">
        <v>18247</v>
      </c>
      <c r="B371" s="37" t="s">
        <v>929</v>
      </c>
      <c r="C371" s="37" t="s">
        <v>181</v>
      </c>
      <c r="D371" s="37" t="s">
        <v>179</v>
      </c>
      <c r="E371" s="37" t="s">
        <v>115</v>
      </c>
      <c r="F371" s="38" t="s">
        <v>128</v>
      </c>
    </row>
    <row r="372" spans="1:6">
      <c r="A372" s="35">
        <v>18256</v>
      </c>
      <c r="B372" s="37" t="s">
        <v>930</v>
      </c>
      <c r="C372" s="37" t="s">
        <v>181</v>
      </c>
      <c r="D372" s="37" t="s">
        <v>179</v>
      </c>
      <c r="E372" s="37" t="s">
        <v>115</v>
      </c>
      <c r="F372" s="38" t="s">
        <v>128</v>
      </c>
    </row>
    <row r="373" spans="1:6">
      <c r="A373" s="35">
        <v>18410</v>
      </c>
      <c r="B373" s="37" t="s">
        <v>931</v>
      </c>
      <c r="C373" s="37" t="s">
        <v>181</v>
      </c>
      <c r="D373" s="37" t="s">
        <v>179</v>
      </c>
      <c r="E373" s="37" t="s">
        <v>115</v>
      </c>
      <c r="F373" s="38" t="s">
        <v>128</v>
      </c>
    </row>
    <row r="374" spans="1:6">
      <c r="A374" s="35">
        <v>18460</v>
      </c>
      <c r="B374" s="37" t="s">
        <v>932</v>
      </c>
      <c r="C374" s="37" t="s">
        <v>181</v>
      </c>
      <c r="D374" s="37" t="s">
        <v>179</v>
      </c>
      <c r="E374" s="37" t="s">
        <v>115</v>
      </c>
      <c r="F374" s="38" t="s">
        <v>128</v>
      </c>
    </row>
    <row r="375" spans="1:6">
      <c r="A375" s="35">
        <v>18479</v>
      </c>
      <c r="B375" s="37" t="s">
        <v>933</v>
      </c>
      <c r="C375" s="37" t="s">
        <v>181</v>
      </c>
      <c r="D375" s="37" t="s">
        <v>179</v>
      </c>
      <c r="E375" s="37" t="s">
        <v>115</v>
      </c>
      <c r="F375" s="38" t="s">
        <v>128</v>
      </c>
    </row>
    <row r="376" spans="1:6">
      <c r="A376" s="35">
        <v>18610</v>
      </c>
      <c r="B376" s="37" t="s">
        <v>934</v>
      </c>
      <c r="C376" s="37" t="s">
        <v>181</v>
      </c>
      <c r="D376" s="37" t="s">
        <v>179</v>
      </c>
      <c r="E376" s="37" t="s">
        <v>115</v>
      </c>
      <c r="F376" s="38" t="s">
        <v>128</v>
      </c>
    </row>
    <row r="377" spans="1:6">
      <c r="A377" s="35">
        <v>18753</v>
      </c>
      <c r="B377" s="37" t="s">
        <v>935</v>
      </c>
      <c r="C377" s="37" t="s">
        <v>181</v>
      </c>
      <c r="D377" s="37" t="s">
        <v>179</v>
      </c>
      <c r="E377" s="37" t="s">
        <v>936</v>
      </c>
      <c r="F377" s="38" t="s">
        <v>584</v>
      </c>
    </row>
    <row r="378" spans="1:6">
      <c r="A378" s="35">
        <v>18756</v>
      </c>
      <c r="B378" s="37" t="s">
        <v>937</v>
      </c>
      <c r="C378" s="37" t="s">
        <v>181</v>
      </c>
      <c r="D378" s="37" t="s">
        <v>179</v>
      </c>
      <c r="E378" s="37" t="s">
        <v>747</v>
      </c>
      <c r="F378" s="38" t="s">
        <v>584</v>
      </c>
    </row>
    <row r="379" spans="1:6">
      <c r="A379" s="35">
        <v>18785</v>
      </c>
      <c r="B379" s="37" t="s">
        <v>938</v>
      </c>
      <c r="C379" s="37" t="s">
        <v>181</v>
      </c>
      <c r="D379" s="37" t="s">
        <v>179</v>
      </c>
      <c r="E379" s="37" t="s">
        <v>115</v>
      </c>
      <c r="F379" s="38" t="s">
        <v>128</v>
      </c>
    </row>
    <row r="380" spans="1:6">
      <c r="A380" s="35">
        <v>85300</v>
      </c>
      <c r="B380" s="36" t="s">
        <v>609</v>
      </c>
      <c r="C380" s="37" t="s">
        <v>434</v>
      </c>
      <c r="D380" s="37" t="s">
        <v>432</v>
      </c>
      <c r="E380" s="37" t="s">
        <v>115</v>
      </c>
      <c r="F380" s="38" t="s">
        <v>114</v>
      </c>
    </row>
    <row r="381" spans="1:6">
      <c r="A381" s="35">
        <v>85440</v>
      </c>
      <c r="B381" s="36" t="s">
        <v>749</v>
      </c>
      <c r="C381" s="37" t="s">
        <v>434</v>
      </c>
      <c r="D381" s="37" t="s">
        <v>248</v>
      </c>
      <c r="E381" s="37" t="s">
        <v>115</v>
      </c>
      <c r="F381" s="38" t="s">
        <v>114</v>
      </c>
    </row>
    <row r="382" spans="1:6">
      <c r="A382" s="35">
        <v>85010</v>
      </c>
      <c r="B382" s="37" t="s">
        <v>435</v>
      </c>
      <c r="C382" s="37" t="s">
        <v>434</v>
      </c>
      <c r="D382" s="37" t="s">
        <v>432</v>
      </c>
      <c r="E382" s="37" t="s">
        <v>115</v>
      </c>
      <c r="F382" s="38" t="s">
        <v>139</v>
      </c>
    </row>
    <row r="383" spans="1:6">
      <c r="A383" s="35">
        <v>85015</v>
      </c>
      <c r="B383" s="37" t="s">
        <v>939</v>
      </c>
      <c r="C383" s="37" t="s">
        <v>434</v>
      </c>
      <c r="D383" s="37" t="s">
        <v>432</v>
      </c>
      <c r="E383" s="37" t="s">
        <v>115</v>
      </c>
      <c r="F383" s="38" t="s">
        <v>128</v>
      </c>
    </row>
    <row r="384" spans="1:6">
      <c r="A384" s="35">
        <v>85125</v>
      </c>
      <c r="B384" s="37" t="s">
        <v>940</v>
      </c>
      <c r="C384" s="37" t="s">
        <v>434</v>
      </c>
      <c r="D384" s="37" t="s">
        <v>432</v>
      </c>
      <c r="E384" s="37" t="s">
        <v>115</v>
      </c>
      <c r="F384" s="38" t="s">
        <v>114</v>
      </c>
    </row>
    <row r="385" spans="1:6">
      <c r="A385" s="35">
        <v>85136</v>
      </c>
      <c r="B385" s="37" t="s">
        <v>941</v>
      </c>
      <c r="C385" s="37" t="s">
        <v>434</v>
      </c>
      <c r="D385" s="37" t="s">
        <v>432</v>
      </c>
      <c r="E385" s="37" t="s">
        <v>115</v>
      </c>
      <c r="F385" s="38" t="s">
        <v>128</v>
      </c>
    </row>
    <row r="386" spans="1:6">
      <c r="A386" s="35">
        <v>85139</v>
      </c>
      <c r="B386" s="37" t="s">
        <v>942</v>
      </c>
      <c r="C386" s="37" t="s">
        <v>434</v>
      </c>
      <c r="D386" s="37" t="s">
        <v>432</v>
      </c>
      <c r="E386" s="37" t="s">
        <v>115</v>
      </c>
      <c r="F386" s="38" t="s">
        <v>139</v>
      </c>
    </row>
    <row r="387" spans="1:6">
      <c r="A387" s="35">
        <v>85162</v>
      </c>
      <c r="B387" s="37" t="s">
        <v>943</v>
      </c>
      <c r="C387" s="37" t="s">
        <v>434</v>
      </c>
      <c r="D387" s="37" t="s">
        <v>432</v>
      </c>
      <c r="E387" s="37" t="s">
        <v>115</v>
      </c>
      <c r="F387" s="38" t="s">
        <v>139</v>
      </c>
    </row>
    <row r="388" spans="1:6">
      <c r="A388" s="35">
        <v>85225</v>
      </c>
      <c r="B388" s="37" t="s">
        <v>944</v>
      </c>
      <c r="C388" s="37" t="s">
        <v>434</v>
      </c>
      <c r="D388" s="37" t="s">
        <v>432</v>
      </c>
      <c r="E388" s="37" t="s">
        <v>115</v>
      </c>
      <c r="F388" s="38" t="s">
        <v>139</v>
      </c>
    </row>
    <row r="389" spans="1:6">
      <c r="A389" s="35">
        <v>85230</v>
      </c>
      <c r="B389" s="37" t="s">
        <v>945</v>
      </c>
      <c r="C389" s="37" t="s">
        <v>434</v>
      </c>
      <c r="D389" s="37" t="s">
        <v>432</v>
      </c>
      <c r="E389" s="37" t="s">
        <v>747</v>
      </c>
      <c r="F389" s="38" t="s">
        <v>584</v>
      </c>
    </row>
    <row r="390" spans="1:6">
      <c r="A390" s="35">
        <v>85250</v>
      </c>
      <c r="B390" s="37" t="s">
        <v>946</v>
      </c>
      <c r="C390" s="37" t="s">
        <v>434</v>
      </c>
      <c r="D390" s="37" t="s">
        <v>432</v>
      </c>
      <c r="E390" s="37" t="s">
        <v>115</v>
      </c>
      <c r="F390" s="38" t="s">
        <v>139</v>
      </c>
    </row>
    <row r="391" spans="1:6">
      <c r="A391" s="35">
        <v>85263</v>
      </c>
      <c r="B391" s="37" t="s">
        <v>947</v>
      </c>
      <c r="C391" s="37" t="s">
        <v>434</v>
      </c>
      <c r="D391" s="37" t="s">
        <v>432</v>
      </c>
      <c r="E391" s="37" t="s">
        <v>115</v>
      </c>
      <c r="F391" s="38" t="s">
        <v>139</v>
      </c>
    </row>
    <row r="392" spans="1:6">
      <c r="A392" s="35">
        <v>85279</v>
      </c>
      <c r="B392" s="37" t="s">
        <v>948</v>
      </c>
      <c r="C392" s="37" t="s">
        <v>434</v>
      </c>
      <c r="D392" s="37" t="s">
        <v>432</v>
      </c>
      <c r="E392" s="37" t="s">
        <v>115</v>
      </c>
      <c r="F392" s="38" t="s">
        <v>114</v>
      </c>
    </row>
    <row r="393" spans="1:6">
      <c r="A393" s="35">
        <v>85315</v>
      </c>
      <c r="B393" s="37" t="s">
        <v>949</v>
      </c>
      <c r="C393" s="37" t="s">
        <v>434</v>
      </c>
      <c r="D393" s="37" t="s">
        <v>432</v>
      </c>
      <c r="E393" s="37" t="s">
        <v>115</v>
      </c>
      <c r="F393" s="38" t="s">
        <v>128</v>
      </c>
    </row>
    <row r="394" spans="1:6">
      <c r="A394" s="35">
        <v>85325</v>
      </c>
      <c r="B394" s="37" t="s">
        <v>950</v>
      </c>
      <c r="C394" s="37" t="s">
        <v>434</v>
      </c>
      <c r="D394" s="37" t="s">
        <v>432</v>
      </c>
      <c r="E394" s="37" t="s">
        <v>115</v>
      </c>
      <c r="F394" s="38" t="s">
        <v>139</v>
      </c>
    </row>
    <row r="395" spans="1:6">
      <c r="A395" s="35">
        <v>85400</v>
      </c>
      <c r="B395" s="37" t="s">
        <v>951</v>
      </c>
      <c r="C395" s="37" t="s">
        <v>434</v>
      </c>
      <c r="D395" s="37" t="s">
        <v>432</v>
      </c>
      <c r="E395" s="37" t="s">
        <v>115</v>
      </c>
      <c r="F395" s="38" t="s">
        <v>114</v>
      </c>
    </row>
    <row r="396" spans="1:6">
      <c r="A396" s="35">
        <v>85410</v>
      </c>
      <c r="B396" s="37" t="s">
        <v>952</v>
      </c>
      <c r="C396" s="37" t="s">
        <v>434</v>
      </c>
      <c r="D396" s="37" t="s">
        <v>432</v>
      </c>
      <c r="E396" s="37" t="s">
        <v>115</v>
      </c>
      <c r="F396" s="38" t="s">
        <v>139</v>
      </c>
    </row>
    <row r="397" spans="1:6">
      <c r="A397" s="35">
        <v>85430</v>
      </c>
      <c r="B397" s="37" t="s">
        <v>953</v>
      </c>
      <c r="C397" s="37" t="s">
        <v>434</v>
      </c>
      <c r="D397" s="37" t="s">
        <v>432</v>
      </c>
      <c r="E397" s="37" t="s">
        <v>115</v>
      </c>
      <c r="F397" s="38" t="s">
        <v>139</v>
      </c>
    </row>
    <row r="398" spans="1:6">
      <c r="A398" s="35">
        <v>85001</v>
      </c>
      <c r="B398" s="37" t="s">
        <v>432</v>
      </c>
      <c r="C398" s="37" t="s">
        <v>434</v>
      </c>
      <c r="D398" s="37" t="s">
        <v>432</v>
      </c>
      <c r="E398" s="37" t="s">
        <v>115</v>
      </c>
      <c r="F398" s="38" t="s">
        <v>150</v>
      </c>
    </row>
    <row r="399" spans="1:6">
      <c r="A399" s="35">
        <v>19050</v>
      </c>
      <c r="B399" s="36" t="s">
        <v>595</v>
      </c>
      <c r="C399" s="37" t="s">
        <v>163</v>
      </c>
      <c r="D399" s="37" t="s">
        <v>161</v>
      </c>
      <c r="E399" s="37" t="s">
        <v>115</v>
      </c>
      <c r="F399" s="38" t="s">
        <v>128</v>
      </c>
    </row>
    <row r="400" spans="1:6">
      <c r="A400" s="35">
        <v>19075</v>
      </c>
      <c r="B400" s="36" t="s">
        <v>954</v>
      </c>
      <c r="C400" s="37" t="s">
        <v>163</v>
      </c>
      <c r="D400" s="37" t="s">
        <v>161</v>
      </c>
      <c r="E400" s="37" t="s">
        <v>115</v>
      </c>
      <c r="F400" s="38" t="s">
        <v>128</v>
      </c>
    </row>
    <row r="401" spans="1:6">
      <c r="A401" s="35">
        <v>19100</v>
      </c>
      <c r="B401" s="36" t="s">
        <v>343</v>
      </c>
      <c r="C401" s="37" t="s">
        <v>163</v>
      </c>
      <c r="D401" s="37" t="s">
        <v>161</v>
      </c>
      <c r="E401" s="37" t="s">
        <v>115</v>
      </c>
      <c r="F401" s="38" t="s">
        <v>128</v>
      </c>
    </row>
    <row r="402" spans="1:6">
      <c r="A402" s="35">
        <v>19256</v>
      </c>
      <c r="B402" s="36" t="s">
        <v>955</v>
      </c>
      <c r="C402" s="37" t="s">
        <v>163</v>
      </c>
      <c r="D402" s="37" t="s">
        <v>161</v>
      </c>
      <c r="E402" s="37" t="s">
        <v>115</v>
      </c>
      <c r="F402" s="38" t="s">
        <v>114</v>
      </c>
    </row>
    <row r="403" spans="1:6">
      <c r="A403" s="35">
        <v>19290</v>
      </c>
      <c r="B403" s="36" t="s">
        <v>182</v>
      </c>
      <c r="C403" s="37" t="s">
        <v>163</v>
      </c>
      <c r="D403" s="37" t="s">
        <v>161</v>
      </c>
      <c r="E403" s="37" t="s">
        <v>115</v>
      </c>
      <c r="F403" s="38" t="s">
        <v>128</v>
      </c>
    </row>
    <row r="404" spans="1:6">
      <c r="A404" s="35">
        <v>19397</v>
      </c>
      <c r="B404" s="36" t="s">
        <v>956</v>
      </c>
      <c r="C404" s="37" t="s">
        <v>163</v>
      </c>
      <c r="D404" s="37" t="s">
        <v>161</v>
      </c>
      <c r="E404" s="37" t="s">
        <v>115</v>
      </c>
      <c r="F404" s="38" t="s">
        <v>128</v>
      </c>
    </row>
    <row r="405" spans="1:6">
      <c r="A405" s="35">
        <v>19473</v>
      </c>
      <c r="B405" s="36" t="s">
        <v>745</v>
      </c>
      <c r="C405" s="37" t="s">
        <v>163</v>
      </c>
      <c r="D405" s="37" t="s">
        <v>161</v>
      </c>
      <c r="E405" s="37" t="s">
        <v>115</v>
      </c>
      <c r="F405" s="38" t="s">
        <v>114</v>
      </c>
    </row>
    <row r="406" spans="1:6">
      <c r="A406" s="35">
        <v>19517</v>
      </c>
      <c r="B406" s="36" t="s">
        <v>791</v>
      </c>
      <c r="C406" s="37" t="s">
        <v>163</v>
      </c>
      <c r="D406" s="37" t="s">
        <v>161</v>
      </c>
      <c r="E406" s="37" t="s">
        <v>115</v>
      </c>
      <c r="F406" s="38" t="s">
        <v>128</v>
      </c>
    </row>
    <row r="407" spans="1:6">
      <c r="A407" s="35">
        <v>19701</v>
      </c>
      <c r="B407" s="36" t="s">
        <v>748</v>
      </c>
      <c r="C407" s="37" t="s">
        <v>163</v>
      </c>
      <c r="D407" s="37" t="s">
        <v>161</v>
      </c>
      <c r="E407" s="37" t="s">
        <v>115</v>
      </c>
      <c r="F407" s="38" t="s">
        <v>128</v>
      </c>
    </row>
    <row r="408" spans="1:6">
      <c r="A408" s="35">
        <v>19780</v>
      </c>
      <c r="B408" s="36" t="s">
        <v>957</v>
      </c>
      <c r="C408" s="37" t="s">
        <v>163</v>
      </c>
      <c r="D408" s="37" t="s">
        <v>161</v>
      </c>
      <c r="E408" s="37" t="s">
        <v>115</v>
      </c>
      <c r="F408" s="38" t="s">
        <v>114</v>
      </c>
    </row>
    <row r="409" spans="1:6">
      <c r="A409" s="35">
        <v>19785</v>
      </c>
      <c r="B409" s="36" t="s">
        <v>154</v>
      </c>
      <c r="C409" s="37" t="s">
        <v>163</v>
      </c>
      <c r="D409" s="37" t="s">
        <v>161</v>
      </c>
      <c r="E409" s="37" t="s">
        <v>115</v>
      </c>
      <c r="F409" s="38" t="s">
        <v>128</v>
      </c>
    </row>
    <row r="410" spans="1:6">
      <c r="A410" s="35">
        <v>19022</v>
      </c>
      <c r="B410" s="37" t="s">
        <v>958</v>
      </c>
      <c r="C410" s="37" t="s">
        <v>163</v>
      </c>
      <c r="D410" s="37" t="s">
        <v>161</v>
      </c>
      <c r="E410" s="37" t="s">
        <v>115</v>
      </c>
      <c r="F410" s="38" t="s">
        <v>128</v>
      </c>
    </row>
    <row r="411" spans="1:6">
      <c r="A411" s="35">
        <v>19110</v>
      </c>
      <c r="B411" s="37" t="s">
        <v>959</v>
      </c>
      <c r="C411" s="37" t="s">
        <v>163</v>
      </c>
      <c r="D411" s="37" t="s">
        <v>161</v>
      </c>
      <c r="E411" s="37" t="s">
        <v>115</v>
      </c>
      <c r="F411" s="38" t="s">
        <v>139</v>
      </c>
    </row>
    <row r="412" spans="1:6">
      <c r="A412" s="35">
        <v>19130</v>
      </c>
      <c r="B412" s="37" t="s">
        <v>960</v>
      </c>
      <c r="C412" s="37" t="s">
        <v>163</v>
      </c>
      <c r="D412" s="37" t="s">
        <v>161</v>
      </c>
      <c r="E412" s="37" t="s">
        <v>115</v>
      </c>
      <c r="F412" s="38" t="s">
        <v>114</v>
      </c>
    </row>
    <row r="413" spans="1:6">
      <c r="A413" s="35">
        <v>19137</v>
      </c>
      <c r="B413" s="37" t="s">
        <v>961</v>
      </c>
      <c r="C413" s="37" t="s">
        <v>163</v>
      </c>
      <c r="D413" s="37" t="s">
        <v>161</v>
      </c>
      <c r="E413" s="37" t="s">
        <v>115</v>
      </c>
      <c r="F413" s="38" t="s">
        <v>114</v>
      </c>
    </row>
    <row r="414" spans="1:6">
      <c r="A414" s="35">
        <v>19142</v>
      </c>
      <c r="B414" s="37" t="s">
        <v>962</v>
      </c>
      <c r="C414" s="37" t="s">
        <v>163</v>
      </c>
      <c r="D414" s="37" t="s">
        <v>161</v>
      </c>
      <c r="E414" s="37" t="s">
        <v>115</v>
      </c>
      <c r="F414" s="38" t="s">
        <v>139</v>
      </c>
    </row>
    <row r="415" spans="1:6">
      <c r="A415" s="35">
        <v>19212</v>
      </c>
      <c r="B415" s="37" t="s">
        <v>963</v>
      </c>
      <c r="C415" s="37" t="s">
        <v>163</v>
      </c>
      <c r="D415" s="37" t="s">
        <v>161</v>
      </c>
      <c r="E415" s="37" t="s">
        <v>115</v>
      </c>
      <c r="F415" s="38" t="s">
        <v>114</v>
      </c>
    </row>
    <row r="416" spans="1:6">
      <c r="A416" s="35">
        <v>19300</v>
      </c>
      <c r="B416" s="37" t="s">
        <v>964</v>
      </c>
      <c r="C416" s="37" t="s">
        <v>163</v>
      </c>
      <c r="D416" s="37" t="s">
        <v>161</v>
      </c>
      <c r="E416" s="37" t="s">
        <v>115</v>
      </c>
      <c r="F416" s="38" t="s">
        <v>139</v>
      </c>
    </row>
    <row r="417" spans="1:6">
      <c r="A417" s="35">
        <v>19318</v>
      </c>
      <c r="B417" s="37" t="s">
        <v>965</v>
      </c>
      <c r="C417" s="37" t="s">
        <v>163</v>
      </c>
      <c r="D417" s="37" t="s">
        <v>161</v>
      </c>
      <c r="E417" s="37" t="s">
        <v>583</v>
      </c>
      <c r="F417" s="38" t="s">
        <v>584</v>
      </c>
    </row>
    <row r="418" spans="1:6">
      <c r="A418" s="35">
        <v>19355</v>
      </c>
      <c r="B418" s="37" t="s">
        <v>966</v>
      </c>
      <c r="C418" s="37" t="s">
        <v>163</v>
      </c>
      <c r="D418" s="37" t="s">
        <v>161</v>
      </c>
      <c r="E418" s="37" t="s">
        <v>115</v>
      </c>
      <c r="F418" s="38" t="s">
        <v>128</v>
      </c>
    </row>
    <row r="419" spans="1:6">
      <c r="A419" s="35">
        <v>19364</v>
      </c>
      <c r="B419" s="37" t="s">
        <v>967</v>
      </c>
      <c r="C419" s="37" t="s">
        <v>163</v>
      </c>
      <c r="D419" s="37" t="s">
        <v>161</v>
      </c>
      <c r="E419" s="37" t="s">
        <v>115</v>
      </c>
      <c r="F419" s="38" t="s">
        <v>114</v>
      </c>
    </row>
    <row r="420" spans="1:6">
      <c r="A420" s="35">
        <v>19392</v>
      </c>
      <c r="B420" s="37" t="s">
        <v>968</v>
      </c>
      <c r="C420" s="37" t="s">
        <v>163</v>
      </c>
      <c r="D420" s="37" t="s">
        <v>161</v>
      </c>
      <c r="E420" s="37" t="s">
        <v>115</v>
      </c>
      <c r="F420" s="38" t="s">
        <v>114</v>
      </c>
    </row>
    <row r="421" spans="1:6">
      <c r="A421" s="35">
        <v>19418</v>
      </c>
      <c r="B421" s="37" t="s">
        <v>969</v>
      </c>
      <c r="C421" s="37" t="s">
        <v>163</v>
      </c>
      <c r="D421" s="37" t="s">
        <v>161</v>
      </c>
      <c r="E421" s="37" t="s">
        <v>115</v>
      </c>
      <c r="F421" s="38" t="s">
        <v>128</v>
      </c>
    </row>
    <row r="422" spans="1:6">
      <c r="A422" s="35">
        <v>19450</v>
      </c>
      <c r="B422" s="37" t="s">
        <v>970</v>
      </c>
      <c r="C422" s="37" t="s">
        <v>163</v>
      </c>
      <c r="D422" s="37" t="s">
        <v>161</v>
      </c>
      <c r="E422" s="37" t="s">
        <v>115</v>
      </c>
      <c r="F422" s="38" t="s">
        <v>128</v>
      </c>
    </row>
    <row r="423" spans="1:6">
      <c r="A423" s="35">
        <v>19455</v>
      </c>
      <c r="B423" s="37" t="s">
        <v>971</v>
      </c>
      <c r="C423" s="37" t="s">
        <v>163</v>
      </c>
      <c r="D423" s="37" t="s">
        <v>161</v>
      </c>
      <c r="E423" s="37" t="s">
        <v>115</v>
      </c>
      <c r="F423" s="38" t="s">
        <v>114</v>
      </c>
    </row>
    <row r="424" spans="1:6">
      <c r="A424" s="35">
        <v>19513</v>
      </c>
      <c r="B424" s="37" t="s">
        <v>972</v>
      </c>
      <c r="C424" s="37" t="s">
        <v>163</v>
      </c>
      <c r="D424" s="37" t="s">
        <v>161</v>
      </c>
      <c r="E424" s="37" t="s">
        <v>115</v>
      </c>
      <c r="F424" s="38" t="s">
        <v>139</v>
      </c>
    </row>
    <row r="425" spans="1:6">
      <c r="A425" s="35">
        <v>19532</v>
      </c>
      <c r="B425" s="37" t="s">
        <v>973</v>
      </c>
      <c r="C425" s="37" t="s">
        <v>163</v>
      </c>
      <c r="D425" s="37" t="s">
        <v>161</v>
      </c>
      <c r="E425" s="37" t="s">
        <v>115</v>
      </c>
      <c r="F425" s="38" t="s">
        <v>128</v>
      </c>
    </row>
    <row r="426" spans="1:6">
      <c r="A426" s="35">
        <v>19533</v>
      </c>
      <c r="B426" s="37" t="s">
        <v>974</v>
      </c>
      <c r="C426" s="37" t="s">
        <v>163</v>
      </c>
      <c r="D426" s="37" t="s">
        <v>975</v>
      </c>
      <c r="E426" s="37" t="s">
        <v>747</v>
      </c>
      <c r="F426" s="38" t="s">
        <v>584</v>
      </c>
    </row>
    <row r="427" spans="1:6">
      <c r="A427" s="35">
        <v>19548</v>
      </c>
      <c r="B427" s="37" t="s">
        <v>976</v>
      </c>
      <c r="C427" s="37" t="s">
        <v>163</v>
      </c>
      <c r="D427" s="37" t="s">
        <v>161</v>
      </c>
      <c r="E427" s="37" t="s">
        <v>115</v>
      </c>
      <c r="F427" s="38" t="s">
        <v>114</v>
      </c>
    </row>
    <row r="428" spans="1:6">
      <c r="A428" s="35">
        <v>19001</v>
      </c>
      <c r="B428" s="37" t="s">
        <v>164</v>
      </c>
      <c r="C428" s="37" t="s">
        <v>163</v>
      </c>
      <c r="D428" s="37" t="s">
        <v>161</v>
      </c>
      <c r="E428" s="37" t="s">
        <v>115</v>
      </c>
      <c r="F428" s="38" t="s">
        <v>114</v>
      </c>
    </row>
    <row r="429" spans="1:6">
      <c r="A429" s="35">
        <v>19573</v>
      </c>
      <c r="B429" s="37" t="s">
        <v>977</v>
      </c>
      <c r="C429" s="37" t="s">
        <v>163</v>
      </c>
      <c r="D429" s="37" t="s">
        <v>161</v>
      </c>
      <c r="E429" s="37" t="s">
        <v>115</v>
      </c>
      <c r="F429" s="38" t="s">
        <v>139</v>
      </c>
    </row>
    <row r="430" spans="1:6">
      <c r="A430" s="35">
        <v>19585</v>
      </c>
      <c r="B430" s="37" t="s">
        <v>978</v>
      </c>
      <c r="C430" s="37" t="s">
        <v>163</v>
      </c>
      <c r="D430" s="37" t="s">
        <v>161</v>
      </c>
      <c r="E430" s="37" t="s">
        <v>115</v>
      </c>
      <c r="F430" s="38" t="s">
        <v>128</v>
      </c>
    </row>
    <row r="431" spans="1:6">
      <c r="A431" s="35">
        <v>19622</v>
      </c>
      <c r="B431" s="37" t="s">
        <v>979</v>
      </c>
      <c r="C431" s="37" t="s">
        <v>163</v>
      </c>
      <c r="D431" s="37" t="s">
        <v>161</v>
      </c>
      <c r="E431" s="37" t="s">
        <v>115</v>
      </c>
      <c r="F431" s="38" t="s">
        <v>114</v>
      </c>
    </row>
    <row r="432" spans="1:6">
      <c r="A432" s="35">
        <v>19693</v>
      </c>
      <c r="B432" s="37" t="s">
        <v>980</v>
      </c>
      <c r="C432" s="37" t="s">
        <v>163</v>
      </c>
      <c r="D432" s="37" t="s">
        <v>161</v>
      </c>
      <c r="E432" s="37" t="s">
        <v>115</v>
      </c>
      <c r="F432" s="38" t="s">
        <v>128</v>
      </c>
    </row>
    <row r="433" spans="1:6">
      <c r="A433" s="35">
        <v>19698</v>
      </c>
      <c r="B433" s="37" t="s">
        <v>511</v>
      </c>
      <c r="C433" s="37" t="s">
        <v>163</v>
      </c>
      <c r="D433" s="37" t="s">
        <v>161</v>
      </c>
      <c r="E433" s="37" t="s">
        <v>115</v>
      </c>
      <c r="F433" s="38" t="s">
        <v>139</v>
      </c>
    </row>
    <row r="434" spans="1:6">
      <c r="A434" s="35">
        <v>19743</v>
      </c>
      <c r="B434" s="37" t="s">
        <v>981</v>
      </c>
      <c r="C434" s="37" t="s">
        <v>163</v>
      </c>
      <c r="D434" s="37" t="s">
        <v>161</v>
      </c>
      <c r="E434" s="37" t="s">
        <v>115</v>
      </c>
      <c r="F434" s="38" t="s">
        <v>114</v>
      </c>
    </row>
    <row r="435" spans="1:6">
      <c r="A435" s="35">
        <v>19760</v>
      </c>
      <c r="B435" s="37" t="s">
        <v>982</v>
      </c>
      <c r="C435" s="37" t="s">
        <v>163</v>
      </c>
      <c r="D435" s="37" t="s">
        <v>161</v>
      </c>
      <c r="E435" s="37" t="s">
        <v>115</v>
      </c>
      <c r="F435" s="38" t="s">
        <v>114</v>
      </c>
    </row>
    <row r="436" spans="1:6">
      <c r="A436" s="35">
        <v>19807</v>
      </c>
      <c r="B436" s="37" t="s">
        <v>983</v>
      </c>
      <c r="C436" s="37" t="s">
        <v>163</v>
      </c>
      <c r="D436" s="37" t="s">
        <v>161</v>
      </c>
      <c r="E436" s="37" t="s">
        <v>115</v>
      </c>
      <c r="F436" s="38" t="s">
        <v>114</v>
      </c>
    </row>
    <row r="437" spans="1:6">
      <c r="A437" s="35">
        <v>19809</v>
      </c>
      <c r="B437" s="37" t="s">
        <v>984</v>
      </c>
      <c r="C437" s="37" t="s">
        <v>163</v>
      </c>
      <c r="D437" s="37" t="s">
        <v>161</v>
      </c>
      <c r="E437" s="37" t="s">
        <v>583</v>
      </c>
      <c r="F437" s="38" t="s">
        <v>584</v>
      </c>
    </row>
    <row r="438" spans="1:6">
      <c r="A438" s="35">
        <v>19821</v>
      </c>
      <c r="B438" s="37" t="s">
        <v>985</v>
      </c>
      <c r="C438" s="37" t="s">
        <v>163</v>
      </c>
      <c r="D438" s="37" t="s">
        <v>161</v>
      </c>
      <c r="E438" s="37" t="s">
        <v>115</v>
      </c>
      <c r="F438" s="38" t="s">
        <v>114</v>
      </c>
    </row>
    <row r="439" spans="1:6">
      <c r="A439" s="35">
        <v>19824</v>
      </c>
      <c r="B439" s="37" t="s">
        <v>986</v>
      </c>
      <c r="C439" s="37" t="s">
        <v>163</v>
      </c>
      <c r="D439" s="37" t="s">
        <v>161</v>
      </c>
      <c r="E439" s="37" t="s">
        <v>115</v>
      </c>
      <c r="F439" s="38" t="s">
        <v>114</v>
      </c>
    </row>
    <row r="440" spans="1:6">
      <c r="A440" s="35">
        <v>19845</v>
      </c>
      <c r="B440" s="37" t="s">
        <v>987</v>
      </c>
      <c r="C440" s="37" t="s">
        <v>163</v>
      </c>
      <c r="D440" s="37" t="s">
        <v>161</v>
      </c>
      <c r="E440" s="37" t="s">
        <v>115</v>
      </c>
      <c r="F440" s="38" t="s">
        <v>128</v>
      </c>
    </row>
    <row r="441" spans="1:6">
      <c r="A441" s="35">
        <v>20621</v>
      </c>
      <c r="B441" s="36" t="s">
        <v>988</v>
      </c>
      <c r="C441" s="37" t="s">
        <v>284</v>
      </c>
      <c r="D441" s="37" t="s">
        <v>282</v>
      </c>
      <c r="E441" s="37" t="s">
        <v>115</v>
      </c>
      <c r="F441" s="38" t="s">
        <v>139</v>
      </c>
    </row>
    <row r="442" spans="1:6">
      <c r="A442" s="35">
        <v>20443</v>
      </c>
      <c r="B442" s="36" t="s">
        <v>989</v>
      </c>
      <c r="C442" s="37" t="s">
        <v>284</v>
      </c>
      <c r="D442" s="37" t="s">
        <v>282</v>
      </c>
      <c r="E442" s="37" t="s">
        <v>115</v>
      </c>
      <c r="F442" s="38" t="s">
        <v>139</v>
      </c>
    </row>
    <row r="443" spans="1:6">
      <c r="A443" s="35">
        <v>20770</v>
      </c>
      <c r="B443" s="36" t="s">
        <v>990</v>
      </c>
      <c r="C443" s="37" t="s">
        <v>284</v>
      </c>
      <c r="D443" s="37" t="s">
        <v>256</v>
      </c>
      <c r="E443" s="37" t="s">
        <v>115</v>
      </c>
      <c r="F443" s="38" t="s">
        <v>114</v>
      </c>
    </row>
    <row r="444" spans="1:6">
      <c r="A444" s="35">
        <v>20011</v>
      </c>
      <c r="B444" s="37" t="s">
        <v>991</v>
      </c>
      <c r="C444" s="37" t="s">
        <v>284</v>
      </c>
      <c r="D444" s="37" t="s">
        <v>282</v>
      </c>
      <c r="E444" s="37" t="s">
        <v>115</v>
      </c>
      <c r="F444" s="38" t="s">
        <v>128</v>
      </c>
    </row>
    <row r="445" spans="1:6">
      <c r="A445" s="35">
        <v>20013</v>
      </c>
      <c r="B445" s="37" t="s">
        <v>992</v>
      </c>
      <c r="C445" s="37" t="s">
        <v>284</v>
      </c>
      <c r="D445" s="37" t="s">
        <v>282</v>
      </c>
      <c r="E445" s="37" t="s">
        <v>115</v>
      </c>
      <c r="F445" s="38" t="s">
        <v>139</v>
      </c>
    </row>
    <row r="446" spans="1:6">
      <c r="A446" s="35">
        <v>20032</v>
      </c>
      <c r="B446" s="37" t="s">
        <v>993</v>
      </c>
      <c r="C446" s="37" t="s">
        <v>284</v>
      </c>
      <c r="D446" s="37" t="s">
        <v>282</v>
      </c>
      <c r="E446" s="37" t="s">
        <v>115</v>
      </c>
      <c r="F446" s="38" t="s">
        <v>114</v>
      </c>
    </row>
    <row r="447" spans="1:6">
      <c r="A447" s="35">
        <v>20045</v>
      </c>
      <c r="B447" s="37" t="s">
        <v>994</v>
      </c>
      <c r="C447" s="37" t="s">
        <v>284</v>
      </c>
      <c r="D447" s="37" t="s">
        <v>282</v>
      </c>
      <c r="E447" s="37" t="s">
        <v>115</v>
      </c>
      <c r="F447" s="38" t="s">
        <v>139</v>
      </c>
    </row>
    <row r="448" spans="1:6">
      <c r="A448" s="35">
        <v>20060</v>
      </c>
      <c r="B448" s="37" t="s">
        <v>995</v>
      </c>
      <c r="C448" s="37" t="s">
        <v>284</v>
      </c>
      <c r="D448" s="37" t="s">
        <v>282</v>
      </c>
      <c r="E448" s="37" t="s">
        <v>115</v>
      </c>
      <c r="F448" s="38" t="s">
        <v>139</v>
      </c>
    </row>
    <row r="449" spans="1:6">
      <c r="A449" s="35">
        <v>20175</v>
      </c>
      <c r="B449" s="37" t="s">
        <v>996</v>
      </c>
      <c r="C449" s="37" t="s">
        <v>284</v>
      </c>
      <c r="D449" s="37" t="s">
        <v>282</v>
      </c>
      <c r="E449" s="37" t="s">
        <v>115</v>
      </c>
      <c r="F449" s="38" t="s">
        <v>128</v>
      </c>
    </row>
    <row r="450" spans="1:6">
      <c r="A450" s="35">
        <v>20178</v>
      </c>
      <c r="B450" s="37" t="s">
        <v>997</v>
      </c>
      <c r="C450" s="37" t="s">
        <v>284</v>
      </c>
      <c r="D450" s="37" t="s">
        <v>282</v>
      </c>
      <c r="E450" s="37" t="s">
        <v>115</v>
      </c>
      <c r="F450" s="38" t="s">
        <v>114</v>
      </c>
    </row>
    <row r="451" spans="1:6">
      <c r="A451" s="35">
        <v>20228</v>
      </c>
      <c r="B451" s="37" t="s">
        <v>998</v>
      </c>
      <c r="C451" s="37" t="s">
        <v>284</v>
      </c>
      <c r="D451" s="37" t="s">
        <v>282</v>
      </c>
      <c r="E451" s="37" t="s">
        <v>115</v>
      </c>
      <c r="F451" s="38" t="s">
        <v>114</v>
      </c>
    </row>
    <row r="452" spans="1:6">
      <c r="A452" s="35">
        <v>20238</v>
      </c>
      <c r="B452" s="37" t="s">
        <v>999</v>
      </c>
      <c r="C452" s="37" t="s">
        <v>284</v>
      </c>
      <c r="D452" s="37" t="s">
        <v>282</v>
      </c>
      <c r="E452" s="37" t="s">
        <v>115</v>
      </c>
      <c r="F452" s="38" t="s">
        <v>139</v>
      </c>
    </row>
    <row r="453" spans="1:6">
      <c r="A453" s="35">
        <v>20250</v>
      </c>
      <c r="B453" s="37" t="s">
        <v>1000</v>
      </c>
      <c r="C453" s="37" t="s">
        <v>284</v>
      </c>
      <c r="D453" s="37" t="s">
        <v>282</v>
      </c>
      <c r="E453" s="37" t="s">
        <v>115</v>
      </c>
      <c r="F453" s="38" t="s">
        <v>114</v>
      </c>
    </row>
    <row r="454" spans="1:6">
      <c r="A454" s="35">
        <v>20295</v>
      </c>
      <c r="B454" s="37" t="s">
        <v>1001</v>
      </c>
      <c r="C454" s="37" t="s">
        <v>284</v>
      </c>
      <c r="D454" s="37" t="s">
        <v>282</v>
      </c>
      <c r="E454" s="37" t="s">
        <v>115</v>
      </c>
      <c r="F454" s="38" t="s">
        <v>128</v>
      </c>
    </row>
    <row r="455" spans="1:6">
      <c r="A455" s="35">
        <v>20310</v>
      </c>
      <c r="B455" s="37" t="s">
        <v>1002</v>
      </c>
      <c r="C455" s="37" t="s">
        <v>284</v>
      </c>
      <c r="D455" s="37" t="s">
        <v>282</v>
      </c>
      <c r="E455" s="37" t="s">
        <v>115</v>
      </c>
      <c r="F455" s="38" t="s">
        <v>128</v>
      </c>
    </row>
    <row r="456" spans="1:6">
      <c r="A456" s="35">
        <v>20383</v>
      </c>
      <c r="B456" s="37" t="s">
        <v>1003</v>
      </c>
      <c r="C456" s="37" t="s">
        <v>284</v>
      </c>
      <c r="D456" s="37" t="s">
        <v>282</v>
      </c>
      <c r="E456" s="37" t="s">
        <v>115</v>
      </c>
      <c r="F456" s="38" t="s">
        <v>128</v>
      </c>
    </row>
    <row r="457" spans="1:6">
      <c r="A457" s="35">
        <v>20400</v>
      </c>
      <c r="B457" s="37" t="s">
        <v>1004</v>
      </c>
      <c r="C457" s="37" t="s">
        <v>284</v>
      </c>
      <c r="D457" s="37" t="s">
        <v>282</v>
      </c>
      <c r="E457" s="37" t="s">
        <v>115</v>
      </c>
      <c r="F457" s="38" t="s">
        <v>114</v>
      </c>
    </row>
    <row r="458" spans="1:6">
      <c r="A458" s="35">
        <v>20517</v>
      </c>
      <c r="B458" s="37" t="s">
        <v>1005</v>
      </c>
      <c r="C458" s="37" t="s">
        <v>284</v>
      </c>
      <c r="D458" s="37" t="s">
        <v>282</v>
      </c>
      <c r="E458" s="37" t="s">
        <v>115</v>
      </c>
      <c r="F458" s="38" t="s">
        <v>128</v>
      </c>
    </row>
    <row r="459" spans="1:6">
      <c r="A459" s="35">
        <v>20550</v>
      </c>
      <c r="B459" s="37" t="s">
        <v>1006</v>
      </c>
      <c r="C459" s="37" t="s">
        <v>284</v>
      </c>
      <c r="D459" s="37" t="s">
        <v>282</v>
      </c>
      <c r="E459" s="37" t="s">
        <v>115</v>
      </c>
      <c r="F459" s="38" t="s">
        <v>128</v>
      </c>
    </row>
    <row r="460" spans="1:6">
      <c r="A460" s="35">
        <v>20570</v>
      </c>
      <c r="B460" s="37" t="s">
        <v>1007</v>
      </c>
      <c r="C460" s="37" t="s">
        <v>284</v>
      </c>
      <c r="D460" s="37" t="s">
        <v>282</v>
      </c>
      <c r="E460" s="37" t="s">
        <v>115</v>
      </c>
      <c r="F460" s="38" t="s">
        <v>114</v>
      </c>
    </row>
    <row r="461" spans="1:6">
      <c r="A461" s="35">
        <v>20614</v>
      </c>
      <c r="B461" s="37" t="s">
        <v>1008</v>
      </c>
      <c r="C461" s="37" t="s">
        <v>284</v>
      </c>
      <c r="D461" s="37" t="s">
        <v>282</v>
      </c>
      <c r="E461" s="37" t="s">
        <v>115</v>
      </c>
      <c r="F461" s="38" t="s">
        <v>128</v>
      </c>
    </row>
    <row r="462" spans="1:6">
      <c r="A462" s="35">
        <v>20710</v>
      </c>
      <c r="B462" s="37" t="s">
        <v>1009</v>
      </c>
      <c r="C462" s="37" t="s">
        <v>284</v>
      </c>
      <c r="D462" s="37" t="s">
        <v>256</v>
      </c>
      <c r="E462" s="37" t="s">
        <v>115</v>
      </c>
      <c r="F462" s="38" t="s">
        <v>114</v>
      </c>
    </row>
    <row r="463" spans="1:6">
      <c r="A463" s="35">
        <v>20750</v>
      </c>
      <c r="B463" s="37" t="s">
        <v>1010</v>
      </c>
      <c r="C463" s="37" t="s">
        <v>284</v>
      </c>
      <c r="D463" s="37" t="s">
        <v>282</v>
      </c>
      <c r="E463" s="37" t="s">
        <v>115</v>
      </c>
      <c r="F463" s="38" t="s">
        <v>139</v>
      </c>
    </row>
    <row r="464" spans="1:6">
      <c r="A464" s="35">
        <v>20787</v>
      </c>
      <c r="B464" s="37" t="s">
        <v>1011</v>
      </c>
      <c r="C464" s="37" t="s">
        <v>284</v>
      </c>
      <c r="D464" s="37" t="s">
        <v>282</v>
      </c>
      <c r="E464" s="37" t="s">
        <v>115</v>
      </c>
      <c r="F464" s="38" t="s">
        <v>128</v>
      </c>
    </row>
    <row r="465" spans="1:6">
      <c r="A465" s="35">
        <v>20001</v>
      </c>
      <c r="B465" s="37" t="s">
        <v>282</v>
      </c>
      <c r="C465" s="37" t="s">
        <v>284</v>
      </c>
      <c r="D465" s="37" t="s">
        <v>282</v>
      </c>
      <c r="E465" s="37" t="s">
        <v>115</v>
      </c>
      <c r="F465" s="38" t="s">
        <v>150</v>
      </c>
    </row>
    <row r="466" spans="1:6">
      <c r="A466" s="35">
        <v>27615</v>
      </c>
      <c r="B466" s="36" t="s">
        <v>900</v>
      </c>
      <c r="C466" s="37" t="s">
        <v>1012</v>
      </c>
      <c r="D466" s="37" t="s">
        <v>316</v>
      </c>
      <c r="E466" s="37" t="s">
        <v>747</v>
      </c>
      <c r="F466" s="38" t="s">
        <v>584</v>
      </c>
    </row>
    <row r="467" spans="1:6">
      <c r="A467" s="35">
        <v>27006</v>
      </c>
      <c r="B467" s="37" t="s">
        <v>1013</v>
      </c>
      <c r="C467" s="37" t="s">
        <v>1012</v>
      </c>
      <c r="D467" s="37" t="s">
        <v>316</v>
      </c>
      <c r="E467" s="37" t="s">
        <v>583</v>
      </c>
      <c r="F467" s="38" t="s">
        <v>584</v>
      </c>
    </row>
    <row r="468" spans="1:6">
      <c r="A468" s="35">
        <v>27025</v>
      </c>
      <c r="B468" s="37" t="s">
        <v>1014</v>
      </c>
      <c r="C468" s="37" t="s">
        <v>1012</v>
      </c>
      <c r="D468" s="37" t="s">
        <v>100</v>
      </c>
      <c r="E468" s="37" t="s">
        <v>583</v>
      </c>
      <c r="F468" s="38" t="s">
        <v>584</v>
      </c>
    </row>
    <row r="469" spans="1:6">
      <c r="A469" s="35">
        <v>27050</v>
      </c>
      <c r="B469" s="37" t="s">
        <v>1015</v>
      </c>
      <c r="C469" s="37" t="s">
        <v>1012</v>
      </c>
      <c r="D469" s="37" t="s">
        <v>316</v>
      </c>
      <c r="E469" s="37" t="s">
        <v>936</v>
      </c>
      <c r="F469" s="38" t="s">
        <v>584</v>
      </c>
    </row>
    <row r="470" spans="1:6">
      <c r="A470" s="35">
        <v>27073</v>
      </c>
      <c r="B470" s="37" t="s">
        <v>1016</v>
      </c>
      <c r="C470" s="37" t="s">
        <v>1012</v>
      </c>
      <c r="D470" s="37" t="s">
        <v>100</v>
      </c>
      <c r="E470" s="37" t="s">
        <v>583</v>
      </c>
      <c r="F470" s="38" t="s">
        <v>584</v>
      </c>
    </row>
    <row r="471" spans="1:6">
      <c r="A471" s="35">
        <v>27075</v>
      </c>
      <c r="B471" s="37" t="s">
        <v>1017</v>
      </c>
      <c r="C471" s="37" t="s">
        <v>1012</v>
      </c>
      <c r="D471" s="37" t="s">
        <v>100</v>
      </c>
      <c r="E471" s="37" t="s">
        <v>583</v>
      </c>
      <c r="F471" s="38" t="s">
        <v>584</v>
      </c>
    </row>
    <row r="472" spans="1:6">
      <c r="A472" s="35">
        <v>27077</v>
      </c>
      <c r="B472" s="37" t="s">
        <v>1018</v>
      </c>
      <c r="C472" s="37" t="s">
        <v>1012</v>
      </c>
      <c r="D472" s="37" t="s">
        <v>316</v>
      </c>
      <c r="E472" s="37" t="s">
        <v>583</v>
      </c>
      <c r="F472" s="38" t="s">
        <v>584</v>
      </c>
    </row>
    <row r="473" spans="1:6">
      <c r="A473" s="35">
        <v>27086</v>
      </c>
      <c r="B473" s="37" t="s">
        <v>1019</v>
      </c>
      <c r="C473" s="37" t="s">
        <v>1012</v>
      </c>
      <c r="D473" s="37" t="s">
        <v>316</v>
      </c>
      <c r="E473" s="37" t="s">
        <v>115</v>
      </c>
      <c r="F473" s="38" t="s">
        <v>128</v>
      </c>
    </row>
    <row r="474" spans="1:6">
      <c r="A474" s="35">
        <v>27099</v>
      </c>
      <c r="B474" s="37" t="s">
        <v>1020</v>
      </c>
      <c r="C474" s="37" t="s">
        <v>1012</v>
      </c>
      <c r="D474" s="37" t="s">
        <v>100</v>
      </c>
      <c r="E474" s="37" t="s">
        <v>583</v>
      </c>
      <c r="F474" s="38" t="s">
        <v>584</v>
      </c>
    </row>
    <row r="475" spans="1:6">
      <c r="A475" s="35">
        <v>27150</v>
      </c>
      <c r="B475" s="37" t="s">
        <v>1021</v>
      </c>
      <c r="C475" s="37" t="s">
        <v>1012</v>
      </c>
      <c r="D475" s="37" t="s">
        <v>316</v>
      </c>
      <c r="E475" s="37" t="s">
        <v>115</v>
      </c>
      <c r="F475" s="38" t="s">
        <v>128</v>
      </c>
    </row>
    <row r="476" spans="1:6">
      <c r="A476" s="35">
        <v>27160</v>
      </c>
      <c r="B476" s="37" t="s">
        <v>1022</v>
      </c>
      <c r="C476" s="37" t="s">
        <v>1012</v>
      </c>
      <c r="D476" s="37" t="s">
        <v>316</v>
      </c>
      <c r="E476" s="37" t="s">
        <v>115</v>
      </c>
      <c r="F476" s="38" t="s">
        <v>128</v>
      </c>
    </row>
    <row r="477" spans="1:6">
      <c r="A477" s="35">
        <v>27205</v>
      </c>
      <c r="B477" s="37" t="s">
        <v>1023</v>
      </c>
      <c r="C477" s="37" t="s">
        <v>1012</v>
      </c>
      <c r="D477" s="37" t="s">
        <v>100</v>
      </c>
      <c r="E477" s="37" t="s">
        <v>583</v>
      </c>
      <c r="F477" s="38" t="s">
        <v>584</v>
      </c>
    </row>
    <row r="478" spans="1:6">
      <c r="A478" s="35">
        <v>27135</v>
      </c>
      <c r="B478" s="37" t="s">
        <v>1024</v>
      </c>
      <c r="C478" s="37" t="s">
        <v>1012</v>
      </c>
      <c r="D478" s="37" t="s">
        <v>316</v>
      </c>
      <c r="E478" s="37" t="s">
        <v>115</v>
      </c>
      <c r="F478" s="38" t="s">
        <v>128</v>
      </c>
    </row>
    <row r="479" spans="1:6">
      <c r="A479" s="35">
        <v>27245</v>
      </c>
      <c r="B479" s="37" t="s">
        <v>1025</v>
      </c>
      <c r="C479" s="37" t="s">
        <v>1012</v>
      </c>
      <c r="D479" s="37" t="s">
        <v>100</v>
      </c>
      <c r="E479" s="37" t="s">
        <v>115</v>
      </c>
      <c r="F479" s="38" t="s">
        <v>128</v>
      </c>
    </row>
    <row r="480" spans="1:6">
      <c r="A480" s="35">
        <v>27250</v>
      </c>
      <c r="B480" s="37" t="s">
        <v>1026</v>
      </c>
      <c r="C480" s="37" t="s">
        <v>1012</v>
      </c>
      <c r="D480" s="37" t="s">
        <v>161</v>
      </c>
      <c r="E480" s="37" t="s">
        <v>1027</v>
      </c>
      <c r="F480" s="38" t="s">
        <v>584</v>
      </c>
    </row>
    <row r="481" spans="1:6">
      <c r="A481" s="35">
        <v>27361</v>
      </c>
      <c r="B481" s="37" t="s">
        <v>1028</v>
      </c>
      <c r="C481" s="37" t="s">
        <v>1012</v>
      </c>
      <c r="D481" s="37" t="s">
        <v>100</v>
      </c>
      <c r="E481" s="37" t="s">
        <v>583</v>
      </c>
      <c r="F481" s="38" t="s">
        <v>584</v>
      </c>
    </row>
    <row r="482" spans="1:6">
      <c r="A482" s="35">
        <v>27372</v>
      </c>
      <c r="B482" s="37" t="s">
        <v>1029</v>
      </c>
      <c r="C482" s="37" t="s">
        <v>1012</v>
      </c>
      <c r="D482" s="37" t="s">
        <v>316</v>
      </c>
      <c r="E482" s="37" t="s">
        <v>671</v>
      </c>
      <c r="F482" s="38" t="s">
        <v>584</v>
      </c>
    </row>
    <row r="483" spans="1:6">
      <c r="A483" s="35">
        <v>27413</v>
      </c>
      <c r="B483" s="37" t="s">
        <v>1030</v>
      </c>
      <c r="C483" s="37" t="s">
        <v>1012</v>
      </c>
      <c r="D483" s="37" t="s">
        <v>316</v>
      </c>
      <c r="E483" s="37" t="s">
        <v>115</v>
      </c>
      <c r="F483" s="38" t="s">
        <v>128</v>
      </c>
    </row>
    <row r="484" spans="1:6">
      <c r="A484" s="35">
        <v>27425</v>
      </c>
      <c r="B484" s="37" t="s">
        <v>1031</v>
      </c>
      <c r="C484" s="37" t="s">
        <v>1012</v>
      </c>
      <c r="D484" s="37" t="s">
        <v>316</v>
      </c>
      <c r="E484" s="37" t="s">
        <v>115</v>
      </c>
      <c r="F484" s="38" t="s">
        <v>128</v>
      </c>
    </row>
    <row r="485" spans="1:6">
      <c r="A485" s="35">
        <v>27430</v>
      </c>
      <c r="B485" s="37" t="s">
        <v>1032</v>
      </c>
      <c r="C485" s="37" t="s">
        <v>1012</v>
      </c>
      <c r="D485" s="37" t="s">
        <v>316</v>
      </c>
      <c r="E485" s="37" t="s">
        <v>115</v>
      </c>
      <c r="F485" s="38" t="s">
        <v>128</v>
      </c>
    </row>
    <row r="486" spans="1:6">
      <c r="A486" s="35">
        <v>27450</v>
      </c>
      <c r="B486" s="37" t="s">
        <v>1033</v>
      </c>
      <c r="C486" s="37" t="s">
        <v>1012</v>
      </c>
      <c r="D486" s="37" t="s">
        <v>316</v>
      </c>
      <c r="E486" s="37" t="s">
        <v>115</v>
      </c>
      <c r="F486" s="38" t="s">
        <v>128</v>
      </c>
    </row>
    <row r="487" spans="1:6">
      <c r="A487" s="35">
        <v>27491</v>
      </c>
      <c r="B487" s="37" t="s">
        <v>1034</v>
      </c>
      <c r="C487" s="37" t="s">
        <v>1012</v>
      </c>
      <c r="D487" s="37" t="s">
        <v>100</v>
      </c>
      <c r="E487" s="37" t="s">
        <v>583</v>
      </c>
      <c r="F487" s="38" t="s">
        <v>584</v>
      </c>
    </row>
    <row r="488" spans="1:6">
      <c r="A488" s="35">
        <v>27495</v>
      </c>
      <c r="B488" s="37" t="s">
        <v>1035</v>
      </c>
      <c r="C488" s="37" t="s">
        <v>1012</v>
      </c>
      <c r="D488" s="37" t="s">
        <v>100</v>
      </c>
      <c r="E488" s="37" t="s">
        <v>583</v>
      </c>
      <c r="F488" s="38" t="s">
        <v>584</v>
      </c>
    </row>
    <row r="489" spans="1:6">
      <c r="A489" s="35">
        <v>27001</v>
      </c>
      <c r="B489" s="37" t="s">
        <v>1036</v>
      </c>
      <c r="C489" s="37" t="s">
        <v>1012</v>
      </c>
      <c r="D489" s="37" t="s">
        <v>100</v>
      </c>
      <c r="E489" s="37" t="s">
        <v>583</v>
      </c>
      <c r="F489" s="38" t="s">
        <v>584</v>
      </c>
    </row>
    <row r="490" spans="1:6">
      <c r="A490" s="35">
        <v>27580</v>
      </c>
      <c r="B490" s="37" t="s">
        <v>1037</v>
      </c>
      <c r="C490" s="37" t="s">
        <v>1012</v>
      </c>
      <c r="D490" s="37" t="s">
        <v>316</v>
      </c>
      <c r="E490" s="37" t="s">
        <v>115</v>
      </c>
      <c r="F490" s="38" t="s">
        <v>128</v>
      </c>
    </row>
    <row r="491" spans="1:6">
      <c r="A491" s="35">
        <v>27600</v>
      </c>
      <c r="B491" s="37" t="s">
        <v>1038</v>
      </c>
      <c r="C491" s="37" t="s">
        <v>1012</v>
      </c>
      <c r="D491" s="37" t="s">
        <v>100</v>
      </c>
      <c r="E491" s="37" t="s">
        <v>583</v>
      </c>
      <c r="F491" s="38" t="s">
        <v>584</v>
      </c>
    </row>
    <row r="492" spans="1:6">
      <c r="A492" s="35">
        <v>27660</v>
      </c>
      <c r="B492" s="37" t="s">
        <v>1039</v>
      </c>
      <c r="C492" s="37" t="s">
        <v>1012</v>
      </c>
      <c r="D492" s="37" t="s">
        <v>130</v>
      </c>
      <c r="E492" s="37" t="s">
        <v>115</v>
      </c>
      <c r="F492" s="38" t="s">
        <v>128</v>
      </c>
    </row>
    <row r="493" spans="1:6">
      <c r="A493" s="35">
        <v>27745</v>
      </c>
      <c r="B493" s="37" t="s">
        <v>1040</v>
      </c>
      <c r="C493" s="37" t="s">
        <v>1012</v>
      </c>
      <c r="D493" s="37" t="s">
        <v>100</v>
      </c>
      <c r="E493" s="37" t="s">
        <v>583</v>
      </c>
      <c r="F493" s="38" t="s">
        <v>584</v>
      </c>
    </row>
    <row r="494" spans="1:6">
      <c r="A494" s="35">
        <v>27787</v>
      </c>
      <c r="B494" s="37" t="s">
        <v>1041</v>
      </c>
      <c r="C494" s="37" t="s">
        <v>1012</v>
      </c>
      <c r="D494" s="37" t="s">
        <v>100</v>
      </c>
      <c r="E494" s="37" t="s">
        <v>583</v>
      </c>
      <c r="F494" s="38" t="s">
        <v>584</v>
      </c>
    </row>
    <row r="495" spans="1:6">
      <c r="A495" s="35">
        <v>27800</v>
      </c>
      <c r="B495" s="37" t="s">
        <v>1042</v>
      </c>
      <c r="C495" s="37" t="s">
        <v>1012</v>
      </c>
      <c r="D495" s="37" t="s">
        <v>316</v>
      </c>
      <c r="E495" s="37" t="s">
        <v>671</v>
      </c>
      <c r="F495" s="38" t="s">
        <v>584</v>
      </c>
    </row>
    <row r="496" spans="1:6">
      <c r="A496" s="35">
        <v>27810</v>
      </c>
      <c r="B496" s="37" t="s">
        <v>1043</v>
      </c>
      <c r="C496" s="37" t="s">
        <v>1012</v>
      </c>
      <c r="D496" s="37" t="s">
        <v>316</v>
      </c>
      <c r="E496" s="37" t="s">
        <v>115</v>
      </c>
      <c r="F496" s="38" t="s">
        <v>128</v>
      </c>
    </row>
    <row r="497" spans="1:6">
      <c r="A497" s="35">
        <v>23079</v>
      </c>
      <c r="B497" s="36" t="s">
        <v>788</v>
      </c>
      <c r="C497" s="37" t="s">
        <v>292</v>
      </c>
      <c r="D497" s="37" t="s">
        <v>290</v>
      </c>
      <c r="E497" s="37" t="s">
        <v>115</v>
      </c>
      <c r="F497" s="38" t="s">
        <v>139</v>
      </c>
    </row>
    <row r="498" spans="1:6">
      <c r="A498" s="35">
        <v>23168</v>
      </c>
      <c r="B498" s="36" t="s">
        <v>1044</v>
      </c>
      <c r="C498" s="37" t="s">
        <v>292</v>
      </c>
      <c r="D498" s="37" t="s">
        <v>290</v>
      </c>
      <c r="E498" s="37" t="s">
        <v>115</v>
      </c>
      <c r="F498" s="38" t="s">
        <v>114</v>
      </c>
    </row>
    <row r="499" spans="1:6">
      <c r="A499" s="35">
        <v>23678</v>
      </c>
      <c r="B499" s="36" t="s">
        <v>610</v>
      </c>
      <c r="C499" s="37" t="s">
        <v>292</v>
      </c>
      <c r="D499" s="37" t="s">
        <v>290</v>
      </c>
      <c r="E499" s="37" t="s">
        <v>115</v>
      </c>
      <c r="F499" s="38" t="s">
        <v>139</v>
      </c>
    </row>
    <row r="500" spans="1:6">
      <c r="A500" s="35">
        <v>23068</v>
      </c>
      <c r="B500" s="37" t="s">
        <v>1045</v>
      </c>
      <c r="C500" s="37" t="s">
        <v>292</v>
      </c>
      <c r="D500" s="37" t="s">
        <v>290</v>
      </c>
      <c r="E500" s="37" t="s">
        <v>115</v>
      </c>
      <c r="F500" s="38" t="s">
        <v>114</v>
      </c>
    </row>
    <row r="501" spans="1:6">
      <c r="A501" s="35">
        <v>23090</v>
      </c>
      <c r="B501" s="37" t="s">
        <v>1046</v>
      </c>
      <c r="C501" s="37" t="s">
        <v>292</v>
      </c>
      <c r="D501" s="37" t="s">
        <v>290</v>
      </c>
      <c r="E501" s="37" t="s">
        <v>115</v>
      </c>
      <c r="F501" s="38" t="s">
        <v>139</v>
      </c>
    </row>
    <row r="502" spans="1:6">
      <c r="A502" s="35">
        <v>23162</v>
      </c>
      <c r="B502" s="37" t="s">
        <v>1047</v>
      </c>
      <c r="C502" s="37" t="s">
        <v>292</v>
      </c>
      <c r="D502" s="37" t="s">
        <v>290</v>
      </c>
      <c r="E502" s="37" t="s">
        <v>115</v>
      </c>
      <c r="F502" s="38" t="s">
        <v>150</v>
      </c>
    </row>
    <row r="503" spans="1:6">
      <c r="A503" s="35">
        <v>23182</v>
      </c>
      <c r="B503" s="37" t="s">
        <v>1048</v>
      </c>
      <c r="C503" s="37" t="s">
        <v>292</v>
      </c>
      <c r="D503" s="37" t="s">
        <v>290</v>
      </c>
      <c r="E503" s="37" t="s">
        <v>115</v>
      </c>
      <c r="F503" s="38" t="s">
        <v>139</v>
      </c>
    </row>
    <row r="504" spans="1:6">
      <c r="A504" s="35">
        <v>23189</v>
      </c>
      <c r="B504" s="37" t="s">
        <v>1049</v>
      </c>
      <c r="C504" s="37" t="s">
        <v>292</v>
      </c>
      <c r="D504" s="37" t="s">
        <v>290</v>
      </c>
      <c r="E504" s="37" t="s">
        <v>115</v>
      </c>
      <c r="F504" s="38" t="s">
        <v>139</v>
      </c>
    </row>
    <row r="505" spans="1:6">
      <c r="A505" s="35">
        <v>23300</v>
      </c>
      <c r="B505" s="37" t="s">
        <v>1050</v>
      </c>
      <c r="C505" s="37" t="s">
        <v>292</v>
      </c>
      <c r="D505" s="37" t="s">
        <v>290</v>
      </c>
      <c r="E505" s="37" t="s">
        <v>115</v>
      </c>
      <c r="F505" s="38" t="s">
        <v>139</v>
      </c>
    </row>
    <row r="506" spans="1:6">
      <c r="A506" s="35">
        <v>23350</v>
      </c>
      <c r="B506" s="37" t="s">
        <v>1051</v>
      </c>
      <c r="C506" s="37" t="s">
        <v>292</v>
      </c>
      <c r="D506" s="37" t="s">
        <v>290</v>
      </c>
      <c r="E506" s="37" t="s">
        <v>115</v>
      </c>
      <c r="F506" s="38" t="s">
        <v>139</v>
      </c>
    </row>
    <row r="507" spans="1:6">
      <c r="A507" s="35">
        <v>23417</v>
      </c>
      <c r="B507" s="37" t="s">
        <v>1052</v>
      </c>
      <c r="C507" s="37" t="s">
        <v>292</v>
      </c>
      <c r="D507" s="37" t="s">
        <v>290</v>
      </c>
      <c r="E507" s="37" t="s">
        <v>115</v>
      </c>
      <c r="F507" s="38" t="s">
        <v>139</v>
      </c>
    </row>
    <row r="508" spans="1:6">
      <c r="A508" s="35">
        <v>23419</v>
      </c>
      <c r="B508" s="37" t="s">
        <v>1053</v>
      </c>
      <c r="C508" s="37" t="s">
        <v>292</v>
      </c>
      <c r="D508" s="37" t="s">
        <v>290</v>
      </c>
      <c r="E508" s="37" t="s">
        <v>115</v>
      </c>
      <c r="F508" s="38" t="s">
        <v>139</v>
      </c>
    </row>
    <row r="509" spans="1:6">
      <c r="A509" s="35">
        <v>23464</v>
      </c>
      <c r="B509" s="37" t="s">
        <v>1054</v>
      </c>
      <c r="C509" s="37" t="s">
        <v>292</v>
      </c>
      <c r="D509" s="37" t="s">
        <v>290</v>
      </c>
      <c r="E509" s="37" t="s">
        <v>115</v>
      </c>
      <c r="F509" s="38" t="s">
        <v>139</v>
      </c>
    </row>
    <row r="510" spans="1:6">
      <c r="A510" s="35">
        <v>23466</v>
      </c>
      <c r="B510" s="37" t="s">
        <v>1055</v>
      </c>
      <c r="C510" s="37" t="s">
        <v>292</v>
      </c>
      <c r="D510" s="37" t="s">
        <v>290</v>
      </c>
      <c r="E510" s="37" t="s">
        <v>115</v>
      </c>
      <c r="F510" s="38" t="s">
        <v>128</v>
      </c>
    </row>
    <row r="511" spans="1:6">
      <c r="A511" s="35">
        <v>23001</v>
      </c>
      <c r="B511" s="37" t="s">
        <v>290</v>
      </c>
      <c r="C511" s="37" t="s">
        <v>292</v>
      </c>
      <c r="D511" s="37" t="s">
        <v>290</v>
      </c>
      <c r="E511" s="37" t="s">
        <v>115</v>
      </c>
      <c r="F511" s="38" t="s">
        <v>150</v>
      </c>
    </row>
    <row r="512" spans="1:6">
      <c r="A512" s="35">
        <v>23500</v>
      </c>
      <c r="B512" s="37" t="s">
        <v>1056</v>
      </c>
      <c r="C512" s="37" t="s">
        <v>292</v>
      </c>
      <c r="D512" s="37" t="s">
        <v>290</v>
      </c>
      <c r="E512" s="37" t="s">
        <v>115</v>
      </c>
      <c r="F512" s="38" t="s">
        <v>114</v>
      </c>
    </row>
    <row r="513" spans="1:6">
      <c r="A513" s="35">
        <v>23555</v>
      </c>
      <c r="B513" s="37" t="s">
        <v>293</v>
      </c>
      <c r="C513" s="37" t="s">
        <v>292</v>
      </c>
      <c r="D513" s="37" t="s">
        <v>290</v>
      </c>
      <c r="E513" s="37" t="s">
        <v>115</v>
      </c>
      <c r="F513" s="38" t="s">
        <v>139</v>
      </c>
    </row>
    <row r="514" spans="1:6">
      <c r="A514" s="35">
        <v>23570</v>
      </c>
      <c r="B514" s="37" t="s">
        <v>1057</v>
      </c>
      <c r="C514" s="37" t="s">
        <v>292</v>
      </c>
      <c r="D514" s="37" t="s">
        <v>290</v>
      </c>
      <c r="E514" s="37" t="s">
        <v>115</v>
      </c>
      <c r="F514" s="38" t="s">
        <v>139</v>
      </c>
    </row>
    <row r="515" spans="1:6">
      <c r="A515" s="35">
        <v>23574</v>
      </c>
      <c r="B515" s="37" t="s">
        <v>1058</v>
      </c>
      <c r="C515" s="37" t="s">
        <v>292</v>
      </c>
      <c r="D515" s="37" t="s">
        <v>290</v>
      </c>
      <c r="E515" s="37" t="s">
        <v>115</v>
      </c>
      <c r="F515" s="38" t="s">
        <v>114</v>
      </c>
    </row>
    <row r="516" spans="1:6">
      <c r="A516" s="35">
        <v>23580</v>
      </c>
      <c r="B516" s="37" t="s">
        <v>1059</v>
      </c>
      <c r="C516" s="37" t="s">
        <v>292</v>
      </c>
      <c r="D516" s="37" t="s">
        <v>290</v>
      </c>
      <c r="E516" s="37" t="s">
        <v>115</v>
      </c>
      <c r="F516" s="38" t="s">
        <v>128</v>
      </c>
    </row>
    <row r="517" spans="1:6">
      <c r="A517" s="35">
        <v>23586</v>
      </c>
      <c r="B517" s="37" t="s">
        <v>1060</v>
      </c>
      <c r="C517" s="37" t="s">
        <v>292</v>
      </c>
      <c r="D517" s="37" t="s">
        <v>290</v>
      </c>
      <c r="E517" s="37" t="s">
        <v>115</v>
      </c>
      <c r="F517" s="38" t="s">
        <v>139</v>
      </c>
    </row>
    <row r="518" spans="1:6">
      <c r="A518" s="35">
        <v>23660</v>
      </c>
      <c r="B518" s="37" t="s">
        <v>1061</v>
      </c>
      <c r="C518" s="37" t="s">
        <v>292</v>
      </c>
      <c r="D518" s="37" t="s">
        <v>290</v>
      </c>
      <c r="E518" s="37" t="s">
        <v>115</v>
      </c>
      <c r="F518" s="38" t="s">
        <v>139</v>
      </c>
    </row>
    <row r="519" spans="1:6">
      <c r="A519" s="35">
        <v>23670</v>
      </c>
      <c r="B519" s="37" t="s">
        <v>1062</v>
      </c>
      <c r="C519" s="37" t="s">
        <v>292</v>
      </c>
      <c r="D519" s="37" t="s">
        <v>290</v>
      </c>
      <c r="E519" s="37" t="s">
        <v>115</v>
      </c>
      <c r="F519" s="38" t="s">
        <v>139</v>
      </c>
    </row>
    <row r="520" spans="1:6">
      <c r="A520" s="35">
        <v>23672</v>
      </c>
      <c r="B520" s="37" t="s">
        <v>1063</v>
      </c>
      <c r="C520" s="37" t="s">
        <v>292</v>
      </c>
      <c r="D520" s="37" t="s">
        <v>290</v>
      </c>
      <c r="E520" s="37" t="s">
        <v>115</v>
      </c>
      <c r="F520" s="38" t="s">
        <v>139</v>
      </c>
    </row>
    <row r="521" spans="1:6">
      <c r="A521" s="35">
        <v>23675</v>
      </c>
      <c r="B521" s="37" t="s">
        <v>1064</v>
      </c>
      <c r="C521" s="37" t="s">
        <v>292</v>
      </c>
      <c r="D521" s="37" t="s">
        <v>290</v>
      </c>
      <c r="E521" s="37" t="s">
        <v>115</v>
      </c>
      <c r="F521" s="38" t="s">
        <v>139</v>
      </c>
    </row>
    <row r="522" spans="1:6">
      <c r="A522" s="35">
        <v>23686</v>
      </c>
      <c r="B522" s="37" t="s">
        <v>1065</v>
      </c>
      <c r="C522" s="37" t="s">
        <v>292</v>
      </c>
      <c r="D522" s="37" t="s">
        <v>290</v>
      </c>
      <c r="E522" s="37" t="s">
        <v>115</v>
      </c>
      <c r="F522" s="38" t="s">
        <v>139</v>
      </c>
    </row>
    <row r="523" spans="1:6">
      <c r="A523" s="35">
        <v>23807</v>
      </c>
      <c r="B523" s="37" t="s">
        <v>1066</v>
      </c>
      <c r="C523" s="37" t="s">
        <v>292</v>
      </c>
      <c r="D523" s="37" t="s">
        <v>290</v>
      </c>
      <c r="E523" s="37" t="s">
        <v>115</v>
      </c>
      <c r="F523" s="38" t="s">
        <v>114</v>
      </c>
    </row>
    <row r="524" spans="1:6">
      <c r="A524" s="35">
        <v>23855</v>
      </c>
      <c r="B524" s="37" t="s">
        <v>1067</v>
      </c>
      <c r="C524" s="37" t="s">
        <v>292</v>
      </c>
      <c r="D524" s="37" t="s">
        <v>290</v>
      </c>
      <c r="E524" s="37" t="s">
        <v>115</v>
      </c>
      <c r="F524" s="38" t="s">
        <v>114</v>
      </c>
    </row>
    <row r="525" spans="1:6">
      <c r="A525" s="35">
        <v>25019</v>
      </c>
      <c r="B525" s="36" t="s">
        <v>1068</v>
      </c>
      <c r="C525" s="37" t="s">
        <v>172</v>
      </c>
      <c r="D525" s="37" t="s">
        <v>170</v>
      </c>
      <c r="E525" s="37" t="s">
        <v>115</v>
      </c>
      <c r="F525" s="38" t="s">
        <v>139</v>
      </c>
    </row>
    <row r="526" spans="1:6">
      <c r="A526" s="35">
        <v>25120</v>
      </c>
      <c r="B526" s="36" t="s">
        <v>1069</v>
      </c>
      <c r="C526" s="37" t="s">
        <v>172</v>
      </c>
      <c r="D526" s="37" t="s">
        <v>170</v>
      </c>
      <c r="E526" s="37" t="s">
        <v>115</v>
      </c>
      <c r="F526" s="38" t="s">
        <v>114</v>
      </c>
    </row>
    <row r="527" spans="1:6">
      <c r="A527" s="35">
        <v>25258</v>
      </c>
      <c r="B527" s="36" t="s">
        <v>744</v>
      </c>
      <c r="C527" s="37" t="s">
        <v>172</v>
      </c>
      <c r="D527" s="37" t="s">
        <v>170</v>
      </c>
      <c r="E527" s="37" t="s">
        <v>115</v>
      </c>
      <c r="F527" s="38" t="s">
        <v>114</v>
      </c>
    </row>
    <row r="528" spans="1:6">
      <c r="A528" s="35">
        <v>25312</v>
      </c>
      <c r="B528" s="36" t="s">
        <v>603</v>
      </c>
      <c r="C528" s="37" t="s">
        <v>172</v>
      </c>
      <c r="D528" s="37" t="s">
        <v>170</v>
      </c>
      <c r="E528" s="37" t="s">
        <v>115</v>
      </c>
      <c r="F528" s="38" t="s">
        <v>139</v>
      </c>
    </row>
    <row r="529" spans="1:6">
      <c r="A529" s="35">
        <v>25402</v>
      </c>
      <c r="B529" s="36" t="s">
        <v>956</v>
      </c>
      <c r="C529" s="37" t="s">
        <v>172</v>
      </c>
      <c r="D529" s="37" t="s">
        <v>170</v>
      </c>
      <c r="E529" s="37" t="s">
        <v>115</v>
      </c>
      <c r="F529" s="38" t="s">
        <v>139</v>
      </c>
    </row>
    <row r="530" spans="1:6">
      <c r="A530" s="35">
        <v>25473</v>
      </c>
      <c r="B530" s="36" t="s">
        <v>1070</v>
      </c>
      <c r="C530" s="37" t="s">
        <v>172</v>
      </c>
      <c r="D530" s="37" t="s">
        <v>170</v>
      </c>
      <c r="E530" s="37" t="s">
        <v>115</v>
      </c>
      <c r="F530" s="38" t="s">
        <v>150</v>
      </c>
    </row>
    <row r="531" spans="1:6">
      <c r="A531" s="35">
        <v>25483</v>
      </c>
      <c r="B531" s="36" t="s">
        <v>607</v>
      </c>
      <c r="C531" s="37" t="s">
        <v>172</v>
      </c>
      <c r="D531" s="37" t="s">
        <v>170</v>
      </c>
      <c r="E531" s="37" t="s">
        <v>115</v>
      </c>
      <c r="F531" s="38" t="s">
        <v>114</v>
      </c>
    </row>
    <row r="532" spans="1:6">
      <c r="A532" s="35">
        <v>25612</v>
      </c>
      <c r="B532" s="36" t="s">
        <v>1071</v>
      </c>
      <c r="C532" s="37" t="s">
        <v>172</v>
      </c>
      <c r="D532" s="37" t="s">
        <v>170</v>
      </c>
      <c r="E532" s="37" t="s">
        <v>115</v>
      </c>
      <c r="F532" s="38" t="s">
        <v>114</v>
      </c>
    </row>
    <row r="533" spans="1:6">
      <c r="A533" s="35">
        <v>25649</v>
      </c>
      <c r="B533" s="36" t="s">
        <v>1072</v>
      </c>
      <c r="C533" s="37" t="s">
        <v>172</v>
      </c>
      <c r="D533" s="37" t="s">
        <v>170</v>
      </c>
      <c r="E533" s="37" t="s">
        <v>115</v>
      </c>
      <c r="F533" s="38" t="s">
        <v>114</v>
      </c>
    </row>
    <row r="534" spans="1:6">
      <c r="A534" s="35">
        <v>25653</v>
      </c>
      <c r="B534" s="36" t="s">
        <v>1073</v>
      </c>
      <c r="C534" s="37" t="s">
        <v>172</v>
      </c>
      <c r="D534" s="37" t="s">
        <v>170</v>
      </c>
      <c r="E534" s="37" t="s">
        <v>115</v>
      </c>
      <c r="F534" s="38" t="s">
        <v>114</v>
      </c>
    </row>
    <row r="535" spans="1:6">
      <c r="A535" s="35">
        <v>25658</v>
      </c>
      <c r="B535" s="36" t="s">
        <v>611</v>
      </c>
      <c r="C535" s="37" t="s">
        <v>172</v>
      </c>
      <c r="D535" s="37" t="s">
        <v>170</v>
      </c>
      <c r="E535" s="37" t="s">
        <v>115</v>
      </c>
      <c r="F535" s="38" t="s">
        <v>139</v>
      </c>
    </row>
    <row r="536" spans="1:6">
      <c r="A536" s="35">
        <v>25506</v>
      </c>
      <c r="B536" s="36" t="s">
        <v>617</v>
      </c>
      <c r="C536" s="37" t="s">
        <v>172</v>
      </c>
      <c r="D536" s="37" t="s">
        <v>170</v>
      </c>
      <c r="E536" s="37" t="s">
        <v>115</v>
      </c>
      <c r="F536" s="38" t="s">
        <v>114</v>
      </c>
    </row>
    <row r="537" spans="1:6">
      <c r="A537" s="35">
        <v>25001</v>
      </c>
      <c r="B537" s="37" t="s">
        <v>1074</v>
      </c>
      <c r="C537" s="37" t="s">
        <v>172</v>
      </c>
      <c r="D537" s="37" t="s">
        <v>170</v>
      </c>
      <c r="E537" s="37" t="s">
        <v>115</v>
      </c>
      <c r="F537" s="38" t="s">
        <v>114</v>
      </c>
    </row>
    <row r="538" spans="1:6">
      <c r="A538" s="35">
        <v>25035</v>
      </c>
      <c r="B538" s="37" t="s">
        <v>1075</v>
      </c>
      <c r="C538" s="37" t="s">
        <v>172</v>
      </c>
      <c r="D538" s="37" t="s">
        <v>170</v>
      </c>
      <c r="E538" s="37" t="s">
        <v>115</v>
      </c>
      <c r="F538" s="38" t="s">
        <v>139</v>
      </c>
    </row>
    <row r="539" spans="1:6">
      <c r="A539" s="35">
        <v>25040</v>
      </c>
      <c r="B539" s="37" t="s">
        <v>1076</v>
      </c>
      <c r="C539" s="37" t="s">
        <v>172</v>
      </c>
      <c r="D539" s="37" t="s">
        <v>170</v>
      </c>
      <c r="E539" s="37" t="s">
        <v>115</v>
      </c>
      <c r="F539" s="38" t="s">
        <v>139</v>
      </c>
    </row>
    <row r="540" spans="1:6">
      <c r="A540" s="35">
        <v>25599</v>
      </c>
      <c r="B540" s="37" t="s">
        <v>1077</v>
      </c>
      <c r="C540" s="37" t="s">
        <v>172</v>
      </c>
      <c r="D540" s="37" t="s">
        <v>170</v>
      </c>
      <c r="E540" s="37" t="s">
        <v>115</v>
      </c>
      <c r="F540" s="38" t="s">
        <v>114</v>
      </c>
    </row>
    <row r="541" spans="1:6">
      <c r="A541" s="35">
        <v>25053</v>
      </c>
      <c r="B541" s="37" t="s">
        <v>1078</v>
      </c>
      <c r="C541" s="37" t="s">
        <v>172</v>
      </c>
      <c r="D541" s="37" t="s">
        <v>170</v>
      </c>
      <c r="E541" s="37" t="s">
        <v>115</v>
      </c>
      <c r="F541" s="38" t="s">
        <v>139</v>
      </c>
    </row>
    <row r="542" spans="1:6">
      <c r="A542" s="35">
        <v>25086</v>
      </c>
      <c r="B542" s="37" t="s">
        <v>1079</v>
      </c>
      <c r="C542" s="37" t="s">
        <v>172</v>
      </c>
      <c r="D542" s="37" t="s">
        <v>170</v>
      </c>
      <c r="E542" s="37" t="s">
        <v>115</v>
      </c>
      <c r="F542" s="38" t="s">
        <v>114</v>
      </c>
    </row>
    <row r="543" spans="1:6">
      <c r="A543" s="35">
        <v>25095</v>
      </c>
      <c r="B543" s="37" t="s">
        <v>1080</v>
      </c>
      <c r="C543" s="37" t="s">
        <v>172</v>
      </c>
      <c r="D543" s="37" t="s">
        <v>170</v>
      </c>
      <c r="E543" s="37" t="s">
        <v>115</v>
      </c>
      <c r="F543" s="38" t="s">
        <v>114</v>
      </c>
    </row>
    <row r="544" spans="1:6">
      <c r="A544" s="35">
        <v>11001</v>
      </c>
      <c r="B544" s="37" t="s">
        <v>170</v>
      </c>
      <c r="C544" s="37" t="s">
        <v>172</v>
      </c>
      <c r="D544" s="37" t="s">
        <v>170</v>
      </c>
      <c r="E544" s="37" t="s">
        <v>115</v>
      </c>
      <c r="F544" s="38" t="s">
        <v>150</v>
      </c>
    </row>
    <row r="545" spans="1:6">
      <c r="A545" s="35">
        <v>25099</v>
      </c>
      <c r="B545" s="37" t="s">
        <v>1081</v>
      </c>
      <c r="C545" s="37" t="s">
        <v>172</v>
      </c>
      <c r="D545" s="37" t="s">
        <v>170</v>
      </c>
      <c r="E545" s="37" t="s">
        <v>115</v>
      </c>
      <c r="F545" s="38" t="s">
        <v>139</v>
      </c>
    </row>
    <row r="546" spans="1:6">
      <c r="A546" s="35">
        <v>25123</v>
      </c>
      <c r="B546" s="37" t="s">
        <v>1082</v>
      </c>
      <c r="C546" s="37" t="s">
        <v>172</v>
      </c>
      <c r="D546" s="37" t="s">
        <v>170</v>
      </c>
      <c r="E546" s="37" t="s">
        <v>115</v>
      </c>
      <c r="F546" s="38" t="s">
        <v>139</v>
      </c>
    </row>
    <row r="547" spans="1:6">
      <c r="A547" s="35">
        <v>25126</v>
      </c>
      <c r="B547" s="37" t="s">
        <v>1083</v>
      </c>
      <c r="C547" s="37" t="s">
        <v>172</v>
      </c>
      <c r="D547" s="37" t="s">
        <v>170</v>
      </c>
      <c r="E547" s="37" t="s">
        <v>115</v>
      </c>
      <c r="F547" s="38" t="s">
        <v>139</v>
      </c>
    </row>
    <row r="548" spans="1:6">
      <c r="A548" s="35">
        <v>25148</v>
      </c>
      <c r="B548" s="37" t="s">
        <v>1084</v>
      </c>
      <c r="C548" s="37" t="s">
        <v>172</v>
      </c>
      <c r="D548" s="37" t="s">
        <v>170</v>
      </c>
      <c r="E548" s="37" t="s">
        <v>115</v>
      </c>
      <c r="F548" s="38" t="s">
        <v>114</v>
      </c>
    </row>
    <row r="549" spans="1:6">
      <c r="A549" s="35">
        <v>25151</v>
      </c>
      <c r="B549" s="37" t="s">
        <v>1085</v>
      </c>
      <c r="C549" s="37" t="s">
        <v>172</v>
      </c>
      <c r="D549" s="37" t="s">
        <v>170</v>
      </c>
      <c r="E549" s="37" t="s">
        <v>115</v>
      </c>
      <c r="F549" s="38" t="s">
        <v>139</v>
      </c>
    </row>
    <row r="550" spans="1:6">
      <c r="A550" s="35">
        <v>25154</v>
      </c>
      <c r="B550" s="37" t="s">
        <v>1086</v>
      </c>
      <c r="C550" s="37" t="s">
        <v>172</v>
      </c>
      <c r="D550" s="37" t="s">
        <v>170</v>
      </c>
      <c r="E550" s="37" t="s">
        <v>115</v>
      </c>
      <c r="F550" s="38" t="s">
        <v>114</v>
      </c>
    </row>
    <row r="551" spans="1:6">
      <c r="A551" s="35">
        <v>25168</v>
      </c>
      <c r="B551" s="37" t="s">
        <v>1087</v>
      </c>
      <c r="C551" s="37" t="s">
        <v>172</v>
      </c>
      <c r="D551" s="37" t="s">
        <v>170</v>
      </c>
      <c r="E551" s="37" t="s">
        <v>115</v>
      </c>
      <c r="F551" s="38" t="s">
        <v>114</v>
      </c>
    </row>
    <row r="552" spans="1:6">
      <c r="A552" s="35">
        <v>25175</v>
      </c>
      <c r="B552" s="37" t="s">
        <v>1088</v>
      </c>
      <c r="C552" s="37" t="s">
        <v>172</v>
      </c>
      <c r="D552" s="37" t="s">
        <v>170</v>
      </c>
      <c r="E552" s="37" t="s">
        <v>115</v>
      </c>
      <c r="F552" s="38" t="s">
        <v>139</v>
      </c>
    </row>
    <row r="553" spans="1:6">
      <c r="A553" s="35">
        <v>25178</v>
      </c>
      <c r="B553" s="37" t="s">
        <v>1089</v>
      </c>
      <c r="C553" s="37" t="s">
        <v>172</v>
      </c>
      <c r="D553" s="37" t="s">
        <v>170</v>
      </c>
      <c r="E553" s="37" t="s">
        <v>115</v>
      </c>
      <c r="F553" s="38" t="s">
        <v>139</v>
      </c>
    </row>
    <row r="554" spans="1:6">
      <c r="A554" s="35">
        <v>25181</v>
      </c>
      <c r="B554" s="37" t="s">
        <v>1090</v>
      </c>
      <c r="C554" s="37" t="s">
        <v>172</v>
      </c>
      <c r="D554" s="37" t="s">
        <v>170</v>
      </c>
      <c r="E554" s="37" t="s">
        <v>115</v>
      </c>
      <c r="F554" s="38" t="s">
        <v>139</v>
      </c>
    </row>
    <row r="555" spans="1:6">
      <c r="A555" s="35">
        <v>25183</v>
      </c>
      <c r="B555" s="37" t="s">
        <v>1091</v>
      </c>
      <c r="C555" s="37" t="s">
        <v>172</v>
      </c>
      <c r="D555" s="37" t="s">
        <v>399</v>
      </c>
      <c r="E555" s="37" t="s">
        <v>115</v>
      </c>
      <c r="F555" s="38" t="s">
        <v>139</v>
      </c>
    </row>
    <row r="556" spans="1:6">
      <c r="A556" s="35">
        <v>25200</v>
      </c>
      <c r="B556" s="37" t="s">
        <v>1092</v>
      </c>
      <c r="C556" s="37" t="s">
        <v>172</v>
      </c>
      <c r="D556" s="37" t="s">
        <v>170</v>
      </c>
      <c r="E556" s="37" t="s">
        <v>115</v>
      </c>
      <c r="F556" s="38" t="s">
        <v>139</v>
      </c>
    </row>
    <row r="557" spans="1:6">
      <c r="A557" s="35">
        <v>25214</v>
      </c>
      <c r="B557" s="37" t="s">
        <v>1093</v>
      </c>
      <c r="C557" s="37" t="s">
        <v>172</v>
      </c>
      <c r="D557" s="37" t="s">
        <v>170</v>
      </c>
      <c r="E557" s="37" t="s">
        <v>115</v>
      </c>
      <c r="F557" s="38" t="s">
        <v>139</v>
      </c>
    </row>
    <row r="558" spans="1:6">
      <c r="A558" s="35">
        <v>25224</v>
      </c>
      <c r="B558" s="37" t="s">
        <v>1094</v>
      </c>
      <c r="C558" s="37" t="s">
        <v>172</v>
      </c>
      <c r="D558" s="37" t="s">
        <v>170</v>
      </c>
      <c r="E558" s="37" t="s">
        <v>115</v>
      </c>
      <c r="F558" s="38" t="s">
        <v>114</v>
      </c>
    </row>
    <row r="559" spans="1:6">
      <c r="A559" s="35">
        <v>25245</v>
      </c>
      <c r="B559" s="37" t="s">
        <v>1095</v>
      </c>
      <c r="C559" s="37" t="s">
        <v>172</v>
      </c>
      <c r="D559" s="37" t="s">
        <v>170</v>
      </c>
      <c r="E559" s="37" t="s">
        <v>115</v>
      </c>
      <c r="F559" s="38" t="s">
        <v>139</v>
      </c>
    </row>
    <row r="560" spans="1:6">
      <c r="A560" s="35">
        <v>25260</v>
      </c>
      <c r="B560" s="37" t="s">
        <v>1096</v>
      </c>
      <c r="C560" s="37" t="s">
        <v>172</v>
      </c>
      <c r="D560" s="37" t="s">
        <v>170</v>
      </c>
      <c r="E560" s="37" t="s">
        <v>115</v>
      </c>
      <c r="F560" s="38" t="s">
        <v>139</v>
      </c>
    </row>
    <row r="561" spans="1:6">
      <c r="A561" s="35">
        <v>25269</v>
      </c>
      <c r="B561" s="37" t="s">
        <v>1097</v>
      </c>
      <c r="C561" s="37" t="s">
        <v>172</v>
      </c>
      <c r="D561" s="37" t="s">
        <v>170</v>
      </c>
      <c r="E561" s="37" t="s">
        <v>115</v>
      </c>
      <c r="F561" s="38" t="s">
        <v>139</v>
      </c>
    </row>
    <row r="562" spans="1:6">
      <c r="A562" s="35">
        <v>25279</v>
      </c>
      <c r="B562" s="37" t="s">
        <v>1098</v>
      </c>
      <c r="C562" s="37" t="s">
        <v>172</v>
      </c>
      <c r="D562" s="37" t="s">
        <v>170</v>
      </c>
      <c r="E562" s="37" t="s">
        <v>115</v>
      </c>
      <c r="F562" s="38" t="s">
        <v>139</v>
      </c>
    </row>
    <row r="563" spans="1:6">
      <c r="A563" s="35">
        <v>25281</v>
      </c>
      <c r="B563" s="37" t="s">
        <v>1099</v>
      </c>
      <c r="C563" s="37" t="s">
        <v>172</v>
      </c>
      <c r="D563" s="37" t="s">
        <v>170</v>
      </c>
      <c r="E563" s="37" t="s">
        <v>115</v>
      </c>
      <c r="F563" s="38" t="s">
        <v>139</v>
      </c>
    </row>
    <row r="564" spans="1:6">
      <c r="A564" s="35">
        <v>25286</v>
      </c>
      <c r="B564" s="37" t="s">
        <v>1100</v>
      </c>
      <c r="C564" s="37" t="s">
        <v>172</v>
      </c>
      <c r="D564" s="37" t="s">
        <v>170</v>
      </c>
      <c r="E564" s="37" t="s">
        <v>115</v>
      </c>
      <c r="F564" s="38" t="s">
        <v>139</v>
      </c>
    </row>
    <row r="565" spans="1:6">
      <c r="A565" s="35">
        <v>25288</v>
      </c>
      <c r="B565" s="37" t="s">
        <v>1101</v>
      </c>
      <c r="C565" s="37" t="s">
        <v>172</v>
      </c>
      <c r="D565" s="37" t="s">
        <v>170</v>
      </c>
      <c r="E565" s="37" t="s">
        <v>115</v>
      </c>
      <c r="F565" s="38" t="s">
        <v>114</v>
      </c>
    </row>
    <row r="566" spans="1:6">
      <c r="A566" s="35">
        <v>25290</v>
      </c>
      <c r="B566" s="37" t="s">
        <v>471</v>
      </c>
      <c r="C566" s="37" t="s">
        <v>172</v>
      </c>
      <c r="D566" s="37" t="s">
        <v>170</v>
      </c>
      <c r="E566" s="37" t="s">
        <v>115</v>
      </c>
      <c r="F566" s="38" t="s">
        <v>139</v>
      </c>
    </row>
    <row r="567" spans="1:6">
      <c r="A567" s="35">
        <v>25293</v>
      </c>
      <c r="B567" s="37" t="s">
        <v>1102</v>
      </c>
      <c r="C567" s="37" t="s">
        <v>172</v>
      </c>
      <c r="D567" s="37" t="s">
        <v>170</v>
      </c>
      <c r="E567" s="37" t="s">
        <v>115</v>
      </c>
      <c r="F567" s="38" t="s">
        <v>114</v>
      </c>
    </row>
    <row r="568" spans="1:6">
      <c r="A568" s="35">
        <v>25295</v>
      </c>
      <c r="B568" s="37" t="s">
        <v>1103</v>
      </c>
      <c r="C568" s="37" t="s">
        <v>172</v>
      </c>
      <c r="D568" s="37" t="s">
        <v>170</v>
      </c>
      <c r="E568" s="37" t="s">
        <v>115</v>
      </c>
      <c r="F568" s="38" t="s">
        <v>139</v>
      </c>
    </row>
    <row r="569" spans="1:6">
      <c r="A569" s="35">
        <v>25297</v>
      </c>
      <c r="B569" s="37" t="s">
        <v>1104</v>
      </c>
      <c r="C569" s="37" t="s">
        <v>172</v>
      </c>
      <c r="D569" s="37" t="s">
        <v>170</v>
      </c>
      <c r="E569" s="37" t="s">
        <v>115</v>
      </c>
      <c r="F569" s="38" t="s">
        <v>114</v>
      </c>
    </row>
    <row r="570" spans="1:6">
      <c r="A570" s="35">
        <v>25299</v>
      </c>
      <c r="B570" s="37" t="s">
        <v>1105</v>
      </c>
      <c r="C570" s="37" t="s">
        <v>172</v>
      </c>
      <c r="D570" s="37" t="s">
        <v>170</v>
      </c>
      <c r="E570" s="37" t="s">
        <v>115</v>
      </c>
      <c r="F570" s="38" t="s">
        <v>114</v>
      </c>
    </row>
    <row r="571" spans="1:6">
      <c r="A571" s="35">
        <v>25307</v>
      </c>
      <c r="B571" s="37" t="s">
        <v>1106</v>
      </c>
      <c r="C571" s="37" t="s">
        <v>172</v>
      </c>
      <c r="D571" s="37" t="s">
        <v>170</v>
      </c>
      <c r="E571" s="37" t="s">
        <v>115</v>
      </c>
      <c r="F571" s="38" t="s">
        <v>114</v>
      </c>
    </row>
    <row r="572" spans="1:6">
      <c r="A572" s="35">
        <v>25317</v>
      </c>
      <c r="B572" s="37" t="s">
        <v>1107</v>
      </c>
      <c r="C572" s="37" t="s">
        <v>172</v>
      </c>
      <c r="D572" s="37" t="s">
        <v>170</v>
      </c>
      <c r="E572" s="37" t="s">
        <v>115</v>
      </c>
      <c r="F572" s="38" t="s">
        <v>114</v>
      </c>
    </row>
    <row r="573" spans="1:6">
      <c r="A573" s="35">
        <v>25320</v>
      </c>
      <c r="B573" s="37" t="s">
        <v>173</v>
      </c>
      <c r="C573" s="37" t="s">
        <v>172</v>
      </c>
      <c r="D573" s="37" t="s">
        <v>170</v>
      </c>
      <c r="E573" s="37" t="s">
        <v>115</v>
      </c>
      <c r="F573" s="38" t="s">
        <v>114</v>
      </c>
    </row>
    <row r="574" spans="1:6">
      <c r="A574" s="35">
        <v>25322</v>
      </c>
      <c r="B574" s="37" t="s">
        <v>1108</v>
      </c>
      <c r="C574" s="37" t="s">
        <v>172</v>
      </c>
      <c r="D574" s="37" t="s">
        <v>170</v>
      </c>
      <c r="E574" s="37" t="s">
        <v>115</v>
      </c>
      <c r="F574" s="38" t="s">
        <v>139</v>
      </c>
    </row>
    <row r="575" spans="1:6">
      <c r="A575" s="35">
        <v>25324</v>
      </c>
      <c r="B575" s="37" t="s">
        <v>1109</v>
      </c>
      <c r="C575" s="37" t="s">
        <v>172</v>
      </c>
      <c r="D575" s="37" t="s">
        <v>360</v>
      </c>
      <c r="E575" s="37" t="s">
        <v>115</v>
      </c>
      <c r="F575" s="38" t="s">
        <v>114</v>
      </c>
    </row>
    <row r="576" spans="1:6">
      <c r="A576" s="35">
        <v>25326</v>
      </c>
      <c r="B576" s="37" t="s">
        <v>1110</v>
      </c>
      <c r="C576" s="37" t="s">
        <v>172</v>
      </c>
      <c r="D576" s="37" t="s">
        <v>170</v>
      </c>
      <c r="E576" s="37" t="s">
        <v>115</v>
      </c>
      <c r="F576" s="38" t="s">
        <v>139</v>
      </c>
    </row>
    <row r="577" spans="1:6">
      <c r="A577" s="35">
        <v>25328</v>
      </c>
      <c r="B577" s="37" t="s">
        <v>1111</v>
      </c>
      <c r="C577" s="37" t="s">
        <v>172</v>
      </c>
      <c r="D577" s="37" t="s">
        <v>170</v>
      </c>
      <c r="E577" s="37" t="s">
        <v>115</v>
      </c>
      <c r="F577" s="38" t="s">
        <v>114</v>
      </c>
    </row>
    <row r="578" spans="1:6">
      <c r="A578" s="35">
        <v>25335</v>
      </c>
      <c r="B578" s="37" t="s">
        <v>1112</v>
      </c>
      <c r="C578" s="37" t="s">
        <v>172</v>
      </c>
      <c r="D578" s="37" t="s">
        <v>248</v>
      </c>
      <c r="E578" s="37" t="s">
        <v>115</v>
      </c>
      <c r="F578" s="38" t="s">
        <v>139</v>
      </c>
    </row>
    <row r="579" spans="1:6">
      <c r="A579" s="35">
        <v>25339</v>
      </c>
      <c r="B579" s="37" t="s">
        <v>1113</v>
      </c>
      <c r="C579" s="37" t="s">
        <v>172</v>
      </c>
      <c r="D579" s="37" t="s">
        <v>170</v>
      </c>
      <c r="E579" s="37" t="s">
        <v>115</v>
      </c>
      <c r="F579" s="38" t="s">
        <v>114</v>
      </c>
    </row>
    <row r="580" spans="1:6">
      <c r="A580" s="35">
        <v>25368</v>
      </c>
      <c r="B580" s="37" t="s">
        <v>1114</v>
      </c>
      <c r="C580" s="37" t="s">
        <v>172</v>
      </c>
      <c r="D580" s="37" t="s">
        <v>170</v>
      </c>
      <c r="E580" s="37" t="s">
        <v>115</v>
      </c>
      <c r="F580" s="38" t="s">
        <v>114</v>
      </c>
    </row>
    <row r="581" spans="1:6">
      <c r="A581" s="35">
        <v>25372</v>
      </c>
      <c r="B581" s="37" t="s">
        <v>1115</v>
      </c>
      <c r="C581" s="37" t="s">
        <v>172</v>
      </c>
      <c r="D581" s="37" t="s">
        <v>170</v>
      </c>
      <c r="E581" s="37" t="s">
        <v>115</v>
      </c>
      <c r="F581" s="38" t="s">
        <v>114</v>
      </c>
    </row>
    <row r="582" spans="1:6">
      <c r="A582" s="35">
        <v>25377</v>
      </c>
      <c r="B582" s="37" t="s">
        <v>1116</v>
      </c>
      <c r="C582" s="37" t="s">
        <v>172</v>
      </c>
      <c r="D582" s="37" t="s">
        <v>170</v>
      </c>
      <c r="E582" s="37" t="s">
        <v>115</v>
      </c>
      <c r="F582" s="38" t="s">
        <v>139</v>
      </c>
    </row>
    <row r="583" spans="1:6">
      <c r="A583" s="35">
        <v>25386</v>
      </c>
      <c r="B583" s="37" t="s">
        <v>1117</v>
      </c>
      <c r="C583" s="37" t="s">
        <v>172</v>
      </c>
      <c r="D583" s="37" t="s">
        <v>170</v>
      </c>
      <c r="E583" s="37" t="s">
        <v>115</v>
      </c>
      <c r="F583" s="38" t="s">
        <v>139</v>
      </c>
    </row>
    <row r="584" spans="1:6">
      <c r="A584" s="35">
        <v>25394</v>
      </c>
      <c r="B584" s="37" t="s">
        <v>1118</v>
      </c>
      <c r="C584" s="37" t="s">
        <v>172</v>
      </c>
      <c r="D584" s="37" t="s">
        <v>170</v>
      </c>
      <c r="E584" s="37" t="s">
        <v>115</v>
      </c>
      <c r="F584" s="38" t="s">
        <v>114</v>
      </c>
    </row>
    <row r="585" spans="1:6">
      <c r="A585" s="35">
        <v>25398</v>
      </c>
      <c r="B585" s="37" t="s">
        <v>1119</v>
      </c>
      <c r="C585" s="37" t="s">
        <v>172</v>
      </c>
      <c r="D585" s="37" t="s">
        <v>170</v>
      </c>
      <c r="E585" s="37" t="s">
        <v>115</v>
      </c>
      <c r="F585" s="38" t="s">
        <v>114</v>
      </c>
    </row>
    <row r="586" spans="1:6">
      <c r="A586" s="35">
        <v>25407</v>
      </c>
      <c r="B586" s="37" t="s">
        <v>1120</v>
      </c>
      <c r="C586" s="37" t="s">
        <v>172</v>
      </c>
      <c r="D586" s="37" t="s">
        <v>170</v>
      </c>
      <c r="E586" s="37" t="s">
        <v>115</v>
      </c>
      <c r="F586" s="38" t="s">
        <v>114</v>
      </c>
    </row>
    <row r="587" spans="1:6">
      <c r="A587" s="35">
        <v>25426</v>
      </c>
      <c r="B587" s="37" t="s">
        <v>1121</v>
      </c>
      <c r="C587" s="37" t="s">
        <v>172</v>
      </c>
      <c r="D587" s="37" t="s">
        <v>170</v>
      </c>
      <c r="E587" s="37" t="s">
        <v>115</v>
      </c>
      <c r="F587" s="38" t="s">
        <v>114</v>
      </c>
    </row>
    <row r="588" spans="1:6">
      <c r="A588" s="35">
        <v>25430</v>
      </c>
      <c r="B588" s="37" t="s">
        <v>1122</v>
      </c>
      <c r="C588" s="37" t="s">
        <v>172</v>
      </c>
      <c r="D588" s="37" t="s">
        <v>170</v>
      </c>
      <c r="E588" s="37" t="s">
        <v>115</v>
      </c>
      <c r="F588" s="38" t="s">
        <v>139</v>
      </c>
    </row>
    <row r="589" spans="1:6">
      <c r="A589" s="35">
        <v>25436</v>
      </c>
      <c r="B589" s="37" t="s">
        <v>1123</v>
      </c>
      <c r="C589" s="37" t="s">
        <v>172</v>
      </c>
      <c r="D589" s="37" t="s">
        <v>170</v>
      </c>
      <c r="E589" s="37" t="s">
        <v>115</v>
      </c>
      <c r="F589" s="38" t="s">
        <v>114</v>
      </c>
    </row>
    <row r="590" spans="1:6">
      <c r="A590" s="35">
        <v>25438</v>
      </c>
      <c r="B590" s="37" t="s">
        <v>1124</v>
      </c>
      <c r="C590" s="37" t="s">
        <v>172</v>
      </c>
      <c r="D590" s="37" t="s">
        <v>248</v>
      </c>
      <c r="E590" s="37" t="s">
        <v>115</v>
      </c>
      <c r="F590" s="38" t="s">
        <v>128</v>
      </c>
    </row>
    <row r="591" spans="1:6">
      <c r="A591" s="35">
        <v>25486</v>
      </c>
      <c r="B591" s="37" t="s">
        <v>1125</v>
      </c>
      <c r="C591" s="37" t="s">
        <v>172</v>
      </c>
      <c r="D591" s="37" t="s">
        <v>170</v>
      </c>
      <c r="E591" s="37" t="s">
        <v>115</v>
      </c>
      <c r="F591" s="38" t="s">
        <v>139</v>
      </c>
    </row>
    <row r="592" spans="1:6">
      <c r="A592" s="35">
        <v>25488</v>
      </c>
      <c r="B592" s="37" t="s">
        <v>1126</v>
      </c>
      <c r="C592" s="37" t="s">
        <v>172</v>
      </c>
      <c r="D592" s="37" t="s">
        <v>170</v>
      </c>
      <c r="E592" s="37" t="s">
        <v>115</v>
      </c>
      <c r="F592" s="38" t="s">
        <v>114</v>
      </c>
    </row>
    <row r="593" spans="1:6">
      <c r="A593" s="35">
        <v>25489</v>
      </c>
      <c r="B593" s="37" t="s">
        <v>1127</v>
      </c>
      <c r="C593" s="37" t="s">
        <v>172</v>
      </c>
      <c r="D593" s="37" t="s">
        <v>170</v>
      </c>
      <c r="E593" s="37" t="s">
        <v>115</v>
      </c>
      <c r="F593" s="38" t="s">
        <v>114</v>
      </c>
    </row>
    <row r="594" spans="1:6">
      <c r="A594" s="35">
        <v>25491</v>
      </c>
      <c r="B594" s="37" t="s">
        <v>1128</v>
      </c>
      <c r="C594" s="37" t="s">
        <v>172</v>
      </c>
      <c r="D594" s="37" t="s">
        <v>170</v>
      </c>
      <c r="E594" s="37" t="s">
        <v>115</v>
      </c>
      <c r="F594" s="38" t="s">
        <v>114</v>
      </c>
    </row>
    <row r="595" spans="1:6">
      <c r="A595" s="35">
        <v>25513</v>
      </c>
      <c r="B595" s="37" t="s">
        <v>1129</v>
      </c>
      <c r="C595" s="37" t="s">
        <v>172</v>
      </c>
      <c r="D595" s="37" t="s">
        <v>170</v>
      </c>
      <c r="E595" s="37" t="s">
        <v>115</v>
      </c>
      <c r="F595" s="38" t="s">
        <v>114</v>
      </c>
    </row>
    <row r="596" spans="1:6">
      <c r="A596" s="35">
        <v>25518</v>
      </c>
      <c r="B596" s="37" t="s">
        <v>1130</v>
      </c>
      <c r="C596" s="37" t="s">
        <v>172</v>
      </c>
      <c r="D596" s="37" t="s">
        <v>170</v>
      </c>
      <c r="E596" s="37" t="s">
        <v>115</v>
      </c>
      <c r="F596" s="38" t="s">
        <v>128</v>
      </c>
    </row>
    <row r="597" spans="1:6">
      <c r="A597" s="35">
        <v>25524</v>
      </c>
      <c r="B597" s="37" t="s">
        <v>1131</v>
      </c>
      <c r="C597" s="37" t="s">
        <v>172</v>
      </c>
      <c r="D597" s="37" t="s">
        <v>170</v>
      </c>
      <c r="E597" s="37" t="s">
        <v>115</v>
      </c>
      <c r="F597" s="38" t="s">
        <v>114</v>
      </c>
    </row>
    <row r="598" spans="1:6">
      <c r="A598" s="35">
        <v>25530</v>
      </c>
      <c r="B598" s="37" t="s">
        <v>1132</v>
      </c>
      <c r="C598" s="37" t="s">
        <v>172</v>
      </c>
      <c r="D598" s="37" t="s">
        <v>248</v>
      </c>
      <c r="E598" s="37" t="s">
        <v>115</v>
      </c>
      <c r="F598" s="38" t="s">
        <v>114</v>
      </c>
    </row>
    <row r="599" spans="1:6">
      <c r="A599" s="35">
        <v>25535</v>
      </c>
      <c r="B599" s="37" t="s">
        <v>1133</v>
      </c>
      <c r="C599" s="37" t="s">
        <v>172</v>
      </c>
      <c r="D599" s="37" t="s">
        <v>170</v>
      </c>
      <c r="E599" s="37" t="s">
        <v>115</v>
      </c>
      <c r="F599" s="38" t="s">
        <v>139</v>
      </c>
    </row>
    <row r="600" spans="1:6">
      <c r="A600" s="35">
        <v>25572</v>
      </c>
      <c r="B600" s="37" t="s">
        <v>1134</v>
      </c>
      <c r="C600" s="37" t="s">
        <v>172</v>
      </c>
      <c r="D600" s="37" t="s">
        <v>170</v>
      </c>
      <c r="E600" s="37" t="s">
        <v>115</v>
      </c>
      <c r="F600" s="38" t="s">
        <v>128</v>
      </c>
    </row>
    <row r="601" spans="1:6">
      <c r="A601" s="35">
        <v>25580</v>
      </c>
      <c r="B601" s="37" t="s">
        <v>1135</v>
      </c>
      <c r="C601" s="37" t="s">
        <v>172</v>
      </c>
      <c r="D601" s="37" t="s">
        <v>170</v>
      </c>
      <c r="E601" s="37" t="s">
        <v>115</v>
      </c>
      <c r="F601" s="38" t="s">
        <v>114</v>
      </c>
    </row>
    <row r="602" spans="1:6">
      <c r="A602" s="35">
        <v>25592</v>
      </c>
      <c r="B602" s="37" t="s">
        <v>1136</v>
      </c>
      <c r="C602" s="37" t="s">
        <v>172</v>
      </c>
      <c r="D602" s="37" t="s">
        <v>170</v>
      </c>
      <c r="E602" s="37" t="s">
        <v>115</v>
      </c>
      <c r="F602" s="38" t="s">
        <v>114</v>
      </c>
    </row>
    <row r="603" spans="1:6">
      <c r="A603" s="35">
        <v>25594</v>
      </c>
      <c r="B603" s="37" t="s">
        <v>1137</v>
      </c>
      <c r="C603" s="37" t="s">
        <v>172</v>
      </c>
      <c r="D603" s="37" t="s">
        <v>170</v>
      </c>
      <c r="E603" s="37" t="s">
        <v>115</v>
      </c>
      <c r="F603" s="38" t="s">
        <v>114</v>
      </c>
    </row>
    <row r="604" spans="1:6">
      <c r="A604" s="35">
        <v>25596</v>
      </c>
      <c r="B604" s="37" t="s">
        <v>1138</v>
      </c>
      <c r="C604" s="37" t="s">
        <v>172</v>
      </c>
      <c r="D604" s="37" t="s">
        <v>170</v>
      </c>
      <c r="E604" s="37" t="s">
        <v>115</v>
      </c>
      <c r="F604" s="38" t="s">
        <v>114</v>
      </c>
    </row>
    <row r="605" spans="1:6">
      <c r="A605" s="35">
        <v>25645</v>
      </c>
      <c r="B605" s="37" t="s">
        <v>1139</v>
      </c>
      <c r="C605" s="37" t="s">
        <v>172</v>
      </c>
      <c r="D605" s="37" t="s">
        <v>170</v>
      </c>
      <c r="E605" s="37" t="s">
        <v>115</v>
      </c>
      <c r="F605" s="38" t="s">
        <v>139</v>
      </c>
    </row>
    <row r="606" spans="1:6">
      <c r="A606" s="35">
        <v>25662</v>
      </c>
      <c r="B606" s="37" t="s">
        <v>1140</v>
      </c>
      <c r="C606" s="37" t="s">
        <v>172</v>
      </c>
      <c r="D606" s="37" t="s">
        <v>170</v>
      </c>
      <c r="E606" s="37" t="s">
        <v>115</v>
      </c>
      <c r="F606" s="38" t="s">
        <v>114</v>
      </c>
    </row>
    <row r="607" spans="1:6">
      <c r="A607" s="35">
        <v>25718</v>
      </c>
      <c r="B607" s="37" t="s">
        <v>1141</v>
      </c>
      <c r="C607" s="37" t="s">
        <v>172</v>
      </c>
      <c r="D607" s="37" t="s">
        <v>170</v>
      </c>
      <c r="E607" s="37" t="s">
        <v>115</v>
      </c>
      <c r="F607" s="38" t="s">
        <v>139</v>
      </c>
    </row>
    <row r="608" spans="1:6">
      <c r="A608" s="35">
        <v>25736</v>
      </c>
      <c r="B608" s="37" t="s">
        <v>1142</v>
      </c>
      <c r="C608" s="37" t="s">
        <v>172</v>
      </c>
      <c r="D608" s="37" t="s">
        <v>170</v>
      </c>
      <c r="E608" s="37" t="s">
        <v>115</v>
      </c>
      <c r="F608" s="38" t="s">
        <v>139</v>
      </c>
    </row>
    <row r="609" spans="1:6">
      <c r="A609" s="35">
        <v>25740</v>
      </c>
      <c r="B609" s="37" t="s">
        <v>1143</v>
      </c>
      <c r="C609" s="37" t="s">
        <v>172</v>
      </c>
      <c r="D609" s="37" t="s">
        <v>170</v>
      </c>
      <c r="E609" s="37" t="s">
        <v>115</v>
      </c>
      <c r="F609" s="38" t="s">
        <v>139</v>
      </c>
    </row>
    <row r="610" spans="1:6">
      <c r="A610" s="35">
        <v>25743</v>
      </c>
      <c r="B610" s="37" t="s">
        <v>1144</v>
      </c>
      <c r="C610" s="37" t="s">
        <v>172</v>
      </c>
      <c r="D610" s="37" t="s">
        <v>170</v>
      </c>
      <c r="E610" s="37" t="s">
        <v>115</v>
      </c>
      <c r="F610" s="38" t="s">
        <v>139</v>
      </c>
    </row>
    <row r="611" spans="1:6">
      <c r="A611" s="35">
        <v>25745</v>
      </c>
      <c r="B611" s="37" t="s">
        <v>1145</v>
      </c>
      <c r="C611" s="37" t="s">
        <v>172</v>
      </c>
      <c r="D611" s="37" t="s">
        <v>399</v>
      </c>
      <c r="E611" s="37" t="s">
        <v>115</v>
      </c>
      <c r="F611" s="38" t="s">
        <v>114</v>
      </c>
    </row>
    <row r="612" spans="1:6">
      <c r="A612" s="35">
        <v>25754</v>
      </c>
      <c r="B612" s="37" t="s">
        <v>504</v>
      </c>
      <c r="C612" s="37" t="s">
        <v>172</v>
      </c>
      <c r="D612" s="37" t="s">
        <v>170</v>
      </c>
      <c r="E612" s="37" t="s">
        <v>115</v>
      </c>
      <c r="F612" s="38" t="s">
        <v>150</v>
      </c>
    </row>
    <row r="613" spans="1:6">
      <c r="A613" s="35">
        <v>25758</v>
      </c>
      <c r="B613" s="37" t="s">
        <v>1146</v>
      </c>
      <c r="C613" s="37" t="s">
        <v>172</v>
      </c>
      <c r="D613" s="37" t="s">
        <v>170</v>
      </c>
      <c r="E613" s="37" t="s">
        <v>115</v>
      </c>
      <c r="F613" s="38" t="s">
        <v>139</v>
      </c>
    </row>
    <row r="614" spans="1:6">
      <c r="A614" s="35">
        <v>25769</v>
      </c>
      <c r="B614" s="37" t="s">
        <v>1147</v>
      </c>
      <c r="C614" s="37" t="s">
        <v>172</v>
      </c>
      <c r="D614" s="37" t="s">
        <v>170</v>
      </c>
      <c r="E614" s="37" t="s">
        <v>115</v>
      </c>
      <c r="F614" s="38" t="s">
        <v>139</v>
      </c>
    </row>
    <row r="615" spans="1:6">
      <c r="A615" s="35">
        <v>25772</v>
      </c>
      <c r="B615" s="37" t="s">
        <v>1148</v>
      </c>
      <c r="C615" s="37" t="s">
        <v>172</v>
      </c>
      <c r="D615" s="37" t="s">
        <v>170</v>
      </c>
      <c r="E615" s="37" t="s">
        <v>115</v>
      </c>
      <c r="F615" s="38" t="s">
        <v>139</v>
      </c>
    </row>
    <row r="616" spans="1:6">
      <c r="A616" s="35">
        <v>25777</v>
      </c>
      <c r="B616" s="37" t="s">
        <v>1149</v>
      </c>
      <c r="C616" s="37" t="s">
        <v>172</v>
      </c>
      <c r="D616" s="37" t="s">
        <v>170</v>
      </c>
      <c r="E616" s="37" t="s">
        <v>115</v>
      </c>
      <c r="F616" s="38" t="s">
        <v>139</v>
      </c>
    </row>
    <row r="617" spans="1:6">
      <c r="A617" s="35">
        <v>25779</v>
      </c>
      <c r="B617" s="37" t="s">
        <v>1150</v>
      </c>
      <c r="C617" s="37" t="s">
        <v>172</v>
      </c>
      <c r="D617" s="37" t="s">
        <v>170</v>
      </c>
      <c r="E617" s="37" t="s">
        <v>115</v>
      </c>
      <c r="F617" s="38" t="s">
        <v>114</v>
      </c>
    </row>
    <row r="618" spans="1:6">
      <c r="A618" s="35">
        <v>25781</v>
      </c>
      <c r="B618" s="37" t="s">
        <v>1151</v>
      </c>
      <c r="C618" s="37" t="s">
        <v>172</v>
      </c>
      <c r="D618" s="37" t="s">
        <v>170</v>
      </c>
      <c r="E618" s="37" t="s">
        <v>115</v>
      </c>
      <c r="F618" s="38" t="s">
        <v>139</v>
      </c>
    </row>
    <row r="619" spans="1:6">
      <c r="A619" s="35">
        <v>25785</v>
      </c>
      <c r="B619" s="37" t="s">
        <v>1152</v>
      </c>
      <c r="C619" s="37" t="s">
        <v>172</v>
      </c>
      <c r="D619" s="37" t="s">
        <v>170</v>
      </c>
      <c r="E619" s="37" t="s">
        <v>115</v>
      </c>
      <c r="F619" s="38" t="s">
        <v>139</v>
      </c>
    </row>
    <row r="620" spans="1:6">
      <c r="A620" s="35">
        <v>25793</v>
      </c>
      <c r="B620" s="37" t="s">
        <v>1153</v>
      </c>
      <c r="C620" s="37" t="s">
        <v>172</v>
      </c>
      <c r="D620" s="37" t="s">
        <v>170</v>
      </c>
      <c r="E620" s="37" t="s">
        <v>115</v>
      </c>
      <c r="F620" s="38" t="s">
        <v>139</v>
      </c>
    </row>
    <row r="621" spans="1:6">
      <c r="A621" s="35">
        <v>25797</v>
      </c>
      <c r="B621" s="37" t="s">
        <v>1154</v>
      </c>
      <c r="C621" s="37" t="s">
        <v>172</v>
      </c>
      <c r="D621" s="37" t="s">
        <v>170</v>
      </c>
      <c r="E621" s="37" t="s">
        <v>115</v>
      </c>
      <c r="F621" s="38" t="s">
        <v>139</v>
      </c>
    </row>
    <row r="622" spans="1:6">
      <c r="A622" s="35">
        <v>25799</v>
      </c>
      <c r="B622" s="37" t="s">
        <v>1155</v>
      </c>
      <c r="C622" s="37" t="s">
        <v>172</v>
      </c>
      <c r="D622" s="37" t="s">
        <v>170</v>
      </c>
      <c r="E622" s="37" t="s">
        <v>115</v>
      </c>
      <c r="F622" s="38" t="s">
        <v>139</v>
      </c>
    </row>
    <row r="623" spans="1:6">
      <c r="A623" s="35">
        <v>25805</v>
      </c>
      <c r="B623" s="37" t="s">
        <v>1156</v>
      </c>
      <c r="C623" s="37" t="s">
        <v>172</v>
      </c>
      <c r="D623" s="37" t="s">
        <v>170</v>
      </c>
      <c r="E623" s="37" t="s">
        <v>115</v>
      </c>
      <c r="F623" s="38" t="s">
        <v>139</v>
      </c>
    </row>
    <row r="624" spans="1:6">
      <c r="A624" s="35">
        <v>25807</v>
      </c>
      <c r="B624" s="37" t="s">
        <v>1157</v>
      </c>
      <c r="C624" s="37" t="s">
        <v>172</v>
      </c>
      <c r="D624" s="37" t="s">
        <v>170</v>
      </c>
      <c r="E624" s="37" t="s">
        <v>115</v>
      </c>
      <c r="F624" s="38" t="s">
        <v>114</v>
      </c>
    </row>
    <row r="625" spans="1:6">
      <c r="A625" s="35">
        <v>25815</v>
      </c>
      <c r="B625" s="37" t="s">
        <v>1158</v>
      </c>
      <c r="C625" s="37" t="s">
        <v>172</v>
      </c>
      <c r="D625" s="37" t="s">
        <v>170</v>
      </c>
      <c r="E625" s="37" t="s">
        <v>115</v>
      </c>
      <c r="F625" s="38" t="s">
        <v>114</v>
      </c>
    </row>
    <row r="626" spans="1:6">
      <c r="A626" s="35">
        <v>25817</v>
      </c>
      <c r="B626" s="37" t="s">
        <v>1159</v>
      </c>
      <c r="C626" s="37" t="s">
        <v>172</v>
      </c>
      <c r="D626" s="37" t="s">
        <v>170</v>
      </c>
      <c r="E626" s="37" t="s">
        <v>115</v>
      </c>
      <c r="F626" s="38" t="s">
        <v>139</v>
      </c>
    </row>
    <row r="627" spans="1:6">
      <c r="A627" s="35">
        <v>25823</v>
      </c>
      <c r="B627" s="37" t="s">
        <v>1160</v>
      </c>
      <c r="C627" s="37" t="s">
        <v>172</v>
      </c>
      <c r="D627" s="37" t="s">
        <v>170</v>
      </c>
      <c r="E627" s="37" t="s">
        <v>115</v>
      </c>
      <c r="F627" s="38" t="s">
        <v>114</v>
      </c>
    </row>
    <row r="628" spans="1:6">
      <c r="A628" s="35">
        <v>25839</v>
      </c>
      <c r="B628" s="37" t="s">
        <v>1161</v>
      </c>
      <c r="C628" s="37" t="s">
        <v>172</v>
      </c>
      <c r="D628" s="37" t="s">
        <v>170</v>
      </c>
      <c r="E628" s="37" t="s">
        <v>115</v>
      </c>
      <c r="F628" s="38" t="s">
        <v>114</v>
      </c>
    </row>
    <row r="629" spans="1:6">
      <c r="A629" s="35">
        <v>25841</v>
      </c>
      <c r="B629" s="37" t="s">
        <v>1162</v>
      </c>
      <c r="C629" s="37" t="s">
        <v>172</v>
      </c>
      <c r="D629" s="37" t="s">
        <v>170</v>
      </c>
      <c r="E629" s="37" t="s">
        <v>115</v>
      </c>
      <c r="F629" s="38" t="s">
        <v>139</v>
      </c>
    </row>
    <row r="630" spans="1:6">
      <c r="A630" s="35">
        <v>25845</v>
      </c>
      <c r="B630" s="37" t="s">
        <v>1163</v>
      </c>
      <c r="C630" s="37" t="s">
        <v>172</v>
      </c>
      <c r="D630" s="37" t="s">
        <v>170</v>
      </c>
      <c r="E630" s="37" t="s">
        <v>115</v>
      </c>
      <c r="F630" s="38" t="s">
        <v>139</v>
      </c>
    </row>
    <row r="631" spans="1:6">
      <c r="A631" s="35">
        <v>25851</v>
      </c>
      <c r="B631" s="37" t="s">
        <v>1164</v>
      </c>
      <c r="C631" s="37" t="s">
        <v>172</v>
      </c>
      <c r="D631" s="37" t="s">
        <v>170</v>
      </c>
      <c r="E631" s="37" t="s">
        <v>115</v>
      </c>
      <c r="F631" s="38" t="s">
        <v>114</v>
      </c>
    </row>
    <row r="632" spans="1:6">
      <c r="A632" s="35">
        <v>25862</v>
      </c>
      <c r="B632" s="37" t="s">
        <v>1165</v>
      </c>
      <c r="C632" s="37" t="s">
        <v>172</v>
      </c>
      <c r="D632" s="37" t="s">
        <v>170</v>
      </c>
      <c r="E632" s="37" t="s">
        <v>115</v>
      </c>
      <c r="F632" s="38" t="s">
        <v>114</v>
      </c>
    </row>
    <row r="633" spans="1:6">
      <c r="A633" s="35">
        <v>25867</v>
      </c>
      <c r="B633" s="37" t="s">
        <v>1166</v>
      </c>
      <c r="C633" s="37" t="s">
        <v>172</v>
      </c>
      <c r="D633" s="37" t="s">
        <v>170</v>
      </c>
      <c r="E633" s="37" t="s">
        <v>115</v>
      </c>
      <c r="F633" s="38" t="s">
        <v>114</v>
      </c>
    </row>
    <row r="634" spans="1:6">
      <c r="A634" s="35">
        <v>25843</v>
      </c>
      <c r="B634" s="37" t="s">
        <v>1167</v>
      </c>
      <c r="C634" s="37" t="s">
        <v>172</v>
      </c>
      <c r="D634" s="37" t="s">
        <v>170</v>
      </c>
      <c r="E634" s="37" t="s">
        <v>115</v>
      </c>
      <c r="F634" s="38" t="s">
        <v>139</v>
      </c>
    </row>
    <row r="635" spans="1:6">
      <c r="A635" s="35">
        <v>25871</v>
      </c>
      <c r="B635" s="37" t="s">
        <v>1168</v>
      </c>
      <c r="C635" s="37" t="s">
        <v>172</v>
      </c>
      <c r="D635" s="37" t="s">
        <v>170</v>
      </c>
      <c r="E635" s="37" t="s">
        <v>115</v>
      </c>
      <c r="F635" s="38" t="s">
        <v>114</v>
      </c>
    </row>
    <row r="636" spans="1:6">
      <c r="A636" s="35">
        <v>25873</v>
      </c>
      <c r="B636" s="37" t="s">
        <v>1169</v>
      </c>
      <c r="C636" s="37" t="s">
        <v>172</v>
      </c>
      <c r="D636" s="37" t="s">
        <v>399</v>
      </c>
      <c r="E636" s="37" t="s">
        <v>115</v>
      </c>
      <c r="F636" s="38" t="s">
        <v>139</v>
      </c>
    </row>
    <row r="637" spans="1:6">
      <c r="A637" s="35">
        <v>25875</v>
      </c>
      <c r="B637" s="37" t="s">
        <v>1170</v>
      </c>
      <c r="C637" s="37" t="s">
        <v>172</v>
      </c>
      <c r="D637" s="37" t="s">
        <v>170</v>
      </c>
      <c r="E637" s="37" t="s">
        <v>115</v>
      </c>
      <c r="F637" s="38" t="s">
        <v>139</v>
      </c>
    </row>
    <row r="638" spans="1:6">
      <c r="A638" s="35">
        <v>25878</v>
      </c>
      <c r="B638" s="37" t="s">
        <v>1171</v>
      </c>
      <c r="C638" s="37" t="s">
        <v>172</v>
      </c>
      <c r="D638" s="37" t="s">
        <v>170</v>
      </c>
      <c r="E638" s="37" t="s">
        <v>115</v>
      </c>
      <c r="F638" s="38" t="s">
        <v>114</v>
      </c>
    </row>
    <row r="639" spans="1:6">
      <c r="A639" s="35">
        <v>25885</v>
      </c>
      <c r="B639" s="37" t="s">
        <v>1172</v>
      </c>
      <c r="C639" s="37" t="s">
        <v>172</v>
      </c>
      <c r="D639" s="37" t="s">
        <v>170</v>
      </c>
      <c r="E639" s="37" t="s">
        <v>115</v>
      </c>
      <c r="F639" s="38" t="s">
        <v>128</v>
      </c>
    </row>
    <row r="640" spans="1:6">
      <c r="A640" s="35">
        <v>25898</v>
      </c>
      <c r="B640" s="37" t="s">
        <v>1173</v>
      </c>
      <c r="C640" s="37" t="s">
        <v>172</v>
      </c>
      <c r="D640" s="37" t="s">
        <v>170</v>
      </c>
      <c r="E640" s="37" t="s">
        <v>115</v>
      </c>
      <c r="F640" s="38" t="s">
        <v>139</v>
      </c>
    </row>
    <row r="641" spans="1:6">
      <c r="A641" s="35">
        <v>25899</v>
      </c>
      <c r="B641" s="37" t="s">
        <v>1174</v>
      </c>
      <c r="C641" s="37" t="s">
        <v>172</v>
      </c>
      <c r="D641" s="37" t="s">
        <v>170</v>
      </c>
      <c r="E641" s="37" t="s">
        <v>115</v>
      </c>
      <c r="F641" s="38" t="s">
        <v>139</v>
      </c>
    </row>
    <row r="642" spans="1:6">
      <c r="A642" s="35">
        <v>94884</v>
      </c>
      <c r="B642" s="36" t="s">
        <v>723</v>
      </c>
      <c r="C642" s="37" t="s">
        <v>1175</v>
      </c>
      <c r="D642" s="37" t="s">
        <v>248</v>
      </c>
      <c r="E642" s="37" t="s">
        <v>583</v>
      </c>
      <c r="F642" s="38" t="s">
        <v>584</v>
      </c>
    </row>
    <row r="643" spans="1:6">
      <c r="A643" s="35">
        <v>94343</v>
      </c>
      <c r="B643" s="37" t="s">
        <v>1176</v>
      </c>
      <c r="C643" s="37" t="s">
        <v>1175</v>
      </c>
      <c r="D643" s="37" t="s">
        <v>248</v>
      </c>
      <c r="E643" s="37" t="s">
        <v>583</v>
      </c>
      <c r="F643" s="38" t="s">
        <v>584</v>
      </c>
    </row>
    <row r="644" spans="1:6">
      <c r="A644" s="35">
        <v>94886</v>
      </c>
      <c r="B644" s="37" t="s">
        <v>1177</v>
      </c>
      <c r="C644" s="37" t="s">
        <v>1175</v>
      </c>
      <c r="D644" s="37" t="s">
        <v>248</v>
      </c>
      <c r="E644" s="37" t="s">
        <v>583</v>
      </c>
      <c r="F644" s="38" t="s">
        <v>584</v>
      </c>
    </row>
    <row r="645" spans="1:6">
      <c r="A645" s="35">
        <v>94001</v>
      </c>
      <c r="B645" s="37" t="s">
        <v>1178</v>
      </c>
      <c r="C645" s="37" t="s">
        <v>1175</v>
      </c>
      <c r="D645" s="37" t="s">
        <v>170</v>
      </c>
      <c r="E645" s="37" t="s">
        <v>583</v>
      </c>
      <c r="F645" s="38" t="s">
        <v>584</v>
      </c>
    </row>
    <row r="646" spans="1:6">
      <c r="A646" s="35">
        <v>94885</v>
      </c>
      <c r="B646" s="37" t="s">
        <v>1179</v>
      </c>
      <c r="C646" s="37" t="s">
        <v>1175</v>
      </c>
      <c r="D646" s="37" t="s">
        <v>248</v>
      </c>
      <c r="E646" s="37" t="s">
        <v>583</v>
      </c>
      <c r="F646" s="38" t="s">
        <v>584</v>
      </c>
    </row>
    <row r="647" spans="1:6">
      <c r="A647" s="35">
        <v>94663</v>
      </c>
      <c r="B647" s="37" t="s">
        <v>1180</v>
      </c>
      <c r="C647" s="37" t="s">
        <v>1175</v>
      </c>
      <c r="D647" s="37" t="s">
        <v>248</v>
      </c>
      <c r="E647" s="37" t="s">
        <v>583</v>
      </c>
      <c r="F647" s="38" t="s">
        <v>584</v>
      </c>
    </row>
    <row r="648" spans="1:6">
      <c r="A648" s="35">
        <v>94888</v>
      </c>
      <c r="B648" s="37" t="s">
        <v>1181</v>
      </c>
      <c r="C648" s="37" t="s">
        <v>1175</v>
      </c>
      <c r="D648" s="37" t="s">
        <v>248</v>
      </c>
      <c r="E648" s="37" t="s">
        <v>583</v>
      </c>
      <c r="F648" s="38" t="s">
        <v>584</v>
      </c>
    </row>
    <row r="649" spans="1:6">
      <c r="A649" s="35">
        <v>94887</v>
      </c>
      <c r="B649" s="37" t="s">
        <v>1182</v>
      </c>
      <c r="C649" s="37" t="s">
        <v>1175</v>
      </c>
      <c r="D649" s="37" t="s">
        <v>248</v>
      </c>
      <c r="E649" s="37" t="s">
        <v>583</v>
      </c>
      <c r="F649" s="38" t="s">
        <v>584</v>
      </c>
    </row>
    <row r="650" spans="1:6">
      <c r="A650" s="35">
        <v>94883</v>
      </c>
      <c r="B650" s="37" t="s">
        <v>1183</v>
      </c>
      <c r="C650" s="37" t="s">
        <v>1175</v>
      </c>
      <c r="D650" s="37" t="s">
        <v>248</v>
      </c>
      <c r="E650" s="37" t="s">
        <v>583</v>
      </c>
      <c r="F650" s="38" t="s">
        <v>584</v>
      </c>
    </row>
    <row r="651" spans="1:6">
      <c r="A651" s="35">
        <v>95015</v>
      </c>
      <c r="B651" s="36" t="s">
        <v>743</v>
      </c>
      <c r="C651" s="37" t="s">
        <v>381</v>
      </c>
      <c r="D651" s="37" t="s">
        <v>248</v>
      </c>
      <c r="E651" s="37" t="s">
        <v>583</v>
      </c>
      <c r="F651" s="38" t="s">
        <v>584</v>
      </c>
    </row>
    <row r="652" spans="1:6">
      <c r="A652" s="35">
        <v>95200</v>
      </c>
      <c r="B652" s="36" t="s">
        <v>790</v>
      </c>
      <c r="C652" s="37" t="s">
        <v>381</v>
      </c>
      <c r="D652" s="37" t="s">
        <v>248</v>
      </c>
      <c r="E652" s="37" t="s">
        <v>583</v>
      </c>
      <c r="F652" s="38" t="s">
        <v>584</v>
      </c>
    </row>
    <row r="653" spans="1:6">
      <c r="A653" s="35">
        <v>95025</v>
      </c>
      <c r="B653" s="37" t="s">
        <v>1184</v>
      </c>
      <c r="C653" s="37" t="s">
        <v>381</v>
      </c>
      <c r="D653" s="37" t="s">
        <v>248</v>
      </c>
      <c r="E653" s="37" t="s">
        <v>115</v>
      </c>
      <c r="F653" s="38" t="s">
        <v>128</v>
      </c>
    </row>
    <row r="654" spans="1:6">
      <c r="A654" s="35">
        <v>95001</v>
      </c>
      <c r="B654" s="37" t="s">
        <v>382</v>
      </c>
      <c r="C654" s="37" t="s">
        <v>381</v>
      </c>
      <c r="D654" s="37" t="s">
        <v>248</v>
      </c>
      <c r="E654" s="37" t="s">
        <v>115</v>
      </c>
      <c r="F654" s="38" t="s">
        <v>128</v>
      </c>
    </row>
    <row r="655" spans="1:6">
      <c r="A655" s="35">
        <v>41319</v>
      </c>
      <c r="B655" s="36" t="s">
        <v>604</v>
      </c>
      <c r="C655" s="37" t="s">
        <v>190</v>
      </c>
      <c r="D655" s="37" t="s">
        <v>179</v>
      </c>
      <c r="E655" s="37" t="s">
        <v>115</v>
      </c>
      <c r="F655" s="38" t="s">
        <v>114</v>
      </c>
    </row>
    <row r="656" spans="1:6">
      <c r="A656" s="35">
        <v>41530</v>
      </c>
      <c r="B656" s="36" t="s">
        <v>898</v>
      </c>
      <c r="C656" s="37" t="s">
        <v>190</v>
      </c>
      <c r="D656" s="37" t="s">
        <v>179</v>
      </c>
      <c r="E656" s="37" t="s">
        <v>115</v>
      </c>
      <c r="F656" s="38" t="s">
        <v>128</v>
      </c>
    </row>
    <row r="657" spans="1:6">
      <c r="A657" s="35">
        <v>41676</v>
      </c>
      <c r="B657" s="36" t="s">
        <v>792</v>
      </c>
      <c r="C657" s="37" t="s">
        <v>190</v>
      </c>
      <c r="D657" s="37" t="s">
        <v>179</v>
      </c>
      <c r="E657" s="37" t="s">
        <v>115</v>
      </c>
      <c r="F657" s="38" t="s">
        <v>114</v>
      </c>
    </row>
    <row r="658" spans="1:6">
      <c r="A658" s="35">
        <v>41006</v>
      </c>
      <c r="B658" s="37" t="s">
        <v>1185</v>
      </c>
      <c r="C658" s="37" t="s">
        <v>190</v>
      </c>
      <c r="D658" s="37" t="s">
        <v>179</v>
      </c>
      <c r="E658" s="37" t="s">
        <v>115</v>
      </c>
      <c r="F658" s="38" t="s">
        <v>114</v>
      </c>
    </row>
    <row r="659" spans="1:6">
      <c r="A659" s="35">
        <v>41013</v>
      </c>
      <c r="B659" s="37" t="s">
        <v>1186</v>
      </c>
      <c r="C659" s="37" t="s">
        <v>190</v>
      </c>
      <c r="D659" s="37" t="s">
        <v>179</v>
      </c>
      <c r="E659" s="37" t="s">
        <v>115</v>
      </c>
      <c r="F659" s="38" t="s">
        <v>114</v>
      </c>
    </row>
    <row r="660" spans="1:6">
      <c r="A660" s="35">
        <v>41016</v>
      </c>
      <c r="B660" s="37" t="s">
        <v>1187</v>
      </c>
      <c r="C660" s="37" t="s">
        <v>190</v>
      </c>
      <c r="D660" s="37" t="s">
        <v>179</v>
      </c>
      <c r="E660" s="37" t="s">
        <v>115</v>
      </c>
      <c r="F660" s="38" t="s">
        <v>139</v>
      </c>
    </row>
    <row r="661" spans="1:6">
      <c r="A661" s="35">
        <v>41020</v>
      </c>
      <c r="B661" s="37" t="s">
        <v>1188</v>
      </c>
      <c r="C661" s="37" t="s">
        <v>190</v>
      </c>
      <c r="D661" s="37" t="s">
        <v>179</v>
      </c>
      <c r="E661" s="37" t="s">
        <v>115</v>
      </c>
      <c r="F661" s="38" t="s">
        <v>139</v>
      </c>
    </row>
    <row r="662" spans="1:6">
      <c r="A662" s="35">
        <v>41026</v>
      </c>
      <c r="B662" s="37" t="s">
        <v>1189</v>
      </c>
      <c r="C662" s="37" t="s">
        <v>190</v>
      </c>
      <c r="D662" s="37" t="s">
        <v>179</v>
      </c>
      <c r="E662" s="37" t="s">
        <v>115</v>
      </c>
      <c r="F662" s="38" t="s">
        <v>114</v>
      </c>
    </row>
    <row r="663" spans="1:6">
      <c r="A663" s="35">
        <v>41078</v>
      </c>
      <c r="B663" s="37" t="s">
        <v>1190</v>
      </c>
      <c r="C663" s="37" t="s">
        <v>190</v>
      </c>
      <c r="D663" s="37" t="s">
        <v>179</v>
      </c>
      <c r="E663" s="37" t="s">
        <v>115</v>
      </c>
      <c r="F663" s="38" t="s">
        <v>139</v>
      </c>
    </row>
    <row r="664" spans="1:6">
      <c r="A664" s="35">
        <v>41132</v>
      </c>
      <c r="B664" s="37" t="s">
        <v>1191</v>
      </c>
      <c r="C664" s="37" t="s">
        <v>190</v>
      </c>
      <c r="D664" s="37" t="s">
        <v>179</v>
      </c>
      <c r="E664" s="37" t="s">
        <v>115</v>
      </c>
      <c r="F664" s="38" t="s">
        <v>139</v>
      </c>
    </row>
    <row r="665" spans="1:6">
      <c r="A665" s="35">
        <v>41206</v>
      </c>
      <c r="B665" s="37" t="s">
        <v>1192</v>
      </c>
      <c r="C665" s="37" t="s">
        <v>190</v>
      </c>
      <c r="D665" s="37" t="s">
        <v>179</v>
      </c>
      <c r="E665" s="37" t="s">
        <v>115</v>
      </c>
      <c r="F665" s="38" t="s">
        <v>114</v>
      </c>
    </row>
    <row r="666" spans="1:6">
      <c r="A666" s="35">
        <v>41244</v>
      </c>
      <c r="B666" s="37" t="s">
        <v>1193</v>
      </c>
      <c r="C666" s="37" t="s">
        <v>190</v>
      </c>
      <c r="D666" s="37" t="s">
        <v>179</v>
      </c>
      <c r="E666" s="37" t="s">
        <v>115</v>
      </c>
      <c r="F666" s="38" t="s">
        <v>114</v>
      </c>
    </row>
    <row r="667" spans="1:6">
      <c r="A667" s="35">
        <v>41298</v>
      </c>
      <c r="B667" s="37" t="s">
        <v>1194</v>
      </c>
      <c r="C667" s="37" t="s">
        <v>190</v>
      </c>
      <c r="D667" s="37" t="s">
        <v>179</v>
      </c>
      <c r="E667" s="37" t="s">
        <v>115</v>
      </c>
      <c r="F667" s="38" t="s">
        <v>114</v>
      </c>
    </row>
    <row r="668" spans="1:6">
      <c r="A668" s="35">
        <v>41306</v>
      </c>
      <c r="B668" s="37" t="s">
        <v>1195</v>
      </c>
      <c r="C668" s="37" t="s">
        <v>190</v>
      </c>
      <c r="D668" s="37" t="s">
        <v>179</v>
      </c>
      <c r="E668" s="37" t="s">
        <v>115</v>
      </c>
      <c r="F668" s="38" t="s">
        <v>139</v>
      </c>
    </row>
    <row r="669" spans="1:6">
      <c r="A669" s="35">
        <v>41349</v>
      </c>
      <c r="B669" s="37" t="s">
        <v>1196</v>
      </c>
      <c r="C669" s="37" t="s">
        <v>190</v>
      </c>
      <c r="D669" s="37" t="s">
        <v>179</v>
      </c>
      <c r="E669" s="37" t="s">
        <v>115</v>
      </c>
      <c r="F669" s="38" t="s">
        <v>139</v>
      </c>
    </row>
    <row r="670" spans="1:6">
      <c r="A670" s="35">
        <v>41357</v>
      </c>
      <c r="B670" s="37" t="s">
        <v>1197</v>
      </c>
      <c r="C670" s="37" t="s">
        <v>190</v>
      </c>
      <c r="D670" s="37" t="s">
        <v>179</v>
      </c>
      <c r="E670" s="37" t="s">
        <v>115</v>
      </c>
      <c r="F670" s="38" t="s">
        <v>139</v>
      </c>
    </row>
    <row r="671" spans="1:6">
      <c r="A671" s="35">
        <v>41359</v>
      </c>
      <c r="B671" s="37" t="s">
        <v>1198</v>
      </c>
      <c r="C671" s="37" t="s">
        <v>190</v>
      </c>
      <c r="D671" s="37" t="s">
        <v>179</v>
      </c>
      <c r="E671" s="37" t="s">
        <v>115</v>
      </c>
      <c r="F671" s="38" t="s">
        <v>128</v>
      </c>
    </row>
    <row r="672" spans="1:6">
      <c r="A672" s="35">
        <v>41378</v>
      </c>
      <c r="B672" s="37" t="s">
        <v>1199</v>
      </c>
      <c r="C672" s="37" t="s">
        <v>190</v>
      </c>
      <c r="D672" s="37" t="s">
        <v>179</v>
      </c>
      <c r="E672" s="37" t="s">
        <v>115</v>
      </c>
      <c r="F672" s="38" t="s">
        <v>114</v>
      </c>
    </row>
    <row r="673" spans="1:6">
      <c r="A673" s="35">
        <v>41396</v>
      </c>
      <c r="B673" s="37" t="s">
        <v>1200</v>
      </c>
      <c r="C673" s="37" t="s">
        <v>190</v>
      </c>
      <c r="D673" s="37" t="s">
        <v>179</v>
      </c>
      <c r="E673" s="37" t="s">
        <v>115</v>
      </c>
      <c r="F673" s="38" t="s">
        <v>114</v>
      </c>
    </row>
    <row r="674" spans="1:6">
      <c r="A674" s="35">
        <v>41483</v>
      </c>
      <c r="B674" s="37" t="s">
        <v>1201</v>
      </c>
      <c r="C674" s="37" t="s">
        <v>190</v>
      </c>
      <c r="D674" s="37" t="s">
        <v>179</v>
      </c>
      <c r="E674" s="37" t="s">
        <v>115</v>
      </c>
      <c r="F674" s="38" t="s">
        <v>114</v>
      </c>
    </row>
    <row r="675" spans="1:6">
      <c r="A675" s="35">
        <v>41001</v>
      </c>
      <c r="B675" s="37" t="s">
        <v>179</v>
      </c>
      <c r="C675" s="37" t="s">
        <v>190</v>
      </c>
      <c r="D675" s="37" t="s">
        <v>179</v>
      </c>
      <c r="E675" s="37" t="s">
        <v>115</v>
      </c>
      <c r="F675" s="38" t="s">
        <v>150</v>
      </c>
    </row>
    <row r="676" spans="1:6">
      <c r="A676" s="35">
        <v>41503</v>
      </c>
      <c r="B676" s="37" t="s">
        <v>1202</v>
      </c>
      <c r="C676" s="37" t="s">
        <v>190</v>
      </c>
      <c r="D676" s="37" t="s">
        <v>179</v>
      </c>
      <c r="E676" s="37" t="s">
        <v>115</v>
      </c>
      <c r="F676" s="38" t="s">
        <v>128</v>
      </c>
    </row>
    <row r="677" spans="1:6">
      <c r="A677" s="35">
        <v>41518</v>
      </c>
      <c r="B677" s="37" t="s">
        <v>1203</v>
      </c>
      <c r="C677" s="37" t="s">
        <v>190</v>
      </c>
      <c r="D677" s="37" t="s">
        <v>179</v>
      </c>
      <c r="E677" s="37" t="s">
        <v>115</v>
      </c>
      <c r="F677" s="38" t="s">
        <v>139</v>
      </c>
    </row>
    <row r="678" spans="1:6">
      <c r="A678" s="35">
        <v>41524</v>
      </c>
      <c r="B678" s="37" t="s">
        <v>1204</v>
      </c>
      <c r="C678" s="37" t="s">
        <v>190</v>
      </c>
      <c r="D678" s="37" t="s">
        <v>179</v>
      </c>
      <c r="E678" s="37" t="s">
        <v>115</v>
      </c>
      <c r="F678" s="38" t="s">
        <v>150</v>
      </c>
    </row>
    <row r="679" spans="1:6">
      <c r="A679" s="35">
        <v>41548</v>
      </c>
      <c r="B679" s="37" t="s">
        <v>1205</v>
      </c>
      <c r="C679" s="37" t="s">
        <v>190</v>
      </c>
      <c r="D679" s="37" t="s">
        <v>179</v>
      </c>
      <c r="E679" s="37" t="s">
        <v>115</v>
      </c>
      <c r="F679" s="38" t="s">
        <v>114</v>
      </c>
    </row>
    <row r="680" spans="1:6">
      <c r="A680" s="35">
        <v>41551</v>
      </c>
      <c r="B680" s="37" t="s">
        <v>1206</v>
      </c>
      <c r="C680" s="37" t="s">
        <v>190</v>
      </c>
      <c r="D680" s="37" t="s">
        <v>179</v>
      </c>
      <c r="E680" s="37" t="s">
        <v>115</v>
      </c>
      <c r="F680" s="38" t="s">
        <v>114</v>
      </c>
    </row>
    <row r="681" spans="1:6">
      <c r="A681" s="35">
        <v>41615</v>
      </c>
      <c r="B681" s="37" t="s">
        <v>1207</v>
      </c>
      <c r="C681" s="37" t="s">
        <v>190</v>
      </c>
      <c r="D681" s="37" t="s">
        <v>179</v>
      </c>
      <c r="E681" s="37" t="s">
        <v>115</v>
      </c>
      <c r="F681" s="38" t="s">
        <v>150</v>
      </c>
    </row>
    <row r="682" spans="1:6">
      <c r="A682" s="35">
        <v>41660</v>
      </c>
      <c r="B682" s="37" t="s">
        <v>1208</v>
      </c>
      <c r="C682" s="37" t="s">
        <v>190</v>
      </c>
      <c r="D682" s="37" t="s">
        <v>179</v>
      </c>
      <c r="E682" s="37" t="s">
        <v>115</v>
      </c>
      <c r="F682" s="38" t="s">
        <v>128</v>
      </c>
    </row>
    <row r="683" spans="1:6">
      <c r="A683" s="35">
        <v>41668</v>
      </c>
      <c r="B683" s="37" t="s">
        <v>1209</v>
      </c>
      <c r="C683" s="37" t="s">
        <v>190</v>
      </c>
      <c r="D683" s="37" t="s">
        <v>179</v>
      </c>
      <c r="E683" s="37" t="s">
        <v>115</v>
      </c>
      <c r="F683" s="38" t="s">
        <v>128</v>
      </c>
    </row>
    <row r="684" spans="1:6">
      <c r="A684" s="35">
        <v>41770</v>
      </c>
      <c r="B684" s="37" t="s">
        <v>1210</v>
      </c>
      <c r="C684" s="37" t="s">
        <v>190</v>
      </c>
      <c r="D684" s="37" t="s">
        <v>179</v>
      </c>
      <c r="E684" s="37" t="s">
        <v>115</v>
      </c>
      <c r="F684" s="38" t="s">
        <v>114</v>
      </c>
    </row>
    <row r="685" spans="1:6">
      <c r="A685" s="35">
        <v>41791</v>
      </c>
      <c r="B685" s="37" t="s">
        <v>1211</v>
      </c>
      <c r="C685" s="37" t="s">
        <v>190</v>
      </c>
      <c r="D685" s="37" t="s">
        <v>179</v>
      </c>
      <c r="E685" s="37" t="s">
        <v>115</v>
      </c>
      <c r="F685" s="38" t="s">
        <v>114</v>
      </c>
    </row>
    <row r="686" spans="1:6">
      <c r="A686" s="35">
        <v>41799</v>
      </c>
      <c r="B686" s="37" t="s">
        <v>1212</v>
      </c>
      <c r="C686" s="37" t="s">
        <v>190</v>
      </c>
      <c r="D686" s="37" t="s">
        <v>179</v>
      </c>
      <c r="E686" s="37" t="s">
        <v>115</v>
      </c>
      <c r="F686" s="38" t="s">
        <v>139</v>
      </c>
    </row>
    <row r="687" spans="1:6">
      <c r="A687" s="35">
        <v>41801</v>
      </c>
      <c r="B687" s="37" t="s">
        <v>1213</v>
      </c>
      <c r="C687" s="37" t="s">
        <v>190</v>
      </c>
      <c r="D687" s="37" t="s">
        <v>179</v>
      </c>
      <c r="E687" s="37" t="s">
        <v>115</v>
      </c>
      <c r="F687" s="38" t="s">
        <v>139</v>
      </c>
    </row>
    <row r="688" spans="1:6">
      <c r="A688" s="35">
        <v>41797</v>
      </c>
      <c r="B688" s="37" t="s">
        <v>1214</v>
      </c>
      <c r="C688" s="37" t="s">
        <v>190</v>
      </c>
      <c r="D688" s="37" t="s">
        <v>179</v>
      </c>
      <c r="E688" s="37" t="s">
        <v>115</v>
      </c>
      <c r="F688" s="38" t="s">
        <v>139</v>
      </c>
    </row>
    <row r="689" spans="1:6">
      <c r="A689" s="35">
        <v>41807</v>
      </c>
      <c r="B689" s="37" t="s">
        <v>1215</v>
      </c>
      <c r="C689" s="37" t="s">
        <v>190</v>
      </c>
      <c r="D689" s="37" t="s">
        <v>179</v>
      </c>
      <c r="E689" s="37" t="s">
        <v>115</v>
      </c>
      <c r="F689" s="38" t="s">
        <v>114</v>
      </c>
    </row>
    <row r="690" spans="1:6">
      <c r="A690" s="35">
        <v>41872</v>
      </c>
      <c r="B690" s="37" t="s">
        <v>1216</v>
      </c>
      <c r="C690" s="37" t="s">
        <v>190</v>
      </c>
      <c r="D690" s="37" t="s">
        <v>179</v>
      </c>
      <c r="E690" s="37" t="s">
        <v>115</v>
      </c>
      <c r="F690" s="38" t="s">
        <v>139</v>
      </c>
    </row>
    <row r="691" spans="1:6">
      <c r="A691" s="35">
        <v>41885</v>
      </c>
      <c r="B691" s="37" t="s">
        <v>1217</v>
      </c>
      <c r="C691" s="37" t="s">
        <v>190</v>
      </c>
      <c r="D691" s="37" t="s">
        <v>179</v>
      </c>
      <c r="E691" s="37" t="s">
        <v>115</v>
      </c>
      <c r="F691" s="38" t="s">
        <v>139</v>
      </c>
    </row>
    <row r="692" spans="1:6">
      <c r="A692" s="35">
        <v>44035</v>
      </c>
      <c r="B692" s="36" t="s">
        <v>924</v>
      </c>
      <c r="C692" s="37" t="s">
        <v>120</v>
      </c>
      <c r="D692" s="37" t="s">
        <v>282</v>
      </c>
      <c r="E692" s="37" t="s">
        <v>115</v>
      </c>
      <c r="F692" s="38" t="s">
        <v>114</v>
      </c>
    </row>
    <row r="693" spans="1:6">
      <c r="A693" s="35">
        <v>44560</v>
      </c>
      <c r="B693" s="36" t="s">
        <v>989</v>
      </c>
      <c r="C693" s="37" t="s">
        <v>120</v>
      </c>
      <c r="D693" s="37" t="s">
        <v>117</v>
      </c>
      <c r="E693" s="37" t="s">
        <v>115</v>
      </c>
      <c r="F693" s="38" t="s">
        <v>128</v>
      </c>
    </row>
    <row r="694" spans="1:6">
      <c r="A694" s="35">
        <v>44874</v>
      </c>
      <c r="B694" s="36" t="s">
        <v>749</v>
      </c>
      <c r="C694" s="37" t="s">
        <v>120</v>
      </c>
      <c r="D694" s="37" t="s">
        <v>282</v>
      </c>
      <c r="E694" s="37" t="s">
        <v>115</v>
      </c>
      <c r="F694" s="38" t="s">
        <v>139</v>
      </c>
    </row>
    <row r="695" spans="1:6">
      <c r="A695" s="35">
        <v>44078</v>
      </c>
      <c r="B695" s="37" t="s">
        <v>1218</v>
      </c>
      <c r="C695" s="37" t="s">
        <v>120</v>
      </c>
      <c r="D695" s="37" t="s">
        <v>282</v>
      </c>
      <c r="E695" s="37" t="s">
        <v>115</v>
      </c>
      <c r="F695" s="38" t="s">
        <v>139</v>
      </c>
    </row>
    <row r="696" spans="1:6">
      <c r="A696" s="35">
        <v>44090</v>
      </c>
      <c r="B696" s="37" t="s">
        <v>1219</v>
      </c>
      <c r="C696" s="37" t="s">
        <v>120</v>
      </c>
      <c r="D696" s="37" t="s">
        <v>117</v>
      </c>
      <c r="E696" s="37" t="s">
        <v>115</v>
      </c>
      <c r="F696" s="38" t="s">
        <v>114</v>
      </c>
    </row>
    <row r="697" spans="1:6">
      <c r="A697" s="35">
        <v>44098</v>
      </c>
      <c r="B697" s="37" t="s">
        <v>1220</v>
      </c>
      <c r="C697" s="37" t="s">
        <v>120</v>
      </c>
      <c r="D697" s="37" t="s">
        <v>282</v>
      </c>
      <c r="E697" s="37" t="s">
        <v>115</v>
      </c>
      <c r="F697" s="38" t="s">
        <v>139</v>
      </c>
    </row>
    <row r="698" spans="1:6">
      <c r="A698" s="35">
        <v>44110</v>
      </c>
      <c r="B698" s="37" t="s">
        <v>1221</v>
      </c>
      <c r="C698" s="37" t="s">
        <v>120</v>
      </c>
      <c r="D698" s="37" t="s">
        <v>282</v>
      </c>
      <c r="E698" s="37" t="s">
        <v>115</v>
      </c>
      <c r="F698" s="38" t="s">
        <v>139</v>
      </c>
    </row>
    <row r="699" spans="1:6">
      <c r="A699" s="35">
        <v>44279</v>
      </c>
      <c r="B699" s="37" t="s">
        <v>1222</v>
      </c>
      <c r="C699" s="37" t="s">
        <v>120</v>
      </c>
      <c r="D699" s="37" t="s">
        <v>282</v>
      </c>
      <c r="E699" s="37" t="s">
        <v>115</v>
      </c>
      <c r="F699" s="38" t="s">
        <v>139</v>
      </c>
    </row>
    <row r="700" spans="1:6">
      <c r="A700" s="35">
        <v>44378</v>
      </c>
      <c r="B700" s="37" t="s">
        <v>1223</v>
      </c>
      <c r="C700" s="37" t="s">
        <v>120</v>
      </c>
      <c r="D700" s="37" t="s">
        <v>282</v>
      </c>
      <c r="E700" s="37" t="s">
        <v>115</v>
      </c>
      <c r="F700" s="38" t="s">
        <v>114</v>
      </c>
    </row>
    <row r="701" spans="1:6">
      <c r="A701" s="35">
        <v>44420</v>
      </c>
      <c r="B701" s="37" t="s">
        <v>1224</v>
      </c>
      <c r="C701" s="37" t="s">
        <v>120</v>
      </c>
      <c r="D701" s="37" t="s">
        <v>282</v>
      </c>
      <c r="E701" s="37" t="s">
        <v>115</v>
      </c>
      <c r="F701" s="38" t="s">
        <v>139</v>
      </c>
    </row>
    <row r="702" spans="1:6">
      <c r="A702" s="35">
        <v>44430</v>
      </c>
      <c r="B702" s="37" t="s">
        <v>121</v>
      </c>
      <c r="C702" s="37" t="s">
        <v>120</v>
      </c>
      <c r="D702" s="37" t="s">
        <v>117</v>
      </c>
      <c r="E702" s="37" t="s">
        <v>115</v>
      </c>
      <c r="F702" s="38" t="s">
        <v>128</v>
      </c>
    </row>
    <row r="703" spans="1:6">
      <c r="A703" s="35">
        <v>44001</v>
      </c>
      <c r="B703" s="37" t="s">
        <v>300</v>
      </c>
      <c r="C703" s="37" t="s">
        <v>120</v>
      </c>
      <c r="D703" s="37" t="s">
        <v>117</v>
      </c>
      <c r="E703" s="37" t="s">
        <v>115</v>
      </c>
      <c r="F703" s="38" t="s">
        <v>114</v>
      </c>
    </row>
    <row r="704" spans="1:6">
      <c r="A704" s="35">
        <v>44650</v>
      </c>
      <c r="B704" s="37" t="s">
        <v>1225</v>
      </c>
      <c r="C704" s="37" t="s">
        <v>120</v>
      </c>
      <c r="D704" s="37" t="s">
        <v>282</v>
      </c>
      <c r="E704" s="37" t="s">
        <v>115</v>
      </c>
      <c r="F704" s="38" t="s">
        <v>139</v>
      </c>
    </row>
    <row r="705" spans="1:6">
      <c r="A705" s="35">
        <v>44847</v>
      </c>
      <c r="B705" s="37" t="s">
        <v>1226</v>
      </c>
      <c r="C705" s="37" t="s">
        <v>120</v>
      </c>
      <c r="D705" s="37" t="s">
        <v>117</v>
      </c>
      <c r="E705" s="37" t="s">
        <v>115</v>
      </c>
      <c r="F705" s="38" t="s">
        <v>128</v>
      </c>
    </row>
    <row r="706" spans="1:6">
      <c r="A706" s="35">
        <v>44855</v>
      </c>
      <c r="B706" s="37" t="s">
        <v>1227</v>
      </c>
      <c r="C706" s="37" t="s">
        <v>120</v>
      </c>
      <c r="D706" s="37" t="s">
        <v>282</v>
      </c>
      <c r="E706" s="37" t="s">
        <v>115</v>
      </c>
      <c r="F706" s="38" t="s">
        <v>139</v>
      </c>
    </row>
    <row r="707" spans="1:6">
      <c r="A707" s="35">
        <v>47189</v>
      </c>
      <c r="B707" s="36" t="s">
        <v>789</v>
      </c>
      <c r="C707" s="37" t="s">
        <v>1228</v>
      </c>
      <c r="D707" s="37" t="s">
        <v>117</v>
      </c>
      <c r="E707" s="37" t="s">
        <v>115</v>
      </c>
      <c r="F707" s="38" t="s">
        <v>139</v>
      </c>
    </row>
    <row r="708" spans="1:6">
      <c r="A708" s="35">
        <v>47205</v>
      </c>
      <c r="B708" s="36" t="s">
        <v>602</v>
      </c>
      <c r="C708" s="37" t="s">
        <v>1228</v>
      </c>
      <c r="D708" s="37" t="s">
        <v>722</v>
      </c>
      <c r="E708" s="37" t="s">
        <v>115</v>
      </c>
      <c r="F708" s="38" t="s">
        <v>114</v>
      </c>
    </row>
    <row r="709" spans="1:6">
      <c r="A709" s="35">
        <v>47318</v>
      </c>
      <c r="B709" s="36" t="s">
        <v>1229</v>
      </c>
      <c r="C709" s="37" t="s">
        <v>1228</v>
      </c>
      <c r="D709" s="37" t="s">
        <v>117</v>
      </c>
      <c r="E709" s="37" t="s">
        <v>115</v>
      </c>
      <c r="F709" s="38" t="s">
        <v>128</v>
      </c>
    </row>
    <row r="710" spans="1:6">
      <c r="A710" s="35">
        <v>47675</v>
      </c>
      <c r="B710" s="36" t="s">
        <v>901</v>
      </c>
      <c r="C710" s="37" t="s">
        <v>1228</v>
      </c>
      <c r="D710" s="37" t="s">
        <v>722</v>
      </c>
      <c r="E710" s="37" t="s">
        <v>115</v>
      </c>
      <c r="F710" s="38" t="s">
        <v>139</v>
      </c>
    </row>
    <row r="711" spans="1:6">
      <c r="A711" s="35">
        <v>47030</v>
      </c>
      <c r="B711" s="37" t="s">
        <v>1230</v>
      </c>
      <c r="C711" s="37" t="s">
        <v>1228</v>
      </c>
      <c r="D711" s="37" t="s">
        <v>117</v>
      </c>
      <c r="E711" s="37" t="s">
        <v>115</v>
      </c>
      <c r="F711" s="38" t="s">
        <v>128</v>
      </c>
    </row>
    <row r="712" spans="1:6">
      <c r="A712" s="35">
        <v>47053</v>
      </c>
      <c r="B712" s="37" t="s">
        <v>1231</v>
      </c>
      <c r="C712" s="37" t="s">
        <v>1228</v>
      </c>
      <c r="D712" s="37" t="s">
        <v>117</v>
      </c>
      <c r="E712" s="37" t="s">
        <v>115</v>
      </c>
      <c r="F712" s="38" t="s">
        <v>114</v>
      </c>
    </row>
    <row r="713" spans="1:6">
      <c r="A713" s="35">
        <v>47058</v>
      </c>
      <c r="B713" s="37" t="s">
        <v>1232</v>
      </c>
      <c r="C713" s="37" t="s">
        <v>1228</v>
      </c>
      <c r="D713" s="37" t="s">
        <v>282</v>
      </c>
      <c r="E713" s="37" t="s">
        <v>115</v>
      </c>
      <c r="F713" s="38" t="s">
        <v>114</v>
      </c>
    </row>
    <row r="714" spans="1:6">
      <c r="A714" s="35">
        <v>47161</v>
      </c>
      <c r="B714" s="37" t="s">
        <v>1233</v>
      </c>
      <c r="C714" s="37" t="s">
        <v>1228</v>
      </c>
      <c r="D714" s="37" t="s">
        <v>722</v>
      </c>
      <c r="E714" s="37" t="s">
        <v>115</v>
      </c>
      <c r="F714" s="38" t="s">
        <v>128</v>
      </c>
    </row>
    <row r="715" spans="1:6">
      <c r="A715" s="35">
        <v>47170</v>
      </c>
      <c r="B715" s="37" t="s">
        <v>1234</v>
      </c>
      <c r="C715" s="37" t="s">
        <v>1228</v>
      </c>
      <c r="D715" s="37" t="s">
        <v>117</v>
      </c>
      <c r="E715" s="37" t="s">
        <v>115</v>
      </c>
      <c r="F715" s="38" t="s">
        <v>128</v>
      </c>
    </row>
    <row r="716" spans="1:6">
      <c r="A716" s="35">
        <v>47245</v>
      </c>
      <c r="B716" s="37" t="s">
        <v>1235</v>
      </c>
      <c r="C716" s="37" t="s">
        <v>1228</v>
      </c>
      <c r="D716" s="37" t="s">
        <v>117</v>
      </c>
      <c r="E716" s="37" t="s">
        <v>115</v>
      </c>
      <c r="F716" s="38" t="s">
        <v>128</v>
      </c>
    </row>
    <row r="717" spans="1:6">
      <c r="A717" s="35">
        <v>47258</v>
      </c>
      <c r="B717" s="37" t="s">
        <v>1236</v>
      </c>
      <c r="C717" s="37" t="s">
        <v>1228</v>
      </c>
      <c r="D717" s="37" t="s">
        <v>722</v>
      </c>
      <c r="E717" s="37" t="s">
        <v>115</v>
      </c>
      <c r="F717" s="38" t="s">
        <v>114</v>
      </c>
    </row>
    <row r="718" spans="1:6">
      <c r="A718" s="35">
        <v>47268</v>
      </c>
      <c r="B718" s="37" t="s">
        <v>1237</v>
      </c>
      <c r="C718" s="37" t="s">
        <v>1228</v>
      </c>
      <c r="D718" s="37" t="s">
        <v>117</v>
      </c>
      <c r="E718" s="37" t="s">
        <v>115</v>
      </c>
      <c r="F718" s="38" t="s">
        <v>114</v>
      </c>
    </row>
    <row r="719" spans="1:6">
      <c r="A719" s="35">
        <v>47288</v>
      </c>
      <c r="B719" s="37" t="s">
        <v>1238</v>
      </c>
      <c r="C719" s="37" t="s">
        <v>1228</v>
      </c>
      <c r="D719" s="37" t="s">
        <v>117</v>
      </c>
      <c r="E719" s="37" t="s">
        <v>115</v>
      </c>
      <c r="F719" s="38" t="s">
        <v>114</v>
      </c>
    </row>
    <row r="720" spans="1:6">
      <c r="A720" s="35">
        <v>47460</v>
      </c>
      <c r="B720" s="37" t="s">
        <v>1239</v>
      </c>
      <c r="C720" s="37" t="s">
        <v>1228</v>
      </c>
      <c r="D720" s="37" t="s">
        <v>282</v>
      </c>
      <c r="E720" s="37" t="s">
        <v>115</v>
      </c>
      <c r="F720" s="38" t="s">
        <v>128</v>
      </c>
    </row>
    <row r="721" spans="1:6">
      <c r="A721" s="35">
        <v>47541</v>
      </c>
      <c r="B721" s="37" t="s">
        <v>1240</v>
      </c>
      <c r="C721" s="37" t="s">
        <v>1228</v>
      </c>
      <c r="D721" s="37" t="s">
        <v>722</v>
      </c>
      <c r="E721" s="37" t="s">
        <v>115</v>
      </c>
      <c r="F721" s="38" t="s">
        <v>114</v>
      </c>
    </row>
    <row r="722" spans="1:6">
      <c r="A722" s="35">
        <v>47545</v>
      </c>
      <c r="B722" s="37" t="s">
        <v>1241</v>
      </c>
      <c r="C722" s="37" t="s">
        <v>1228</v>
      </c>
      <c r="D722" s="37" t="s">
        <v>117</v>
      </c>
      <c r="E722" s="37" t="s">
        <v>115</v>
      </c>
      <c r="F722" s="38" t="s">
        <v>128</v>
      </c>
    </row>
    <row r="723" spans="1:6">
      <c r="A723" s="35">
        <v>47551</v>
      </c>
      <c r="B723" s="37" t="s">
        <v>1242</v>
      </c>
      <c r="C723" s="37" t="s">
        <v>1228</v>
      </c>
      <c r="D723" s="37" t="s">
        <v>117</v>
      </c>
      <c r="E723" s="37" t="s">
        <v>115</v>
      </c>
      <c r="F723" s="38" t="s">
        <v>128</v>
      </c>
    </row>
    <row r="724" spans="1:6">
      <c r="A724" s="35">
        <v>47555</v>
      </c>
      <c r="B724" s="37" t="s">
        <v>1243</v>
      </c>
      <c r="C724" s="37" t="s">
        <v>1228</v>
      </c>
      <c r="D724" s="37" t="s">
        <v>117</v>
      </c>
      <c r="E724" s="37" t="s">
        <v>115</v>
      </c>
      <c r="F724" s="38" t="s">
        <v>128</v>
      </c>
    </row>
    <row r="725" spans="1:6">
      <c r="A725" s="35">
        <v>47570</v>
      </c>
      <c r="B725" s="37" t="s">
        <v>1244</v>
      </c>
      <c r="C725" s="37" t="s">
        <v>1228</v>
      </c>
      <c r="D725" s="37" t="s">
        <v>117</v>
      </c>
      <c r="E725" s="37" t="s">
        <v>115</v>
      </c>
      <c r="F725" s="38" t="s">
        <v>139</v>
      </c>
    </row>
    <row r="726" spans="1:6">
      <c r="A726" s="35">
        <v>47605</v>
      </c>
      <c r="B726" s="37" t="s">
        <v>1245</v>
      </c>
      <c r="C726" s="37" t="s">
        <v>1228</v>
      </c>
      <c r="D726" s="37" t="s">
        <v>722</v>
      </c>
      <c r="E726" s="37" t="s">
        <v>115</v>
      </c>
      <c r="F726" s="38" t="s">
        <v>114</v>
      </c>
    </row>
    <row r="727" spans="1:6">
      <c r="A727" s="35">
        <v>47660</v>
      </c>
      <c r="B727" s="37" t="s">
        <v>1246</v>
      </c>
      <c r="C727" s="37" t="s">
        <v>1228</v>
      </c>
      <c r="D727" s="37" t="s">
        <v>117</v>
      </c>
      <c r="E727" s="37" t="s">
        <v>115</v>
      </c>
      <c r="F727" s="38" t="s">
        <v>128</v>
      </c>
    </row>
    <row r="728" spans="1:6">
      <c r="A728" s="35">
        <v>47692</v>
      </c>
      <c r="B728" s="37" t="s">
        <v>1247</v>
      </c>
      <c r="C728" s="37" t="s">
        <v>1228</v>
      </c>
      <c r="D728" s="37" t="s">
        <v>117</v>
      </c>
      <c r="E728" s="37" t="s">
        <v>115</v>
      </c>
      <c r="F728" s="38" t="s">
        <v>128</v>
      </c>
    </row>
    <row r="729" spans="1:6">
      <c r="A729" s="35">
        <v>47703</v>
      </c>
      <c r="B729" s="37" t="s">
        <v>1248</v>
      </c>
      <c r="C729" s="37" t="s">
        <v>1228</v>
      </c>
      <c r="D729" s="37" t="s">
        <v>117</v>
      </c>
      <c r="E729" s="37" t="s">
        <v>115</v>
      </c>
      <c r="F729" s="38" t="s">
        <v>128</v>
      </c>
    </row>
    <row r="730" spans="1:6">
      <c r="A730" s="35">
        <v>47707</v>
      </c>
      <c r="B730" s="37" t="s">
        <v>1249</v>
      </c>
      <c r="C730" s="37" t="s">
        <v>1228</v>
      </c>
      <c r="D730" s="37" t="s">
        <v>117</v>
      </c>
      <c r="E730" s="37" t="s">
        <v>115</v>
      </c>
      <c r="F730" s="38" t="s">
        <v>128</v>
      </c>
    </row>
    <row r="731" spans="1:6">
      <c r="A731" s="35">
        <v>47720</v>
      </c>
      <c r="B731" s="37" t="s">
        <v>1250</v>
      </c>
      <c r="C731" s="37" t="s">
        <v>1228</v>
      </c>
      <c r="D731" s="37" t="s">
        <v>117</v>
      </c>
      <c r="E731" s="37" t="s">
        <v>115</v>
      </c>
      <c r="F731" s="38" t="s">
        <v>128</v>
      </c>
    </row>
    <row r="732" spans="1:6">
      <c r="A732" s="35">
        <v>47001</v>
      </c>
      <c r="B732" s="37" t="s">
        <v>117</v>
      </c>
      <c r="C732" s="37" t="s">
        <v>1228</v>
      </c>
      <c r="D732" s="37" t="s">
        <v>117</v>
      </c>
      <c r="E732" s="37" t="s">
        <v>115</v>
      </c>
      <c r="F732" s="38" t="s">
        <v>150</v>
      </c>
    </row>
    <row r="733" spans="1:6">
      <c r="A733" s="35">
        <v>47745</v>
      </c>
      <c r="B733" s="37" t="s">
        <v>1251</v>
      </c>
      <c r="C733" s="37" t="s">
        <v>1228</v>
      </c>
      <c r="D733" s="37" t="s">
        <v>722</v>
      </c>
      <c r="E733" s="37" t="s">
        <v>115</v>
      </c>
      <c r="F733" s="38" t="s">
        <v>139</v>
      </c>
    </row>
    <row r="734" spans="1:6">
      <c r="A734" s="35">
        <v>47798</v>
      </c>
      <c r="B734" s="37" t="s">
        <v>1252</v>
      </c>
      <c r="C734" s="37" t="s">
        <v>1228</v>
      </c>
      <c r="D734" s="37" t="s">
        <v>117</v>
      </c>
      <c r="E734" s="37" t="s">
        <v>115</v>
      </c>
      <c r="F734" s="38" t="s">
        <v>128</v>
      </c>
    </row>
    <row r="735" spans="1:6">
      <c r="A735" s="35">
        <v>47960</v>
      </c>
      <c r="B735" s="37" t="s">
        <v>1253</v>
      </c>
      <c r="C735" s="37" t="s">
        <v>1228</v>
      </c>
      <c r="D735" s="37" t="s">
        <v>722</v>
      </c>
      <c r="E735" s="37" t="s">
        <v>671</v>
      </c>
      <c r="F735" s="38" t="s">
        <v>584</v>
      </c>
    </row>
    <row r="736" spans="1:6">
      <c r="A736" s="35">
        <v>47980</v>
      </c>
      <c r="B736" s="37" t="s">
        <v>1254</v>
      </c>
      <c r="C736" s="37" t="s">
        <v>1228</v>
      </c>
      <c r="D736" s="37" t="s">
        <v>117</v>
      </c>
      <c r="E736" s="37" t="s">
        <v>115</v>
      </c>
      <c r="F736" s="38" t="s">
        <v>139</v>
      </c>
    </row>
    <row r="737" spans="1:6">
      <c r="A737" s="35">
        <v>50313</v>
      </c>
      <c r="B737" s="36" t="s">
        <v>603</v>
      </c>
      <c r="C737" s="37" t="s">
        <v>250</v>
      </c>
      <c r="D737" s="37" t="s">
        <v>248</v>
      </c>
      <c r="E737" s="37" t="s">
        <v>115</v>
      </c>
      <c r="F737" s="38" t="s">
        <v>139</v>
      </c>
    </row>
    <row r="738" spans="1:6">
      <c r="A738" s="35">
        <v>50318</v>
      </c>
      <c r="B738" s="36" t="s">
        <v>1229</v>
      </c>
      <c r="C738" s="37" t="s">
        <v>250</v>
      </c>
      <c r="D738" s="37" t="s">
        <v>248</v>
      </c>
      <c r="E738" s="37" t="s">
        <v>115</v>
      </c>
      <c r="F738" s="38" t="s">
        <v>139</v>
      </c>
    </row>
    <row r="739" spans="1:6">
      <c r="A739" s="35">
        <v>50590</v>
      </c>
      <c r="B739" s="36" t="s">
        <v>925</v>
      </c>
      <c r="C739" s="37" t="s">
        <v>250</v>
      </c>
      <c r="D739" s="37" t="s">
        <v>248</v>
      </c>
      <c r="E739" s="37" t="s">
        <v>115</v>
      </c>
      <c r="F739" s="38" t="s">
        <v>128</v>
      </c>
    </row>
    <row r="740" spans="1:6">
      <c r="A740" s="35">
        <v>50606</v>
      </c>
      <c r="B740" s="36" t="s">
        <v>1255</v>
      </c>
      <c r="C740" s="37" t="s">
        <v>250</v>
      </c>
      <c r="D740" s="37" t="s">
        <v>248</v>
      </c>
      <c r="E740" s="37" t="s">
        <v>115</v>
      </c>
      <c r="F740" s="38" t="s">
        <v>139</v>
      </c>
    </row>
    <row r="741" spans="1:6">
      <c r="A741" s="35">
        <v>50689</v>
      </c>
      <c r="B741" s="36" t="s">
        <v>990</v>
      </c>
      <c r="C741" s="37" t="s">
        <v>250</v>
      </c>
      <c r="D741" s="37" t="s">
        <v>248</v>
      </c>
      <c r="E741" s="37" t="s">
        <v>115</v>
      </c>
      <c r="F741" s="38" t="s">
        <v>139</v>
      </c>
    </row>
    <row r="742" spans="1:6">
      <c r="A742" s="35">
        <v>50006</v>
      </c>
      <c r="B742" s="37" t="s">
        <v>1256</v>
      </c>
      <c r="C742" s="37" t="s">
        <v>250</v>
      </c>
      <c r="D742" s="37" t="s">
        <v>248</v>
      </c>
      <c r="E742" s="37" t="s">
        <v>115</v>
      </c>
      <c r="F742" s="38" t="s">
        <v>139</v>
      </c>
    </row>
    <row r="743" spans="1:6">
      <c r="A743" s="35">
        <v>50110</v>
      </c>
      <c r="B743" s="37" t="s">
        <v>1257</v>
      </c>
      <c r="C743" s="37" t="s">
        <v>250</v>
      </c>
      <c r="D743" s="37" t="s">
        <v>248</v>
      </c>
      <c r="E743" s="37" t="s">
        <v>115</v>
      </c>
      <c r="F743" s="38" t="s">
        <v>139</v>
      </c>
    </row>
    <row r="744" spans="1:6">
      <c r="A744" s="35">
        <v>50124</v>
      </c>
      <c r="B744" s="37" t="s">
        <v>1258</v>
      </c>
      <c r="C744" s="37" t="s">
        <v>250</v>
      </c>
      <c r="D744" s="37" t="s">
        <v>248</v>
      </c>
      <c r="E744" s="37" t="s">
        <v>115</v>
      </c>
      <c r="F744" s="38" t="s">
        <v>114</v>
      </c>
    </row>
    <row r="745" spans="1:6">
      <c r="A745" s="35">
        <v>50150</v>
      </c>
      <c r="B745" s="37" t="s">
        <v>1259</v>
      </c>
      <c r="C745" s="37" t="s">
        <v>250</v>
      </c>
      <c r="D745" s="37" t="s">
        <v>248</v>
      </c>
      <c r="E745" s="37" t="s">
        <v>115</v>
      </c>
      <c r="F745" s="38" t="s">
        <v>139</v>
      </c>
    </row>
    <row r="746" spans="1:6">
      <c r="A746" s="35">
        <v>50223</v>
      </c>
      <c r="B746" s="37" t="s">
        <v>1260</v>
      </c>
      <c r="C746" s="37" t="s">
        <v>250</v>
      </c>
      <c r="D746" s="37" t="s">
        <v>248</v>
      </c>
      <c r="E746" s="37" t="s">
        <v>115</v>
      </c>
      <c r="F746" s="38" t="s">
        <v>139</v>
      </c>
    </row>
    <row r="747" spans="1:6">
      <c r="A747" s="35">
        <v>50226</v>
      </c>
      <c r="B747" s="37" t="s">
        <v>1261</v>
      </c>
      <c r="C747" s="37" t="s">
        <v>250</v>
      </c>
      <c r="D747" s="37" t="s">
        <v>248</v>
      </c>
      <c r="E747" s="37" t="s">
        <v>115</v>
      </c>
      <c r="F747" s="38" t="s">
        <v>139</v>
      </c>
    </row>
    <row r="748" spans="1:6">
      <c r="A748" s="35">
        <v>50245</v>
      </c>
      <c r="B748" s="37" t="s">
        <v>1262</v>
      </c>
      <c r="C748" s="37" t="s">
        <v>250</v>
      </c>
      <c r="D748" s="37" t="s">
        <v>248</v>
      </c>
      <c r="E748" s="37" t="s">
        <v>115</v>
      </c>
      <c r="F748" s="38" t="s">
        <v>128</v>
      </c>
    </row>
    <row r="749" spans="1:6">
      <c r="A749" s="35">
        <v>50251</v>
      </c>
      <c r="B749" s="37" t="s">
        <v>1263</v>
      </c>
      <c r="C749" s="37" t="s">
        <v>250</v>
      </c>
      <c r="D749" s="37" t="s">
        <v>248</v>
      </c>
      <c r="E749" s="37" t="s">
        <v>115</v>
      </c>
      <c r="F749" s="38" t="s">
        <v>139</v>
      </c>
    </row>
    <row r="750" spans="1:6">
      <c r="A750" s="35">
        <v>50270</v>
      </c>
      <c r="B750" s="37" t="s">
        <v>1264</v>
      </c>
      <c r="C750" s="37" t="s">
        <v>250</v>
      </c>
      <c r="D750" s="37" t="s">
        <v>248</v>
      </c>
      <c r="E750" s="37" t="s">
        <v>115</v>
      </c>
      <c r="F750" s="38" t="s">
        <v>139</v>
      </c>
    </row>
    <row r="751" spans="1:6">
      <c r="A751" s="35">
        <v>50287</v>
      </c>
      <c r="B751" s="37" t="s">
        <v>329</v>
      </c>
      <c r="C751" s="37" t="s">
        <v>250</v>
      </c>
      <c r="D751" s="37" t="s">
        <v>248</v>
      </c>
      <c r="E751" s="37" t="s">
        <v>115</v>
      </c>
      <c r="F751" s="38" t="s">
        <v>114</v>
      </c>
    </row>
    <row r="752" spans="1:6">
      <c r="A752" s="35">
        <v>50350</v>
      </c>
      <c r="B752" s="37" t="s">
        <v>1265</v>
      </c>
      <c r="C752" s="37" t="s">
        <v>250</v>
      </c>
      <c r="D752" s="37" t="s">
        <v>248</v>
      </c>
      <c r="E752" s="37" t="s">
        <v>583</v>
      </c>
      <c r="F752" s="38" t="s">
        <v>584</v>
      </c>
    </row>
    <row r="753" spans="1:6">
      <c r="A753" s="35">
        <v>50400</v>
      </c>
      <c r="B753" s="37" t="s">
        <v>1266</v>
      </c>
      <c r="C753" s="37" t="s">
        <v>250</v>
      </c>
      <c r="D753" s="37" t="s">
        <v>248</v>
      </c>
      <c r="E753" s="37" t="s">
        <v>115</v>
      </c>
      <c r="F753" s="38" t="s">
        <v>114</v>
      </c>
    </row>
    <row r="754" spans="1:6">
      <c r="A754" s="35">
        <v>50325</v>
      </c>
      <c r="B754" s="37" t="s">
        <v>1267</v>
      </c>
      <c r="C754" s="37" t="s">
        <v>250</v>
      </c>
      <c r="D754" s="37" t="s">
        <v>248</v>
      </c>
      <c r="E754" s="37" t="s">
        <v>583</v>
      </c>
      <c r="F754" s="38" t="s">
        <v>584</v>
      </c>
    </row>
    <row r="755" spans="1:6">
      <c r="A755" s="35">
        <v>50330</v>
      </c>
      <c r="B755" s="37" t="s">
        <v>1268</v>
      </c>
      <c r="C755" s="37" t="s">
        <v>250</v>
      </c>
      <c r="D755" s="37" t="s">
        <v>248</v>
      </c>
      <c r="E755" s="37" t="s">
        <v>115</v>
      </c>
      <c r="F755" s="38" t="s">
        <v>114</v>
      </c>
    </row>
    <row r="756" spans="1:6">
      <c r="A756" s="35">
        <v>50450</v>
      </c>
      <c r="B756" s="37" t="s">
        <v>1269</v>
      </c>
      <c r="C756" s="37" t="s">
        <v>250</v>
      </c>
      <c r="D756" s="37" t="s">
        <v>248</v>
      </c>
      <c r="E756" s="37" t="s">
        <v>115</v>
      </c>
      <c r="F756" s="38" t="s">
        <v>128</v>
      </c>
    </row>
    <row r="757" spans="1:6">
      <c r="A757" s="35">
        <v>50568</v>
      </c>
      <c r="B757" s="37" t="s">
        <v>1270</v>
      </c>
      <c r="C757" s="37" t="s">
        <v>250</v>
      </c>
      <c r="D757" s="37" t="s">
        <v>248</v>
      </c>
      <c r="E757" s="37" t="s">
        <v>115</v>
      </c>
      <c r="F757" s="38" t="s">
        <v>114</v>
      </c>
    </row>
    <row r="758" spans="1:6">
      <c r="A758" s="35">
        <v>50577</v>
      </c>
      <c r="B758" s="37" t="s">
        <v>1271</v>
      </c>
      <c r="C758" s="37" t="s">
        <v>250</v>
      </c>
      <c r="D758" s="37" t="s">
        <v>248</v>
      </c>
      <c r="E758" s="37" t="s">
        <v>115</v>
      </c>
      <c r="F758" s="38" t="s">
        <v>114</v>
      </c>
    </row>
    <row r="759" spans="1:6">
      <c r="A759" s="35">
        <v>50573</v>
      </c>
      <c r="B759" s="37" t="s">
        <v>1272</v>
      </c>
      <c r="C759" s="37" t="s">
        <v>250</v>
      </c>
      <c r="D759" s="37" t="s">
        <v>248</v>
      </c>
      <c r="E759" s="37" t="s">
        <v>115</v>
      </c>
      <c r="F759" s="38" t="s">
        <v>139</v>
      </c>
    </row>
    <row r="760" spans="1:6">
      <c r="A760" s="35">
        <v>50680</v>
      </c>
      <c r="B760" s="37" t="s">
        <v>1273</v>
      </c>
      <c r="C760" s="37" t="s">
        <v>250</v>
      </c>
      <c r="D760" s="37" t="s">
        <v>248</v>
      </c>
      <c r="E760" s="37" t="s">
        <v>115</v>
      </c>
      <c r="F760" s="38" t="s">
        <v>139</v>
      </c>
    </row>
    <row r="761" spans="1:6">
      <c r="A761" s="35">
        <v>50683</v>
      </c>
      <c r="B761" s="37" t="s">
        <v>1274</v>
      </c>
      <c r="C761" s="37" t="s">
        <v>250</v>
      </c>
      <c r="D761" s="37" t="s">
        <v>248</v>
      </c>
      <c r="E761" s="37" t="s">
        <v>115</v>
      </c>
      <c r="F761" s="38" t="s">
        <v>114</v>
      </c>
    </row>
    <row r="762" spans="1:6">
      <c r="A762" s="35">
        <v>50686</v>
      </c>
      <c r="B762" s="37" t="s">
        <v>1275</v>
      </c>
      <c r="C762" s="37" t="s">
        <v>250</v>
      </c>
      <c r="D762" s="37" t="s">
        <v>248</v>
      </c>
      <c r="E762" s="37" t="s">
        <v>115</v>
      </c>
      <c r="F762" s="38" t="s">
        <v>128</v>
      </c>
    </row>
    <row r="763" spans="1:6">
      <c r="A763" s="35">
        <v>50370</v>
      </c>
      <c r="B763" s="37" t="s">
        <v>1276</v>
      </c>
      <c r="C763" s="37" t="s">
        <v>250</v>
      </c>
      <c r="D763" s="37" t="s">
        <v>248</v>
      </c>
      <c r="E763" s="37" t="s">
        <v>583</v>
      </c>
      <c r="F763" s="38" t="s">
        <v>584</v>
      </c>
    </row>
    <row r="764" spans="1:6">
      <c r="A764" s="35">
        <v>50001</v>
      </c>
      <c r="B764" s="37" t="s">
        <v>248</v>
      </c>
      <c r="C764" s="37" t="s">
        <v>250</v>
      </c>
      <c r="D764" s="37" t="s">
        <v>248</v>
      </c>
      <c r="E764" s="37" t="s">
        <v>115</v>
      </c>
      <c r="F764" s="38" t="s">
        <v>150</v>
      </c>
    </row>
    <row r="765" spans="1:6">
      <c r="A765" s="35">
        <v>50711</v>
      </c>
      <c r="B765" s="37" t="s">
        <v>1277</v>
      </c>
      <c r="C765" s="37" t="s">
        <v>250</v>
      </c>
      <c r="D765" s="37" t="s">
        <v>248</v>
      </c>
      <c r="E765" s="37" t="s">
        <v>115</v>
      </c>
      <c r="F765" s="38" t="s">
        <v>114</v>
      </c>
    </row>
    <row r="766" spans="1:6">
      <c r="A766" s="35">
        <v>52019</v>
      </c>
      <c r="B766" s="36" t="s">
        <v>1068</v>
      </c>
      <c r="C766" s="37" t="s">
        <v>607</v>
      </c>
      <c r="D766" s="37" t="s">
        <v>975</v>
      </c>
      <c r="E766" s="37" t="s">
        <v>115</v>
      </c>
      <c r="F766" s="38" t="s">
        <v>139</v>
      </c>
    </row>
    <row r="767" spans="1:6">
      <c r="A767" s="35">
        <v>52083</v>
      </c>
      <c r="B767" s="36" t="s">
        <v>787</v>
      </c>
      <c r="C767" s="37" t="s">
        <v>607</v>
      </c>
      <c r="D767" s="37" t="s">
        <v>975</v>
      </c>
      <c r="E767" s="37" t="s">
        <v>115</v>
      </c>
      <c r="F767" s="38" t="s">
        <v>114</v>
      </c>
    </row>
    <row r="768" spans="1:6">
      <c r="A768" s="35">
        <v>52203</v>
      </c>
      <c r="B768" s="36" t="s">
        <v>1278</v>
      </c>
      <c r="C768" s="37" t="s">
        <v>607</v>
      </c>
      <c r="D768" s="37" t="s">
        <v>975</v>
      </c>
      <c r="E768" s="37" t="s">
        <v>115</v>
      </c>
      <c r="F768" s="38" t="s">
        <v>128</v>
      </c>
    </row>
    <row r="769" spans="1:6">
      <c r="A769" s="35">
        <v>52215</v>
      </c>
      <c r="B769" s="36" t="s">
        <v>292</v>
      </c>
      <c r="C769" s="37" t="s">
        <v>607</v>
      </c>
      <c r="D769" s="37" t="s">
        <v>975</v>
      </c>
      <c r="E769" s="37" t="s">
        <v>115</v>
      </c>
      <c r="F769" s="38" t="s">
        <v>139</v>
      </c>
    </row>
    <row r="770" spans="1:6">
      <c r="A770" s="35">
        <v>52260</v>
      </c>
      <c r="B770" s="36" t="s">
        <v>955</v>
      </c>
      <c r="C770" s="37" t="s">
        <v>607</v>
      </c>
      <c r="D770" s="37" t="s">
        <v>975</v>
      </c>
      <c r="E770" s="37" t="s">
        <v>115</v>
      </c>
      <c r="F770" s="38" t="s">
        <v>139</v>
      </c>
    </row>
    <row r="771" spans="1:6">
      <c r="A771" s="35">
        <v>52399</v>
      </c>
      <c r="B771" s="36" t="s">
        <v>606</v>
      </c>
      <c r="C771" s="37" t="s">
        <v>607</v>
      </c>
      <c r="D771" s="37" t="s">
        <v>975</v>
      </c>
      <c r="E771" s="37" t="s">
        <v>115</v>
      </c>
      <c r="F771" s="38" t="s">
        <v>114</v>
      </c>
    </row>
    <row r="772" spans="1:6">
      <c r="A772" s="35">
        <v>52473</v>
      </c>
      <c r="B772" s="36" t="s">
        <v>1070</v>
      </c>
      <c r="C772" s="37" t="s">
        <v>607</v>
      </c>
      <c r="D772" s="37" t="s">
        <v>975</v>
      </c>
      <c r="E772" s="37" t="s">
        <v>115</v>
      </c>
      <c r="F772" s="38" t="s">
        <v>128</v>
      </c>
    </row>
    <row r="773" spans="1:6">
      <c r="A773" s="35">
        <v>52480</v>
      </c>
      <c r="B773" s="36" t="s">
        <v>607</v>
      </c>
      <c r="C773" s="37" t="s">
        <v>607</v>
      </c>
      <c r="D773" s="37" t="s">
        <v>975</v>
      </c>
      <c r="E773" s="37" t="s">
        <v>115</v>
      </c>
      <c r="F773" s="38" t="s">
        <v>139</v>
      </c>
    </row>
    <row r="774" spans="1:6">
      <c r="A774" s="35">
        <v>52565</v>
      </c>
      <c r="B774" s="36" t="s">
        <v>1279</v>
      </c>
      <c r="C774" s="37" t="s">
        <v>607</v>
      </c>
      <c r="D774" s="37" t="s">
        <v>975</v>
      </c>
      <c r="E774" s="37" t="s">
        <v>115</v>
      </c>
      <c r="F774" s="38" t="s">
        <v>114</v>
      </c>
    </row>
    <row r="775" spans="1:6">
      <c r="A775" s="35">
        <v>52612</v>
      </c>
      <c r="B775" s="36" t="s">
        <v>1071</v>
      </c>
      <c r="C775" s="37" t="s">
        <v>607</v>
      </c>
      <c r="D775" s="37" t="s">
        <v>975</v>
      </c>
      <c r="E775" s="37" t="s">
        <v>115</v>
      </c>
      <c r="F775" s="38" t="s">
        <v>114</v>
      </c>
    </row>
    <row r="776" spans="1:6">
      <c r="A776" s="35">
        <v>52685</v>
      </c>
      <c r="B776" s="36" t="s">
        <v>1072</v>
      </c>
      <c r="C776" s="37" t="s">
        <v>607</v>
      </c>
      <c r="D776" s="37" t="s">
        <v>975</v>
      </c>
      <c r="E776" s="37" t="s">
        <v>115</v>
      </c>
      <c r="F776" s="38" t="s">
        <v>139</v>
      </c>
    </row>
    <row r="777" spans="1:6">
      <c r="A777" s="35">
        <v>52693</v>
      </c>
      <c r="B777" s="36" t="s">
        <v>746</v>
      </c>
      <c r="C777" s="37" t="s">
        <v>607</v>
      </c>
      <c r="D777" s="37" t="s">
        <v>975</v>
      </c>
      <c r="E777" s="37" t="s">
        <v>115</v>
      </c>
      <c r="F777" s="38" t="s">
        <v>128</v>
      </c>
    </row>
    <row r="778" spans="1:6">
      <c r="A778" s="35">
        <v>52696</v>
      </c>
      <c r="B778" s="36" t="s">
        <v>614</v>
      </c>
      <c r="C778" s="37" t="s">
        <v>607</v>
      </c>
      <c r="D778" s="37" t="s">
        <v>975</v>
      </c>
      <c r="E778" s="37" t="s">
        <v>747</v>
      </c>
      <c r="F778" s="38" t="s">
        <v>584</v>
      </c>
    </row>
    <row r="779" spans="1:6">
      <c r="A779" s="35">
        <v>52022</v>
      </c>
      <c r="B779" s="37" t="s">
        <v>1280</v>
      </c>
      <c r="C779" s="37" t="s">
        <v>607</v>
      </c>
      <c r="D779" s="37" t="s">
        <v>975</v>
      </c>
      <c r="E779" s="37" t="s">
        <v>115</v>
      </c>
      <c r="F779" s="38" t="s">
        <v>139</v>
      </c>
    </row>
    <row r="780" spans="1:6">
      <c r="A780" s="35">
        <v>52036</v>
      </c>
      <c r="B780" s="37" t="s">
        <v>1281</v>
      </c>
      <c r="C780" s="37" t="s">
        <v>607</v>
      </c>
      <c r="D780" s="37" t="s">
        <v>975</v>
      </c>
      <c r="E780" s="37" t="s">
        <v>115</v>
      </c>
      <c r="F780" s="38" t="s">
        <v>139</v>
      </c>
    </row>
    <row r="781" spans="1:6">
      <c r="A781" s="35">
        <v>52051</v>
      </c>
      <c r="B781" s="37" t="s">
        <v>1282</v>
      </c>
      <c r="C781" s="37" t="s">
        <v>607</v>
      </c>
      <c r="D781" s="37" t="s">
        <v>975</v>
      </c>
      <c r="E781" s="37" t="s">
        <v>115</v>
      </c>
      <c r="F781" s="38" t="s">
        <v>139</v>
      </c>
    </row>
    <row r="782" spans="1:6">
      <c r="A782" s="35">
        <v>52079</v>
      </c>
      <c r="B782" s="37" t="s">
        <v>1283</v>
      </c>
      <c r="C782" s="37" t="s">
        <v>607</v>
      </c>
      <c r="D782" s="37" t="s">
        <v>975</v>
      </c>
      <c r="E782" s="37" t="s">
        <v>115</v>
      </c>
      <c r="F782" s="38" t="s">
        <v>128</v>
      </c>
    </row>
    <row r="783" spans="1:6">
      <c r="A783" s="35">
        <v>52110</v>
      </c>
      <c r="B783" s="37" t="s">
        <v>1284</v>
      </c>
      <c r="C783" s="37" t="s">
        <v>607</v>
      </c>
      <c r="D783" s="37" t="s">
        <v>975</v>
      </c>
      <c r="E783" s="37" t="s">
        <v>115</v>
      </c>
      <c r="F783" s="38" t="s">
        <v>139</v>
      </c>
    </row>
    <row r="784" spans="1:6">
      <c r="A784" s="35">
        <v>52240</v>
      </c>
      <c r="B784" s="37" t="s">
        <v>1285</v>
      </c>
      <c r="C784" s="37" t="s">
        <v>607</v>
      </c>
      <c r="D784" s="37" t="s">
        <v>975</v>
      </c>
      <c r="E784" s="37" t="s">
        <v>115</v>
      </c>
      <c r="F784" s="38" t="s">
        <v>139</v>
      </c>
    </row>
    <row r="785" spans="1:6">
      <c r="A785" s="35">
        <v>52207</v>
      </c>
      <c r="B785" s="37" t="s">
        <v>1286</v>
      </c>
      <c r="C785" s="37" t="s">
        <v>607</v>
      </c>
      <c r="D785" s="37" t="s">
        <v>975</v>
      </c>
      <c r="E785" s="37" t="s">
        <v>115</v>
      </c>
      <c r="F785" s="38" t="s">
        <v>139</v>
      </c>
    </row>
    <row r="786" spans="1:6">
      <c r="A786" s="35">
        <v>52210</v>
      </c>
      <c r="B786" s="37" t="s">
        <v>1287</v>
      </c>
      <c r="C786" s="37" t="s">
        <v>607</v>
      </c>
      <c r="D786" s="37" t="s">
        <v>975</v>
      </c>
      <c r="E786" s="37" t="s">
        <v>115</v>
      </c>
      <c r="F786" s="38" t="s">
        <v>139</v>
      </c>
    </row>
    <row r="787" spans="1:6">
      <c r="A787" s="35">
        <v>52224</v>
      </c>
      <c r="B787" s="37" t="s">
        <v>1288</v>
      </c>
      <c r="C787" s="37" t="s">
        <v>607</v>
      </c>
      <c r="D787" s="37" t="s">
        <v>975</v>
      </c>
      <c r="E787" s="37" t="s">
        <v>115</v>
      </c>
      <c r="F787" s="38" t="s">
        <v>139</v>
      </c>
    </row>
    <row r="788" spans="1:6">
      <c r="A788" s="35">
        <v>52227</v>
      </c>
      <c r="B788" s="37" t="s">
        <v>1289</v>
      </c>
      <c r="C788" s="37" t="s">
        <v>607</v>
      </c>
      <c r="D788" s="37" t="s">
        <v>975</v>
      </c>
      <c r="E788" s="37" t="s">
        <v>115</v>
      </c>
      <c r="F788" s="38" t="s">
        <v>114</v>
      </c>
    </row>
    <row r="789" spans="1:6">
      <c r="A789" s="35">
        <v>52233</v>
      </c>
      <c r="B789" s="37" t="s">
        <v>1290</v>
      </c>
      <c r="C789" s="37" t="s">
        <v>607</v>
      </c>
      <c r="D789" s="37" t="s">
        <v>975</v>
      </c>
      <c r="E789" s="37" t="s">
        <v>115</v>
      </c>
      <c r="F789" s="38" t="s">
        <v>139</v>
      </c>
    </row>
    <row r="790" spans="1:6">
      <c r="A790" s="35">
        <v>52250</v>
      </c>
      <c r="B790" s="37" t="s">
        <v>1291</v>
      </c>
      <c r="C790" s="37" t="s">
        <v>607</v>
      </c>
      <c r="D790" s="37" t="s">
        <v>975</v>
      </c>
      <c r="E790" s="37" t="s">
        <v>671</v>
      </c>
      <c r="F790" s="38" t="s">
        <v>584</v>
      </c>
    </row>
    <row r="791" spans="1:6">
      <c r="A791" s="35">
        <v>52254</v>
      </c>
      <c r="B791" s="37" t="s">
        <v>1292</v>
      </c>
      <c r="C791" s="37" t="s">
        <v>607</v>
      </c>
      <c r="D791" s="37" t="s">
        <v>975</v>
      </c>
      <c r="E791" s="37" t="s">
        <v>115</v>
      </c>
      <c r="F791" s="38" t="s">
        <v>139</v>
      </c>
    </row>
    <row r="792" spans="1:6">
      <c r="A792" s="35">
        <v>52256</v>
      </c>
      <c r="B792" s="37" t="s">
        <v>1293</v>
      </c>
      <c r="C792" s="37" t="s">
        <v>607</v>
      </c>
      <c r="D792" s="37" t="s">
        <v>975</v>
      </c>
      <c r="E792" s="37" t="s">
        <v>115</v>
      </c>
      <c r="F792" s="38" t="s">
        <v>139</v>
      </c>
    </row>
    <row r="793" spans="1:6">
      <c r="A793" s="35">
        <v>52258</v>
      </c>
      <c r="B793" s="37" t="s">
        <v>1294</v>
      </c>
      <c r="C793" s="37" t="s">
        <v>607</v>
      </c>
      <c r="D793" s="37" t="s">
        <v>975</v>
      </c>
      <c r="E793" s="37" t="s">
        <v>115</v>
      </c>
      <c r="F793" s="38" t="s">
        <v>139</v>
      </c>
    </row>
    <row r="794" spans="1:6">
      <c r="A794" s="35">
        <v>52520</v>
      </c>
      <c r="B794" s="37" t="s">
        <v>1295</v>
      </c>
      <c r="C794" s="37" t="s">
        <v>607</v>
      </c>
      <c r="D794" s="37" t="s">
        <v>975</v>
      </c>
      <c r="E794" s="37" t="s">
        <v>671</v>
      </c>
      <c r="F794" s="38" t="s">
        <v>584</v>
      </c>
    </row>
    <row r="795" spans="1:6">
      <c r="A795" s="35">
        <v>52287</v>
      </c>
      <c r="B795" s="37" t="s">
        <v>1296</v>
      </c>
      <c r="C795" s="37" t="s">
        <v>607</v>
      </c>
      <c r="D795" s="37" t="s">
        <v>975</v>
      </c>
      <c r="E795" s="37" t="s">
        <v>115</v>
      </c>
      <c r="F795" s="38" t="s">
        <v>139</v>
      </c>
    </row>
    <row r="796" spans="1:6">
      <c r="A796" s="35">
        <v>52317</v>
      </c>
      <c r="B796" s="37" t="s">
        <v>1297</v>
      </c>
      <c r="C796" s="37" t="s">
        <v>607</v>
      </c>
      <c r="D796" s="37" t="s">
        <v>975</v>
      </c>
      <c r="E796" s="37" t="s">
        <v>115</v>
      </c>
      <c r="F796" s="38" t="s">
        <v>139</v>
      </c>
    </row>
    <row r="797" spans="1:6">
      <c r="A797" s="35">
        <v>52320</v>
      </c>
      <c r="B797" s="37" t="s">
        <v>1298</v>
      </c>
      <c r="C797" s="37" t="s">
        <v>607</v>
      </c>
      <c r="D797" s="37" t="s">
        <v>975</v>
      </c>
      <c r="E797" s="37" t="s">
        <v>115</v>
      </c>
      <c r="F797" s="38" t="s">
        <v>139</v>
      </c>
    </row>
    <row r="798" spans="1:6">
      <c r="A798" s="35">
        <v>52323</v>
      </c>
      <c r="B798" s="37" t="s">
        <v>1299</v>
      </c>
      <c r="C798" s="37" t="s">
        <v>607</v>
      </c>
      <c r="D798" s="37" t="s">
        <v>975</v>
      </c>
      <c r="E798" s="37" t="s">
        <v>115</v>
      </c>
      <c r="F798" s="38" t="s">
        <v>139</v>
      </c>
    </row>
    <row r="799" spans="1:6">
      <c r="A799" s="35">
        <v>52352</v>
      </c>
      <c r="B799" s="37" t="s">
        <v>1300</v>
      </c>
      <c r="C799" s="37" t="s">
        <v>607</v>
      </c>
      <c r="D799" s="37" t="s">
        <v>975</v>
      </c>
      <c r="E799" s="37" t="s">
        <v>115</v>
      </c>
      <c r="F799" s="38" t="s">
        <v>139</v>
      </c>
    </row>
    <row r="800" spans="1:6">
      <c r="A800" s="35">
        <v>52354</v>
      </c>
      <c r="B800" s="37" t="s">
        <v>1301</v>
      </c>
      <c r="C800" s="37" t="s">
        <v>607</v>
      </c>
      <c r="D800" s="37" t="s">
        <v>975</v>
      </c>
      <c r="E800" s="37" t="s">
        <v>115</v>
      </c>
      <c r="F800" s="38" t="s">
        <v>139</v>
      </c>
    </row>
    <row r="801" spans="1:6">
      <c r="A801" s="35">
        <v>52356</v>
      </c>
      <c r="B801" s="37" t="s">
        <v>1302</v>
      </c>
      <c r="C801" s="37" t="s">
        <v>607</v>
      </c>
      <c r="D801" s="37" t="s">
        <v>975</v>
      </c>
      <c r="E801" s="37" t="s">
        <v>115</v>
      </c>
      <c r="F801" s="38" t="s">
        <v>139</v>
      </c>
    </row>
    <row r="802" spans="1:6">
      <c r="A802" s="35">
        <v>52378</v>
      </c>
      <c r="B802" s="37" t="s">
        <v>1303</v>
      </c>
      <c r="C802" s="37" t="s">
        <v>607</v>
      </c>
      <c r="D802" s="37" t="s">
        <v>975</v>
      </c>
      <c r="E802" s="37" t="s">
        <v>115</v>
      </c>
      <c r="F802" s="38" t="s">
        <v>114</v>
      </c>
    </row>
    <row r="803" spans="1:6">
      <c r="A803" s="35">
        <v>52381</v>
      </c>
      <c r="B803" s="37" t="s">
        <v>1304</v>
      </c>
      <c r="C803" s="37" t="s">
        <v>607</v>
      </c>
      <c r="D803" s="37" t="s">
        <v>975</v>
      </c>
      <c r="E803" s="37" t="s">
        <v>115</v>
      </c>
      <c r="F803" s="38" t="s">
        <v>139</v>
      </c>
    </row>
    <row r="804" spans="1:6">
      <c r="A804" s="35">
        <v>52385</v>
      </c>
      <c r="B804" s="37" t="s">
        <v>1305</v>
      </c>
      <c r="C804" s="37" t="s">
        <v>607</v>
      </c>
      <c r="D804" s="37" t="s">
        <v>975</v>
      </c>
      <c r="E804" s="37" t="s">
        <v>115</v>
      </c>
      <c r="F804" s="38" t="s">
        <v>128</v>
      </c>
    </row>
    <row r="805" spans="1:6">
      <c r="A805" s="35">
        <v>52390</v>
      </c>
      <c r="B805" s="37" t="s">
        <v>1306</v>
      </c>
      <c r="C805" s="37" t="s">
        <v>607</v>
      </c>
      <c r="D805" s="37" t="s">
        <v>975</v>
      </c>
      <c r="E805" s="37" t="s">
        <v>671</v>
      </c>
      <c r="F805" s="38" t="s">
        <v>584</v>
      </c>
    </row>
    <row r="806" spans="1:6">
      <c r="A806" s="35">
        <v>52405</v>
      </c>
      <c r="B806" s="37" t="s">
        <v>1307</v>
      </c>
      <c r="C806" s="37" t="s">
        <v>607</v>
      </c>
      <c r="D806" s="37" t="s">
        <v>975</v>
      </c>
      <c r="E806" s="37" t="s">
        <v>115</v>
      </c>
      <c r="F806" s="38" t="s">
        <v>114</v>
      </c>
    </row>
    <row r="807" spans="1:6">
      <c r="A807" s="35">
        <v>52411</v>
      </c>
      <c r="B807" s="37" t="s">
        <v>1308</v>
      </c>
      <c r="C807" s="37" t="s">
        <v>607</v>
      </c>
      <c r="D807" s="37" t="s">
        <v>975</v>
      </c>
      <c r="E807" s="37" t="s">
        <v>115</v>
      </c>
      <c r="F807" s="38" t="s">
        <v>114</v>
      </c>
    </row>
    <row r="808" spans="1:6">
      <c r="A808" s="35">
        <v>52418</v>
      </c>
      <c r="B808" s="37" t="s">
        <v>1309</v>
      </c>
      <c r="C808" s="37" t="s">
        <v>607</v>
      </c>
      <c r="D808" s="37" t="s">
        <v>975</v>
      </c>
      <c r="E808" s="37" t="s">
        <v>115</v>
      </c>
      <c r="F808" s="38" t="s">
        <v>114</v>
      </c>
    </row>
    <row r="809" spans="1:6">
      <c r="A809" s="35">
        <v>52427</v>
      </c>
      <c r="B809" s="37" t="s">
        <v>1310</v>
      </c>
      <c r="C809" s="37" t="s">
        <v>607</v>
      </c>
      <c r="D809" s="37" t="s">
        <v>975</v>
      </c>
      <c r="E809" s="37" t="s">
        <v>671</v>
      </c>
      <c r="F809" s="38" t="s">
        <v>584</v>
      </c>
    </row>
    <row r="810" spans="1:6">
      <c r="A810" s="35">
        <v>52435</v>
      </c>
      <c r="B810" s="37" t="s">
        <v>1311</v>
      </c>
      <c r="C810" s="37" t="s">
        <v>607</v>
      </c>
      <c r="D810" s="37" t="s">
        <v>975</v>
      </c>
      <c r="E810" s="37" t="s">
        <v>115</v>
      </c>
      <c r="F810" s="38" t="s">
        <v>114</v>
      </c>
    </row>
    <row r="811" spans="1:6">
      <c r="A811" s="35">
        <v>52490</v>
      </c>
      <c r="B811" s="37" t="s">
        <v>1312</v>
      </c>
      <c r="C811" s="37" t="s">
        <v>607</v>
      </c>
      <c r="D811" s="37" t="s">
        <v>975</v>
      </c>
      <c r="E811" s="37" t="s">
        <v>671</v>
      </c>
      <c r="F811" s="38" t="s">
        <v>584</v>
      </c>
    </row>
    <row r="812" spans="1:6">
      <c r="A812" s="35">
        <v>52506</v>
      </c>
      <c r="B812" s="37" t="s">
        <v>1313</v>
      </c>
      <c r="C812" s="37" t="s">
        <v>607</v>
      </c>
      <c r="D812" s="37" t="s">
        <v>975</v>
      </c>
      <c r="E812" s="37" t="s">
        <v>115</v>
      </c>
      <c r="F812" s="38" t="s">
        <v>139</v>
      </c>
    </row>
    <row r="813" spans="1:6">
      <c r="A813" s="35">
        <v>52001</v>
      </c>
      <c r="B813" s="37" t="s">
        <v>975</v>
      </c>
      <c r="C813" s="37" t="s">
        <v>607</v>
      </c>
      <c r="D813" s="37" t="s">
        <v>975</v>
      </c>
      <c r="E813" s="37" t="s">
        <v>115</v>
      </c>
      <c r="F813" s="38" t="s">
        <v>150</v>
      </c>
    </row>
    <row r="814" spans="1:6">
      <c r="A814" s="35">
        <v>52540</v>
      </c>
      <c r="B814" s="37" t="s">
        <v>1314</v>
      </c>
      <c r="C814" s="37" t="s">
        <v>607</v>
      </c>
      <c r="D814" s="37" t="s">
        <v>975</v>
      </c>
      <c r="E814" s="37" t="s">
        <v>115</v>
      </c>
      <c r="F814" s="38" t="s">
        <v>128</v>
      </c>
    </row>
    <row r="815" spans="1:6">
      <c r="A815" s="35">
        <v>52560</v>
      </c>
      <c r="B815" s="37" t="s">
        <v>1315</v>
      </c>
      <c r="C815" s="37" t="s">
        <v>607</v>
      </c>
      <c r="D815" s="37" t="s">
        <v>975</v>
      </c>
      <c r="E815" s="37" t="s">
        <v>115</v>
      </c>
      <c r="F815" s="38" t="s">
        <v>139</v>
      </c>
    </row>
    <row r="816" spans="1:6">
      <c r="A816" s="35">
        <v>52573</v>
      </c>
      <c r="B816" s="37" t="s">
        <v>1316</v>
      </c>
      <c r="C816" s="37" t="s">
        <v>607</v>
      </c>
      <c r="D816" s="37" t="s">
        <v>975</v>
      </c>
      <c r="E816" s="37" t="s">
        <v>115</v>
      </c>
      <c r="F816" s="38" t="s">
        <v>139</v>
      </c>
    </row>
    <row r="817" spans="1:6">
      <c r="A817" s="35">
        <v>52585</v>
      </c>
      <c r="B817" s="37" t="s">
        <v>1317</v>
      </c>
      <c r="C817" s="37" t="s">
        <v>607</v>
      </c>
      <c r="D817" s="37" t="s">
        <v>975</v>
      </c>
      <c r="E817" s="37" t="s">
        <v>115</v>
      </c>
      <c r="F817" s="38" t="s">
        <v>139</v>
      </c>
    </row>
    <row r="818" spans="1:6">
      <c r="A818" s="35">
        <v>52621</v>
      </c>
      <c r="B818" s="37" t="s">
        <v>1318</v>
      </c>
      <c r="C818" s="37" t="s">
        <v>607</v>
      </c>
      <c r="D818" s="37" t="s">
        <v>975</v>
      </c>
      <c r="E818" s="37" t="s">
        <v>671</v>
      </c>
      <c r="F818" s="38" t="s">
        <v>584</v>
      </c>
    </row>
    <row r="819" spans="1:6">
      <c r="A819" s="35">
        <v>52678</v>
      </c>
      <c r="B819" s="37" t="s">
        <v>1319</v>
      </c>
      <c r="C819" s="37" t="s">
        <v>607</v>
      </c>
      <c r="D819" s="37" t="s">
        <v>975</v>
      </c>
      <c r="E819" s="37" t="s">
        <v>115</v>
      </c>
      <c r="F819" s="38" t="s">
        <v>114</v>
      </c>
    </row>
    <row r="820" spans="1:6">
      <c r="A820" s="35">
        <v>52835</v>
      </c>
      <c r="B820" s="37" t="s">
        <v>1320</v>
      </c>
      <c r="C820" s="37" t="s">
        <v>607</v>
      </c>
      <c r="D820" s="37" t="s">
        <v>975</v>
      </c>
      <c r="E820" s="37" t="s">
        <v>115</v>
      </c>
      <c r="F820" s="38" t="s">
        <v>128</v>
      </c>
    </row>
    <row r="821" spans="1:6">
      <c r="A821" s="35">
        <v>52687</v>
      </c>
      <c r="B821" s="37" t="s">
        <v>1321</v>
      </c>
      <c r="C821" s="37" t="s">
        <v>607</v>
      </c>
      <c r="D821" s="37" t="s">
        <v>975</v>
      </c>
      <c r="E821" s="37" t="s">
        <v>115</v>
      </c>
      <c r="F821" s="38" t="s">
        <v>139</v>
      </c>
    </row>
    <row r="822" spans="1:6">
      <c r="A822" s="35">
        <v>52694</v>
      </c>
      <c r="B822" s="37" t="s">
        <v>1322</v>
      </c>
      <c r="C822" s="37" t="s">
        <v>607</v>
      </c>
      <c r="D822" s="37" t="s">
        <v>975</v>
      </c>
      <c r="E822" s="37" t="s">
        <v>115</v>
      </c>
      <c r="F822" s="38" t="s">
        <v>139</v>
      </c>
    </row>
    <row r="823" spans="1:6">
      <c r="A823" s="35">
        <v>52683</v>
      </c>
      <c r="B823" s="37" t="s">
        <v>1323</v>
      </c>
      <c r="C823" s="37" t="s">
        <v>607</v>
      </c>
      <c r="D823" s="37" t="s">
        <v>975</v>
      </c>
      <c r="E823" s="37" t="s">
        <v>115</v>
      </c>
      <c r="F823" s="38" t="s">
        <v>139</v>
      </c>
    </row>
    <row r="824" spans="1:6">
      <c r="A824" s="35">
        <v>52699</v>
      </c>
      <c r="B824" s="37" t="s">
        <v>1324</v>
      </c>
      <c r="C824" s="37" t="s">
        <v>607</v>
      </c>
      <c r="D824" s="37" t="s">
        <v>975</v>
      </c>
      <c r="E824" s="37" t="s">
        <v>115</v>
      </c>
      <c r="F824" s="38" t="s">
        <v>128</v>
      </c>
    </row>
    <row r="825" spans="1:6">
      <c r="A825" s="35">
        <v>52720</v>
      </c>
      <c r="B825" s="37" t="s">
        <v>1325</v>
      </c>
      <c r="C825" s="37" t="s">
        <v>607</v>
      </c>
      <c r="D825" s="37" t="s">
        <v>975</v>
      </c>
      <c r="E825" s="37" t="s">
        <v>115</v>
      </c>
      <c r="F825" s="38" t="s">
        <v>139</v>
      </c>
    </row>
    <row r="826" spans="1:6">
      <c r="A826" s="35">
        <v>52786</v>
      </c>
      <c r="B826" s="37" t="s">
        <v>1326</v>
      </c>
      <c r="C826" s="37" t="s">
        <v>607</v>
      </c>
      <c r="D826" s="37" t="s">
        <v>975</v>
      </c>
      <c r="E826" s="37" t="s">
        <v>115</v>
      </c>
      <c r="F826" s="38" t="s">
        <v>139</v>
      </c>
    </row>
    <row r="827" spans="1:6">
      <c r="A827" s="35">
        <v>52788</v>
      </c>
      <c r="B827" s="37" t="s">
        <v>1327</v>
      </c>
      <c r="C827" s="37" t="s">
        <v>607</v>
      </c>
      <c r="D827" s="37" t="s">
        <v>975</v>
      </c>
      <c r="E827" s="37" t="s">
        <v>115</v>
      </c>
      <c r="F827" s="38" t="s">
        <v>139</v>
      </c>
    </row>
    <row r="828" spans="1:6">
      <c r="A828" s="35">
        <v>52838</v>
      </c>
      <c r="B828" s="37" t="s">
        <v>1328</v>
      </c>
      <c r="C828" s="37" t="s">
        <v>607</v>
      </c>
      <c r="D828" s="37" t="s">
        <v>975</v>
      </c>
      <c r="E828" s="37" t="s">
        <v>115</v>
      </c>
      <c r="F828" s="38" t="s">
        <v>139</v>
      </c>
    </row>
    <row r="829" spans="1:6">
      <c r="A829" s="35">
        <v>52885</v>
      </c>
      <c r="B829" s="37" t="s">
        <v>1329</v>
      </c>
      <c r="C829" s="37" t="s">
        <v>607</v>
      </c>
      <c r="D829" s="37" t="s">
        <v>975</v>
      </c>
      <c r="E829" s="37" t="s">
        <v>115</v>
      </c>
      <c r="F829" s="38" t="s">
        <v>139</v>
      </c>
    </row>
    <row r="830" spans="1:6">
      <c r="A830" s="35">
        <v>54553</v>
      </c>
      <c r="B830" s="36" t="s">
        <v>585</v>
      </c>
      <c r="C830" s="37" t="s">
        <v>224</v>
      </c>
      <c r="D830" s="37" t="s">
        <v>222</v>
      </c>
      <c r="E830" s="37" t="s">
        <v>115</v>
      </c>
      <c r="F830" s="38" t="s">
        <v>139</v>
      </c>
    </row>
    <row r="831" spans="1:6">
      <c r="A831" s="35">
        <v>54673</v>
      </c>
      <c r="B831" s="36" t="s">
        <v>1073</v>
      </c>
      <c r="C831" s="37" t="s">
        <v>224</v>
      </c>
      <c r="D831" s="37" t="s">
        <v>222</v>
      </c>
      <c r="E831" s="37" t="s">
        <v>115</v>
      </c>
      <c r="F831" s="38" t="s">
        <v>139</v>
      </c>
    </row>
    <row r="832" spans="1:6">
      <c r="A832" s="35">
        <v>54680</v>
      </c>
      <c r="B832" s="36" t="s">
        <v>1330</v>
      </c>
      <c r="C832" s="37" t="s">
        <v>224</v>
      </c>
      <c r="D832" s="37" t="s">
        <v>222</v>
      </c>
      <c r="E832" s="37" t="s">
        <v>115</v>
      </c>
      <c r="F832" s="38" t="s">
        <v>139</v>
      </c>
    </row>
    <row r="833" spans="1:6">
      <c r="A833" s="35">
        <v>54820</v>
      </c>
      <c r="B833" s="36" t="s">
        <v>615</v>
      </c>
      <c r="C833" s="37" t="s">
        <v>224</v>
      </c>
      <c r="D833" s="37" t="s">
        <v>222</v>
      </c>
      <c r="E833" s="37" t="s">
        <v>115</v>
      </c>
      <c r="F833" s="38" t="s">
        <v>128</v>
      </c>
    </row>
    <row r="834" spans="1:6">
      <c r="A834" s="35">
        <v>54003</v>
      </c>
      <c r="B834" s="37" t="s">
        <v>1331</v>
      </c>
      <c r="C834" s="37" t="s">
        <v>224</v>
      </c>
      <c r="D834" s="37" t="s">
        <v>222</v>
      </c>
      <c r="E834" s="37" t="s">
        <v>115</v>
      </c>
      <c r="F834" s="38" t="s">
        <v>114</v>
      </c>
    </row>
    <row r="835" spans="1:6">
      <c r="A835" s="35">
        <v>54051</v>
      </c>
      <c r="B835" s="37" t="s">
        <v>1332</v>
      </c>
      <c r="C835" s="37" t="s">
        <v>224</v>
      </c>
      <c r="D835" s="37" t="s">
        <v>222</v>
      </c>
      <c r="E835" s="37" t="s">
        <v>115</v>
      </c>
      <c r="F835" s="38" t="s">
        <v>128</v>
      </c>
    </row>
    <row r="836" spans="1:6">
      <c r="A836" s="35">
        <v>54099</v>
      </c>
      <c r="B836" s="37" t="s">
        <v>1333</v>
      </c>
      <c r="C836" s="37" t="s">
        <v>224</v>
      </c>
      <c r="D836" s="37" t="s">
        <v>222</v>
      </c>
      <c r="E836" s="37" t="s">
        <v>115</v>
      </c>
      <c r="F836" s="38" t="s">
        <v>139</v>
      </c>
    </row>
    <row r="837" spans="1:6">
      <c r="A837" s="35">
        <v>54109</v>
      </c>
      <c r="B837" s="37" t="s">
        <v>1334</v>
      </c>
      <c r="C837" s="37" t="s">
        <v>224</v>
      </c>
      <c r="D837" s="37" t="s">
        <v>222</v>
      </c>
      <c r="E837" s="37" t="s">
        <v>115</v>
      </c>
      <c r="F837" s="38" t="s">
        <v>114</v>
      </c>
    </row>
    <row r="838" spans="1:6">
      <c r="A838" s="35">
        <v>54128</v>
      </c>
      <c r="B838" s="37" t="s">
        <v>1335</v>
      </c>
      <c r="C838" s="37" t="s">
        <v>224</v>
      </c>
      <c r="D838" s="37" t="s">
        <v>222</v>
      </c>
      <c r="E838" s="37" t="s">
        <v>115</v>
      </c>
      <c r="F838" s="38" t="s">
        <v>128</v>
      </c>
    </row>
    <row r="839" spans="1:6">
      <c r="A839" s="35">
        <v>54125</v>
      </c>
      <c r="B839" s="37" t="s">
        <v>1336</v>
      </c>
      <c r="C839" s="37" t="s">
        <v>224</v>
      </c>
      <c r="D839" s="37" t="s">
        <v>222</v>
      </c>
      <c r="E839" s="37" t="s">
        <v>115</v>
      </c>
      <c r="F839" s="38" t="s">
        <v>114</v>
      </c>
    </row>
    <row r="840" spans="1:6">
      <c r="A840" s="35">
        <v>54172</v>
      </c>
      <c r="B840" s="37" t="s">
        <v>1337</v>
      </c>
      <c r="C840" s="37" t="s">
        <v>224</v>
      </c>
      <c r="D840" s="37" t="s">
        <v>222</v>
      </c>
      <c r="E840" s="37" t="s">
        <v>115</v>
      </c>
      <c r="F840" s="38" t="s">
        <v>139</v>
      </c>
    </row>
    <row r="841" spans="1:6">
      <c r="A841" s="35">
        <v>54174</v>
      </c>
      <c r="B841" s="37" t="s">
        <v>1338</v>
      </c>
      <c r="C841" s="37" t="s">
        <v>224</v>
      </c>
      <c r="D841" s="37" t="s">
        <v>222</v>
      </c>
      <c r="E841" s="37" t="s">
        <v>115</v>
      </c>
      <c r="F841" s="38" t="s">
        <v>128</v>
      </c>
    </row>
    <row r="842" spans="1:6">
      <c r="A842" s="35">
        <v>54206</v>
      </c>
      <c r="B842" s="37" t="s">
        <v>1339</v>
      </c>
      <c r="C842" s="37" t="s">
        <v>224</v>
      </c>
      <c r="D842" s="37" t="s">
        <v>222</v>
      </c>
      <c r="E842" s="37" t="s">
        <v>115</v>
      </c>
      <c r="F842" s="38" t="s">
        <v>128</v>
      </c>
    </row>
    <row r="843" spans="1:6">
      <c r="A843" s="35">
        <v>54001</v>
      </c>
      <c r="B843" s="37" t="s">
        <v>222</v>
      </c>
      <c r="C843" s="37" t="s">
        <v>224</v>
      </c>
      <c r="D843" s="37" t="s">
        <v>222</v>
      </c>
      <c r="E843" s="37" t="s">
        <v>115</v>
      </c>
      <c r="F843" s="38" t="s">
        <v>150</v>
      </c>
    </row>
    <row r="844" spans="1:6">
      <c r="A844" s="35">
        <v>54223</v>
      </c>
      <c r="B844" s="37" t="s">
        <v>1340</v>
      </c>
      <c r="C844" s="37" t="s">
        <v>224</v>
      </c>
      <c r="D844" s="37" t="s">
        <v>222</v>
      </c>
      <c r="E844" s="37" t="s">
        <v>115</v>
      </c>
      <c r="F844" s="38" t="s">
        <v>128</v>
      </c>
    </row>
    <row r="845" spans="1:6">
      <c r="A845" s="35">
        <v>54239</v>
      </c>
      <c r="B845" s="37" t="s">
        <v>1341</v>
      </c>
      <c r="C845" s="37" t="s">
        <v>224</v>
      </c>
      <c r="D845" s="37" t="s">
        <v>222</v>
      </c>
      <c r="E845" s="37" t="s">
        <v>115</v>
      </c>
      <c r="F845" s="38" t="s">
        <v>139</v>
      </c>
    </row>
    <row r="846" spans="1:6">
      <c r="A846" s="35">
        <v>54245</v>
      </c>
      <c r="B846" s="37" t="s">
        <v>1342</v>
      </c>
      <c r="C846" s="37" t="s">
        <v>224</v>
      </c>
      <c r="D846" s="37" t="s">
        <v>222</v>
      </c>
      <c r="E846" s="37" t="s">
        <v>115</v>
      </c>
      <c r="F846" s="38" t="s">
        <v>128</v>
      </c>
    </row>
    <row r="847" spans="1:6">
      <c r="A847" s="35">
        <v>54250</v>
      </c>
      <c r="B847" s="37" t="s">
        <v>1343</v>
      </c>
      <c r="C847" s="37" t="s">
        <v>224</v>
      </c>
      <c r="D847" s="37" t="s">
        <v>222</v>
      </c>
      <c r="E847" s="37" t="s">
        <v>115</v>
      </c>
      <c r="F847" s="38" t="s">
        <v>128</v>
      </c>
    </row>
    <row r="848" spans="1:6">
      <c r="A848" s="35">
        <v>54261</v>
      </c>
      <c r="B848" s="37" t="s">
        <v>1344</v>
      </c>
      <c r="C848" s="37" t="s">
        <v>224</v>
      </c>
      <c r="D848" s="37" t="s">
        <v>222</v>
      </c>
      <c r="E848" s="37" t="s">
        <v>115</v>
      </c>
      <c r="F848" s="38" t="s">
        <v>139</v>
      </c>
    </row>
    <row r="849" spans="1:6">
      <c r="A849" s="35">
        <v>54313</v>
      </c>
      <c r="B849" s="37" t="s">
        <v>1345</v>
      </c>
      <c r="C849" s="37" t="s">
        <v>224</v>
      </c>
      <c r="D849" s="37" t="s">
        <v>222</v>
      </c>
      <c r="E849" s="37" t="s">
        <v>115</v>
      </c>
      <c r="F849" s="38" t="s">
        <v>139</v>
      </c>
    </row>
    <row r="850" spans="1:6">
      <c r="A850" s="35">
        <v>54344</v>
      </c>
      <c r="B850" s="37" t="s">
        <v>1346</v>
      </c>
      <c r="C850" s="37" t="s">
        <v>224</v>
      </c>
      <c r="D850" s="37" t="s">
        <v>222</v>
      </c>
      <c r="E850" s="37" t="s">
        <v>115</v>
      </c>
      <c r="F850" s="38" t="s">
        <v>128</v>
      </c>
    </row>
    <row r="851" spans="1:6">
      <c r="A851" s="35">
        <v>54347</v>
      </c>
      <c r="B851" s="37" t="s">
        <v>1347</v>
      </c>
      <c r="C851" s="37" t="s">
        <v>224</v>
      </c>
      <c r="D851" s="37" t="s">
        <v>222</v>
      </c>
      <c r="E851" s="37" t="s">
        <v>115</v>
      </c>
      <c r="F851" s="38" t="s">
        <v>114</v>
      </c>
    </row>
    <row r="852" spans="1:6">
      <c r="A852" s="35">
        <v>54385</v>
      </c>
      <c r="B852" s="37" t="s">
        <v>1348</v>
      </c>
      <c r="C852" s="37" t="s">
        <v>224</v>
      </c>
      <c r="D852" s="37" t="s">
        <v>256</v>
      </c>
      <c r="E852" s="37" t="s">
        <v>115</v>
      </c>
      <c r="F852" s="38" t="s">
        <v>114</v>
      </c>
    </row>
    <row r="853" spans="1:6">
      <c r="A853" s="35">
        <v>54398</v>
      </c>
      <c r="B853" s="37" t="s">
        <v>1349</v>
      </c>
      <c r="C853" s="37" t="s">
        <v>224</v>
      </c>
      <c r="D853" s="37" t="s">
        <v>222</v>
      </c>
      <c r="E853" s="37" t="s">
        <v>115</v>
      </c>
      <c r="F853" s="38" t="s">
        <v>128</v>
      </c>
    </row>
    <row r="854" spans="1:6">
      <c r="A854" s="35">
        <v>54377</v>
      </c>
      <c r="B854" s="37" t="s">
        <v>1350</v>
      </c>
      <c r="C854" s="37" t="s">
        <v>224</v>
      </c>
      <c r="D854" s="37" t="s">
        <v>222</v>
      </c>
      <c r="E854" s="37" t="s">
        <v>115</v>
      </c>
      <c r="F854" s="38" t="s">
        <v>128</v>
      </c>
    </row>
    <row r="855" spans="1:6">
      <c r="A855" s="35">
        <v>54405</v>
      </c>
      <c r="B855" s="37" t="s">
        <v>1351</v>
      </c>
      <c r="C855" s="37" t="s">
        <v>224</v>
      </c>
      <c r="D855" s="37" t="s">
        <v>222</v>
      </c>
      <c r="E855" s="37" t="s">
        <v>115</v>
      </c>
      <c r="F855" s="38" t="s">
        <v>150</v>
      </c>
    </row>
    <row r="856" spans="1:6">
      <c r="A856" s="35">
        <v>54418</v>
      </c>
      <c r="B856" s="37" t="s">
        <v>1352</v>
      </c>
      <c r="C856" s="37" t="s">
        <v>224</v>
      </c>
      <c r="D856" s="37" t="s">
        <v>222</v>
      </c>
      <c r="E856" s="37" t="s">
        <v>115</v>
      </c>
      <c r="F856" s="38" t="s">
        <v>114</v>
      </c>
    </row>
    <row r="857" spans="1:6">
      <c r="A857" s="35">
        <v>54480</v>
      </c>
      <c r="B857" s="37" t="s">
        <v>1353</v>
      </c>
      <c r="C857" s="37" t="s">
        <v>224</v>
      </c>
      <c r="D857" s="37" t="s">
        <v>222</v>
      </c>
      <c r="E857" s="37" t="s">
        <v>115</v>
      </c>
      <c r="F857" s="38" t="s">
        <v>114</v>
      </c>
    </row>
    <row r="858" spans="1:6">
      <c r="A858" s="35">
        <v>54498</v>
      </c>
      <c r="B858" s="37" t="s">
        <v>1354</v>
      </c>
      <c r="C858" s="37" t="s">
        <v>224</v>
      </c>
      <c r="D858" s="37" t="s">
        <v>222</v>
      </c>
      <c r="E858" s="37" t="s">
        <v>115</v>
      </c>
      <c r="F858" s="38" t="s">
        <v>128</v>
      </c>
    </row>
    <row r="859" spans="1:6">
      <c r="A859" s="35">
        <v>54518</v>
      </c>
      <c r="B859" s="37" t="s">
        <v>1355</v>
      </c>
      <c r="C859" s="37" t="s">
        <v>224</v>
      </c>
      <c r="D859" s="37" t="s">
        <v>222</v>
      </c>
      <c r="E859" s="37" t="s">
        <v>115</v>
      </c>
      <c r="F859" s="38" t="s">
        <v>114</v>
      </c>
    </row>
    <row r="860" spans="1:6">
      <c r="A860" s="35">
        <v>54520</v>
      </c>
      <c r="B860" s="37" t="s">
        <v>1356</v>
      </c>
      <c r="C860" s="37" t="s">
        <v>224</v>
      </c>
      <c r="D860" s="37" t="s">
        <v>222</v>
      </c>
      <c r="E860" s="37" t="s">
        <v>115</v>
      </c>
      <c r="F860" s="38" t="s">
        <v>114</v>
      </c>
    </row>
    <row r="861" spans="1:6">
      <c r="A861" s="35">
        <v>54599</v>
      </c>
      <c r="B861" s="37" t="s">
        <v>1357</v>
      </c>
      <c r="C861" s="37" t="s">
        <v>224</v>
      </c>
      <c r="D861" s="37" t="s">
        <v>222</v>
      </c>
      <c r="E861" s="37" t="s">
        <v>115</v>
      </c>
      <c r="F861" s="38" t="s">
        <v>114</v>
      </c>
    </row>
    <row r="862" spans="1:6">
      <c r="A862" s="35">
        <v>54660</v>
      </c>
      <c r="B862" s="37" t="s">
        <v>1358</v>
      </c>
      <c r="C862" s="37" t="s">
        <v>224</v>
      </c>
      <c r="D862" s="37" t="s">
        <v>222</v>
      </c>
      <c r="E862" s="37" t="s">
        <v>115</v>
      </c>
      <c r="F862" s="38" t="s">
        <v>139</v>
      </c>
    </row>
    <row r="863" spans="1:6">
      <c r="A863" s="35">
        <v>54670</v>
      </c>
      <c r="B863" s="37" t="s">
        <v>1359</v>
      </c>
      <c r="C863" s="37" t="s">
        <v>224</v>
      </c>
      <c r="D863" s="37" t="s">
        <v>222</v>
      </c>
      <c r="E863" s="37" t="s">
        <v>115</v>
      </c>
      <c r="F863" s="38" t="s">
        <v>128</v>
      </c>
    </row>
    <row r="864" spans="1:6">
      <c r="A864" s="35">
        <v>54720</v>
      </c>
      <c r="B864" s="37" t="s">
        <v>1360</v>
      </c>
      <c r="C864" s="37" t="s">
        <v>224</v>
      </c>
      <c r="D864" s="37" t="s">
        <v>222</v>
      </c>
      <c r="E864" s="37" t="s">
        <v>115</v>
      </c>
      <c r="F864" s="38" t="s">
        <v>139</v>
      </c>
    </row>
    <row r="865" spans="1:6">
      <c r="A865" s="35">
        <v>54743</v>
      </c>
      <c r="B865" s="37" t="s">
        <v>1361</v>
      </c>
      <c r="C865" s="37" t="s">
        <v>224</v>
      </c>
      <c r="D865" s="37" t="s">
        <v>222</v>
      </c>
      <c r="E865" s="37" t="s">
        <v>115</v>
      </c>
      <c r="F865" s="38" t="s">
        <v>128</v>
      </c>
    </row>
    <row r="866" spans="1:6">
      <c r="A866" s="35">
        <v>54800</v>
      </c>
      <c r="B866" s="37" t="s">
        <v>1362</v>
      </c>
      <c r="C866" s="37" t="s">
        <v>224</v>
      </c>
      <c r="D866" s="37" t="s">
        <v>222</v>
      </c>
      <c r="E866" s="37" t="s">
        <v>115</v>
      </c>
      <c r="F866" s="38" t="s">
        <v>128</v>
      </c>
    </row>
    <row r="867" spans="1:6">
      <c r="A867" s="35">
        <v>54810</v>
      </c>
      <c r="B867" s="37" t="s">
        <v>1363</v>
      </c>
      <c r="C867" s="37" t="s">
        <v>224</v>
      </c>
      <c r="D867" s="37" t="s">
        <v>222</v>
      </c>
      <c r="E867" s="37" t="s">
        <v>115</v>
      </c>
      <c r="F867" s="38" t="s">
        <v>584</v>
      </c>
    </row>
    <row r="868" spans="1:6">
      <c r="A868" s="35">
        <v>54871</v>
      </c>
      <c r="B868" s="37" t="s">
        <v>1364</v>
      </c>
      <c r="C868" s="37" t="s">
        <v>224</v>
      </c>
      <c r="D868" s="37" t="s">
        <v>222</v>
      </c>
      <c r="E868" s="37" t="s">
        <v>115</v>
      </c>
      <c r="F868" s="38" t="s">
        <v>128</v>
      </c>
    </row>
    <row r="869" spans="1:6">
      <c r="A869" s="35">
        <v>54874</v>
      </c>
      <c r="B869" s="37" t="s">
        <v>1365</v>
      </c>
      <c r="C869" s="37" t="s">
        <v>224</v>
      </c>
      <c r="D869" s="37" t="s">
        <v>222</v>
      </c>
      <c r="E869" s="37" t="s">
        <v>115</v>
      </c>
      <c r="F869" s="38" t="s">
        <v>150</v>
      </c>
    </row>
    <row r="870" spans="1:6">
      <c r="A870" s="35">
        <v>86219</v>
      </c>
      <c r="B870" s="36" t="s">
        <v>1278</v>
      </c>
      <c r="C870" s="37" t="s">
        <v>1366</v>
      </c>
      <c r="D870" s="37" t="s">
        <v>975</v>
      </c>
      <c r="E870" s="37" t="s">
        <v>115</v>
      </c>
      <c r="F870" s="38" t="s">
        <v>139</v>
      </c>
    </row>
    <row r="871" spans="1:6">
      <c r="A871" s="35">
        <v>86755</v>
      </c>
      <c r="B871" s="36" t="s">
        <v>611</v>
      </c>
      <c r="C871" s="37" t="s">
        <v>1366</v>
      </c>
      <c r="D871" s="37" t="s">
        <v>975</v>
      </c>
      <c r="E871" s="37" t="s">
        <v>115</v>
      </c>
      <c r="F871" s="38" t="s">
        <v>114</v>
      </c>
    </row>
    <row r="872" spans="1:6">
      <c r="A872" s="35">
        <v>86757</v>
      </c>
      <c r="B872" s="36" t="s">
        <v>1367</v>
      </c>
      <c r="C872" s="37" t="s">
        <v>1366</v>
      </c>
      <c r="D872" s="37" t="s">
        <v>975</v>
      </c>
      <c r="E872" s="37" t="s">
        <v>115</v>
      </c>
      <c r="F872" s="38" t="s">
        <v>128</v>
      </c>
    </row>
    <row r="873" spans="1:6">
      <c r="A873" s="35">
        <v>86760</v>
      </c>
      <c r="B873" s="36" t="s">
        <v>1330</v>
      </c>
      <c r="C873" s="37" t="s">
        <v>1366</v>
      </c>
      <c r="D873" s="37" t="s">
        <v>975</v>
      </c>
      <c r="E873" s="37" t="s">
        <v>115</v>
      </c>
      <c r="F873" s="38" t="s">
        <v>139</v>
      </c>
    </row>
    <row r="874" spans="1:6">
      <c r="A874" s="35">
        <v>86573</v>
      </c>
      <c r="B874" s="37" t="s">
        <v>1368</v>
      </c>
      <c r="C874" s="37" t="s">
        <v>1366</v>
      </c>
      <c r="D874" s="37" t="s">
        <v>975</v>
      </c>
      <c r="E874" s="39" t="s">
        <v>583</v>
      </c>
      <c r="F874" s="38" t="s">
        <v>128</v>
      </c>
    </row>
    <row r="875" spans="1:6">
      <c r="A875" s="35">
        <v>86001</v>
      </c>
      <c r="B875" s="37" t="s">
        <v>1369</v>
      </c>
      <c r="C875" s="37" t="s">
        <v>1366</v>
      </c>
      <c r="D875" s="37" t="s">
        <v>975</v>
      </c>
      <c r="E875" s="37" t="s">
        <v>115</v>
      </c>
      <c r="F875" s="38" t="s">
        <v>128</v>
      </c>
    </row>
    <row r="876" spans="1:6">
      <c r="A876" s="35">
        <v>86320</v>
      </c>
      <c r="B876" s="37" t="s">
        <v>1370</v>
      </c>
      <c r="C876" s="37" t="s">
        <v>1366</v>
      </c>
      <c r="D876" s="37" t="s">
        <v>975</v>
      </c>
      <c r="E876" s="37" t="s">
        <v>115</v>
      </c>
      <c r="F876" s="38" t="s">
        <v>128</v>
      </c>
    </row>
    <row r="877" spans="1:6">
      <c r="A877" s="35">
        <v>86568</v>
      </c>
      <c r="B877" s="37" t="s">
        <v>1371</v>
      </c>
      <c r="C877" s="37" t="s">
        <v>1366</v>
      </c>
      <c r="D877" s="37" t="s">
        <v>975</v>
      </c>
      <c r="E877" s="37" t="s">
        <v>115</v>
      </c>
      <c r="F877" s="38" t="s">
        <v>128</v>
      </c>
    </row>
    <row r="878" spans="1:6">
      <c r="A878" s="35">
        <v>86569</v>
      </c>
      <c r="B878" s="37" t="s">
        <v>1372</v>
      </c>
      <c r="C878" s="37" t="s">
        <v>1366</v>
      </c>
      <c r="D878" s="37" t="s">
        <v>975</v>
      </c>
      <c r="E878" s="37" t="s">
        <v>115</v>
      </c>
      <c r="F878" s="38" t="s">
        <v>128</v>
      </c>
    </row>
    <row r="879" spans="1:6">
      <c r="A879" s="35">
        <v>86571</v>
      </c>
      <c r="B879" s="37" t="s">
        <v>1373</v>
      </c>
      <c r="C879" s="37" t="s">
        <v>1366</v>
      </c>
      <c r="D879" s="37" t="s">
        <v>975</v>
      </c>
      <c r="E879" s="37" t="s">
        <v>115</v>
      </c>
      <c r="F879" s="38" t="s">
        <v>128</v>
      </c>
    </row>
    <row r="880" spans="1:6">
      <c r="A880" s="35">
        <v>86749</v>
      </c>
      <c r="B880" s="37" t="s">
        <v>1374</v>
      </c>
      <c r="C880" s="37" t="s">
        <v>1366</v>
      </c>
      <c r="D880" s="37" t="s">
        <v>975</v>
      </c>
      <c r="E880" s="37" t="s">
        <v>115</v>
      </c>
      <c r="F880" s="38" t="s">
        <v>114</v>
      </c>
    </row>
    <row r="881" spans="1:6">
      <c r="A881" s="35">
        <v>86865</v>
      </c>
      <c r="B881" s="37" t="s">
        <v>1375</v>
      </c>
      <c r="C881" s="37" t="s">
        <v>1366</v>
      </c>
      <c r="D881" s="37" t="s">
        <v>975</v>
      </c>
      <c r="E881" s="37" t="s">
        <v>115</v>
      </c>
      <c r="F881" s="38" t="s">
        <v>128</v>
      </c>
    </row>
    <row r="882" spans="1:6">
      <c r="A882" s="35">
        <v>86885</v>
      </c>
      <c r="B882" s="37" t="s">
        <v>1376</v>
      </c>
      <c r="C882" s="37" t="s">
        <v>1366</v>
      </c>
      <c r="D882" s="37" t="s">
        <v>975</v>
      </c>
      <c r="E882" s="37" t="s">
        <v>115</v>
      </c>
      <c r="F882" s="38" t="s">
        <v>128</v>
      </c>
    </row>
    <row r="883" spans="1:6">
      <c r="A883" s="35">
        <v>63001</v>
      </c>
      <c r="B883" s="36" t="s">
        <v>596</v>
      </c>
      <c r="C883" s="37" t="s">
        <v>1377</v>
      </c>
      <c r="D883" s="37" t="s">
        <v>130</v>
      </c>
      <c r="E883" s="37" t="s">
        <v>115</v>
      </c>
      <c r="F883" s="38" t="s">
        <v>139</v>
      </c>
    </row>
    <row r="884" spans="1:6">
      <c r="A884" s="35">
        <v>63111</v>
      </c>
      <c r="B884" s="36" t="s">
        <v>788</v>
      </c>
      <c r="C884" s="37" t="s">
        <v>1377</v>
      </c>
      <c r="D884" s="37" t="s">
        <v>130</v>
      </c>
      <c r="E884" s="37" t="s">
        <v>115</v>
      </c>
      <c r="F884" s="38" t="s">
        <v>139</v>
      </c>
    </row>
    <row r="885" spans="1:6">
      <c r="A885" s="35">
        <v>63212</v>
      </c>
      <c r="B885" s="36" t="s">
        <v>292</v>
      </c>
      <c r="C885" s="37" t="s">
        <v>1377</v>
      </c>
      <c r="D885" s="37" t="s">
        <v>130</v>
      </c>
      <c r="E885" s="37" t="s">
        <v>115</v>
      </c>
      <c r="F885" s="38" t="s">
        <v>139</v>
      </c>
    </row>
    <row r="886" spans="1:6">
      <c r="A886" s="35">
        <v>63130</v>
      </c>
      <c r="B886" s="37" t="s">
        <v>1378</v>
      </c>
      <c r="C886" s="37" t="s">
        <v>1377</v>
      </c>
      <c r="D886" s="37" t="s">
        <v>130</v>
      </c>
      <c r="E886" s="37" t="s">
        <v>115</v>
      </c>
      <c r="F886" s="38" t="s">
        <v>139</v>
      </c>
    </row>
    <row r="887" spans="1:6">
      <c r="A887" s="35">
        <v>63190</v>
      </c>
      <c r="B887" s="37" t="s">
        <v>1379</v>
      </c>
      <c r="C887" s="37" t="s">
        <v>1377</v>
      </c>
      <c r="D887" s="37" t="s">
        <v>130</v>
      </c>
      <c r="E887" s="37" t="s">
        <v>115</v>
      </c>
      <c r="F887" s="38" t="s">
        <v>139</v>
      </c>
    </row>
    <row r="888" spans="1:6">
      <c r="A888" s="35">
        <v>63272</v>
      </c>
      <c r="B888" s="37" t="s">
        <v>1380</v>
      </c>
      <c r="C888" s="37" t="s">
        <v>1377</v>
      </c>
      <c r="D888" s="37" t="s">
        <v>130</v>
      </c>
      <c r="E888" s="37" t="s">
        <v>115</v>
      </c>
      <c r="F888" s="38" t="s">
        <v>139</v>
      </c>
    </row>
    <row r="889" spans="1:6">
      <c r="A889" s="35">
        <v>63302</v>
      </c>
      <c r="B889" s="37" t="s">
        <v>1381</v>
      </c>
      <c r="C889" s="37" t="s">
        <v>1377</v>
      </c>
      <c r="D889" s="37" t="s">
        <v>130</v>
      </c>
      <c r="E889" s="37" t="s">
        <v>115</v>
      </c>
      <c r="F889" s="38" t="s">
        <v>114</v>
      </c>
    </row>
    <row r="890" spans="1:6">
      <c r="A890" s="35">
        <v>63401</v>
      </c>
      <c r="B890" s="37" t="s">
        <v>1382</v>
      </c>
      <c r="C890" s="37" t="s">
        <v>1377</v>
      </c>
      <c r="D890" s="37" t="s">
        <v>130</v>
      </c>
      <c r="E890" s="37" t="s">
        <v>115</v>
      </c>
      <c r="F890" s="38" t="s">
        <v>139</v>
      </c>
    </row>
    <row r="891" spans="1:6">
      <c r="A891" s="35">
        <v>63470</v>
      </c>
      <c r="B891" s="37" t="s">
        <v>1383</v>
      </c>
      <c r="C891" s="37" t="s">
        <v>1377</v>
      </c>
      <c r="D891" s="37" t="s">
        <v>130</v>
      </c>
      <c r="E891" s="37" t="s">
        <v>115</v>
      </c>
      <c r="F891" s="38" t="s">
        <v>139</v>
      </c>
    </row>
    <row r="892" spans="1:6">
      <c r="A892" s="35">
        <v>63548</v>
      </c>
      <c r="B892" s="37" t="s">
        <v>1384</v>
      </c>
      <c r="C892" s="37" t="s">
        <v>1377</v>
      </c>
      <c r="D892" s="37" t="s">
        <v>130</v>
      </c>
      <c r="E892" s="37" t="s">
        <v>115</v>
      </c>
      <c r="F892" s="38" t="s">
        <v>114</v>
      </c>
    </row>
    <row r="893" spans="1:6">
      <c r="A893" s="35">
        <v>63594</v>
      </c>
      <c r="B893" s="37" t="s">
        <v>1385</v>
      </c>
      <c r="C893" s="37" t="s">
        <v>1377</v>
      </c>
      <c r="D893" s="37" t="s">
        <v>130</v>
      </c>
      <c r="E893" s="37" t="s">
        <v>115</v>
      </c>
      <c r="F893" s="38" t="s">
        <v>139</v>
      </c>
    </row>
    <row r="894" spans="1:6">
      <c r="A894" s="35">
        <v>63690</v>
      </c>
      <c r="B894" s="37" t="s">
        <v>1386</v>
      </c>
      <c r="C894" s="37" t="s">
        <v>1377</v>
      </c>
      <c r="D894" s="37" t="s">
        <v>130</v>
      </c>
      <c r="E894" s="37" t="s">
        <v>115</v>
      </c>
      <c r="F894" s="38" t="s">
        <v>139</v>
      </c>
    </row>
    <row r="895" spans="1:6">
      <c r="A895" s="35">
        <v>66075</v>
      </c>
      <c r="B895" s="36" t="s">
        <v>954</v>
      </c>
      <c r="C895" s="37" t="s">
        <v>133</v>
      </c>
      <c r="D895" s="37" t="s">
        <v>130</v>
      </c>
      <c r="E895" s="37" t="s">
        <v>115</v>
      </c>
      <c r="F895" s="38" t="s">
        <v>139</v>
      </c>
    </row>
    <row r="896" spans="1:6">
      <c r="A896" s="35">
        <v>66045</v>
      </c>
      <c r="B896" s="37" t="s">
        <v>1387</v>
      </c>
      <c r="C896" s="37" t="s">
        <v>133</v>
      </c>
      <c r="D896" s="37" t="s">
        <v>130</v>
      </c>
      <c r="E896" s="37" t="s">
        <v>115</v>
      </c>
      <c r="F896" s="38" t="s">
        <v>139</v>
      </c>
    </row>
    <row r="897" spans="1:6">
      <c r="A897" s="35">
        <v>66088</v>
      </c>
      <c r="B897" s="37" t="s">
        <v>1388</v>
      </c>
      <c r="C897" s="37" t="s">
        <v>133</v>
      </c>
      <c r="D897" s="37" t="s">
        <v>130</v>
      </c>
      <c r="E897" s="37" t="s">
        <v>115</v>
      </c>
      <c r="F897" s="38" t="s">
        <v>139</v>
      </c>
    </row>
    <row r="898" spans="1:6">
      <c r="A898" s="35">
        <v>66170</v>
      </c>
      <c r="B898" s="37" t="s">
        <v>518</v>
      </c>
      <c r="C898" s="37" t="s">
        <v>133</v>
      </c>
      <c r="D898" s="37" t="s">
        <v>130</v>
      </c>
      <c r="E898" s="37" t="s">
        <v>115</v>
      </c>
      <c r="F898" s="38" t="s">
        <v>150</v>
      </c>
    </row>
    <row r="899" spans="1:6">
      <c r="A899" s="35">
        <v>66318</v>
      </c>
      <c r="B899" s="37" t="s">
        <v>134</v>
      </c>
      <c r="C899" s="37" t="s">
        <v>133</v>
      </c>
      <c r="D899" s="37" t="s">
        <v>130</v>
      </c>
      <c r="E899" s="37" t="s">
        <v>115</v>
      </c>
      <c r="F899" s="38" t="s">
        <v>139</v>
      </c>
    </row>
    <row r="900" spans="1:6">
      <c r="A900" s="35">
        <v>66383</v>
      </c>
      <c r="B900" s="37" t="s">
        <v>1389</v>
      </c>
      <c r="C900" s="37" t="s">
        <v>133</v>
      </c>
      <c r="D900" s="37" t="s">
        <v>130</v>
      </c>
      <c r="E900" s="37" t="s">
        <v>115</v>
      </c>
      <c r="F900" s="38" t="s">
        <v>139</v>
      </c>
    </row>
    <row r="901" spans="1:6">
      <c r="A901" s="35">
        <v>66400</v>
      </c>
      <c r="B901" s="37" t="s">
        <v>1390</v>
      </c>
      <c r="C901" s="37" t="s">
        <v>133</v>
      </c>
      <c r="D901" s="37" t="s">
        <v>130</v>
      </c>
      <c r="E901" s="37" t="s">
        <v>115</v>
      </c>
      <c r="F901" s="38" t="s">
        <v>150</v>
      </c>
    </row>
    <row r="902" spans="1:6">
      <c r="A902" s="35">
        <v>66440</v>
      </c>
      <c r="B902" s="37" t="s">
        <v>1391</v>
      </c>
      <c r="C902" s="37" t="s">
        <v>133</v>
      </c>
      <c r="D902" s="37" t="s">
        <v>130</v>
      </c>
      <c r="E902" s="37" t="s">
        <v>115</v>
      </c>
      <c r="F902" s="38" t="s">
        <v>139</v>
      </c>
    </row>
    <row r="903" spans="1:6">
      <c r="A903" s="35">
        <v>66456</v>
      </c>
      <c r="B903" s="37" t="s">
        <v>1392</v>
      </c>
      <c r="C903" s="37" t="s">
        <v>133</v>
      </c>
      <c r="D903" s="37" t="s">
        <v>130</v>
      </c>
      <c r="E903" s="37" t="s">
        <v>115</v>
      </c>
      <c r="F903" s="38" t="s">
        <v>139</v>
      </c>
    </row>
    <row r="904" spans="1:6">
      <c r="A904" s="35">
        <v>66001</v>
      </c>
      <c r="B904" s="37" t="s">
        <v>130</v>
      </c>
      <c r="C904" s="37" t="s">
        <v>133</v>
      </c>
      <c r="D904" s="37" t="s">
        <v>130</v>
      </c>
      <c r="E904" s="37" t="s">
        <v>115</v>
      </c>
      <c r="F904" s="38" t="s">
        <v>150</v>
      </c>
    </row>
    <row r="905" spans="1:6">
      <c r="A905" s="35">
        <v>66572</v>
      </c>
      <c r="B905" s="37" t="s">
        <v>1393</v>
      </c>
      <c r="C905" s="37" t="s">
        <v>133</v>
      </c>
      <c r="D905" s="37" t="s">
        <v>130</v>
      </c>
      <c r="E905" s="37" t="s">
        <v>115</v>
      </c>
      <c r="F905" s="38" t="s">
        <v>139</v>
      </c>
    </row>
    <row r="906" spans="1:6">
      <c r="A906" s="35">
        <v>66594</v>
      </c>
      <c r="B906" s="37" t="s">
        <v>1394</v>
      </c>
      <c r="C906" s="37" t="s">
        <v>133</v>
      </c>
      <c r="D906" s="37" t="s">
        <v>130</v>
      </c>
      <c r="E906" s="37" t="s">
        <v>115</v>
      </c>
      <c r="F906" s="38" t="s">
        <v>139</v>
      </c>
    </row>
    <row r="907" spans="1:6">
      <c r="A907" s="35">
        <v>66682</v>
      </c>
      <c r="B907" s="37" t="s">
        <v>1395</v>
      </c>
      <c r="C907" s="37" t="s">
        <v>133</v>
      </c>
      <c r="D907" s="37" t="s">
        <v>130</v>
      </c>
      <c r="E907" s="37" t="s">
        <v>115</v>
      </c>
      <c r="F907" s="38" t="s">
        <v>150</v>
      </c>
    </row>
    <row r="908" spans="1:6">
      <c r="A908" s="35">
        <v>66687</v>
      </c>
      <c r="B908" s="37" t="s">
        <v>1396</v>
      </c>
      <c r="C908" s="37" t="s">
        <v>133</v>
      </c>
      <c r="D908" s="37" t="s">
        <v>130</v>
      </c>
      <c r="E908" s="37" t="s">
        <v>115</v>
      </c>
      <c r="F908" s="38" t="s">
        <v>139</v>
      </c>
    </row>
    <row r="909" spans="1:6">
      <c r="A909" s="35">
        <v>88564</v>
      </c>
      <c r="B909" s="36" t="s">
        <v>1279</v>
      </c>
      <c r="C909" s="37" t="s">
        <v>1397</v>
      </c>
      <c r="D909" s="37" t="s">
        <v>722</v>
      </c>
      <c r="E909" s="37" t="s">
        <v>583</v>
      </c>
      <c r="F909" s="38" t="s">
        <v>584</v>
      </c>
    </row>
    <row r="910" spans="1:6">
      <c r="A910" s="35">
        <v>88001</v>
      </c>
      <c r="B910" s="36" t="s">
        <v>1398</v>
      </c>
      <c r="C910" s="37" t="s">
        <v>1397</v>
      </c>
      <c r="D910" s="37" t="s">
        <v>722</v>
      </c>
      <c r="E910" s="37" t="s">
        <v>583</v>
      </c>
      <c r="F910" s="38" t="s">
        <v>584</v>
      </c>
    </row>
    <row r="911" spans="1:6">
      <c r="A911" s="35">
        <v>68020</v>
      </c>
      <c r="B911" s="36" t="s">
        <v>924</v>
      </c>
      <c r="C911" s="37" t="s">
        <v>258</v>
      </c>
      <c r="D911" s="37" t="s">
        <v>399</v>
      </c>
      <c r="E911" s="37" t="s">
        <v>115</v>
      </c>
      <c r="F911" s="38" t="s">
        <v>114</v>
      </c>
    </row>
    <row r="912" spans="1:6">
      <c r="A912" s="35">
        <v>68077</v>
      </c>
      <c r="B912" s="36" t="s">
        <v>597</v>
      </c>
      <c r="C912" s="37" t="s">
        <v>258</v>
      </c>
      <c r="D912" s="37" t="s">
        <v>399</v>
      </c>
      <c r="E912" s="37" t="s">
        <v>115</v>
      </c>
      <c r="F912" s="38" t="s">
        <v>139</v>
      </c>
    </row>
    <row r="913" spans="1:6">
      <c r="A913" s="35">
        <v>68092</v>
      </c>
      <c r="B913" s="36" t="s">
        <v>598</v>
      </c>
      <c r="C913" s="37" t="s">
        <v>258</v>
      </c>
      <c r="D913" s="37" t="s">
        <v>256</v>
      </c>
      <c r="E913" s="37" t="s">
        <v>115</v>
      </c>
      <c r="F913" s="38" t="s">
        <v>128</v>
      </c>
    </row>
    <row r="914" spans="1:6">
      <c r="A914" s="35">
        <v>68101</v>
      </c>
      <c r="B914" s="36" t="s">
        <v>343</v>
      </c>
      <c r="C914" s="37" t="s">
        <v>258</v>
      </c>
      <c r="D914" s="37" t="s">
        <v>399</v>
      </c>
      <c r="E914" s="37" t="s">
        <v>115</v>
      </c>
      <c r="F914" s="38" t="s">
        <v>114</v>
      </c>
    </row>
    <row r="915" spans="1:6">
      <c r="A915" s="35">
        <v>68121</v>
      </c>
      <c r="B915" s="36" t="s">
        <v>1069</v>
      </c>
      <c r="C915" s="37" t="s">
        <v>258</v>
      </c>
      <c r="D915" s="37" t="s">
        <v>256</v>
      </c>
      <c r="E915" s="37" t="s">
        <v>115</v>
      </c>
      <c r="F915" s="38" t="s">
        <v>114</v>
      </c>
    </row>
    <row r="916" spans="1:6">
      <c r="A916" s="35">
        <v>68176</v>
      </c>
      <c r="B916" s="36" t="s">
        <v>1044</v>
      </c>
      <c r="C916" s="37" t="s">
        <v>258</v>
      </c>
      <c r="D916" s="37" t="s">
        <v>256</v>
      </c>
      <c r="E916" s="37" t="s">
        <v>115</v>
      </c>
      <c r="F916" s="38" t="s">
        <v>128</v>
      </c>
    </row>
    <row r="917" spans="1:6">
      <c r="A917" s="35">
        <v>68207</v>
      </c>
      <c r="B917" s="36" t="s">
        <v>601</v>
      </c>
      <c r="C917" s="37" t="s">
        <v>258</v>
      </c>
      <c r="D917" s="37" t="s">
        <v>256</v>
      </c>
      <c r="E917" s="37" t="s">
        <v>115</v>
      </c>
      <c r="F917" s="38" t="s">
        <v>128</v>
      </c>
    </row>
    <row r="918" spans="1:6">
      <c r="A918" s="35">
        <v>68250</v>
      </c>
      <c r="B918" s="36" t="s">
        <v>744</v>
      </c>
      <c r="C918" s="37" t="s">
        <v>258</v>
      </c>
      <c r="D918" s="37" t="s">
        <v>256</v>
      </c>
      <c r="E918" s="37" t="s">
        <v>115</v>
      </c>
      <c r="F918" s="38" t="s">
        <v>128</v>
      </c>
    </row>
    <row r="919" spans="1:6">
      <c r="A919" s="35">
        <v>68320</v>
      </c>
      <c r="B919" s="36" t="s">
        <v>604</v>
      </c>
      <c r="C919" s="37" t="s">
        <v>258</v>
      </c>
      <c r="D919" s="37" t="s">
        <v>256</v>
      </c>
      <c r="E919" s="37" t="s">
        <v>115</v>
      </c>
      <c r="F919" s="38" t="s">
        <v>128</v>
      </c>
    </row>
    <row r="920" spans="1:6">
      <c r="A920" s="35">
        <v>68397</v>
      </c>
      <c r="B920" s="36" t="s">
        <v>988</v>
      </c>
      <c r="C920" s="37" t="s">
        <v>258</v>
      </c>
      <c r="D920" s="37" t="s">
        <v>256</v>
      </c>
      <c r="E920" s="37" t="s">
        <v>115</v>
      </c>
      <c r="F920" s="38" t="s">
        <v>128</v>
      </c>
    </row>
    <row r="921" spans="1:6">
      <c r="A921" s="35">
        <v>68615</v>
      </c>
      <c r="B921" s="36" t="s">
        <v>608</v>
      </c>
      <c r="C921" s="37" t="s">
        <v>258</v>
      </c>
      <c r="D921" s="37" t="s">
        <v>256</v>
      </c>
      <c r="E921" s="37" t="s">
        <v>115</v>
      </c>
      <c r="F921" s="38" t="s">
        <v>139</v>
      </c>
    </row>
    <row r="922" spans="1:6">
      <c r="A922" s="35">
        <v>68669</v>
      </c>
      <c r="B922" s="36" t="s">
        <v>1398</v>
      </c>
      <c r="C922" s="37" t="s">
        <v>258</v>
      </c>
      <c r="D922" s="37" t="s">
        <v>256</v>
      </c>
      <c r="E922" s="37" t="s">
        <v>115</v>
      </c>
      <c r="F922" s="38" t="s">
        <v>114</v>
      </c>
    </row>
    <row r="923" spans="1:6">
      <c r="A923" s="35">
        <v>68686</v>
      </c>
      <c r="B923" s="36" t="s">
        <v>1367</v>
      </c>
      <c r="C923" s="37" t="s">
        <v>258</v>
      </c>
      <c r="D923" s="37" t="s">
        <v>399</v>
      </c>
      <c r="E923" s="37" t="s">
        <v>115</v>
      </c>
      <c r="F923" s="38" t="s">
        <v>128</v>
      </c>
    </row>
    <row r="924" spans="1:6">
      <c r="A924" s="35">
        <v>68705</v>
      </c>
      <c r="B924" s="36" t="s">
        <v>614</v>
      </c>
      <c r="C924" s="37" t="s">
        <v>258</v>
      </c>
      <c r="D924" s="37" t="s">
        <v>256</v>
      </c>
      <c r="E924" s="37" t="s">
        <v>115</v>
      </c>
      <c r="F924" s="38" t="s">
        <v>139</v>
      </c>
    </row>
    <row r="925" spans="1:6">
      <c r="A925" s="35">
        <v>68773</v>
      </c>
      <c r="B925" s="36" t="s">
        <v>154</v>
      </c>
      <c r="C925" s="37" t="s">
        <v>258</v>
      </c>
      <c r="D925" s="37" t="s">
        <v>399</v>
      </c>
      <c r="E925" s="37" t="s">
        <v>115</v>
      </c>
      <c r="F925" s="38" t="s">
        <v>114</v>
      </c>
    </row>
    <row r="926" spans="1:6">
      <c r="A926" s="35">
        <v>68872</v>
      </c>
      <c r="B926" s="36" t="s">
        <v>749</v>
      </c>
      <c r="C926" s="37" t="s">
        <v>258</v>
      </c>
      <c r="D926" s="37" t="s">
        <v>256</v>
      </c>
      <c r="E926" s="37" t="s">
        <v>115</v>
      </c>
      <c r="F926" s="38" t="s">
        <v>114</v>
      </c>
    </row>
    <row r="927" spans="1:6">
      <c r="A927" s="35">
        <v>68013</v>
      </c>
      <c r="B927" s="37" t="s">
        <v>1399</v>
      </c>
      <c r="C927" s="37" t="s">
        <v>258</v>
      </c>
      <c r="D927" s="37" t="s">
        <v>256</v>
      </c>
      <c r="E927" s="37" t="s">
        <v>115</v>
      </c>
      <c r="F927" s="38" t="s">
        <v>128</v>
      </c>
    </row>
    <row r="928" spans="1:6">
      <c r="A928" s="35">
        <v>68051</v>
      </c>
      <c r="B928" s="37" t="s">
        <v>1400</v>
      </c>
      <c r="C928" s="37" t="s">
        <v>258</v>
      </c>
      <c r="D928" s="37" t="s">
        <v>256</v>
      </c>
      <c r="E928" s="37" t="s">
        <v>115</v>
      </c>
      <c r="F928" s="38" t="s">
        <v>139</v>
      </c>
    </row>
    <row r="929" spans="1:6">
      <c r="A929" s="35">
        <v>68079</v>
      </c>
      <c r="B929" s="37" t="s">
        <v>1401</v>
      </c>
      <c r="C929" s="37" t="s">
        <v>258</v>
      </c>
      <c r="D929" s="37" t="s">
        <v>256</v>
      </c>
      <c r="E929" s="37" t="s">
        <v>115</v>
      </c>
      <c r="F929" s="38" t="s">
        <v>114</v>
      </c>
    </row>
    <row r="930" spans="1:6">
      <c r="A930" s="35">
        <v>68081</v>
      </c>
      <c r="B930" s="37" t="s">
        <v>1402</v>
      </c>
      <c r="C930" s="37" t="s">
        <v>258</v>
      </c>
      <c r="D930" s="37" t="s">
        <v>256</v>
      </c>
      <c r="E930" s="37" t="s">
        <v>115</v>
      </c>
      <c r="F930" s="38" t="s">
        <v>114</v>
      </c>
    </row>
    <row r="931" spans="1:6">
      <c r="A931" s="35">
        <v>68001</v>
      </c>
      <c r="B931" s="37" t="s">
        <v>256</v>
      </c>
      <c r="C931" s="37" t="s">
        <v>258</v>
      </c>
      <c r="D931" s="37" t="s">
        <v>256</v>
      </c>
      <c r="E931" s="37" t="s">
        <v>115</v>
      </c>
      <c r="F931" s="38" t="s">
        <v>150</v>
      </c>
    </row>
    <row r="932" spans="1:6">
      <c r="A932" s="35">
        <v>68132</v>
      </c>
      <c r="B932" s="37" t="s">
        <v>1403</v>
      </c>
      <c r="C932" s="37" t="s">
        <v>258</v>
      </c>
      <c r="D932" s="37" t="s">
        <v>256</v>
      </c>
      <c r="E932" s="37" t="s">
        <v>115</v>
      </c>
      <c r="F932" s="38" t="s">
        <v>114</v>
      </c>
    </row>
    <row r="933" spans="1:6">
      <c r="A933" s="35">
        <v>68147</v>
      </c>
      <c r="B933" s="37" t="s">
        <v>1404</v>
      </c>
      <c r="C933" s="37" t="s">
        <v>258</v>
      </c>
      <c r="D933" s="37" t="s">
        <v>256</v>
      </c>
      <c r="E933" s="37" t="s">
        <v>115</v>
      </c>
      <c r="F933" s="38" t="s">
        <v>128</v>
      </c>
    </row>
    <row r="934" spans="1:6">
      <c r="A934" s="35">
        <v>68152</v>
      </c>
      <c r="B934" s="37" t="s">
        <v>1405</v>
      </c>
      <c r="C934" s="37" t="s">
        <v>258</v>
      </c>
      <c r="D934" s="37" t="s">
        <v>256</v>
      </c>
      <c r="E934" s="37" t="s">
        <v>115</v>
      </c>
      <c r="F934" s="38" t="s">
        <v>128</v>
      </c>
    </row>
    <row r="935" spans="1:6">
      <c r="A935" s="35">
        <v>68160</v>
      </c>
      <c r="B935" s="37" t="s">
        <v>1406</v>
      </c>
      <c r="C935" s="37" t="s">
        <v>258</v>
      </c>
      <c r="D935" s="37" t="s">
        <v>256</v>
      </c>
      <c r="E935" s="37" t="s">
        <v>115</v>
      </c>
      <c r="F935" s="38" t="s">
        <v>114</v>
      </c>
    </row>
    <row r="936" spans="1:6">
      <c r="A936" s="35">
        <v>68162</v>
      </c>
      <c r="B936" s="37" t="s">
        <v>1407</v>
      </c>
      <c r="C936" s="37" t="s">
        <v>258</v>
      </c>
      <c r="D936" s="37" t="s">
        <v>256</v>
      </c>
      <c r="E936" s="37" t="s">
        <v>115</v>
      </c>
      <c r="F936" s="38" t="s">
        <v>128</v>
      </c>
    </row>
    <row r="937" spans="1:6">
      <c r="A937" s="35">
        <v>68167</v>
      </c>
      <c r="B937" s="37" t="s">
        <v>1408</v>
      </c>
      <c r="C937" s="37" t="s">
        <v>258</v>
      </c>
      <c r="D937" s="37" t="s">
        <v>256</v>
      </c>
      <c r="E937" s="37" t="s">
        <v>115</v>
      </c>
      <c r="F937" s="38" t="s">
        <v>128</v>
      </c>
    </row>
    <row r="938" spans="1:6">
      <c r="A938" s="35">
        <v>68169</v>
      </c>
      <c r="B938" s="37" t="s">
        <v>1409</v>
      </c>
      <c r="C938" s="37" t="s">
        <v>258</v>
      </c>
      <c r="D938" s="37" t="s">
        <v>256</v>
      </c>
      <c r="E938" s="37" t="s">
        <v>115</v>
      </c>
      <c r="F938" s="38" t="s">
        <v>139</v>
      </c>
    </row>
    <row r="939" spans="1:6">
      <c r="A939" s="35">
        <v>68179</v>
      </c>
      <c r="B939" s="37" t="s">
        <v>1410</v>
      </c>
      <c r="C939" s="37" t="s">
        <v>258</v>
      </c>
      <c r="D939" s="37" t="s">
        <v>399</v>
      </c>
      <c r="E939" s="37" t="s">
        <v>115</v>
      </c>
      <c r="F939" s="38" t="s">
        <v>128</v>
      </c>
    </row>
    <row r="940" spans="1:6">
      <c r="A940" s="35">
        <v>68190</v>
      </c>
      <c r="B940" s="37" t="s">
        <v>1411</v>
      </c>
      <c r="C940" s="37" t="s">
        <v>258</v>
      </c>
      <c r="D940" s="37" t="s">
        <v>256</v>
      </c>
      <c r="E940" s="37" t="s">
        <v>115</v>
      </c>
      <c r="F940" s="38" t="s">
        <v>128</v>
      </c>
    </row>
    <row r="941" spans="1:6">
      <c r="A941" s="35">
        <v>68209</v>
      </c>
      <c r="B941" s="37" t="s">
        <v>1412</v>
      </c>
      <c r="C941" s="37" t="s">
        <v>258</v>
      </c>
      <c r="D941" s="37" t="s">
        <v>256</v>
      </c>
      <c r="E941" s="37" t="s">
        <v>115</v>
      </c>
      <c r="F941" s="38" t="s">
        <v>114</v>
      </c>
    </row>
    <row r="942" spans="1:6">
      <c r="A942" s="35">
        <v>68211</v>
      </c>
      <c r="B942" s="37" t="s">
        <v>1413</v>
      </c>
      <c r="C942" s="37" t="s">
        <v>258</v>
      </c>
      <c r="D942" s="37" t="s">
        <v>256</v>
      </c>
      <c r="E942" s="37" t="s">
        <v>115</v>
      </c>
      <c r="F942" s="38" t="s">
        <v>128</v>
      </c>
    </row>
    <row r="943" spans="1:6">
      <c r="A943" s="35">
        <v>68217</v>
      </c>
      <c r="B943" s="37" t="s">
        <v>1414</v>
      </c>
      <c r="C943" s="37" t="s">
        <v>258</v>
      </c>
      <c r="D943" s="37" t="s">
        <v>256</v>
      </c>
      <c r="E943" s="37" t="s">
        <v>115</v>
      </c>
      <c r="F943" s="38" t="s">
        <v>128</v>
      </c>
    </row>
    <row r="944" spans="1:6">
      <c r="A944" s="35">
        <v>68229</v>
      </c>
      <c r="B944" s="37" t="s">
        <v>1415</v>
      </c>
      <c r="C944" s="37" t="s">
        <v>258</v>
      </c>
      <c r="D944" s="37" t="s">
        <v>256</v>
      </c>
      <c r="E944" s="37" t="s">
        <v>115</v>
      </c>
      <c r="F944" s="38" t="s">
        <v>139</v>
      </c>
    </row>
    <row r="945" spans="1:6">
      <c r="A945" s="35">
        <v>68235</v>
      </c>
      <c r="B945" s="37" t="s">
        <v>1416</v>
      </c>
      <c r="C945" s="37" t="s">
        <v>258</v>
      </c>
      <c r="D945" s="37" t="s">
        <v>256</v>
      </c>
      <c r="E945" s="37" t="s">
        <v>115</v>
      </c>
      <c r="F945" s="38" t="s">
        <v>128</v>
      </c>
    </row>
    <row r="946" spans="1:6">
      <c r="A946" s="35">
        <v>68245</v>
      </c>
      <c r="B946" s="37" t="s">
        <v>1417</v>
      </c>
      <c r="C946" s="37" t="s">
        <v>258</v>
      </c>
      <c r="D946" s="37" t="s">
        <v>256</v>
      </c>
      <c r="E946" s="37" t="s">
        <v>115</v>
      </c>
      <c r="F946" s="38" t="s">
        <v>128</v>
      </c>
    </row>
    <row r="947" spans="1:6">
      <c r="A947" s="35">
        <v>68255</v>
      </c>
      <c r="B947" s="37" t="s">
        <v>1418</v>
      </c>
      <c r="C947" s="37" t="s">
        <v>258</v>
      </c>
      <c r="D947" s="37" t="s">
        <v>256</v>
      </c>
      <c r="E947" s="37" t="s">
        <v>115</v>
      </c>
      <c r="F947" s="38" t="s">
        <v>139</v>
      </c>
    </row>
    <row r="948" spans="1:6">
      <c r="A948" s="35">
        <v>68264</v>
      </c>
      <c r="B948" s="37" t="s">
        <v>1419</v>
      </c>
      <c r="C948" s="37" t="s">
        <v>258</v>
      </c>
      <c r="D948" s="37" t="s">
        <v>256</v>
      </c>
      <c r="E948" s="37" t="s">
        <v>115</v>
      </c>
      <c r="F948" s="38" t="s">
        <v>128</v>
      </c>
    </row>
    <row r="949" spans="1:6">
      <c r="A949" s="35">
        <v>68266</v>
      </c>
      <c r="B949" s="37" t="s">
        <v>1420</v>
      </c>
      <c r="C949" s="37" t="s">
        <v>258</v>
      </c>
      <c r="D949" s="37" t="s">
        <v>256</v>
      </c>
      <c r="E949" s="37" t="s">
        <v>115</v>
      </c>
      <c r="F949" s="38" t="s">
        <v>128</v>
      </c>
    </row>
    <row r="950" spans="1:6">
      <c r="A950" s="35">
        <v>68271</v>
      </c>
      <c r="B950" s="37" t="s">
        <v>1421</v>
      </c>
      <c r="C950" s="37" t="s">
        <v>258</v>
      </c>
      <c r="D950" s="37" t="s">
        <v>399</v>
      </c>
      <c r="E950" s="37" t="s">
        <v>115</v>
      </c>
      <c r="F950" s="38" t="s">
        <v>128</v>
      </c>
    </row>
    <row r="951" spans="1:6">
      <c r="A951" s="35">
        <v>68276</v>
      </c>
      <c r="B951" s="37" t="s">
        <v>529</v>
      </c>
      <c r="C951" s="37" t="s">
        <v>258</v>
      </c>
      <c r="D951" s="37" t="s">
        <v>256</v>
      </c>
      <c r="E951" s="37" t="s">
        <v>115</v>
      </c>
      <c r="F951" s="38" t="s">
        <v>150</v>
      </c>
    </row>
    <row r="952" spans="1:6">
      <c r="A952" s="35">
        <v>68296</v>
      </c>
      <c r="B952" s="37" t="s">
        <v>1422</v>
      </c>
      <c r="C952" s="37" t="s">
        <v>258</v>
      </c>
      <c r="D952" s="37" t="s">
        <v>256</v>
      </c>
      <c r="E952" s="37" t="s">
        <v>115</v>
      </c>
      <c r="F952" s="38" t="s">
        <v>114</v>
      </c>
    </row>
    <row r="953" spans="1:6">
      <c r="A953" s="35">
        <v>68298</v>
      </c>
      <c r="B953" s="37" t="s">
        <v>1423</v>
      </c>
      <c r="C953" s="37" t="s">
        <v>258</v>
      </c>
      <c r="D953" s="37" t="s">
        <v>256</v>
      </c>
      <c r="E953" s="37" t="s">
        <v>115</v>
      </c>
      <c r="F953" s="38" t="s">
        <v>128</v>
      </c>
    </row>
    <row r="954" spans="1:6">
      <c r="A954" s="35">
        <v>68307</v>
      </c>
      <c r="B954" s="37" t="s">
        <v>1424</v>
      </c>
      <c r="C954" s="37" t="s">
        <v>258</v>
      </c>
      <c r="D954" s="37" t="s">
        <v>256</v>
      </c>
      <c r="E954" s="37" t="s">
        <v>115</v>
      </c>
      <c r="F954" s="38" t="s">
        <v>150</v>
      </c>
    </row>
    <row r="955" spans="1:6">
      <c r="A955" s="35">
        <v>68318</v>
      </c>
      <c r="B955" s="37" t="s">
        <v>1425</v>
      </c>
      <c r="C955" s="37" t="s">
        <v>258</v>
      </c>
      <c r="D955" s="37" t="s">
        <v>256</v>
      </c>
      <c r="E955" s="37" t="s">
        <v>115</v>
      </c>
      <c r="F955" s="38" t="s">
        <v>114</v>
      </c>
    </row>
    <row r="956" spans="1:6">
      <c r="A956" s="35">
        <v>68322</v>
      </c>
      <c r="B956" s="37" t="s">
        <v>1426</v>
      </c>
      <c r="C956" s="37" t="s">
        <v>258</v>
      </c>
      <c r="D956" s="37" t="s">
        <v>256</v>
      </c>
      <c r="E956" s="37" t="s">
        <v>115</v>
      </c>
      <c r="F956" s="38" t="s">
        <v>128</v>
      </c>
    </row>
    <row r="957" spans="1:6">
      <c r="A957" s="35">
        <v>68324</v>
      </c>
      <c r="B957" s="37" t="s">
        <v>1427</v>
      </c>
      <c r="C957" s="37" t="s">
        <v>258</v>
      </c>
      <c r="D957" s="37" t="s">
        <v>256</v>
      </c>
      <c r="E957" s="37" t="s">
        <v>115</v>
      </c>
      <c r="F957" s="38" t="s">
        <v>128</v>
      </c>
    </row>
    <row r="958" spans="1:6">
      <c r="A958" s="35">
        <v>68327</v>
      </c>
      <c r="B958" s="37" t="s">
        <v>1428</v>
      </c>
      <c r="C958" s="37" t="s">
        <v>258</v>
      </c>
      <c r="D958" s="37" t="s">
        <v>256</v>
      </c>
      <c r="E958" s="37" t="s">
        <v>115</v>
      </c>
      <c r="F958" s="38" t="s">
        <v>114</v>
      </c>
    </row>
    <row r="959" spans="1:6">
      <c r="A959" s="35">
        <v>68344</v>
      </c>
      <c r="B959" s="37" t="s">
        <v>1429</v>
      </c>
      <c r="C959" s="37" t="s">
        <v>258</v>
      </c>
      <c r="D959" s="37" t="s">
        <v>256</v>
      </c>
      <c r="E959" s="37" t="s">
        <v>115</v>
      </c>
      <c r="F959" s="38" t="s">
        <v>114</v>
      </c>
    </row>
    <row r="960" spans="1:6">
      <c r="A960" s="35">
        <v>68368</v>
      </c>
      <c r="B960" s="37" t="s">
        <v>1430</v>
      </c>
      <c r="C960" s="37" t="s">
        <v>258</v>
      </c>
      <c r="D960" s="37" t="s">
        <v>399</v>
      </c>
      <c r="E960" s="37" t="s">
        <v>115</v>
      </c>
      <c r="F960" s="38" t="s">
        <v>128</v>
      </c>
    </row>
    <row r="961" spans="1:6">
      <c r="A961" s="35">
        <v>68370</v>
      </c>
      <c r="B961" s="37" t="s">
        <v>1431</v>
      </c>
      <c r="C961" s="37" t="s">
        <v>258</v>
      </c>
      <c r="D961" s="37" t="s">
        <v>256</v>
      </c>
      <c r="E961" s="37" t="s">
        <v>115</v>
      </c>
      <c r="F961" s="38" t="s">
        <v>114</v>
      </c>
    </row>
    <row r="962" spans="1:6">
      <c r="A962" s="35">
        <v>68377</v>
      </c>
      <c r="B962" s="37" t="s">
        <v>1432</v>
      </c>
      <c r="C962" s="37" t="s">
        <v>258</v>
      </c>
      <c r="D962" s="37" t="s">
        <v>399</v>
      </c>
      <c r="E962" s="37" t="s">
        <v>115</v>
      </c>
      <c r="F962" s="38" t="s">
        <v>128</v>
      </c>
    </row>
    <row r="963" spans="1:6">
      <c r="A963" s="35">
        <v>68385</v>
      </c>
      <c r="B963" s="37" t="s">
        <v>1433</v>
      </c>
      <c r="C963" s="37" t="s">
        <v>258</v>
      </c>
      <c r="D963" s="37" t="s">
        <v>399</v>
      </c>
      <c r="E963" s="37" t="s">
        <v>115</v>
      </c>
      <c r="F963" s="38" t="s">
        <v>114</v>
      </c>
    </row>
    <row r="964" spans="1:6">
      <c r="A964" s="35">
        <v>68406</v>
      </c>
      <c r="B964" s="37" t="s">
        <v>1434</v>
      </c>
      <c r="C964" s="37" t="s">
        <v>258</v>
      </c>
      <c r="D964" s="37" t="s">
        <v>256</v>
      </c>
      <c r="E964" s="37" t="s">
        <v>115</v>
      </c>
      <c r="F964" s="38" t="s">
        <v>139</v>
      </c>
    </row>
    <row r="965" spans="1:6">
      <c r="A965" s="35">
        <v>68418</v>
      </c>
      <c r="B965" s="37" t="s">
        <v>1435</v>
      </c>
      <c r="C965" s="37" t="s">
        <v>258</v>
      </c>
      <c r="D965" s="37" t="s">
        <v>256</v>
      </c>
      <c r="E965" s="37" t="s">
        <v>115</v>
      </c>
      <c r="F965" s="38" t="s">
        <v>139</v>
      </c>
    </row>
    <row r="966" spans="1:6">
      <c r="A966" s="35">
        <v>68425</v>
      </c>
      <c r="B966" s="37" t="s">
        <v>1436</v>
      </c>
      <c r="C966" s="37" t="s">
        <v>258</v>
      </c>
      <c r="D966" s="37" t="s">
        <v>256</v>
      </c>
      <c r="E966" s="37" t="s">
        <v>115</v>
      </c>
      <c r="F966" s="38" t="s">
        <v>128</v>
      </c>
    </row>
    <row r="967" spans="1:6">
      <c r="A967" s="35">
        <v>68432</v>
      </c>
      <c r="B967" s="37" t="s">
        <v>1437</v>
      </c>
      <c r="C967" s="37" t="s">
        <v>258</v>
      </c>
      <c r="D967" s="37" t="s">
        <v>256</v>
      </c>
      <c r="E967" s="37" t="s">
        <v>115</v>
      </c>
      <c r="F967" s="38" t="s">
        <v>128</v>
      </c>
    </row>
    <row r="968" spans="1:6">
      <c r="A968" s="35">
        <v>68444</v>
      </c>
      <c r="B968" s="37" t="s">
        <v>1438</v>
      </c>
      <c r="C968" s="37" t="s">
        <v>258</v>
      </c>
      <c r="D968" s="37" t="s">
        <v>256</v>
      </c>
      <c r="E968" s="37" t="s">
        <v>115</v>
      </c>
      <c r="F968" s="38" t="s">
        <v>114</v>
      </c>
    </row>
    <row r="969" spans="1:6">
      <c r="A969" s="35">
        <v>68464</v>
      </c>
      <c r="B969" s="37" t="s">
        <v>1439</v>
      </c>
      <c r="C969" s="37" t="s">
        <v>258</v>
      </c>
      <c r="D969" s="37" t="s">
        <v>256</v>
      </c>
      <c r="E969" s="37" t="s">
        <v>115</v>
      </c>
      <c r="F969" s="38" t="s">
        <v>114</v>
      </c>
    </row>
    <row r="970" spans="1:6">
      <c r="A970" s="35">
        <v>68468</v>
      </c>
      <c r="B970" s="37" t="s">
        <v>1440</v>
      </c>
      <c r="C970" s="37" t="s">
        <v>258</v>
      </c>
      <c r="D970" s="37" t="s">
        <v>256</v>
      </c>
      <c r="E970" s="37" t="s">
        <v>115</v>
      </c>
      <c r="F970" s="38" t="s">
        <v>128</v>
      </c>
    </row>
    <row r="971" spans="1:6">
      <c r="A971" s="35">
        <v>68498</v>
      </c>
      <c r="B971" s="37" t="s">
        <v>1441</v>
      </c>
      <c r="C971" s="37" t="s">
        <v>258</v>
      </c>
      <c r="D971" s="37" t="s">
        <v>256</v>
      </c>
      <c r="E971" s="37" t="s">
        <v>115</v>
      </c>
      <c r="F971" s="38" t="s">
        <v>128</v>
      </c>
    </row>
    <row r="972" spans="1:6">
      <c r="A972" s="35">
        <v>68500</v>
      </c>
      <c r="B972" s="37" t="s">
        <v>1442</v>
      </c>
      <c r="C972" s="37" t="s">
        <v>258</v>
      </c>
      <c r="D972" s="37" t="s">
        <v>256</v>
      </c>
      <c r="E972" s="37" t="s">
        <v>115</v>
      </c>
      <c r="F972" s="38" t="s">
        <v>114</v>
      </c>
    </row>
    <row r="973" spans="1:6">
      <c r="A973" s="35">
        <v>68502</v>
      </c>
      <c r="B973" s="37" t="s">
        <v>1443</v>
      </c>
      <c r="C973" s="37" t="s">
        <v>258</v>
      </c>
      <c r="D973" s="37" t="s">
        <v>256</v>
      </c>
      <c r="E973" s="37" t="s">
        <v>115</v>
      </c>
      <c r="F973" s="38" t="s">
        <v>128</v>
      </c>
    </row>
    <row r="974" spans="1:6">
      <c r="A974" s="35">
        <v>68522</v>
      </c>
      <c r="B974" s="37" t="s">
        <v>1444</v>
      </c>
      <c r="C974" s="37" t="s">
        <v>258</v>
      </c>
      <c r="D974" s="37" t="s">
        <v>256</v>
      </c>
      <c r="E974" s="37" t="s">
        <v>115</v>
      </c>
      <c r="F974" s="38" t="s">
        <v>114</v>
      </c>
    </row>
    <row r="975" spans="1:6">
      <c r="A975" s="35">
        <v>68524</v>
      </c>
      <c r="B975" s="37" t="s">
        <v>1445</v>
      </c>
      <c r="C975" s="37" t="s">
        <v>258</v>
      </c>
      <c r="D975" s="37" t="s">
        <v>256</v>
      </c>
      <c r="E975" s="37" t="s">
        <v>115</v>
      </c>
      <c r="F975" s="38" t="s">
        <v>114</v>
      </c>
    </row>
    <row r="976" spans="1:6">
      <c r="A976" s="35">
        <v>68533</v>
      </c>
      <c r="B976" s="37" t="s">
        <v>1446</v>
      </c>
      <c r="C976" s="37" t="s">
        <v>258</v>
      </c>
      <c r="D976" s="37" t="s">
        <v>256</v>
      </c>
      <c r="E976" s="37" t="s">
        <v>115</v>
      </c>
      <c r="F976" s="38" t="s">
        <v>114</v>
      </c>
    </row>
    <row r="977" spans="1:6">
      <c r="A977" s="35">
        <v>68547</v>
      </c>
      <c r="B977" s="37" t="s">
        <v>1447</v>
      </c>
      <c r="C977" s="37" t="s">
        <v>258</v>
      </c>
      <c r="D977" s="37" t="s">
        <v>256</v>
      </c>
      <c r="E977" s="37" t="s">
        <v>115</v>
      </c>
      <c r="F977" s="38" t="s">
        <v>139</v>
      </c>
    </row>
    <row r="978" spans="1:6">
      <c r="A978" s="35">
        <v>68549</v>
      </c>
      <c r="B978" s="37" t="s">
        <v>1448</v>
      </c>
      <c r="C978" s="37" t="s">
        <v>258</v>
      </c>
      <c r="D978" s="37" t="s">
        <v>256</v>
      </c>
      <c r="E978" s="37" t="s">
        <v>115</v>
      </c>
      <c r="F978" s="38" t="s">
        <v>114</v>
      </c>
    </row>
    <row r="979" spans="1:6">
      <c r="A979" s="35">
        <v>68572</v>
      </c>
      <c r="B979" s="37" t="s">
        <v>1449</v>
      </c>
      <c r="C979" s="37" t="s">
        <v>258</v>
      </c>
      <c r="D979" s="37" t="s">
        <v>399</v>
      </c>
      <c r="E979" s="37" t="s">
        <v>115</v>
      </c>
      <c r="F979" s="38" t="s">
        <v>139</v>
      </c>
    </row>
    <row r="980" spans="1:6">
      <c r="A980" s="35">
        <v>68573</v>
      </c>
      <c r="B980" s="37" t="s">
        <v>1450</v>
      </c>
      <c r="C980" s="37" t="s">
        <v>258</v>
      </c>
      <c r="D980" s="37" t="s">
        <v>256</v>
      </c>
      <c r="E980" s="37" t="s">
        <v>115</v>
      </c>
      <c r="F980" s="38" t="s">
        <v>114</v>
      </c>
    </row>
    <row r="981" spans="1:6">
      <c r="A981" s="35">
        <v>68575</v>
      </c>
      <c r="B981" s="37" t="s">
        <v>1451</v>
      </c>
      <c r="C981" s="37" t="s">
        <v>258</v>
      </c>
      <c r="D981" s="37" t="s">
        <v>256</v>
      </c>
      <c r="E981" s="37" t="s">
        <v>115</v>
      </c>
      <c r="F981" s="38" t="s">
        <v>128</v>
      </c>
    </row>
    <row r="982" spans="1:6">
      <c r="A982" s="35">
        <v>68655</v>
      </c>
      <c r="B982" s="37" t="s">
        <v>1452</v>
      </c>
      <c r="C982" s="37" t="s">
        <v>258</v>
      </c>
      <c r="D982" s="37" t="s">
        <v>256</v>
      </c>
      <c r="E982" s="37" t="s">
        <v>115</v>
      </c>
      <c r="F982" s="38" t="s">
        <v>114</v>
      </c>
    </row>
    <row r="983" spans="1:6">
      <c r="A983" s="35">
        <v>68673</v>
      </c>
      <c r="B983" s="37" t="s">
        <v>1453</v>
      </c>
      <c r="C983" s="37" t="s">
        <v>258</v>
      </c>
      <c r="D983" s="37" t="s">
        <v>256</v>
      </c>
      <c r="E983" s="37" t="s">
        <v>115</v>
      </c>
      <c r="F983" s="38" t="s">
        <v>128</v>
      </c>
    </row>
    <row r="984" spans="1:6">
      <c r="A984" s="35">
        <v>68679</v>
      </c>
      <c r="B984" s="37" t="s">
        <v>447</v>
      </c>
      <c r="C984" s="37" t="s">
        <v>258</v>
      </c>
      <c r="D984" s="37" t="s">
        <v>256</v>
      </c>
      <c r="E984" s="37" t="s">
        <v>115</v>
      </c>
      <c r="F984" s="38" t="s">
        <v>139</v>
      </c>
    </row>
    <row r="985" spans="1:6">
      <c r="A985" s="35">
        <v>68682</v>
      </c>
      <c r="B985" s="37" t="s">
        <v>1454</v>
      </c>
      <c r="C985" s="37" t="s">
        <v>258</v>
      </c>
      <c r="D985" s="37" t="s">
        <v>256</v>
      </c>
      <c r="E985" s="37" t="s">
        <v>115</v>
      </c>
      <c r="F985" s="38" t="s">
        <v>128</v>
      </c>
    </row>
    <row r="986" spans="1:6">
      <c r="A986" s="35">
        <v>68684</v>
      </c>
      <c r="B986" s="37" t="s">
        <v>1455</v>
      </c>
      <c r="C986" s="37" t="s">
        <v>258</v>
      </c>
      <c r="D986" s="37" t="s">
        <v>256</v>
      </c>
      <c r="E986" s="37" t="s">
        <v>115</v>
      </c>
      <c r="F986" s="38" t="s">
        <v>128</v>
      </c>
    </row>
    <row r="987" spans="1:6">
      <c r="A987" s="35">
        <v>68689</v>
      </c>
      <c r="B987" s="37" t="s">
        <v>1456</v>
      </c>
      <c r="C987" s="37" t="s">
        <v>258</v>
      </c>
      <c r="D987" s="37" t="s">
        <v>256</v>
      </c>
      <c r="E987" s="37" t="s">
        <v>115</v>
      </c>
      <c r="F987" s="38" t="s">
        <v>114</v>
      </c>
    </row>
    <row r="988" spans="1:6">
      <c r="A988" s="35">
        <v>68720</v>
      </c>
      <c r="B988" s="37" t="s">
        <v>1457</v>
      </c>
      <c r="C988" s="37" t="s">
        <v>258</v>
      </c>
      <c r="D988" s="37" t="s">
        <v>256</v>
      </c>
      <c r="E988" s="37" t="s">
        <v>115</v>
      </c>
      <c r="F988" s="38" t="s">
        <v>128</v>
      </c>
    </row>
    <row r="989" spans="1:6">
      <c r="A989" s="35">
        <v>68745</v>
      </c>
      <c r="B989" s="37" t="s">
        <v>1458</v>
      </c>
      <c r="C989" s="37" t="s">
        <v>258</v>
      </c>
      <c r="D989" s="37" t="s">
        <v>256</v>
      </c>
      <c r="E989" s="37" t="s">
        <v>115</v>
      </c>
      <c r="F989" s="38" t="s">
        <v>114</v>
      </c>
    </row>
    <row r="990" spans="1:6">
      <c r="A990" s="35">
        <v>68755</v>
      </c>
      <c r="B990" s="37" t="s">
        <v>545</v>
      </c>
      <c r="C990" s="37" t="s">
        <v>258</v>
      </c>
      <c r="D990" s="37" t="s">
        <v>256</v>
      </c>
      <c r="E990" s="37" t="s">
        <v>115</v>
      </c>
      <c r="F990" s="38" t="s">
        <v>114</v>
      </c>
    </row>
    <row r="991" spans="1:6">
      <c r="A991" s="35">
        <v>68770</v>
      </c>
      <c r="B991" s="37" t="s">
        <v>1459</v>
      </c>
      <c r="C991" s="37" t="s">
        <v>258</v>
      </c>
      <c r="D991" s="37" t="s">
        <v>256</v>
      </c>
      <c r="E991" s="37" t="s">
        <v>115</v>
      </c>
      <c r="F991" s="38" t="s">
        <v>114</v>
      </c>
    </row>
    <row r="992" spans="1:6">
      <c r="A992" s="35">
        <v>68780</v>
      </c>
      <c r="B992" s="37" t="s">
        <v>1460</v>
      </c>
      <c r="C992" s="37" t="s">
        <v>258</v>
      </c>
      <c r="D992" s="37" t="s">
        <v>256</v>
      </c>
      <c r="E992" s="37" t="s">
        <v>115</v>
      </c>
      <c r="F992" s="38" t="s">
        <v>114</v>
      </c>
    </row>
    <row r="993" spans="1:6">
      <c r="A993" s="35">
        <v>68820</v>
      </c>
      <c r="B993" s="37" t="s">
        <v>1461</v>
      </c>
      <c r="C993" s="37" t="s">
        <v>258</v>
      </c>
      <c r="D993" s="37" t="s">
        <v>256</v>
      </c>
      <c r="E993" s="37" t="s">
        <v>115</v>
      </c>
      <c r="F993" s="38" t="s">
        <v>139</v>
      </c>
    </row>
    <row r="994" spans="1:6">
      <c r="A994" s="35">
        <v>68855</v>
      </c>
      <c r="B994" s="37" t="s">
        <v>1462</v>
      </c>
      <c r="C994" s="37" t="s">
        <v>258</v>
      </c>
      <c r="D994" s="37" t="s">
        <v>256</v>
      </c>
      <c r="E994" s="37" t="s">
        <v>115</v>
      </c>
      <c r="F994" s="38" t="s">
        <v>114</v>
      </c>
    </row>
    <row r="995" spans="1:6">
      <c r="A995" s="35">
        <v>68861</v>
      </c>
      <c r="B995" s="37" t="s">
        <v>1463</v>
      </c>
      <c r="C995" s="37" t="s">
        <v>258</v>
      </c>
      <c r="D995" s="37" t="s">
        <v>399</v>
      </c>
      <c r="E995" s="37" t="s">
        <v>115</v>
      </c>
      <c r="F995" s="38" t="s">
        <v>139</v>
      </c>
    </row>
    <row r="996" spans="1:6">
      <c r="A996" s="35">
        <v>68867</v>
      </c>
      <c r="B996" s="37" t="s">
        <v>1464</v>
      </c>
      <c r="C996" s="37" t="s">
        <v>258</v>
      </c>
      <c r="D996" s="37" t="s">
        <v>222</v>
      </c>
      <c r="E996" s="37" t="s">
        <v>115</v>
      </c>
      <c r="F996" s="38" t="s">
        <v>128</v>
      </c>
    </row>
    <row r="997" spans="1:6">
      <c r="A997" s="35">
        <v>68895</v>
      </c>
      <c r="B997" s="37" t="s">
        <v>1465</v>
      </c>
      <c r="C997" s="37" t="s">
        <v>258</v>
      </c>
      <c r="D997" s="37" t="s">
        <v>256</v>
      </c>
      <c r="E997" s="37" t="s">
        <v>115</v>
      </c>
      <c r="F997" s="38" t="s">
        <v>114</v>
      </c>
    </row>
    <row r="998" spans="1:6">
      <c r="A998" s="35">
        <v>70110</v>
      </c>
      <c r="B998" s="36" t="s">
        <v>788</v>
      </c>
      <c r="C998" s="37" t="s">
        <v>154</v>
      </c>
      <c r="D998" s="37" t="s">
        <v>152</v>
      </c>
      <c r="E998" s="37" t="s">
        <v>115</v>
      </c>
      <c r="F998" s="38" t="s">
        <v>139</v>
      </c>
    </row>
    <row r="999" spans="1:6">
      <c r="A999" s="35">
        <v>70400</v>
      </c>
      <c r="B999" s="36" t="s">
        <v>606</v>
      </c>
      <c r="C999" s="37" t="s">
        <v>154</v>
      </c>
      <c r="D999" s="37" t="s">
        <v>152</v>
      </c>
      <c r="E999" s="37" t="s">
        <v>115</v>
      </c>
      <c r="F999" s="38" t="s">
        <v>139</v>
      </c>
    </row>
    <row r="1000" spans="1:6">
      <c r="A1000" s="35">
        <v>70717</v>
      </c>
      <c r="B1000" s="36" t="s">
        <v>209</v>
      </c>
      <c r="C1000" s="37" t="s">
        <v>154</v>
      </c>
      <c r="D1000" s="37" t="s">
        <v>152</v>
      </c>
      <c r="E1000" s="37" t="s">
        <v>115</v>
      </c>
      <c r="F1000" s="38" t="s">
        <v>139</v>
      </c>
    </row>
    <row r="1001" spans="1:6">
      <c r="A1001" s="35">
        <v>70771</v>
      </c>
      <c r="B1001" s="36" t="s">
        <v>154</v>
      </c>
      <c r="C1001" s="37" t="s">
        <v>154</v>
      </c>
      <c r="D1001" s="37" t="s">
        <v>152</v>
      </c>
      <c r="E1001" s="37" t="s">
        <v>115</v>
      </c>
      <c r="F1001" s="38" t="s">
        <v>584</v>
      </c>
    </row>
    <row r="1002" spans="1:6">
      <c r="A1002" s="35">
        <v>70124</v>
      </c>
      <c r="B1002" s="37" t="s">
        <v>1466</v>
      </c>
      <c r="C1002" s="37" t="s">
        <v>154</v>
      </c>
      <c r="D1002" s="37" t="s">
        <v>152</v>
      </c>
      <c r="E1002" s="37" t="s">
        <v>115</v>
      </c>
      <c r="F1002" s="38" t="s">
        <v>128</v>
      </c>
    </row>
    <row r="1003" spans="1:6">
      <c r="A1003" s="35">
        <v>70230</v>
      </c>
      <c r="B1003" s="37" t="s">
        <v>1467</v>
      </c>
      <c r="C1003" s="37" t="s">
        <v>154</v>
      </c>
      <c r="D1003" s="37" t="s">
        <v>152</v>
      </c>
      <c r="E1003" s="37" t="s">
        <v>115</v>
      </c>
      <c r="F1003" s="38" t="s">
        <v>114</v>
      </c>
    </row>
    <row r="1004" spans="1:6">
      <c r="A1004" s="35">
        <v>70204</v>
      </c>
      <c r="B1004" s="37" t="s">
        <v>1468</v>
      </c>
      <c r="C1004" s="37" t="s">
        <v>154</v>
      </c>
      <c r="D1004" s="37" t="s">
        <v>152</v>
      </c>
      <c r="E1004" s="37" t="s">
        <v>115</v>
      </c>
      <c r="F1004" s="38" t="s">
        <v>114</v>
      </c>
    </row>
    <row r="1005" spans="1:6">
      <c r="A1005" s="35">
        <v>70215</v>
      </c>
      <c r="B1005" s="37" t="s">
        <v>1469</v>
      </c>
      <c r="C1005" s="37" t="s">
        <v>154</v>
      </c>
      <c r="D1005" s="37" t="s">
        <v>152</v>
      </c>
      <c r="E1005" s="37" t="s">
        <v>115</v>
      </c>
      <c r="F1005" s="38" t="s">
        <v>139</v>
      </c>
    </row>
    <row r="1006" spans="1:6">
      <c r="A1006" s="35">
        <v>70221</v>
      </c>
      <c r="B1006" s="37" t="s">
        <v>1470</v>
      </c>
      <c r="C1006" s="37" t="s">
        <v>154</v>
      </c>
      <c r="D1006" s="37" t="s">
        <v>152</v>
      </c>
      <c r="E1006" s="37" t="s">
        <v>115</v>
      </c>
      <c r="F1006" s="38" t="s">
        <v>139</v>
      </c>
    </row>
    <row r="1007" spans="1:6">
      <c r="A1007" s="35">
        <v>70233</v>
      </c>
      <c r="B1007" s="37" t="s">
        <v>1471</v>
      </c>
      <c r="C1007" s="37" t="s">
        <v>154</v>
      </c>
      <c r="D1007" s="37" t="s">
        <v>152</v>
      </c>
      <c r="E1007" s="37" t="s">
        <v>115</v>
      </c>
      <c r="F1007" s="38" t="s">
        <v>139</v>
      </c>
    </row>
    <row r="1008" spans="1:6">
      <c r="A1008" s="35">
        <v>70235</v>
      </c>
      <c r="B1008" s="37" t="s">
        <v>1472</v>
      </c>
      <c r="C1008" s="37" t="s">
        <v>154</v>
      </c>
      <c r="D1008" s="37" t="s">
        <v>152</v>
      </c>
      <c r="E1008" s="37" t="s">
        <v>115</v>
      </c>
      <c r="F1008" s="38" t="s">
        <v>139</v>
      </c>
    </row>
    <row r="1009" spans="1:6">
      <c r="A1009" s="35">
        <v>70265</v>
      </c>
      <c r="B1009" s="37" t="s">
        <v>1473</v>
      </c>
      <c r="C1009" s="37" t="s">
        <v>154</v>
      </c>
      <c r="D1009" s="37" t="s">
        <v>152</v>
      </c>
      <c r="E1009" s="37" t="s">
        <v>115</v>
      </c>
      <c r="F1009" s="38" t="s">
        <v>128</v>
      </c>
    </row>
    <row r="1010" spans="1:6">
      <c r="A1010" s="35">
        <v>70418</v>
      </c>
      <c r="B1010" s="37" t="s">
        <v>1474</v>
      </c>
      <c r="C1010" s="37" t="s">
        <v>154</v>
      </c>
      <c r="D1010" s="37" t="s">
        <v>152</v>
      </c>
      <c r="E1010" s="37" t="s">
        <v>115</v>
      </c>
      <c r="F1010" s="38" t="s">
        <v>139</v>
      </c>
    </row>
    <row r="1011" spans="1:6">
      <c r="A1011" s="35">
        <v>70429</v>
      </c>
      <c r="B1011" s="37" t="s">
        <v>1475</v>
      </c>
      <c r="C1011" s="37" t="s">
        <v>154</v>
      </c>
      <c r="D1011" s="37" t="s">
        <v>152</v>
      </c>
      <c r="E1011" s="37" t="s">
        <v>671</v>
      </c>
      <c r="F1011" s="38" t="s">
        <v>128</v>
      </c>
    </row>
    <row r="1012" spans="1:6">
      <c r="A1012" s="35">
        <v>70473</v>
      </c>
      <c r="B1012" s="37" t="s">
        <v>1476</v>
      </c>
      <c r="C1012" s="37" t="s">
        <v>154</v>
      </c>
      <c r="D1012" s="37" t="s">
        <v>152</v>
      </c>
      <c r="E1012" s="37" t="s">
        <v>115</v>
      </c>
      <c r="F1012" s="38" t="s">
        <v>139</v>
      </c>
    </row>
    <row r="1013" spans="1:6">
      <c r="A1013" s="35">
        <v>70508</v>
      </c>
      <c r="B1013" s="37" t="s">
        <v>1477</v>
      </c>
      <c r="C1013" s="37" t="s">
        <v>154</v>
      </c>
      <c r="D1013" s="37" t="s">
        <v>152</v>
      </c>
      <c r="E1013" s="37" t="s">
        <v>115</v>
      </c>
      <c r="F1013" s="38" t="s">
        <v>139</v>
      </c>
    </row>
    <row r="1014" spans="1:6">
      <c r="A1014" s="35">
        <v>70523</v>
      </c>
      <c r="B1014" s="37" t="s">
        <v>1478</v>
      </c>
      <c r="C1014" s="37" t="s">
        <v>154</v>
      </c>
      <c r="D1014" s="37" t="s">
        <v>152</v>
      </c>
      <c r="E1014" s="37" t="s">
        <v>115</v>
      </c>
      <c r="F1014" s="38" t="s">
        <v>139</v>
      </c>
    </row>
    <row r="1015" spans="1:6">
      <c r="A1015" s="35">
        <v>70670</v>
      </c>
      <c r="B1015" s="37" t="s">
        <v>1479</v>
      </c>
      <c r="C1015" s="37" t="s">
        <v>154</v>
      </c>
      <c r="D1015" s="37" t="s">
        <v>152</v>
      </c>
      <c r="E1015" s="37" t="s">
        <v>115</v>
      </c>
      <c r="F1015" s="38" t="s">
        <v>139</v>
      </c>
    </row>
    <row r="1016" spans="1:6">
      <c r="A1016" s="35">
        <v>70678</v>
      </c>
      <c r="B1016" s="37" t="s">
        <v>1480</v>
      </c>
      <c r="C1016" s="37" t="s">
        <v>154</v>
      </c>
      <c r="D1016" s="37" t="s">
        <v>152</v>
      </c>
      <c r="E1016" s="37" t="s">
        <v>115</v>
      </c>
      <c r="F1016" s="38" t="s">
        <v>139</v>
      </c>
    </row>
    <row r="1017" spans="1:6">
      <c r="A1017" s="35">
        <v>70702</v>
      </c>
      <c r="B1017" s="37" t="s">
        <v>1481</v>
      </c>
      <c r="C1017" s="37" t="s">
        <v>154</v>
      </c>
      <c r="D1017" s="37" t="s">
        <v>152</v>
      </c>
      <c r="E1017" s="37" t="s">
        <v>115</v>
      </c>
      <c r="F1017" s="38" t="s">
        <v>139</v>
      </c>
    </row>
    <row r="1018" spans="1:6">
      <c r="A1018" s="35">
        <v>70742</v>
      </c>
      <c r="B1018" s="37" t="s">
        <v>155</v>
      </c>
      <c r="C1018" s="37" t="s">
        <v>154</v>
      </c>
      <c r="D1018" s="37" t="s">
        <v>152</v>
      </c>
      <c r="E1018" s="37" t="s">
        <v>115</v>
      </c>
      <c r="F1018" s="38" t="s">
        <v>139</v>
      </c>
    </row>
    <row r="1019" spans="1:6">
      <c r="A1019" s="35">
        <v>70708</v>
      </c>
      <c r="B1019" s="37" t="s">
        <v>1482</v>
      </c>
      <c r="C1019" s="37" t="s">
        <v>154</v>
      </c>
      <c r="D1019" s="37" t="s">
        <v>152</v>
      </c>
      <c r="E1019" s="37" t="s">
        <v>115</v>
      </c>
      <c r="F1019" s="38" t="s">
        <v>114</v>
      </c>
    </row>
    <row r="1020" spans="1:6">
      <c r="A1020" s="35">
        <v>70713</v>
      </c>
      <c r="B1020" s="37" t="s">
        <v>1483</v>
      </c>
      <c r="C1020" s="37" t="s">
        <v>154</v>
      </c>
      <c r="D1020" s="37" t="s">
        <v>152</v>
      </c>
      <c r="E1020" s="37" t="s">
        <v>115</v>
      </c>
      <c r="F1020" s="38" t="s">
        <v>139</v>
      </c>
    </row>
    <row r="1021" spans="1:6">
      <c r="A1021" s="35">
        <v>70820</v>
      </c>
      <c r="B1021" s="37" t="s">
        <v>243</v>
      </c>
      <c r="C1021" s="37" t="s">
        <v>154</v>
      </c>
      <c r="D1021" s="37" t="s">
        <v>152</v>
      </c>
      <c r="E1021" s="37" t="s">
        <v>115</v>
      </c>
      <c r="F1021" s="38" t="s">
        <v>139</v>
      </c>
    </row>
    <row r="1022" spans="1:6">
      <c r="A1022" s="35">
        <v>70001</v>
      </c>
      <c r="B1022" s="37" t="s">
        <v>152</v>
      </c>
      <c r="C1022" s="37" t="s">
        <v>154</v>
      </c>
      <c r="D1022" s="37" t="s">
        <v>152</v>
      </c>
      <c r="E1022" s="37" t="s">
        <v>115</v>
      </c>
      <c r="F1022" s="38" t="s">
        <v>150</v>
      </c>
    </row>
    <row r="1023" spans="1:6">
      <c r="A1023" s="35">
        <v>70823</v>
      </c>
      <c r="B1023" s="37" t="s">
        <v>1484</v>
      </c>
      <c r="C1023" s="37" t="s">
        <v>154</v>
      </c>
      <c r="D1023" s="37" t="s">
        <v>152</v>
      </c>
      <c r="E1023" s="37" t="s">
        <v>115</v>
      </c>
      <c r="F1023" s="38" t="s">
        <v>139</v>
      </c>
    </row>
    <row r="1024" spans="1:6">
      <c r="A1024" s="35">
        <v>73678</v>
      </c>
      <c r="B1024" s="36" t="s">
        <v>612</v>
      </c>
      <c r="C1024" s="37" t="s">
        <v>362</v>
      </c>
      <c r="D1024" s="37" t="s">
        <v>360</v>
      </c>
      <c r="E1024" s="37" t="s">
        <v>115</v>
      </c>
      <c r="F1024" s="38" t="s">
        <v>139</v>
      </c>
    </row>
    <row r="1025" spans="1:6">
      <c r="A1025" s="35">
        <v>73770</v>
      </c>
      <c r="B1025" s="36" t="s">
        <v>957</v>
      </c>
      <c r="C1025" s="37" t="s">
        <v>362</v>
      </c>
      <c r="D1025" s="37" t="s">
        <v>360</v>
      </c>
      <c r="E1025" s="37" t="s">
        <v>115</v>
      </c>
      <c r="F1025" s="38" t="s">
        <v>139</v>
      </c>
    </row>
    <row r="1026" spans="1:6">
      <c r="A1026" s="35">
        <v>73024</v>
      </c>
      <c r="B1026" s="37" t="s">
        <v>1485</v>
      </c>
      <c r="C1026" s="37" t="s">
        <v>362</v>
      </c>
      <c r="D1026" s="37" t="s">
        <v>360</v>
      </c>
      <c r="E1026" s="37" t="s">
        <v>115</v>
      </c>
      <c r="F1026" s="38" t="s">
        <v>128</v>
      </c>
    </row>
    <row r="1027" spans="1:6">
      <c r="A1027" s="35">
        <v>73026</v>
      </c>
      <c r="B1027" s="37" t="s">
        <v>1486</v>
      </c>
      <c r="C1027" s="37" t="s">
        <v>362</v>
      </c>
      <c r="D1027" s="37" t="s">
        <v>360</v>
      </c>
      <c r="E1027" s="37" t="s">
        <v>115</v>
      </c>
      <c r="F1027" s="38" t="s">
        <v>139</v>
      </c>
    </row>
    <row r="1028" spans="1:6">
      <c r="A1028" s="35">
        <v>73030</v>
      </c>
      <c r="B1028" s="37" t="s">
        <v>1487</v>
      </c>
      <c r="C1028" s="37" t="s">
        <v>362</v>
      </c>
      <c r="D1028" s="37" t="s">
        <v>360</v>
      </c>
      <c r="E1028" s="37" t="s">
        <v>115</v>
      </c>
      <c r="F1028" s="38" t="s">
        <v>139</v>
      </c>
    </row>
    <row r="1029" spans="1:6">
      <c r="A1029" s="35">
        <v>73043</v>
      </c>
      <c r="B1029" s="37" t="s">
        <v>1488</v>
      </c>
      <c r="C1029" s="37" t="s">
        <v>362</v>
      </c>
      <c r="D1029" s="37" t="s">
        <v>360</v>
      </c>
      <c r="E1029" s="37" t="s">
        <v>115</v>
      </c>
      <c r="F1029" s="38" t="s">
        <v>139</v>
      </c>
    </row>
    <row r="1030" spans="1:6">
      <c r="A1030" s="35">
        <v>73055</v>
      </c>
      <c r="B1030" s="37" t="s">
        <v>1489</v>
      </c>
      <c r="C1030" s="37" t="s">
        <v>362</v>
      </c>
      <c r="D1030" s="37" t="s">
        <v>360</v>
      </c>
      <c r="E1030" s="37" t="s">
        <v>115</v>
      </c>
      <c r="F1030" s="38" t="s">
        <v>139</v>
      </c>
    </row>
    <row r="1031" spans="1:6">
      <c r="A1031" s="35">
        <v>73067</v>
      </c>
      <c r="B1031" s="37" t="s">
        <v>1490</v>
      </c>
      <c r="C1031" s="37" t="s">
        <v>362</v>
      </c>
      <c r="D1031" s="37" t="s">
        <v>360</v>
      </c>
      <c r="E1031" s="37" t="s">
        <v>115</v>
      </c>
      <c r="F1031" s="38" t="s">
        <v>114</v>
      </c>
    </row>
    <row r="1032" spans="1:6">
      <c r="A1032" s="35">
        <v>73124</v>
      </c>
      <c r="B1032" s="37" t="s">
        <v>1491</v>
      </c>
      <c r="C1032" s="37" t="s">
        <v>362</v>
      </c>
      <c r="D1032" s="37" t="s">
        <v>360</v>
      </c>
      <c r="E1032" s="37" t="s">
        <v>115</v>
      </c>
      <c r="F1032" s="38" t="s">
        <v>139</v>
      </c>
    </row>
    <row r="1033" spans="1:6">
      <c r="A1033" s="35">
        <v>73148</v>
      </c>
      <c r="B1033" s="37" t="s">
        <v>1492</v>
      </c>
      <c r="C1033" s="37" t="s">
        <v>362</v>
      </c>
      <c r="D1033" s="37" t="s">
        <v>170</v>
      </c>
      <c r="E1033" s="37" t="s">
        <v>115</v>
      </c>
      <c r="F1033" s="38" t="s">
        <v>139</v>
      </c>
    </row>
    <row r="1034" spans="1:6">
      <c r="A1034" s="35">
        <v>73152</v>
      </c>
      <c r="B1034" s="37" t="s">
        <v>1493</v>
      </c>
      <c r="C1034" s="37" t="s">
        <v>362</v>
      </c>
      <c r="D1034" s="37" t="s">
        <v>360</v>
      </c>
      <c r="E1034" s="37" t="s">
        <v>115</v>
      </c>
      <c r="F1034" s="38" t="s">
        <v>114</v>
      </c>
    </row>
    <row r="1035" spans="1:6">
      <c r="A1035" s="35">
        <v>73168</v>
      </c>
      <c r="B1035" s="37" t="s">
        <v>1494</v>
      </c>
      <c r="C1035" s="37" t="s">
        <v>362</v>
      </c>
      <c r="D1035" s="37" t="s">
        <v>360</v>
      </c>
      <c r="E1035" s="37" t="s">
        <v>115</v>
      </c>
      <c r="F1035" s="38" t="s">
        <v>114</v>
      </c>
    </row>
    <row r="1036" spans="1:6">
      <c r="A1036" s="35">
        <v>73200</v>
      </c>
      <c r="B1036" s="37" t="s">
        <v>1495</v>
      </c>
      <c r="C1036" s="37" t="s">
        <v>362</v>
      </c>
      <c r="D1036" s="37" t="s">
        <v>360</v>
      </c>
      <c r="E1036" s="37" t="s">
        <v>115</v>
      </c>
      <c r="F1036" s="38" t="s">
        <v>139</v>
      </c>
    </row>
    <row r="1037" spans="1:6">
      <c r="A1037" s="35">
        <v>73217</v>
      </c>
      <c r="B1037" s="37" t="s">
        <v>1496</v>
      </c>
      <c r="C1037" s="37" t="s">
        <v>362</v>
      </c>
      <c r="D1037" s="37" t="s">
        <v>360</v>
      </c>
      <c r="E1037" s="37" t="s">
        <v>115</v>
      </c>
      <c r="F1037" s="38" t="s">
        <v>114</v>
      </c>
    </row>
    <row r="1038" spans="1:6">
      <c r="A1038" s="35">
        <v>73226</v>
      </c>
      <c r="B1038" s="37" t="s">
        <v>1497</v>
      </c>
      <c r="C1038" s="37" t="s">
        <v>362</v>
      </c>
      <c r="D1038" s="37" t="s">
        <v>360</v>
      </c>
      <c r="E1038" s="37" t="s">
        <v>115</v>
      </c>
      <c r="F1038" s="38" t="s">
        <v>139</v>
      </c>
    </row>
    <row r="1039" spans="1:6">
      <c r="A1039" s="35">
        <v>73236</v>
      </c>
      <c r="B1039" s="37" t="s">
        <v>1498</v>
      </c>
      <c r="C1039" s="37" t="s">
        <v>362</v>
      </c>
      <c r="D1039" s="37" t="s">
        <v>360</v>
      </c>
      <c r="E1039" s="37" t="s">
        <v>115</v>
      </c>
      <c r="F1039" s="38" t="s">
        <v>128</v>
      </c>
    </row>
    <row r="1040" spans="1:6">
      <c r="A1040" s="35">
        <v>73268</v>
      </c>
      <c r="B1040" s="37" t="s">
        <v>1499</v>
      </c>
      <c r="C1040" s="37" t="s">
        <v>362</v>
      </c>
      <c r="D1040" s="37" t="s">
        <v>360</v>
      </c>
      <c r="E1040" s="37" t="s">
        <v>115</v>
      </c>
      <c r="F1040" s="38" t="s">
        <v>139</v>
      </c>
    </row>
    <row r="1041" spans="1:6">
      <c r="A1041" s="35">
        <v>73270</v>
      </c>
      <c r="B1041" s="37" t="s">
        <v>1500</v>
      </c>
      <c r="C1041" s="37" t="s">
        <v>362</v>
      </c>
      <c r="D1041" s="37" t="s">
        <v>360</v>
      </c>
      <c r="E1041" s="37" t="s">
        <v>115</v>
      </c>
      <c r="F1041" s="38" t="s">
        <v>114</v>
      </c>
    </row>
    <row r="1042" spans="1:6">
      <c r="A1042" s="35">
        <v>73275</v>
      </c>
      <c r="B1042" s="37" t="s">
        <v>1501</v>
      </c>
      <c r="C1042" s="37" t="s">
        <v>362</v>
      </c>
      <c r="D1042" s="37" t="s">
        <v>360</v>
      </c>
      <c r="E1042" s="37" t="s">
        <v>115</v>
      </c>
      <c r="F1042" s="38" t="s">
        <v>139</v>
      </c>
    </row>
    <row r="1043" spans="1:6">
      <c r="A1043" s="35">
        <v>73283</v>
      </c>
      <c r="B1043" s="37" t="s">
        <v>1502</v>
      </c>
      <c r="C1043" s="37" t="s">
        <v>362</v>
      </c>
      <c r="D1043" s="37" t="s">
        <v>360</v>
      </c>
      <c r="E1043" s="37" t="s">
        <v>115</v>
      </c>
      <c r="F1043" s="38" t="s">
        <v>114</v>
      </c>
    </row>
    <row r="1044" spans="1:6">
      <c r="A1044" s="35">
        <v>73319</v>
      </c>
      <c r="B1044" s="37" t="s">
        <v>1503</v>
      </c>
      <c r="C1044" s="37" t="s">
        <v>362</v>
      </c>
      <c r="D1044" s="37" t="s">
        <v>360</v>
      </c>
      <c r="E1044" s="37" t="s">
        <v>115</v>
      </c>
      <c r="F1044" s="38" t="s">
        <v>139</v>
      </c>
    </row>
    <row r="1045" spans="1:6">
      <c r="A1045" s="35">
        <v>73347</v>
      </c>
      <c r="B1045" s="37" t="s">
        <v>1504</v>
      </c>
      <c r="C1045" s="37" t="s">
        <v>362</v>
      </c>
      <c r="D1045" s="37" t="s">
        <v>899</v>
      </c>
      <c r="E1045" s="37" t="s">
        <v>115</v>
      </c>
      <c r="F1045" s="38" t="s">
        <v>114</v>
      </c>
    </row>
    <row r="1046" spans="1:6">
      <c r="A1046" s="35">
        <v>73349</v>
      </c>
      <c r="B1046" s="37" t="s">
        <v>1505</v>
      </c>
      <c r="C1046" s="37" t="s">
        <v>362</v>
      </c>
      <c r="D1046" s="37" t="s">
        <v>360</v>
      </c>
      <c r="E1046" s="37" t="s">
        <v>115</v>
      </c>
      <c r="F1046" s="38" t="s">
        <v>114</v>
      </c>
    </row>
    <row r="1047" spans="1:6">
      <c r="A1047" s="35">
        <v>73001</v>
      </c>
      <c r="B1047" s="37" t="s">
        <v>360</v>
      </c>
      <c r="C1047" s="37" t="s">
        <v>362</v>
      </c>
      <c r="D1047" s="37" t="s">
        <v>360</v>
      </c>
      <c r="E1047" s="37" t="s">
        <v>115</v>
      </c>
      <c r="F1047" s="38" t="s">
        <v>150</v>
      </c>
    </row>
    <row r="1048" spans="1:6">
      <c r="A1048" s="35">
        <v>73352</v>
      </c>
      <c r="B1048" s="37" t="s">
        <v>1506</v>
      </c>
      <c r="C1048" s="37" t="s">
        <v>362</v>
      </c>
      <c r="D1048" s="37" t="s">
        <v>360</v>
      </c>
      <c r="E1048" s="37" t="s">
        <v>115</v>
      </c>
      <c r="F1048" s="38" t="s">
        <v>114</v>
      </c>
    </row>
    <row r="1049" spans="1:6">
      <c r="A1049" s="35">
        <v>73408</v>
      </c>
      <c r="B1049" s="37" t="s">
        <v>1507</v>
      </c>
      <c r="C1049" s="37" t="s">
        <v>362</v>
      </c>
      <c r="D1049" s="37" t="s">
        <v>360</v>
      </c>
      <c r="E1049" s="37" t="s">
        <v>115</v>
      </c>
      <c r="F1049" s="38" t="s">
        <v>139</v>
      </c>
    </row>
    <row r="1050" spans="1:6">
      <c r="A1050" s="35">
        <v>73411</v>
      </c>
      <c r="B1050" s="37" t="s">
        <v>1508</v>
      </c>
      <c r="C1050" s="37" t="s">
        <v>362</v>
      </c>
      <c r="D1050" s="37" t="s">
        <v>360</v>
      </c>
      <c r="E1050" s="37" t="s">
        <v>115</v>
      </c>
      <c r="F1050" s="38" t="s">
        <v>114</v>
      </c>
    </row>
    <row r="1051" spans="1:6">
      <c r="A1051" s="35">
        <v>73443</v>
      </c>
      <c r="B1051" s="37" t="s">
        <v>1509</v>
      </c>
      <c r="C1051" s="37" t="s">
        <v>362</v>
      </c>
      <c r="D1051" s="37" t="s">
        <v>360</v>
      </c>
      <c r="E1051" s="37" t="s">
        <v>115</v>
      </c>
      <c r="F1051" s="38" t="s">
        <v>114</v>
      </c>
    </row>
    <row r="1052" spans="1:6">
      <c r="A1052" s="35">
        <v>73449</v>
      </c>
      <c r="B1052" s="37" t="s">
        <v>1510</v>
      </c>
      <c r="C1052" s="37" t="s">
        <v>362</v>
      </c>
      <c r="D1052" s="37" t="s">
        <v>170</v>
      </c>
      <c r="E1052" s="37" t="s">
        <v>115</v>
      </c>
      <c r="F1052" s="38" t="s">
        <v>139</v>
      </c>
    </row>
    <row r="1053" spans="1:6">
      <c r="A1053" s="35">
        <v>73461</v>
      </c>
      <c r="B1053" s="37" t="s">
        <v>1511</v>
      </c>
      <c r="C1053" s="37" t="s">
        <v>362</v>
      </c>
      <c r="D1053" s="37" t="s">
        <v>360</v>
      </c>
      <c r="E1053" s="37" t="s">
        <v>115</v>
      </c>
      <c r="F1053" s="38" t="s">
        <v>128</v>
      </c>
    </row>
    <row r="1054" spans="1:6">
      <c r="A1054" s="35">
        <v>73483</v>
      </c>
      <c r="B1054" s="37" t="s">
        <v>1512</v>
      </c>
      <c r="C1054" s="37" t="s">
        <v>362</v>
      </c>
      <c r="D1054" s="37" t="s">
        <v>179</v>
      </c>
      <c r="E1054" s="37" t="s">
        <v>115</v>
      </c>
      <c r="F1054" s="38" t="s">
        <v>139</v>
      </c>
    </row>
    <row r="1055" spans="1:6">
      <c r="A1055" s="35">
        <v>73504</v>
      </c>
      <c r="B1055" s="37" t="s">
        <v>1513</v>
      </c>
      <c r="C1055" s="37" t="s">
        <v>362</v>
      </c>
      <c r="D1055" s="37" t="s">
        <v>360</v>
      </c>
      <c r="E1055" s="37" t="s">
        <v>115</v>
      </c>
      <c r="F1055" s="38" t="s">
        <v>114</v>
      </c>
    </row>
    <row r="1056" spans="1:6">
      <c r="A1056" s="35">
        <v>73520</v>
      </c>
      <c r="B1056" s="37" t="s">
        <v>1514</v>
      </c>
      <c r="C1056" s="37" t="s">
        <v>362</v>
      </c>
      <c r="D1056" s="37" t="s">
        <v>360</v>
      </c>
      <c r="E1056" s="37" t="s">
        <v>115</v>
      </c>
      <c r="F1056" s="38" t="s">
        <v>114</v>
      </c>
    </row>
    <row r="1057" spans="1:6">
      <c r="A1057" s="35">
        <v>73547</v>
      </c>
      <c r="B1057" s="37" t="s">
        <v>1515</v>
      </c>
      <c r="C1057" s="37" t="s">
        <v>362</v>
      </c>
      <c r="D1057" s="37" t="s">
        <v>360</v>
      </c>
      <c r="E1057" s="37" t="s">
        <v>115</v>
      </c>
      <c r="F1057" s="38" t="s">
        <v>139</v>
      </c>
    </row>
    <row r="1058" spans="1:6">
      <c r="A1058" s="35">
        <v>73555</v>
      </c>
      <c r="B1058" s="37" t="s">
        <v>1516</v>
      </c>
      <c r="C1058" s="37" t="s">
        <v>362</v>
      </c>
      <c r="D1058" s="37" t="s">
        <v>360</v>
      </c>
      <c r="E1058" s="37" t="s">
        <v>115</v>
      </c>
      <c r="F1058" s="38" t="s">
        <v>128</v>
      </c>
    </row>
    <row r="1059" spans="1:6">
      <c r="A1059" s="35">
        <v>73563</v>
      </c>
      <c r="B1059" s="37" t="s">
        <v>1517</v>
      </c>
      <c r="C1059" s="37" t="s">
        <v>362</v>
      </c>
      <c r="D1059" s="37" t="s">
        <v>360</v>
      </c>
      <c r="E1059" s="37" t="s">
        <v>115</v>
      </c>
      <c r="F1059" s="38" t="s">
        <v>114</v>
      </c>
    </row>
    <row r="1060" spans="1:6">
      <c r="A1060" s="35">
        <v>73585</v>
      </c>
      <c r="B1060" s="37" t="s">
        <v>1518</v>
      </c>
      <c r="C1060" s="37" t="s">
        <v>362</v>
      </c>
      <c r="D1060" s="37" t="s">
        <v>360</v>
      </c>
      <c r="E1060" s="37" t="s">
        <v>115</v>
      </c>
      <c r="F1060" s="38" t="s">
        <v>139</v>
      </c>
    </row>
    <row r="1061" spans="1:6">
      <c r="A1061" s="35">
        <v>73616</v>
      </c>
      <c r="B1061" s="37" t="s">
        <v>1519</v>
      </c>
      <c r="C1061" s="37" t="s">
        <v>362</v>
      </c>
      <c r="D1061" s="37" t="s">
        <v>360</v>
      </c>
      <c r="E1061" s="37" t="s">
        <v>115</v>
      </c>
      <c r="F1061" s="38" t="s">
        <v>128</v>
      </c>
    </row>
    <row r="1062" spans="1:6">
      <c r="A1062" s="35">
        <v>73622</v>
      </c>
      <c r="B1062" s="37" t="s">
        <v>1520</v>
      </c>
      <c r="C1062" s="37" t="s">
        <v>362</v>
      </c>
      <c r="D1062" s="37" t="s">
        <v>360</v>
      </c>
      <c r="E1062" s="37" t="s">
        <v>115</v>
      </c>
      <c r="F1062" s="38" t="s">
        <v>128</v>
      </c>
    </row>
    <row r="1063" spans="1:6">
      <c r="A1063" s="35">
        <v>73624</v>
      </c>
      <c r="B1063" s="37" t="s">
        <v>1521</v>
      </c>
      <c r="C1063" s="37" t="s">
        <v>362</v>
      </c>
      <c r="D1063" s="37" t="s">
        <v>360</v>
      </c>
      <c r="E1063" s="37" t="s">
        <v>115</v>
      </c>
      <c r="F1063" s="38" t="s">
        <v>114</v>
      </c>
    </row>
    <row r="1064" spans="1:6">
      <c r="A1064" s="35">
        <v>73671</v>
      </c>
      <c r="B1064" s="37" t="s">
        <v>1522</v>
      </c>
      <c r="C1064" s="37" t="s">
        <v>362</v>
      </c>
      <c r="D1064" s="37" t="s">
        <v>360</v>
      </c>
      <c r="E1064" s="37" t="s">
        <v>115</v>
      </c>
      <c r="F1064" s="38" t="s">
        <v>139</v>
      </c>
    </row>
    <row r="1065" spans="1:6">
      <c r="A1065" s="35">
        <v>73675</v>
      </c>
      <c r="B1065" s="37" t="s">
        <v>1523</v>
      </c>
      <c r="C1065" s="37" t="s">
        <v>362</v>
      </c>
      <c r="D1065" s="37" t="s">
        <v>360</v>
      </c>
      <c r="E1065" s="37" t="s">
        <v>115</v>
      </c>
      <c r="F1065" s="38" t="s">
        <v>128</v>
      </c>
    </row>
    <row r="1066" spans="1:6">
      <c r="A1066" s="35">
        <v>73686</v>
      </c>
      <c r="B1066" s="37" t="s">
        <v>1524</v>
      </c>
      <c r="C1066" s="37" t="s">
        <v>362</v>
      </c>
      <c r="D1066" s="37" t="s">
        <v>360</v>
      </c>
      <c r="E1066" s="37" t="s">
        <v>115</v>
      </c>
      <c r="F1066" s="38" t="s">
        <v>114</v>
      </c>
    </row>
    <row r="1067" spans="1:6">
      <c r="A1067" s="35">
        <v>73854</v>
      </c>
      <c r="B1067" s="37" t="s">
        <v>1525</v>
      </c>
      <c r="C1067" s="37" t="s">
        <v>362</v>
      </c>
      <c r="D1067" s="37" t="s">
        <v>360</v>
      </c>
      <c r="E1067" s="37" t="s">
        <v>115</v>
      </c>
      <c r="F1067" s="38" t="s">
        <v>139</v>
      </c>
    </row>
    <row r="1068" spans="1:6">
      <c r="A1068" s="35">
        <v>73861</v>
      </c>
      <c r="B1068" s="37" t="s">
        <v>1526</v>
      </c>
      <c r="C1068" s="37" t="s">
        <v>362</v>
      </c>
      <c r="D1068" s="37" t="s">
        <v>360</v>
      </c>
      <c r="E1068" s="37" t="s">
        <v>115</v>
      </c>
      <c r="F1068" s="38" t="s">
        <v>139</v>
      </c>
    </row>
    <row r="1069" spans="1:6">
      <c r="A1069" s="35">
        <v>73870</v>
      </c>
      <c r="B1069" s="37" t="s">
        <v>1527</v>
      </c>
      <c r="C1069" s="37" t="s">
        <v>362</v>
      </c>
      <c r="D1069" s="37" t="s">
        <v>360</v>
      </c>
      <c r="E1069" s="37" t="s">
        <v>115</v>
      </c>
      <c r="F1069" s="38" t="s">
        <v>114</v>
      </c>
    </row>
    <row r="1070" spans="1:6">
      <c r="A1070" s="35">
        <v>73873</v>
      </c>
      <c r="B1070" s="37" t="s">
        <v>1528</v>
      </c>
      <c r="C1070" s="37" t="s">
        <v>362</v>
      </c>
      <c r="D1070" s="37" t="s">
        <v>360</v>
      </c>
      <c r="E1070" s="37" t="s">
        <v>115</v>
      </c>
      <c r="F1070" s="38" t="s">
        <v>114</v>
      </c>
    </row>
    <row r="1071" spans="1:6">
      <c r="A1071" s="35">
        <v>76054</v>
      </c>
      <c r="B1071" s="36" t="s">
        <v>595</v>
      </c>
      <c r="C1071" s="37" t="s">
        <v>208</v>
      </c>
      <c r="D1071" s="37" t="s">
        <v>130</v>
      </c>
      <c r="E1071" s="37" t="s">
        <v>115</v>
      </c>
      <c r="F1071" s="38" t="s">
        <v>114</v>
      </c>
    </row>
    <row r="1072" spans="1:6">
      <c r="A1072" s="35">
        <v>76100</v>
      </c>
      <c r="B1072" s="36" t="s">
        <v>343</v>
      </c>
      <c r="C1072" s="37" t="s">
        <v>208</v>
      </c>
      <c r="D1072" s="37" t="s">
        <v>130</v>
      </c>
      <c r="E1072" s="37" t="s">
        <v>115</v>
      </c>
      <c r="F1072" s="38" t="s">
        <v>139</v>
      </c>
    </row>
    <row r="1073" spans="1:6">
      <c r="A1073" s="35">
        <v>76130</v>
      </c>
      <c r="B1073" s="36" t="s">
        <v>388</v>
      </c>
      <c r="C1073" s="37" t="s">
        <v>208</v>
      </c>
      <c r="D1073" s="37" t="s">
        <v>161</v>
      </c>
      <c r="E1073" s="37" t="s">
        <v>115</v>
      </c>
      <c r="F1073" s="38" t="s">
        <v>139</v>
      </c>
    </row>
    <row r="1074" spans="1:6">
      <c r="A1074" s="35">
        <v>76400</v>
      </c>
      <c r="B1074" s="36" t="s">
        <v>606</v>
      </c>
      <c r="C1074" s="37" t="s">
        <v>208</v>
      </c>
      <c r="D1074" s="37" t="s">
        <v>130</v>
      </c>
      <c r="E1074" s="37" t="s">
        <v>115</v>
      </c>
      <c r="F1074" s="38" t="s">
        <v>139</v>
      </c>
    </row>
    <row r="1075" spans="1:6">
      <c r="A1075" s="35">
        <v>76403</v>
      </c>
      <c r="B1075" s="36" t="s">
        <v>581</v>
      </c>
      <c r="C1075" s="37" t="s">
        <v>208</v>
      </c>
      <c r="D1075" s="37" t="s">
        <v>130</v>
      </c>
      <c r="E1075" s="37" t="s">
        <v>115</v>
      </c>
      <c r="F1075" s="38" t="s">
        <v>139</v>
      </c>
    </row>
    <row r="1076" spans="1:6">
      <c r="A1076" s="35">
        <v>76606</v>
      </c>
      <c r="B1076" s="36" t="s">
        <v>1255</v>
      </c>
      <c r="C1076" s="37" t="s">
        <v>208</v>
      </c>
      <c r="D1076" s="37" t="s">
        <v>161</v>
      </c>
      <c r="E1076" s="37" t="s">
        <v>115</v>
      </c>
      <c r="F1076" s="38" t="s">
        <v>139</v>
      </c>
    </row>
    <row r="1077" spans="1:6">
      <c r="A1077" s="35">
        <v>76670</v>
      </c>
      <c r="B1077" s="36" t="s">
        <v>209</v>
      </c>
      <c r="C1077" s="37" t="s">
        <v>208</v>
      </c>
      <c r="D1077" s="37" t="s">
        <v>161</v>
      </c>
      <c r="E1077" s="37" t="s">
        <v>115</v>
      </c>
      <c r="F1077" s="38" t="s">
        <v>139</v>
      </c>
    </row>
    <row r="1078" spans="1:6">
      <c r="A1078" s="35">
        <v>76020</v>
      </c>
      <c r="B1078" s="37" t="s">
        <v>1529</v>
      </c>
      <c r="C1078" s="37" t="s">
        <v>208</v>
      </c>
      <c r="D1078" s="37" t="s">
        <v>130</v>
      </c>
      <c r="E1078" s="37" t="s">
        <v>115</v>
      </c>
      <c r="F1078" s="38" t="s">
        <v>139</v>
      </c>
    </row>
    <row r="1079" spans="1:6">
      <c r="A1079" s="35">
        <v>76036</v>
      </c>
      <c r="B1079" s="37" t="s">
        <v>1530</v>
      </c>
      <c r="C1079" s="37" t="s">
        <v>208</v>
      </c>
      <c r="D1079" s="37" t="s">
        <v>161</v>
      </c>
      <c r="E1079" s="37" t="s">
        <v>115</v>
      </c>
      <c r="F1079" s="38" t="s">
        <v>139</v>
      </c>
    </row>
    <row r="1080" spans="1:6">
      <c r="A1080" s="35">
        <v>76041</v>
      </c>
      <c r="B1080" s="37" t="s">
        <v>1531</v>
      </c>
      <c r="C1080" s="37" t="s">
        <v>208</v>
      </c>
      <c r="D1080" s="37" t="s">
        <v>130</v>
      </c>
      <c r="E1080" s="37" t="s">
        <v>115</v>
      </c>
      <c r="F1080" s="38" t="s">
        <v>139</v>
      </c>
    </row>
    <row r="1081" spans="1:6">
      <c r="A1081" s="35">
        <v>76109</v>
      </c>
      <c r="B1081" s="37" t="s">
        <v>1532</v>
      </c>
      <c r="C1081" s="37" t="s">
        <v>208</v>
      </c>
      <c r="D1081" s="37" t="s">
        <v>161</v>
      </c>
      <c r="E1081" s="37" t="s">
        <v>115</v>
      </c>
      <c r="F1081" s="38" t="s">
        <v>114</v>
      </c>
    </row>
    <row r="1082" spans="1:6">
      <c r="A1082" s="35">
        <v>76113</v>
      </c>
      <c r="B1082" s="37" t="s">
        <v>1533</v>
      </c>
      <c r="C1082" s="37" t="s">
        <v>208</v>
      </c>
      <c r="D1082" s="37" t="s">
        <v>161</v>
      </c>
      <c r="E1082" s="37" t="s">
        <v>115</v>
      </c>
      <c r="F1082" s="38" t="s">
        <v>139</v>
      </c>
    </row>
    <row r="1083" spans="1:6">
      <c r="A1083" s="35">
        <v>76122</v>
      </c>
      <c r="B1083" s="37" t="s">
        <v>1534</v>
      </c>
      <c r="C1083" s="37" t="s">
        <v>208</v>
      </c>
      <c r="D1083" s="37" t="s">
        <v>130</v>
      </c>
      <c r="E1083" s="37" t="s">
        <v>115</v>
      </c>
      <c r="F1083" s="38" t="s">
        <v>139</v>
      </c>
    </row>
    <row r="1084" spans="1:6">
      <c r="A1084" s="35">
        <v>76001</v>
      </c>
      <c r="B1084" s="37" t="s">
        <v>161</v>
      </c>
      <c r="C1084" s="37" t="s">
        <v>208</v>
      </c>
      <c r="D1084" s="37" t="s">
        <v>161</v>
      </c>
      <c r="E1084" s="37" t="s">
        <v>115</v>
      </c>
      <c r="F1084" s="38" t="s">
        <v>150</v>
      </c>
    </row>
    <row r="1085" spans="1:6">
      <c r="A1085" s="35">
        <v>76126</v>
      </c>
      <c r="B1085" s="37" t="s">
        <v>1535</v>
      </c>
      <c r="C1085" s="37" t="s">
        <v>208</v>
      </c>
      <c r="D1085" s="37" t="s">
        <v>161</v>
      </c>
      <c r="E1085" s="37" t="s">
        <v>115</v>
      </c>
      <c r="F1085" s="38" t="s">
        <v>139</v>
      </c>
    </row>
    <row r="1086" spans="1:6">
      <c r="A1086" s="35">
        <v>76147</v>
      </c>
      <c r="B1086" s="37" t="s">
        <v>1536</v>
      </c>
      <c r="C1086" s="37" t="s">
        <v>208</v>
      </c>
      <c r="D1086" s="37" t="s">
        <v>130</v>
      </c>
      <c r="E1086" s="37" t="s">
        <v>115</v>
      </c>
      <c r="F1086" s="38" t="s">
        <v>150</v>
      </c>
    </row>
    <row r="1087" spans="1:6">
      <c r="A1087" s="35">
        <v>76233</v>
      </c>
      <c r="B1087" s="37" t="s">
        <v>1537</v>
      </c>
      <c r="C1087" s="37" t="s">
        <v>208</v>
      </c>
      <c r="D1087" s="37" t="s">
        <v>161</v>
      </c>
      <c r="E1087" s="37" t="s">
        <v>115</v>
      </c>
      <c r="F1087" s="38" t="s">
        <v>139</v>
      </c>
    </row>
    <row r="1088" spans="1:6">
      <c r="A1088" s="35">
        <v>76243</v>
      </c>
      <c r="B1088" s="37" t="s">
        <v>1538</v>
      </c>
      <c r="C1088" s="37" t="s">
        <v>208</v>
      </c>
      <c r="D1088" s="37" t="s">
        <v>130</v>
      </c>
      <c r="E1088" s="37" t="s">
        <v>115</v>
      </c>
      <c r="F1088" s="38" t="s">
        <v>114</v>
      </c>
    </row>
    <row r="1089" spans="1:6">
      <c r="A1089" s="35">
        <v>76246</v>
      </c>
      <c r="B1089" s="37" t="s">
        <v>1539</v>
      </c>
      <c r="C1089" s="37" t="s">
        <v>208</v>
      </c>
      <c r="D1089" s="37" t="s">
        <v>130</v>
      </c>
      <c r="E1089" s="37" t="s">
        <v>115</v>
      </c>
      <c r="F1089" s="38" t="s">
        <v>114</v>
      </c>
    </row>
    <row r="1090" spans="1:6">
      <c r="A1090" s="35">
        <v>76248</v>
      </c>
      <c r="B1090" s="37" t="s">
        <v>1540</v>
      </c>
      <c r="C1090" s="37" t="s">
        <v>208</v>
      </c>
      <c r="D1090" s="37" t="s">
        <v>161</v>
      </c>
      <c r="E1090" s="37" t="s">
        <v>115</v>
      </c>
      <c r="F1090" s="38" t="s">
        <v>139</v>
      </c>
    </row>
    <row r="1091" spans="1:6">
      <c r="A1091" s="35">
        <v>76250</v>
      </c>
      <c r="B1091" s="37" t="s">
        <v>1541</v>
      </c>
      <c r="C1091" s="37" t="s">
        <v>208</v>
      </c>
      <c r="D1091" s="37" t="s">
        <v>130</v>
      </c>
      <c r="E1091" s="37" t="s">
        <v>115</v>
      </c>
      <c r="F1091" s="38" t="s">
        <v>139</v>
      </c>
    </row>
    <row r="1092" spans="1:6">
      <c r="A1092" s="35">
        <v>76275</v>
      </c>
      <c r="B1092" s="37" t="s">
        <v>1542</v>
      </c>
      <c r="C1092" s="37" t="s">
        <v>208</v>
      </c>
      <c r="D1092" s="37" t="s">
        <v>161</v>
      </c>
      <c r="E1092" s="37" t="s">
        <v>115</v>
      </c>
      <c r="F1092" s="38" t="s">
        <v>139</v>
      </c>
    </row>
    <row r="1093" spans="1:6">
      <c r="A1093" s="35">
        <v>76306</v>
      </c>
      <c r="B1093" s="37" t="s">
        <v>1543</v>
      </c>
      <c r="C1093" s="37" t="s">
        <v>208</v>
      </c>
      <c r="D1093" s="37" t="s">
        <v>161</v>
      </c>
      <c r="E1093" s="37" t="s">
        <v>115</v>
      </c>
      <c r="F1093" s="38" t="s">
        <v>139</v>
      </c>
    </row>
    <row r="1094" spans="1:6">
      <c r="A1094" s="35">
        <v>76318</v>
      </c>
      <c r="B1094" s="37" t="s">
        <v>1544</v>
      </c>
      <c r="C1094" s="37" t="s">
        <v>208</v>
      </c>
      <c r="D1094" s="37" t="s">
        <v>161</v>
      </c>
      <c r="E1094" s="37" t="s">
        <v>115</v>
      </c>
      <c r="F1094" s="38" t="s">
        <v>139</v>
      </c>
    </row>
    <row r="1095" spans="1:6">
      <c r="A1095" s="35">
        <v>76111</v>
      </c>
      <c r="B1095" s="37" t="s">
        <v>415</v>
      </c>
      <c r="C1095" s="37" t="s">
        <v>208</v>
      </c>
      <c r="D1095" s="37" t="s">
        <v>161</v>
      </c>
      <c r="E1095" s="37" t="s">
        <v>115</v>
      </c>
      <c r="F1095" s="38" t="s">
        <v>139</v>
      </c>
    </row>
    <row r="1096" spans="1:6">
      <c r="A1096" s="35">
        <v>76364</v>
      </c>
      <c r="B1096" s="37" t="s">
        <v>1545</v>
      </c>
      <c r="C1096" s="37" t="s">
        <v>208</v>
      </c>
      <c r="D1096" s="37" t="s">
        <v>161</v>
      </c>
      <c r="E1096" s="37" t="s">
        <v>115</v>
      </c>
      <c r="F1096" s="38" t="s">
        <v>139</v>
      </c>
    </row>
    <row r="1097" spans="1:6">
      <c r="A1097" s="35">
        <v>76377</v>
      </c>
      <c r="B1097" s="37" t="s">
        <v>1546</v>
      </c>
      <c r="C1097" s="37" t="s">
        <v>208</v>
      </c>
      <c r="D1097" s="37" t="s">
        <v>161</v>
      </c>
      <c r="E1097" s="37" t="s">
        <v>115</v>
      </c>
      <c r="F1097" s="38" t="s">
        <v>139</v>
      </c>
    </row>
    <row r="1098" spans="1:6">
      <c r="A1098" s="35">
        <v>76497</v>
      </c>
      <c r="B1098" s="37" t="s">
        <v>1547</v>
      </c>
      <c r="C1098" s="37" t="s">
        <v>208</v>
      </c>
      <c r="D1098" s="37" t="s">
        <v>130</v>
      </c>
      <c r="E1098" s="37" t="s">
        <v>115</v>
      </c>
      <c r="F1098" s="38" t="s">
        <v>139</v>
      </c>
    </row>
    <row r="1099" spans="1:6">
      <c r="A1099" s="35">
        <v>76520</v>
      </c>
      <c r="B1099" s="37" t="s">
        <v>231</v>
      </c>
      <c r="C1099" s="37" t="s">
        <v>208</v>
      </c>
      <c r="D1099" s="37" t="s">
        <v>161</v>
      </c>
      <c r="E1099" s="37" t="s">
        <v>115</v>
      </c>
      <c r="F1099" s="38" t="s">
        <v>150</v>
      </c>
    </row>
    <row r="1100" spans="1:6">
      <c r="A1100" s="35">
        <v>76563</v>
      </c>
      <c r="B1100" s="37" t="s">
        <v>1548</v>
      </c>
      <c r="C1100" s="37" t="s">
        <v>208</v>
      </c>
      <c r="D1100" s="37" t="s">
        <v>161</v>
      </c>
      <c r="E1100" s="37" t="s">
        <v>115</v>
      </c>
      <c r="F1100" s="38" t="s">
        <v>139</v>
      </c>
    </row>
    <row r="1101" spans="1:6">
      <c r="A1101" s="35">
        <v>76616</v>
      </c>
      <c r="B1101" s="37" t="s">
        <v>1549</v>
      </c>
      <c r="C1101" s="37" t="s">
        <v>208</v>
      </c>
      <c r="D1101" s="37" t="s">
        <v>161</v>
      </c>
      <c r="E1101" s="37" t="s">
        <v>115</v>
      </c>
      <c r="F1101" s="38" t="s">
        <v>139</v>
      </c>
    </row>
    <row r="1102" spans="1:6">
      <c r="A1102" s="35">
        <v>76622</v>
      </c>
      <c r="B1102" s="37" t="s">
        <v>1550</v>
      </c>
      <c r="C1102" s="37" t="s">
        <v>208</v>
      </c>
      <c r="D1102" s="37" t="s">
        <v>130</v>
      </c>
      <c r="E1102" s="37" t="s">
        <v>115</v>
      </c>
      <c r="F1102" s="38" t="s">
        <v>114</v>
      </c>
    </row>
    <row r="1103" spans="1:6">
      <c r="A1103" s="35">
        <v>76736</v>
      </c>
      <c r="B1103" s="37" t="s">
        <v>1551</v>
      </c>
      <c r="C1103" s="37" t="s">
        <v>208</v>
      </c>
      <c r="D1103" s="37" t="s">
        <v>130</v>
      </c>
      <c r="E1103" s="37" t="s">
        <v>115</v>
      </c>
      <c r="F1103" s="38" t="s">
        <v>139</v>
      </c>
    </row>
    <row r="1104" spans="1:6">
      <c r="A1104" s="35">
        <v>76823</v>
      </c>
      <c r="B1104" s="37" t="s">
        <v>483</v>
      </c>
      <c r="C1104" s="37" t="s">
        <v>208</v>
      </c>
      <c r="D1104" s="37" t="s">
        <v>130</v>
      </c>
      <c r="E1104" s="37" t="s">
        <v>115</v>
      </c>
      <c r="F1104" s="38" t="s">
        <v>139</v>
      </c>
    </row>
    <row r="1105" spans="1:6">
      <c r="A1105" s="35">
        <v>76828</v>
      </c>
      <c r="B1105" s="37" t="s">
        <v>1552</v>
      </c>
      <c r="C1105" s="37" t="s">
        <v>208</v>
      </c>
      <c r="D1105" s="37" t="s">
        <v>130</v>
      </c>
      <c r="E1105" s="37" t="s">
        <v>115</v>
      </c>
      <c r="F1105" s="38" t="s">
        <v>139</v>
      </c>
    </row>
    <row r="1106" spans="1:6">
      <c r="A1106" s="35">
        <v>76834</v>
      </c>
      <c r="B1106" s="37" t="s">
        <v>1553</v>
      </c>
      <c r="C1106" s="37" t="s">
        <v>208</v>
      </c>
      <c r="D1106" s="37" t="s">
        <v>161</v>
      </c>
      <c r="E1106" s="37" t="s">
        <v>115</v>
      </c>
      <c r="F1106" s="38" t="s">
        <v>139</v>
      </c>
    </row>
    <row r="1107" spans="1:6">
      <c r="A1107" s="35">
        <v>76845</v>
      </c>
      <c r="B1107" s="37" t="s">
        <v>1554</v>
      </c>
      <c r="C1107" s="37" t="s">
        <v>208</v>
      </c>
      <c r="D1107" s="37" t="s">
        <v>130</v>
      </c>
      <c r="E1107" s="37" t="s">
        <v>115</v>
      </c>
      <c r="F1107" s="38" t="s">
        <v>139</v>
      </c>
    </row>
    <row r="1108" spans="1:6">
      <c r="A1108" s="35">
        <v>76863</v>
      </c>
      <c r="B1108" s="37" t="s">
        <v>1555</v>
      </c>
      <c r="C1108" s="37" t="s">
        <v>208</v>
      </c>
      <c r="D1108" s="37" t="s">
        <v>130</v>
      </c>
      <c r="E1108" s="37" t="s">
        <v>115</v>
      </c>
      <c r="F1108" s="38" t="s">
        <v>114</v>
      </c>
    </row>
    <row r="1109" spans="1:6">
      <c r="A1109" s="35">
        <v>76869</v>
      </c>
      <c r="B1109" s="37" t="s">
        <v>1556</v>
      </c>
      <c r="C1109" s="37" t="s">
        <v>208</v>
      </c>
      <c r="D1109" s="37" t="s">
        <v>161</v>
      </c>
      <c r="E1109" s="37" t="s">
        <v>115</v>
      </c>
      <c r="F1109" s="38" t="s">
        <v>139</v>
      </c>
    </row>
    <row r="1110" spans="1:6">
      <c r="A1110" s="35">
        <v>76890</v>
      </c>
      <c r="B1110" s="37" t="s">
        <v>1557</v>
      </c>
      <c r="C1110" s="37" t="s">
        <v>208</v>
      </c>
      <c r="D1110" s="37" t="s">
        <v>161</v>
      </c>
      <c r="E1110" s="37" t="s">
        <v>115</v>
      </c>
      <c r="F1110" s="38" t="s">
        <v>139</v>
      </c>
    </row>
    <row r="1111" spans="1:6">
      <c r="A1111" s="35">
        <v>76892</v>
      </c>
      <c r="B1111" s="37" t="s">
        <v>1558</v>
      </c>
      <c r="C1111" s="37" t="s">
        <v>208</v>
      </c>
      <c r="D1111" s="37" t="s">
        <v>161</v>
      </c>
      <c r="E1111" s="37" t="s">
        <v>115</v>
      </c>
      <c r="F1111" s="38" t="s">
        <v>150</v>
      </c>
    </row>
    <row r="1112" spans="1:6">
      <c r="A1112" s="35">
        <v>76895</v>
      </c>
      <c r="B1112" s="37" t="s">
        <v>1559</v>
      </c>
      <c r="C1112" s="37" t="s">
        <v>208</v>
      </c>
      <c r="D1112" s="37" t="s">
        <v>130</v>
      </c>
      <c r="E1112" s="37" t="s">
        <v>115</v>
      </c>
      <c r="F1112" s="38" t="s">
        <v>114</v>
      </c>
    </row>
    <row r="1113" spans="1:6">
      <c r="A1113" s="35">
        <v>97161</v>
      </c>
      <c r="B1113" s="37" t="s">
        <v>1560</v>
      </c>
      <c r="C1113" s="37" t="s">
        <v>1561</v>
      </c>
      <c r="D1113" s="37" t="s">
        <v>248</v>
      </c>
      <c r="E1113" s="37" t="s">
        <v>583</v>
      </c>
      <c r="F1113" s="38" t="s">
        <v>584</v>
      </c>
    </row>
    <row r="1114" spans="1:6">
      <c r="A1114" s="35">
        <v>97001</v>
      </c>
      <c r="B1114" s="37" t="s">
        <v>1562</v>
      </c>
      <c r="C1114" s="37" t="s">
        <v>1561</v>
      </c>
      <c r="D1114" s="37" t="s">
        <v>170</v>
      </c>
      <c r="E1114" s="37" t="s">
        <v>583</v>
      </c>
      <c r="F1114" s="38" t="s">
        <v>584</v>
      </c>
    </row>
    <row r="1115" spans="1:6">
      <c r="A1115" s="35">
        <v>97511</v>
      </c>
      <c r="B1115" s="37" t="s">
        <v>1563</v>
      </c>
      <c r="C1115" s="37" t="s">
        <v>1561</v>
      </c>
      <c r="D1115" s="37" t="s">
        <v>248</v>
      </c>
      <c r="E1115" s="37" t="s">
        <v>583</v>
      </c>
      <c r="F1115" s="38" t="s">
        <v>584</v>
      </c>
    </row>
    <row r="1116" spans="1:6">
      <c r="A1116" s="35">
        <v>97777</v>
      </c>
      <c r="B1116" s="37" t="s">
        <v>1564</v>
      </c>
      <c r="C1116" s="37" t="s">
        <v>1561</v>
      </c>
      <c r="D1116" s="37" t="s">
        <v>248</v>
      </c>
      <c r="E1116" s="37" t="s">
        <v>583</v>
      </c>
      <c r="F1116" s="38" t="s">
        <v>584</v>
      </c>
    </row>
    <row r="1117" spans="1:6">
      <c r="A1117" s="35">
        <v>97666</v>
      </c>
      <c r="B1117" s="37" t="s">
        <v>1565</v>
      </c>
      <c r="C1117" s="37" t="s">
        <v>1561</v>
      </c>
      <c r="D1117" s="37" t="s">
        <v>248</v>
      </c>
      <c r="E1117" s="37" t="s">
        <v>583</v>
      </c>
      <c r="F1117" s="38" t="s">
        <v>584</v>
      </c>
    </row>
    <row r="1118" spans="1:6">
      <c r="A1118" s="35">
        <v>97889</v>
      </c>
      <c r="B1118" s="37" t="s">
        <v>1566</v>
      </c>
      <c r="C1118" s="37" t="s">
        <v>1561</v>
      </c>
      <c r="D1118" s="37" t="s">
        <v>248</v>
      </c>
      <c r="E1118" s="37" t="s">
        <v>583</v>
      </c>
      <c r="F1118" s="38" t="s">
        <v>584</v>
      </c>
    </row>
    <row r="1119" spans="1:6">
      <c r="A1119" s="35">
        <v>99773</v>
      </c>
      <c r="B1119" s="37" t="s">
        <v>1567</v>
      </c>
      <c r="C1119" s="37" t="s">
        <v>1568</v>
      </c>
      <c r="D1119" s="37" t="s">
        <v>248</v>
      </c>
      <c r="E1119" s="37" t="s">
        <v>583</v>
      </c>
      <c r="F1119" s="38" t="s">
        <v>584</v>
      </c>
    </row>
    <row r="1120" spans="1:6">
      <c r="A1120" s="35">
        <v>99524</v>
      </c>
      <c r="B1120" s="37" t="s">
        <v>1569</v>
      </c>
      <c r="C1120" s="37" t="s">
        <v>1568</v>
      </c>
      <c r="D1120" s="37" t="s">
        <v>248</v>
      </c>
      <c r="E1120" s="37" t="s">
        <v>583</v>
      </c>
      <c r="F1120" s="38" t="s">
        <v>584</v>
      </c>
    </row>
    <row r="1121" spans="1:6">
      <c r="A1121" s="35">
        <v>99001</v>
      </c>
      <c r="B1121" s="37" t="s">
        <v>1570</v>
      </c>
      <c r="C1121" s="37" t="s">
        <v>1568</v>
      </c>
      <c r="D1121" s="37" t="s">
        <v>170</v>
      </c>
      <c r="E1121" s="37" t="s">
        <v>583</v>
      </c>
      <c r="F1121" s="38" t="s">
        <v>584</v>
      </c>
    </row>
    <row r="1122" spans="1:6">
      <c r="A1122" s="35">
        <v>99624</v>
      </c>
      <c r="B1122" s="37" t="s">
        <v>1571</v>
      </c>
      <c r="C1122" s="37" t="s">
        <v>1568</v>
      </c>
      <c r="D1122" s="37" t="s">
        <v>248</v>
      </c>
      <c r="E1122" s="37" t="s">
        <v>583</v>
      </c>
      <c r="F1122" s="38" t="s">
        <v>584</v>
      </c>
    </row>
    <row r="1123" spans="1:6">
      <c r="A1123" s="35">
        <v>23815</v>
      </c>
      <c r="B1123" s="37" t="s">
        <v>1572</v>
      </c>
      <c r="C1123" s="37" t="s">
        <v>292</v>
      </c>
      <c r="D1123" s="37" t="s">
        <v>290</v>
      </c>
      <c r="E1123" s="37" t="s">
        <v>115</v>
      </c>
      <c r="F1123" s="38" t="s">
        <v>114</v>
      </c>
    </row>
    <row r="1124" spans="1:6">
      <c r="A1124" s="35">
        <v>23682</v>
      </c>
      <c r="B1124" s="37" t="s">
        <v>1573</v>
      </c>
      <c r="C1124" s="37" t="s">
        <v>292</v>
      </c>
      <c r="D1124" s="37" t="s">
        <v>290</v>
      </c>
      <c r="E1124" s="37" t="s">
        <v>115</v>
      </c>
      <c r="F1124" s="38" t="s">
        <v>114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39997558519241921"/>
  </sheetPr>
  <dimension ref="A1:AG210"/>
  <sheetViews>
    <sheetView topLeftCell="M1" zoomScaleNormal="100" workbookViewId="0">
      <pane ySplit="1" topLeftCell="Z2" activePane="bottomLeft" state="frozen"/>
      <selection pane="bottomLeft" activeCell="AA4" sqref="AA4:AA5"/>
    </sheetView>
  </sheetViews>
  <sheetFormatPr defaultColWidth="11.42578125" defaultRowHeight="13.15"/>
  <cols>
    <col min="1" max="1" width="15.42578125" style="80" bestFit="1" customWidth="1"/>
    <col min="2" max="3" width="11.42578125" style="80"/>
    <col min="4" max="6" width="11.7109375" style="80" bestFit="1" customWidth="1"/>
    <col min="7" max="7" width="12.7109375" style="80" bestFit="1" customWidth="1"/>
    <col min="8" max="10" width="11.5703125" style="80" bestFit="1" customWidth="1"/>
    <col min="11" max="12" width="11.42578125" style="80"/>
    <col min="13" max="13" width="17.5703125" style="80" bestFit="1" customWidth="1"/>
    <col min="14" max="14" width="17.28515625" style="80" customWidth="1"/>
    <col min="15" max="15" width="11.5703125" style="80" bestFit="1" customWidth="1"/>
    <col min="16" max="20" width="11.42578125" style="80"/>
    <col min="21" max="21" width="12.7109375" style="80" bestFit="1" customWidth="1"/>
    <col min="22" max="26" width="11.42578125" style="80"/>
    <col min="27" max="31" width="11.7109375" style="80" bestFit="1" customWidth="1"/>
    <col min="32" max="32" width="12.5703125" style="80" bestFit="1" customWidth="1"/>
    <col min="33" max="33" width="13.28515625" style="77" bestFit="1" customWidth="1"/>
    <col min="34" max="16384" width="11.42578125" style="77"/>
  </cols>
  <sheetData>
    <row r="1" spans="1:33" s="75" customFormat="1" ht="79.150000000000006">
      <c r="A1" s="91" t="s">
        <v>71</v>
      </c>
      <c r="B1" s="91" t="s">
        <v>43</v>
      </c>
      <c r="C1" s="91" t="s">
        <v>44</v>
      </c>
      <c r="D1" s="91" t="s">
        <v>72</v>
      </c>
      <c r="E1" s="91" t="s">
        <v>73</v>
      </c>
      <c r="F1" s="91" t="s">
        <v>74</v>
      </c>
      <c r="G1" s="57" t="s">
        <v>75</v>
      </c>
      <c r="H1" s="91" t="s">
        <v>77</v>
      </c>
      <c r="I1" s="91" t="s">
        <v>78</v>
      </c>
      <c r="J1" s="91" t="s">
        <v>79</v>
      </c>
      <c r="K1" s="91" t="s">
        <v>80</v>
      </c>
      <c r="L1" s="91" t="s">
        <v>81</v>
      </c>
      <c r="M1" s="116" t="s">
        <v>1574</v>
      </c>
      <c r="N1" s="116" t="s">
        <v>1575</v>
      </c>
      <c r="O1" s="116" t="s">
        <v>1576</v>
      </c>
      <c r="P1" s="117" t="s">
        <v>1577</v>
      </c>
      <c r="Q1" s="117" t="s">
        <v>1578</v>
      </c>
      <c r="R1" s="117" t="s">
        <v>1579</v>
      </c>
      <c r="S1" s="116" t="s">
        <v>84</v>
      </c>
      <c r="T1" s="116" t="s">
        <v>85</v>
      </c>
      <c r="U1" s="59" t="s">
        <v>86</v>
      </c>
      <c r="V1" s="60" t="s">
        <v>1580</v>
      </c>
      <c r="W1" s="91" t="s">
        <v>88</v>
      </c>
      <c r="X1" s="116" t="s">
        <v>1581</v>
      </c>
      <c r="Y1" s="58" t="s">
        <v>90</v>
      </c>
      <c r="Z1" s="58" t="s">
        <v>91</v>
      </c>
      <c r="AA1" s="59" t="s">
        <v>92</v>
      </c>
      <c r="AB1" s="91" t="s">
        <v>1582</v>
      </c>
      <c r="AC1" s="116" t="s">
        <v>1583</v>
      </c>
      <c r="AD1" s="116" t="s">
        <v>1584</v>
      </c>
      <c r="AE1" s="118" t="s">
        <v>95</v>
      </c>
      <c r="AF1" s="58" t="s">
        <v>97</v>
      </c>
      <c r="AG1" s="58" t="s">
        <v>1585</v>
      </c>
    </row>
    <row r="2" spans="1:33" s="4" customFormat="1">
      <c r="A2" s="61" t="s">
        <v>222</v>
      </c>
      <c r="B2" s="56" t="str">
        <f>VLOOKUP(A2,'CENTRO DE COSTOS'!A:D,4,FALSE)</f>
        <v>MIGUEL JULIÁN HERNÁNDEZ GUARÍN</v>
      </c>
      <c r="C2" s="56" t="str">
        <f>VLOOKUP(A2,'CENTRO DE COSTOS'!A:D,2,FALSE)</f>
        <v>0004-0008</v>
      </c>
      <c r="D2" s="61">
        <v>54001</v>
      </c>
      <c r="E2" s="61">
        <v>2373443</v>
      </c>
      <c r="F2" s="61">
        <v>74274</v>
      </c>
      <c r="G2" s="56" t="s">
        <v>1586</v>
      </c>
      <c r="H2" s="61" t="s">
        <v>224</v>
      </c>
      <c r="I2" s="61" t="s">
        <v>222</v>
      </c>
      <c r="J2" s="61" t="s">
        <v>1587</v>
      </c>
      <c r="K2" s="56" t="s">
        <v>107</v>
      </c>
      <c r="L2" s="61" t="s">
        <v>1588</v>
      </c>
      <c r="M2" s="119">
        <v>45839.407638888886</v>
      </c>
      <c r="N2" s="119">
        <v>45839.621527777781</v>
      </c>
      <c r="O2" s="84" t="s">
        <v>1589</v>
      </c>
      <c r="P2" s="84" t="s">
        <v>1590</v>
      </c>
      <c r="Q2" s="84" t="s">
        <v>1591</v>
      </c>
      <c r="R2" s="84" t="s">
        <v>1592</v>
      </c>
      <c r="S2" s="61" t="s">
        <v>1593</v>
      </c>
      <c r="T2" s="56"/>
      <c r="U2" s="61" t="s">
        <v>1594</v>
      </c>
      <c r="V2" s="120" t="s">
        <v>1595</v>
      </c>
      <c r="W2" s="61" t="s">
        <v>1596</v>
      </c>
      <c r="X2" s="61" t="s">
        <v>1597</v>
      </c>
      <c r="Y2" s="61" t="s">
        <v>150</v>
      </c>
      <c r="Z2" s="61" t="s">
        <v>115</v>
      </c>
      <c r="AA2" s="61" t="s">
        <v>1598</v>
      </c>
      <c r="AB2" s="61">
        <v>1</v>
      </c>
      <c r="AC2" s="61">
        <v>0</v>
      </c>
      <c r="AD2" s="61">
        <v>0</v>
      </c>
      <c r="AE2" s="61">
        <v>0</v>
      </c>
      <c r="AF2" s="71">
        <f>IF(W2="SOPORTE_TELEFÓNICO",'BASE LIQUIDACION'!$B$10,IF(Y2="TIPO I",'BASE LIQUIDACION'!$C$3,IF(Y2="TIPO II",'BASE LIQUIDACION'!$C$4,IF(Y2="TIPO III",'BASE LIQUIDACION'!$C$5,'BASE LIQUIDACION'!$C$7))))</f>
        <v>65960.473639999997</v>
      </c>
      <c r="AG2" s="72">
        <f>IF(W2="SOPORTE_TELEFÓNICO",'BASE LIQUIDACION'!$B$10,(AB2*AF2+AC2*'BASE LIQUIDACION'!$B$12+AD2*'BASE LIQUIDACION'!$B$11+INCIDENTES!AE2*'BASE LIQUIDACION'!$B$13))</f>
        <v>65960.473639999997</v>
      </c>
    </row>
    <row r="3" spans="1:33" s="4" customFormat="1">
      <c r="A3" s="61" t="s">
        <v>179</v>
      </c>
      <c r="B3" s="56" t="str">
        <f>VLOOKUP(A3,'CENTRO DE COSTOS'!A:D,4,FALSE)</f>
        <v>KEVIN ALEXIS CORZO BUSTOS</v>
      </c>
      <c r="C3" s="56" t="str">
        <f>VLOOKUP(A3,'CENTRO DE COSTOS'!A:D,2,FALSE)</f>
        <v>0004-0007</v>
      </c>
      <c r="D3" s="61">
        <v>18001</v>
      </c>
      <c r="E3" s="61">
        <v>2373754</v>
      </c>
      <c r="F3" s="61">
        <v>76544</v>
      </c>
      <c r="G3" s="56" t="s">
        <v>1586</v>
      </c>
      <c r="H3" s="61" t="s">
        <v>181</v>
      </c>
      <c r="I3" s="61" t="s">
        <v>182</v>
      </c>
      <c r="J3" s="61" t="s">
        <v>1599</v>
      </c>
      <c r="K3" s="56" t="s">
        <v>107</v>
      </c>
      <c r="L3" s="61" t="s">
        <v>1600</v>
      </c>
      <c r="M3" s="119">
        <v>45839.416666666664</v>
      </c>
      <c r="N3" s="119">
        <v>45839.63958333333</v>
      </c>
      <c r="O3" s="84" t="s">
        <v>1589</v>
      </c>
      <c r="P3" s="84" t="s">
        <v>1590</v>
      </c>
      <c r="Q3" s="84" t="s">
        <v>1601</v>
      </c>
      <c r="R3" s="84" t="s">
        <v>1602</v>
      </c>
      <c r="S3" s="61" t="s">
        <v>145</v>
      </c>
      <c r="T3" s="56"/>
      <c r="U3" s="61" t="s">
        <v>1594</v>
      </c>
      <c r="V3" s="120" t="s">
        <v>1603</v>
      </c>
      <c r="W3" s="61" t="s">
        <v>1596</v>
      </c>
      <c r="X3" s="61" t="s">
        <v>1604</v>
      </c>
      <c r="Y3" s="61" t="s">
        <v>128</v>
      </c>
      <c r="Z3" s="61" t="s">
        <v>115</v>
      </c>
      <c r="AA3" s="61" t="s">
        <v>187</v>
      </c>
      <c r="AB3" s="61">
        <v>1</v>
      </c>
      <c r="AC3" s="61">
        <v>0</v>
      </c>
      <c r="AD3" s="61">
        <v>0</v>
      </c>
      <c r="AE3" s="61">
        <v>0</v>
      </c>
      <c r="AF3" s="71">
        <f>IF(W3="SOPORTE_TELEFÓNICO",'BASE LIQUIDACION'!$B$10,IF(Y3="TIPO I",'BASE LIQUIDACION'!$C$3,IF(Y3="TIPO II",'BASE LIQUIDACION'!$C$4,IF(Y3="TIPO III",'BASE LIQUIDACION'!$C$5,'BASE LIQUIDACION'!$C$7))))</f>
        <v>479589.73656000005</v>
      </c>
      <c r="AG3" s="72">
        <f>IF(W3="SOPORTE_TELEFÓNICO",'BASE LIQUIDACION'!$B$10,(AB3*AF3+AC3*'BASE LIQUIDACION'!$B$12+AD3*'BASE LIQUIDACION'!$B$11+INCIDENTES!AE3*'BASE LIQUIDACION'!$B$13))</f>
        <v>479589.73656000005</v>
      </c>
    </row>
    <row r="4" spans="1:33" s="4" customFormat="1">
      <c r="A4" s="61" t="s">
        <v>100</v>
      </c>
      <c r="B4" s="56" t="str">
        <f>VLOOKUP(A4,'CENTRO DE COSTOS'!A:D,4,FALSE)</f>
        <v>JUAN SEBASTIÁN RÍOS CASTRILLÓN</v>
      </c>
      <c r="C4" s="56" t="str">
        <f>VLOOKUP(A4,'CENTRO DE COSTOS'!A:D,2,FALSE)</f>
        <v>0004-0005</v>
      </c>
      <c r="D4" s="61">
        <v>5001</v>
      </c>
      <c r="E4" s="61">
        <v>2376452</v>
      </c>
      <c r="F4" s="61">
        <v>78286</v>
      </c>
      <c r="G4" s="56" t="s">
        <v>1586</v>
      </c>
      <c r="H4" s="61" t="s">
        <v>104</v>
      </c>
      <c r="I4" s="61" t="s">
        <v>100</v>
      </c>
      <c r="J4" s="61" t="s">
        <v>1605</v>
      </c>
      <c r="K4" s="56" t="s">
        <v>107</v>
      </c>
      <c r="L4" s="61" t="s">
        <v>1606</v>
      </c>
      <c r="M4" s="119">
        <v>45839.547222222223</v>
      </c>
      <c r="N4" s="119">
        <v>45839.651388888888</v>
      </c>
      <c r="O4" s="84" t="s">
        <v>1589</v>
      </c>
      <c r="P4" s="84" t="s">
        <v>1590</v>
      </c>
      <c r="Q4" s="84" t="s">
        <v>1607</v>
      </c>
      <c r="R4" s="84" t="s">
        <v>1608</v>
      </c>
      <c r="S4" s="61" t="s">
        <v>1593</v>
      </c>
      <c r="T4" s="56"/>
      <c r="U4" s="61" t="s">
        <v>1594</v>
      </c>
      <c r="V4" s="120" t="s">
        <v>1609</v>
      </c>
      <c r="W4" s="61" t="s">
        <v>1596</v>
      </c>
      <c r="X4" s="61" t="s">
        <v>1610</v>
      </c>
      <c r="Y4" s="61" t="s">
        <v>150</v>
      </c>
      <c r="Z4" s="61" t="s">
        <v>115</v>
      </c>
      <c r="AA4" s="61" t="s">
        <v>1611</v>
      </c>
      <c r="AB4" s="61">
        <v>1</v>
      </c>
      <c r="AC4" s="61">
        <v>0</v>
      </c>
      <c r="AD4" s="61">
        <v>0</v>
      </c>
      <c r="AE4" s="61">
        <v>0</v>
      </c>
      <c r="AF4" s="71">
        <f>IF(W4="SOPORTE_TELEFÓNICO",'BASE LIQUIDACION'!$B$10,IF(Y4="TIPO I",'BASE LIQUIDACION'!$C$3,IF(Y4="TIPO II",'BASE LIQUIDACION'!$C$4,IF(Y4="TIPO III",'BASE LIQUIDACION'!$C$5,'BASE LIQUIDACION'!$C$7))))</f>
        <v>65960.473639999997</v>
      </c>
      <c r="AG4" s="72">
        <f>IF(W4="SOPORTE_TELEFÓNICO",'BASE LIQUIDACION'!$B$10,(AB4*AF4+AC4*'BASE LIQUIDACION'!$B$12+AD4*'BASE LIQUIDACION'!$B$11+INCIDENTES!AE4*'BASE LIQUIDACION'!$B$13))</f>
        <v>65960.473639999997</v>
      </c>
    </row>
    <row r="5" spans="1:33" s="4" customFormat="1">
      <c r="A5" s="61" t="s">
        <v>282</v>
      </c>
      <c r="B5" s="56" t="str">
        <f>VLOOKUP(A5,'CENTRO DE COSTOS'!A:D,4,FALSE)</f>
        <v>JOSE MAURICIO HERNANDEZ ROJAS</v>
      </c>
      <c r="C5" s="56" t="str">
        <f>VLOOKUP(A5,'CENTRO DE COSTOS'!A:D,2,FALSE)</f>
        <v>0004-0001</v>
      </c>
      <c r="D5" s="61">
        <v>20032</v>
      </c>
      <c r="E5" s="61">
        <v>2359858</v>
      </c>
      <c r="F5" s="61">
        <v>12343</v>
      </c>
      <c r="G5" s="56" t="s">
        <v>1586</v>
      </c>
      <c r="H5" s="61" t="s">
        <v>284</v>
      </c>
      <c r="I5" s="61" t="s">
        <v>993</v>
      </c>
      <c r="J5" s="61" t="s">
        <v>1612</v>
      </c>
      <c r="K5" s="56" t="s">
        <v>107</v>
      </c>
      <c r="L5" s="61" t="s">
        <v>1613</v>
      </c>
      <c r="M5" s="119">
        <v>45834.49722222222</v>
      </c>
      <c r="N5" s="119">
        <v>45839.658333333333</v>
      </c>
      <c r="O5" s="84" t="s">
        <v>1589</v>
      </c>
      <c r="P5" s="84" t="s">
        <v>1590</v>
      </c>
      <c r="Q5" s="84" t="s">
        <v>1607</v>
      </c>
      <c r="R5" s="84" t="s">
        <v>1608</v>
      </c>
      <c r="S5" s="61" t="s">
        <v>1593</v>
      </c>
      <c r="T5" s="56"/>
      <c r="U5" s="61" t="s">
        <v>1594</v>
      </c>
      <c r="V5" s="120" t="s">
        <v>1614</v>
      </c>
      <c r="W5" s="61" t="s">
        <v>1615</v>
      </c>
      <c r="X5" s="61">
        <v>0</v>
      </c>
      <c r="Y5" s="61" t="s">
        <v>114</v>
      </c>
      <c r="Z5" s="61" t="s">
        <v>115</v>
      </c>
      <c r="AA5" s="61" t="s">
        <v>1616</v>
      </c>
      <c r="AB5" s="61">
        <v>0</v>
      </c>
      <c r="AC5" s="61">
        <v>0</v>
      </c>
      <c r="AD5" s="61">
        <v>0</v>
      </c>
      <c r="AE5" s="61">
        <v>0</v>
      </c>
      <c r="AF5" s="71">
        <f>IF(W5="SOPORTE_TELEFÓNICO",'BASE LIQUIDACION'!$B$10,IF(Y5="TIPO I",'BASE LIQUIDACION'!$C$3,IF(Y5="TIPO II",'BASE LIQUIDACION'!$C$4,IF(Y5="TIPO III",'BASE LIQUIDACION'!$C$5,'BASE LIQUIDACION'!$C$7))))</f>
        <v>37904.65408</v>
      </c>
      <c r="AG5" s="72">
        <f>IF(W5="SOPORTE_TELEFÓNICO",'BASE LIQUIDACION'!$B$10,(AB5*AF5+AC5*'BASE LIQUIDACION'!$B$12+AD5*'BASE LIQUIDACION'!$B$11+INCIDENTES!AE5*'BASE LIQUIDACION'!$B$13))</f>
        <v>37904.65408</v>
      </c>
    </row>
    <row r="6" spans="1:33" s="4" customFormat="1">
      <c r="A6" s="61" t="s">
        <v>161</v>
      </c>
      <c r="B6" s="56" t="str">
        <f>VLOOKUP(A6,'CENTRO DE COSTOS'!A:D,4,FALSE)</f>
        <v>DIEGO FERNANDO HENAO CARDONA</v>
      </c>
      <c r="C6" s="56" t="str">
        <f>VLOOKUP(A6,'CENTRO DE COSTOS'!A:D,2,FALSE)</f>
        <v>0004-0003</v>
      </c>
      <c r="D6" s="61">
        <v>76111</v>
      </c>
      <c r="E6" s="61">
        <v>2379555</v>
      </c>
      <c r="F6" s="61">
        <v>15527</v>
      </c>
      <c r="G6" s="56" t="s">
        <v>1586</v>
      </c>
      <c r="H6" s="61" t="s">
        <v>208</v>
      </c>
      <c r="I6" s="61" t="s">
        <v>415</v>
      </c>
      <c r="J6" s="61" t="s">
        <v>1617</v>
      </c>
      <c r="K6" s="56" t="s">
        <v>107</v>
      </c>
      <c r="L6" s="61" t="s">
        <v>1618</v>
      </c>
      <c r="M6" s="119">
        <v>45840.333333333336</v>
      </c>
      <c r="N6" s="119">
        <v>45840.426388888889</v>
      </c>
      <c r="O6" s="84" t="s">
        <v>1589</v>
      </c>
      <c r="P6" s="84" t="s">
        <v>1590</v>
      </c>
      <c r="Q6" s="84" t="s">
        <v>1601</v>
      </c>
      <c r="R6" s="84" t="s">
        <v>1619</v>
      </c>
      <c r="S6" s="61" t="s">
        <v>145</v>
      </c>
      <c r="T6" s="56"/>
      <c r="U6" s="61" t="s">
        <v>1594</v>
      </c>
      <c r="V6" s="120" t="s">
        <v>1620</v>
      </c>
      <c r="W6" s="61" t="s">
        <v>1615</v>
      </c>
      <c r="X6" s="61">
        <v>0</v>
      </c>
      <c r="Y6" s="61" t="s">
        <v>139</v>
      </c>
      <c r="Z6" s="61" t="s">
        <v>115</v>
      </c>
      <c r="AA6" s="61" t="s">
        <v>1621</v>
      </c>
      <c r="AB6" s="61">
        <v>0</v>
      </c>
      <c r="AC6" s="61">
        <v>0</v>
      </c>
      <c r="AD6" s="61">
        <v>0</v>
      </c>
      <c r="AE6" s="61">
        <v>0</v>
      </c>
      <c r="AF6" s="71">
        <f>IF(W6="SOPORTE_TELEFÓNICO",'BASE LIQUIDACION'!$B$10,IF(Y6="TIPO I",'BASE LIQUIDACION'!$C$3,IF(Y6="TIPO II",'BASE LIQUIDACION'!$C$4,IF(Y6="TIPO III",'BASE LIQUIDACION'!$C$5,'BASE LIQUIDACION'!$C$7))))</f>
        <v>37904.65408</v>
      </c>
      <c r="AG6" s="72">
        <f>IF(W6="SOPORTE_TELEFÓNICO",'BASE LIQUIDACION'!$B$10,(AB6*AF6+AC6*'BASE LIQUIDACION'!$B$12+AD6*'BASE LIQUIDACION'!$B$11+INCIDENTES!AE6*'BASE LIQUIDACION'!$B$13))</f>
        <v>37904.65408</v>
      </c>
    </row>
    <row r="7" spans="1:33" s="4" customFormat="1">
      <c r="A7" s="61" t="s">
        <v>100</v>
      </c>
      <c r="B7" s="56" t="str">
        <f>VLOOKUP(A7,'CENTRO DE COSTOS'!A:D,4,FALSE)</f>
        <v>JUAN SEBASTIÁN RÍOS CASTRILLÓN</v>
      </c>
      <c r="C7" s="56" t="str">
        <f>VLOOKUP(A7,'CENTRO DE COSTOS'!A:D,2,FALSE)</f>
        <v>0004-0005</v>
      </c>
      <c r="D7" s="61">
        <v>5088</v>
      </c>
      <c r="E7" s="61">
        <v>2377476</v>
      </c>
      <c r="F7" s="61">
        <v>74249</v>
      </c>
      <c r="G7" s="56" t="s">
        <v>1586</v>
      </c>
      <c r="H7" s="61" t="s">
        <v>104</v>
      </c>
      <c r="I7" s="61" t="s">
        <v>628</v>
      </c>
      <c r="J7" s="61" t="s">
        <v>1622</v>
      </c>
      <c r="K7" s="56" t="s">
        <v>107</v>
      </c>
      <c r="L7" s="61" t="s">
        <v>1623</v>
      </c>
      <c r="M7" s="119">
        <v>45839.618055555555</v>
      </c>
      <c r="N7" s="119">
        <v>45840.457638888889</v>
      </c>
      <c r="O7" s="84" t="s">
        <v>1589</v>
      </c>
      <c r="P7" s="84" t="s">
        <v>1590</v>
      </c>
      <c r="Q7" s="84" t="s">
        <v>1591</v>
      </c>
      <c r="R7" s="84" t="s">
        <v>1592</v>
      </c>
      <c r="S7" s="61" t="s">
        <v>124</v>
      </c>
      <c r="T7" s="56"/>
      <c r="U7" s="61" t="s">
        <v>1594</v>
      </c>
      <c r="V7" s="120" t="s">
        <v>1624</v>
      </c>
      <c r="W7" s="61" t="s">
        <v>1596</v>
      </c>
      <c r="X7" s="61" t="s">
        <v>1625</v>
      </c>
      <c r="Y7" s="61" t="s">
        <v>150</v>
      </c>
      <c r="Z7" s="61" t="s">
        <v>115</v>
      </c>
      <c r="AA7" s="61" t="s">
        <v>1626</v>
      </c>
      <c r="AB7" s="61">
        <v>1</v>
      </c>
      <c r="AC7" s="61">
        <v>0</v>
      </c>
      <c r="AD7" s="61">
        <v>0</v>
      </c>
      <c r="AE7" s="61">
        <v>0</v>
      </c>
      <c r="AF7" s="71">
        <f>IF(W7="SOPORTE_TELEFÓNICO",'BASE LIQUIDACION'!$B$10,IF(Y7="TIPO I",'BASE LIQUIDACION'!$C$3,IF(Y7="TIPO II",'BASE LIQUIDACION'!$C$4,IF(Y7="TIPO III",'BASE LIQUIDACION'!$C$5,'BASE LIQUIDACION'!$C$7))))</f>
        <v>65960.473639999997</v>
      </c>
      <c r="AG7" s="72">
        <f>IF(W7="SOPORTE_TELEFÓNICO",'BASE LIQUIDACION'!$B$10,(AB7*AF7+AC7*'BASE LIQUIDACION'!$B$12+AD7*'BASE LIQUIDACION'!$B$11+INCIDENTES!AE7*'BASE LIQUIDACION'!$B$13))</f>
        <v>65960.473639999997</v>
      </c>
    </row>
    <row r="8" spans="1:33" s="4" customFormat="1">
      <c r="A8" s="61" t="s">
        <v>100</v>
      </c>
      <c r="B8" s="56" t="str">
        <f>VLOOKUP(A8,'CENTRO DE COSTOS'!A:D,4,FALSE)</f>
        <v>JUAN SEBASTIÁN RÍOS CASTRILLÓN</v>
      </c>
      <c r="C8" s="56" t="str">
        <f>VLOOKUP(A8,'CENTRO DE COSTOS'!A:D,2,FALSE)</f>
        <v>0004-0005</v>
      </c>
      <c r="D8" s="61">
        <v>5001</v>
      </c>
      <c r="E8" s="61">
        <v>2378083</v>
      </c>
      <c r="F8" s="61">
        <v>10228</v>
      </c>
      <c r="G8" s="56" t="s">
        <v>1586</v>
      </c>
      <c r="H8" s="61" t="s">
        <v>104</v>
      </c>
      <c r="I8" s="61" t="s">
        <v>100</v>
      </c>
      <c r="J8" s="61" t="s">
        <v>1627</v>
      </c>
      <c r="K8" s="56" t="s">
        <v>107</v>
      </c>
      <c r="L8" s="61" t="s">
        <v>1628</v>
      </c>
      <c r="M8" s="119">
        <v>45839.654166666667</v>
      </c>
      <c r="N8" s="119">
        <v>45840.46597222222</v>
      </c>
      <c r="O8" s="84" t="s">
        <v>1589</v>
      </c>
      <c r="P8" s="84" t="s">
        <v>1590</v>
      </c>
      <c r="Q8" s="84" t="s">
        <v>1591</v>
      </c>
      <c r="R8" s="84" t="s">
        <v>1592</v>
      </c>
      <c r="S8" s="61" t="s">
        <v>1593</v>
      </c>
      <c r="T8" s="56"/>
      <c r="U8" s="61" t="s">
        <v>1594</v>
      </c>
      <c r="V8" s="120" t="s">
        <v>1629</v>
      </c>
      <c r="W8" s="61" t="s">
        <v>1596</v>
      </c>
      <c r="X8" s="61" t="s">
        <v>1630</v>
      </c>
      <c r="Y8" s="61" t="s">
        <v>150</v>
      </c>
      <c r="Z8" s="61" t="s">
        <v>115</v>
      </c>
      <c r="AA8" s="61" t="s">
        <v>1631</v>
      </c>
      <c r="AB8" s="61">
        <v>1</v>
      </c>
      <c r="AC8" s="61">
        <v>0</v>
      </c>
      <c r="AD8" s="61">
        <v>0</v>
      </c>
      <c r="AE8" s="61">
        <v>0</v>
      </c>
      <c r="AF8" s="71">
        <f>IF(W8="SOPORTE_TELEFÓNICO",'BASE LIQUIDACION'!$B$10,IF(Y8="TIPO I",'BASE LIQUIDACION'!$C$3,IF(Y8="TIPO II",'BASE LIQUIDACION'!$C$4,IF(Y8="TIPO III",'BASE LIQUIDACION'!$C$5,'BASE LIQUIDACION'!$C$7))))</f>
        <v>65960.473639999997</v>
      </c>
      <c r="AG8" s="72">
        <f>IF(W8="SOPORTE_TELEFÓNICO",'BASE LIQUIDACION'!$B$10,(AB8*AF8+AC8*'BASE LIQUIDACION'!$B$12+AD8*'BASE LIQUIDACION'!$B$11+INCIDENTES!AE8*'BASE LIQUIDACION'!$B$13))</f>
        <v>65960.473639999997</v>
      </c>
    </row>
    <row r="9" spans="1:33" s="4" customFormat="1">
      <c r="A9" s="61" t="s">
        <v>130</v>
      </c>
      <c r="B9" s="56" t="str">
        <f>VLOOKUP(A9,'CENTRO DE COSTOS'!A:D,4,FALSE)</f>
        <v>DIEGO FERNANDO HENAO CARDONA</v>
      </c>
      <c r="C9" s="56" t="str">
        <f>VLOOKUP(A9,'CENTRO DE COSTOS'!A:D,2,FALSE)</f>
        <v>0004-0002</v>
      </c>
      <c r="D9" s="61">
        <v>76147</v>
      </c>
      <c r="E9" s="61">
        <v>2380625</v>
      </c>
      <c r="F9" s="61">
        <v>59182</v>
      </c>
      <c r="G9" s="56" t="s">
        <v>1586</v>
      </c>
      <c r="H9" s="61" t="s">
        <v>208</v>
      </c>
      <c r="I9" s="61" t="s">
        <v>1536</v>
      </c>
      <c r="J9" s="61" t="s">
        <v>1632</v>
      </c>
      <c r="K9" s="56" t="s">
        <v>107</v>
      </c>
      <c r="L9" s="61" t="s">
        <v>1633</v>
      </c>
      <c r="M9" s="119">
        <v>45840.34652777778</v>
      </c>
      <c r="N9" s="119">
        <v>45840.472222222219</v>
      </c>
      <c r="O9" s="84" t="s">
        <v>1589</v>
      </c>
      <c r="P9" s="84" t="s">
        <v>1590</v>
      </c>
      <c r="Q9" s="84" t="s">
        <v>1634</v>
      </c>
      <c r="R9" s="84" t="s">
        <v>1635</v>
      </c>
      <c r="S9" s="61" t="s">
        <v>1593</v>
      </c>
      <c r="T9" s="56"/>
      <c r="U9" s="61" t="s">
        <v>1594</v>
      </c>
      <c r="V9" s="120" t="s">
        <v>1636</v>
      </c>
      <c r="W9" s="61" t="s">
        <v>1615</v>
      </c>
      <c r="X9" s="61">
        <v>0</v>
      </c>
      <c r="Y9" s="61" t="s">
        <v>150</v>
      </c>
      <c r="Z9" s="61" t="s">
        <v>115</v>
      </c>
      <c r="AA9" s="61" t="s">
        <v>1621</v>
      </c>
      <c r="AB9" s="61">
        <v>0</v>
      </c>
      <c r="AC9" s="61">
        <v>0</v>
      </c>
      <c r="AD9" s="61">
        <v>0</v>
      </c>
      <c r="AE9" s="61">
        <v>0</v>
      </c>
      <c r="AF9" s="71">
        <f>IF(W9="SOPORTE_TELEFÓNICO",'BASE LIQUIDACION'!$B$10,IF(Y9="TIPO I",'BASE LIQUIDACION'!$C$3,IF(Y9="TIPO II",'BASE LIQUIDACION'!$C$4,IF(Y9="TIPO III",'BASE LIQUIDACION'!$C$5,'BASE LIQUIDACION'!$C$7))))</f>
        <v>37904.65408</v>
      </c>
      <c r="AG9" s="72">
        <f>IF(W9="SOPORTE_TELEFÓNICO",'BASE LIQUIDACION'!$B$10,(AB9*AF9+AC9*'BASE LIQUIDACION'!$B$12+AD9*'BASE LIQUIDACION'!$B$11+INCIDENTES!AE9*'BASE LIQUIDACION'!$B$13))</f>
        <v>37904.65408</v>
      </c>
    </row>
    <row r="10" spans="1:33" s="4" customFormat="1">
      <c r="A10" s="61" t="s">
        <v>100</v>
      </c>
      <c r="B10" s="56" t="str">
        <f>VLOOKUP(A10,'CENTRO DE COSTOS'!A:D,4,FALSE)</f>
        <v>JUAN SEBASTIÁN RÍOS CASTRILLÓN</v>
      </c>
      <c r="C10" s="56" t="str">
        <f>VLOOKUP(A10,'CENTRO DE COSTOS'!A:D,2,FALSE)</f>
        <v>0004-0005</v>
      </c>
      <c r="D10" s="61">
        <v>5308</v>
      </c>
      <c r="E10" s="61">
        <v>2378675</v>
      </c>
      <c r="F10" s="61">
        <v>41627</v>
      </c>
      <c r="G10" s="56" t="s">
        <v>1586</v>
      </c>
      <c r="H10" s="61" t="s">
        <v>104</v>
      </c>
      <c r="I10" s="61" t="s">
        <v>655</v>
      </c>
      <c r="J10" s="61" t="s">
        <v>1637</v>
      </c>
      <c r="K10" s="56" t="s">
        <v>107</v>
      </c>
      <c r="L10" s="61" t="s">
        <v>1638</v>
      </c>
      <c r="M10" s="119">
        <v>45839.685416666667</v>
      </c>
      <c r="N10" s="119">
        <v>45840.490972222222</v>
      </c>
      <c r="O10" s="84" t="s">
        <v>1589</v>
      </c>
      <c r="P10" s="84" t="s">
        <v>1590</v>
      </c>
      <c r="Q10" s="84" t="s">
        <v>1591</v>
      </c>
      <c r="R10" s="84" t="s">
        <v>1592</v>
      </c>
      <c r="S10" s="61" t="s">
        <v>1593</v>
      </c>
      <c r="T10" s="56"/>
      <c r="U10" s="61" t="s">
        <v>1594</v>
      </c>
      <c r="V10" s="120" t="s">
        <v>1639</v>
      </c>
      <c r="W10" s="61" t="s">
        <v>1596</v>
      </c>
      <c r="X10" s="61" t="s">
        <v>1640</v>
      </c>
      <c r="Y10" s="61" t="s">
        <v>150</v>
      </c>
      <c r="Z10" s="61" t="s">
        <v>115</v>
      </c>
      <c r="AA10" s="61" t="s">
        <v>1626</v>
      </c>
      <c r="AB10" s="61">
        <v>1</v>
      </c>
      <c r="AC10" s="61">
        <v>0</v>
      </c>
      <c r="AD10" s="61">
        <v>0</v>
      </c>
      <c r="AE10" s="61">
        <v>0</v>
      </c>
      <c r="AF10" s="71">
        <f>IF(W10="SOPORTE_TELEFÓNICO",'BASE LIQUIDACION'!$B$10,IF(Y10="TIPO I",'BASE LIQUIDACION'!$C$3,IF(Y10="TIPO II",'BASE LIQUIDACION'!$C$4,IF(Y10="TIPO III",'BASE LIQUIDACION'!$C$5,'BASE LIQUIDACION'!$C$7))))</f>
        <v>65960.473639999997</v>
      </c>
      <c r="AG10" s="72">
        <f>IF(W10="SOPORTE_TELEFÓNICO",'BASE LIQUIDACION'!$B$10,(AB10*AF10+AC10*'BASE LIQUIDACION'!$B$12+AD10*'BASE LIQUIDACION'!$B$11+INCIDENTES!AE10*'BASE LIQUIDACION'!$B$13))</f>
        <v>65960.473639999997</v>
      </c>
    </row>
    <row r="11" spans="1:33" s="4" customFormat="1">
      <c r="A11" s="61" t="s">
        <v>170</v>
      </c>
      <c r="B11" s="56" t="str">
        <f>VLOOKUP(A11,'CENTRO DE COSTOS'!A:D,4,FALSE)</f>
        <v>WILLIAM ASDRUBAL ROZO ROZO</v>
      </c>
      <c r="C11" s="56" t="str">
        <f>VLOOKUP(A11,'CENTRO DE COSTOS'!A:D,2,FALSE)</f>
        <v>0004-0004</v>
      </c>
      <c r="D11" s="61">
        <v>11001</v>
      </c>
      <c r="E11" s="61">
        <v>2379253</v>
      </c>
      <c r="F11" s="61">
        <v>60017</v>
      </c>
      <c r="G11" s="56" t="s">
        <v>1586</v>
      </c>
      <c r="H11" s="61" t="s">
        <v>172</v>
      </c>
      <c r="I11" s="61" t="s">
        <v>170</v>
      </c>
      <c r="J11" s="61" t="s">
        <v>1641</v>
      </c>
      <c r="K11" s="56" t="s">
        <v>107</v>
      </c>
      <c r="L11" s="61" t="s">
        <v>1642</v>
      </c>
      <c r="M11" s="119">
        <v>45839.71875</v>
      </c>
      <c r="N11" s="119">
        <v>45840.494444444441</v>
      </c>
      <c r="O11" s="84" t="s">
        <v>1589</v>
      </c>
      <c r="P11" s="84" t="s">
        <v>1590</v>
      </c>
      <c r="Q11" s="84" t="s">
        <v>1643</v>
      </c>
      <c r="R11" s="84" t="s">
        <v>1644</v>
      </c>
      <c r="S11" s="61" t="s">
        <v>124</v>
      </c>
      <c r="T11" s="56"/>
      <c r="U11" s="61" t="s">
        <v>1594</v>
      </c>
      <c r="V11" s="120" t="s">
        <v>1645</v>
      </c>
      <c r="W11" s="61" t="s">
        <v>1596</v>
      </c>
      <c r="X11" s="61" t="s">
        <v>1646</v>
      </c>
      <c r="Y11" s="61" t="s">
        <v>150</v>
      </c>
      <c r="Z11" s="61" t="s">
        <v>115</v>
      </c>
      <c r="AA11" s="61" t="s">
        <v>1647</v>
      </c>
      <c r="AB11" s="61">
        <v>1</v>
      </c>
      <c r="AC11" s="61">
        <v>0</v>
      </c>
      <c r="AD11" s="61">
        <v>0</v>
      </c>
      <c r="AE11" s="61">
        <v>0</v>
      </c>
      <c r="AF11" s="71">
        <f>IF(W11="SOPORTE_TELEFÓNICO",'BASE LIQUIDACION'!$B$10,IF(Y11="TIPO I",'BASE LIQUIDACION'!$C$3,IF(Y11="TIPO II",'BASE LIQUIDACION'!$C$4,IF(Y11="TIPO III",'BASE LIQUIDACION'!$C$5,'BASE LIQUIDACION'!$C$7))))</f>
        <v>65960.473639999997</v>
      </c>
      <c r="AG11" s="72">
        <f>IF(W11="SOPORTE_TELEFÓNICO",'BASE LIQUIDACION'!$B$10,(AB11*AF11+AC11*'BASE LIQUIDACION'!$B$12+AD11*'BASE LIQUIDACION'!$B$11+INCIDENTES!AE11*'BASE LIQUIDACION'!$B$13))</f>
        <v>65960.473639999997</v>
      </c>
    </row>
    <row r="12" spans="1:33" s="4" customFormat="1">
      <c r="A12" s="61" t="s">
        <v>100</v>
      </c>
      <c r="B12" s="56" t="str">
        <f>VLOOKUP(A12,'CENTRO DE COSTOS'!A:D,4,FALSE)</f>
        <v>JUAN SEBASTIÁN RÍOS CASTRILLÓN</v>
      </c>
      <c r="C12" s="56" t="str">
        <f>VLOOKUP(A12,'CENTRO DE COSTOS'!A:D,2,FALSE)</f>
        <v>0004-0005</v>
      </c>
      <c r="D12" s="61">
        <v>5631</v>
      </c>
      <c r="E12" s="61">
        <v>2379765</v>
      </c>
      <c r="F12" s="61">
        <v>79007</v>
      </c>
      <c r="G12" s="56" t="s">
        <v>1586</v>
      </c>
      <c r="H12" s="61" t="s">
        <v>104</v>
      </c>
      <c r="I12" s="61" t="s">
        <v>684</v>
      </c>
      <c r="J12" s="61" t="s">
        <v>1648</v>
      </c>
      <c r="K12" s="56" t="s">
        <v>107</v>
      </c>
      <c r="L12" s="61" t="s">
        <v>1649</v>
      </c>
      <c r="M12" s="119">
        <v>45840.333333333336</v>
      </c>
      <c r="N12" s="119">
        <v>45840.552777777775</v>
      </c>
      <c r="O12" s="84" t="s">
        <v>1589</v>
      </c>
      <c r="P12" s="84" t="s">
        <v>1590</v>
      </c>
      <c r="Q12" s="84" t="s">
        <v>1650</v>
      </c>
      <c r="R12" s="84" t="s">
        <v>1651</v>
      </c>
      <c r="S12" s="61" t="s">
        <v>124</v>
      </c>
      <c r="T12" s="56"/>
      <c r="U12" s="61" t="s">
        <v>1594</v>
      </c>
      <c r="V12" s="120" t="s">
        <v>1652</v>
      </c>
      <c r="W12" s="61" t="s">
        <v>1596</v>
      </c>
      <c r="X12" s="61" t="s">
        <v>1653</v>
      </c>
      <c r="Y12" s="61" t="s">
        <v>150</v>
      </c>
      <c r="Z12" s="61" t="s">
        <v>115</v>
      </c>
      <c r="AA12" s="61" t="s">
        <v>1611</v>
      </c>
      <c r="AB12" s="61">
        <v>1</v>
      </c>
      <c r="AC12" s="61">
        <v>0</v>
      </c>
      <c r="AD12" s="61">
        <v>0</v>
      </c>
      <c r="AE12" s="61">
        <v>0</v>
      </c>
      <c r="AF12" s="71">
        <f>IF(W12="SOPORTE_TELEFÓNICO",'BASE LIQUIDACION'!$B$10,IF(Y12="TIPO I",'BASE LIQUIDACION'!$C$3,IF(Y12="TIPO II",'BASE LIQUIDACION'!$C$4,IF(Y12="TIPO III",'BASE LIQUIDACION'!$C$5,'BASE LIQUIDACION'!$C$7))))</f>
        <v>65960.473639999997</v>
      </c>
      <c r="AG12" s="72">
        <f>IF(W12="SOPORTE_TELEFÓNICO",'BASE LIQUIDACION'!$B$10,(AB12*AF12+AC12*'BASE LIQUIDACION'!$B$12+AD12*'BASE LIQUIDACION'!$B$11+INCIDENTES!AE12*'BASE LIQUIDACION'!$B$13))</f>
        <v>65960.473639999997</v>
      </c>
    </row>
    <row r="13" spans="1:33" s="4" customFormat="1">
      <c r="A13" s="61" t="s">
        <v>100</v>
      </c>
      <c r="B13" s="56" t="str">
        <f>VLOOKUP(A13,'CENTRO DE COSTOS'!A:D,4,FALSE)</f>
        <v>JUAN SEBASTIÁN RÍOS CASTRILLÓN</v>
      </c>
      <c r="C13" s="56" t="str">
        <f>VLOOKUP(A13,'CENTRO DE COSTOS'!A:D,2,FALSE)</f>
        <v>0004-0005</v>
      </c>
      <c r="D13" s="61">
        <v>5088</v>
      </c>
      <c r="E13" s="61">
        <v>2381539</v>
      </c>
      <c r="F13" s="61">
        <v>80073</v>
      </c>
      <c r="G13" s="56" t="s">
        <v>1586</v>
      </c>
      <c r="H13" s="61" t="s">
        <v>104</v>
      </c>
      <c r="I13" s="61" t="s">
        <v>628</v>
      </c>
      <c r="J13" s="61" t="s">
        <v>1654</v>
      </c>
      <c r="K13" s="56" t="s">
        <v>107</v>
      </c>
      <c r="L13" s="61" t="s">
        <v>1655</v>
      </c>
      <c r="M13" s="119">
        <v>45840.390277777777</v>
      </c>
      <c r="N13" s="119">
        <v>45840.554166666669</v>
      </c>
      <c r="O13" s="84" t="s">
        <v>1589</v>
      </c>
      <c r="P13" s="84" t="s">
        <v>1590</v>
      </c>
      <c r="Q13" s="84" t="s">
        <v>1591</v>
      </c>
      <c r="R13" s="84" t="s">
        <v>1592</v>
      </c>
      <c r="S13" s="61" t="s">
        <v>1593</v>
      </c>
      <c r="T13" s="56"/>
      <c r="U13" s="61" t="s">
        <v>1594</v>
      </c>
      <c r="V13" s="120" t="s">
        <v>1656</v>
      </c>
      <c r="W13" s="61" t="s">
        <v>1596</v>
      </c>
      <c r="X13" s="61" t="s">
        <v>1657</v>
      </c>
      <c r="Y13" s="61" t="s">
        <v>150</v>
      </c>
      <c r="Z13" s="61" t="s">
        <v>115</v>
      </c>
      <c r="AA13" s="61" t="s">
        <v>1631</v>
      </c>
      <c r="AB13" s="61">
        <v>1</v>
      </c>
      <c r="AC13" s="61">
        <v>0</v>
      </c>
      <c r="AD13" s="61">
        <v>0</v>
      </c>
      <c r="AE13" s="61">
        <v>0</v>
      </c>
      <c r="AF13" s="71">
        <f>IF(W13="SOPORTE_TELEFÓNICO",'BASE LIQUIDACION'!$B$10,IF(Y13="TIPO I",'BASE LIQUIDACION'!$C$3,IF(Y13="TIPO II",'BASE LIQUIDACION'!$C$4,IF(Y13="TIPO III",'BASE LIQUIDACION'!$C$5,'BASE LIQUIDACION'!$C$7))))</f>
        <v>65960.473639999997</v>
      </c>
      <c r="AG13" s="72">
        <f>IF(W13="SOPORTE_TELEFÓNICO",'BASE LIQUIDACION'!$B$10,(AB13*AF13+AC13*'BASE LIQUIDACION'!$B$12+AD13*'BASE LIQUIDACION'!$B$11+INCIDENTES!AE13*'BASE LIQUIDACION'!$B$13))</f>
        <v>65960.473639999997</v>
      </c>
    </row>
    <row r="14" spans="1:33" s="4" customFormat="1">
      <c r="A14" s="61" t="s">
        <v>100</v>
      </c>
      <c r="B14" s="56" t="str">
        <f>VLOOKUP(A14,'CENTRO DE COSTOS'!A:D,4,FALSE)</f>
        <v>JUAN SEBASTIÁN RÍOS CASTRILLÓN</v>
      </c>
      <c r="C14" s="56" t="str">
        <f>VLOOKUP(A14,'CENTRO DE COSTOS'!A:D,2,FALSE)</f>
        <v>0004-0005</v>
      </c>
      <c r="D14" s="61">
        <v>5088</v>
      </c>
      <c r="E14" s="61">
        <v>2383581</v>
      </c>
      <c r="F14" s="61">
        <v>66013</v>
      </c>
      <c r="G14" s="56" t="s">
        <v>1586</v>
      </c>
      <c r="H14" s="61" t="s">
        <v>104</v>
      </c>
      <c r="I14" s="61" t="s">
        <v>628</v>
      </c>
      <c r="J14" s="61" t="s">
        <v>1658</v>
      </c>
      <c r="K14" s="56" t="s">
        <v>107</v>
      </c>
      <c r="L14" s="61" t="s">
        <v>1659</v>
      </c>
      <c r="M14" s="119">
        <v>45840.481249999997</v>
      </c>
      <c r="N14" s="119">
        <v>45840.557638888888</v>
      </c>
      <c r="O14" s="84" t="s">
        <v>1589</v>
      </c>
      <c r="P14" s="84" t="s">
        <v>1590</v>
      </c>
      <c r="Q14" s="84" t="s">
        <v>1591</v>
      </c>
      <c r="R14" s="84" t="s">
        <v>1592</v>
      </c>
      <c r="S14" s="61" t="s">
        <v>1593</v>
      </c>
      <c r="T14" s="56"/>
      <c r="U14" s="61" t="s">
        <v>1594</v>
      </c>
      <c r="V14" s="120" t="s">
        <v>1660</v>
      </c>
      <c r="W14" s="61" t="s">
        <v>1596</v>
      </c>
      <c r="X14" s="61" t="s">
        <v>1661</v>
      </c>
      <c r="Y14" s="61" t="s">
        <v>150</v>
      </c>
      <c r="Z14" s="61" t="s">
        <v>115</v>
      </c>
      <c r="AA14" s="61" t="s">
        <v>1626</v>
      </c>
      <c r="AB14" s="61">
        <v>1</v>
      </c>
      <c r="AC14" s="61">
        <v>0</v>
      </c>
      <c r="AD14" s="61">
        <v>0</v>
      </c>
      <c r="AE14" s="61">
        <v>0</v>
      </c>
      <c r="AF14" s="71">
        <f>IF(W14="SOPORTE_TELEFÓNICO",'BASE LIQUIDACION'!$B$10,IF(Y14="TIPO I",'BASE LIQUIDACION'!$C$3,IF(Y14="TIPO II",'BASE LIQUIDACION'!$C$4,IF(Y14="TIPO III",'BASE LIQUIDACION'!$C$5,'BASE LIQUIDACION'!$C$7))))</f>
        <v>65960.473639999997</v>
      </c>
      <c r="AG14" s="72">
        <f>IF(W14="SOPORTE_TELEFÓNICO",'BASE LIQUIDACION'!$B$10,(AB14*AF14+AC14*'BASE LIQUIDACION'!$B$12+AD14*'BASE LIQUIDACION'!$B$11+INCIDENTES!AE14*'BASE LIQUIDACION'!$B$13))</f>
        <v>65960.473639999997</v>
      </c>
    </row>
    <row r="15" spans="1:33" s="4" customFormat="1">
      <c r="A15" s="61" t="s">
        <v>360</v>
      </c>
      <c r="B15" s="56" t="str">
        <f>VLOOKUP(A15,'CENTRO DE COSTOS'!A:D,4,FALSE)</f>
        <v>KEVIN ALEXIS CORZO BUSTOS</v>
      </c>
      <c r="C15" s="56" t="str">
        <f>VLOOKUP(A15,'CENTRO DE COSTOS'!A:D,2,FALSE)</f>
        <v>0004-0007</v>
      </c>
      <c r="D15" s="61">
        <v>73585</v>
      </c>
      <c r="E15" s="61">
        <v>2384587</v>
      </c>
      <c r="F15" s="61">
        <v>28326</v>
      </c>
      <c r="G15" s="56" t="s">
        <v>1586</v>
      </c>
      <c r="H15" s="61" t="s">
        <v>362</v>
      </c>
      <c r="I15" s="61" t="s">
        <v>1518</v>
      </c>
      <c r="J15" s="61" t="s">
        <v>1662</v>
      </c>
      <c r="K15" s="56" t="s">
        <v>107</v>
      </c>
      <c r="L15" s="61" t="s">
        <v>1663</v>
      </c>
      <c r="M15" s="119">
        <v>45840.581944444442</v>
      </c>
      <c r="N15" s="119">
        <v>45840.628472222219</v>
      </c>
      <c r="O15" s="84" t="s">
        <v>1589</v>
      </c>
      <c r="P15" s="84" t="s">
        <v>1590</v>
      </c>
      <c r="Q15" s="84" t="s">
        <v>1591</v>
      </c>
      <c r="R15" s="84" t="s">
        <v>1592</v>
      </c>
      <c r="S15" s="61" t="s">
        <v>1664</v>
      </c>
      <c r="T15" s="56"/>
      <c r="U15" s="61" t="s">
        <v>1594</v>
      </c>
      <c r="V15" s="120" t="s">
        <v>1665</v>
      </c>
      <c r="W15" s="61" t="s">
        <v>1615</v>
      </c>
      <c r="X15" s="61">
        <v>0</v>
      </c>
      <c r="Y15" s="61" t="s">
        <v>139</v>
      </c>
      <c r="Z15" s="61" t="s">
        <v>115</v>
      </c>
      <c r="AA15" s="61">
        <v>0</v>
      </c>
      <c r="AB15" s="61">
        <v>0</v>
      </c>
      <c r="AC15" s="61">
        <v>0</v>
      </c>
      <c r="AD15" s="61">
        <v>0</v>
      </c>
      <c r="AE15" s="61">
        <v>0</v>
      </c>
      <c r="AF15" s="71">
        <f>IF(W15="SOPORTE_TELEFÓNICO",'BASE LIQUIDACION'!$B$10,IF(Y15="TIPO I",'BASE LIQUIDACION'!$C$3,IF(Y15="TIPO II",'BASE LIQUIDACION'!$C$4,IF(Y15="TIPO III",'BASE LIQUIDACION'!$C$5,'BASE LIQUIDACION'!$C$7))))</f>
        <v>37904.65408</v>
      </c>
      <c r="AG15" s="72">
        <f>IF(W15="SOPORTE_TELEFÓNICO",'BASE LIQUIDACION'!$B$10,(AB15*AF15+AC15*'BASE LIQUIDACION'!$B$12+AD15*'BASE LIQUIDACION'!$B$11+INCIDENTES!AE15*'BASE LIQUIDACION'!$B$13))</f>
        <v>37904.65408</v>
      </c>
    </row>
    <row r="16" spans="1:33" s="4" customFormat="1">
      <c r="A16" s="61" t="s">
        <v>161</v>
      </c>
      <c r="B16" s="56" t="str">
        <f>VLOOKUP(A16,'CENTRO DE COSTOS'!A:D,4,FALSE)</f>
        <v>DIEGO FERNANDO HENAO CARDONA</v>
      </c>
      <c r="C16" s="56" t="str">
        <f>VLOOKUP(A16,'CENTRO DE COSTOS'!A:D,2,FALSE)</f>
        <v>0004-0003</v>
      </c>
      <c r="D16" s="61">
        <v>19001</v>
      </c>
      <c r="E16" s="61">
        <v>2379720</v>
      </c>
      <c r="F16" s="61">
        <v>69029</v>
      </c>
      <c r="G16" s="56" t="s">
        <v>1586</v>
      </c>
      <c r="H16" s="61" t="s">
        <v>163</v>
      </c>
      <c r="I16" s="61" t="s">
        <v>164</v>
      </c>
      <c r="J16" s="61" t="s">
        <v>1666</v>
      </c>
      <c r="K16" s="56" t="s">
        <v>107</v>
      </c>
      <c r="L16" s="61" t="s">
        <v>1667</v>
      </c>
      <c r="M16" s="119">
        <v>45840.333333333336</v>
      </c>
      <c r="N16" s="119">
        <v>45840.683333333334</v>
      </c>
      <c r="O16" s="84" t="s">
        <v>1589</v>
      </c>
      <c r="P16" s="84" t="s">
        <v>1668</v>
      </c>
      <c r="Q16" s="84" t="s">
        <v>1669</v>
      </c>
      <c r="R16" s="84" t="s">
        <v>1670</v>
      </c>
      <c r="S16" s="61" t="s">
        <v>1593</v>
      </c>
      <c r="T16" s="56"/>
      <c r="U16" s="61" t="s">
        <v>1594</v>
      </c>
      <c r="V16" s="120" t="s">
        <v>1671</v>
      </c>
      <c r="W16" s="61" t="s">
        <v>1596</v>
      </c>
      <c r="X16" s="61" t="s">
        <v>1672</v>
      </c>
      <c r="Y16" s="61" t="s">
        <v>114</v>
      </c>
      <c r="Z16" s="61" t="s">
        <v>115</v>
      </c>
      <c r="AA16" s="61" t="s">
        <v>169</v>
      </c>
      <c r="AB16" s="61">
        <v>1</v>
      </c>
      <c r="AC16" s="61">
        <v>0</v>
      </c>
      <c r="AD16" s="61">
        <v>0</v>
      </c>
      <c r="AE16" s="61">
        <v>0</v>
      </c>
      <c r="AF16" s="71">
        <f>IF(W16="SOPORTE_TELEFÓNICO",'BASE LIQUIDACION'!$B$10,IF(Y16="TIPO I",'BASE LIQUIDACION'!$C$3,IF(Y16="TIPO II",'BASE LIQUIDACION'!$C$4,IF(Y16="TIPO III",'BASE LIQUIDACION'!$C$5,'BASE LIQUIDACION'!$C$7))))</f>
        <v>275728.37943999999</v>
      </c>
      <c r="AG16" s="72">
        <f>IF(W16="SOPORTE_TELEFÓNICO",'BASE LIQUIDACION'!$B$10,(AB16*AF16+AC16*'BASE LIQUIDACION'!$B$12+AD16*'BASE LIQUIDACION'!$B$11+INCIDENTES!AE16*'BASE LIQUIDACION'!$B$13))</f>
        <v>275728.37943999999</v>
      </c>
    </row>
    <row r="17" spans="1:33" s="4" customFormat="1">
      <c r="A17" s="61" t="s">
        <v>170</v>
      </c>
      <c r="B17" s="56" t="str">
        <f>VLOOKUP(A17,'CENTRO DE COSTOS'!A:D,4,FALSE)</f>
        <v>WILLIAM ASDRUBAL ROZO ROZO</v>
      </c>
      <c r="C17" s="56" t="str">
        <f>VLOOKUP(A17,'CENTRO DE COSTOS'!A:D,2,FALSE)</f>
        <v>0004-0004</v>
      </c>
      <c r="D17" s="61">
        <v>11001</v>
      </c>
      <c r="E17" s="61">
        <v>2384573</v>
      </c>
      <c r="F17" s="61">
        <v>18902</v>
      </c>
      <c r="G17" s="56" t="s">
        <v>1586</v>
      </c>
      <c r="H17" s="61" t="s">
        <v>172</v>
      </c>
      <c r="I17" s="61" t="s">
        <v>170</v>
      </c>
      <c r="J17" s="61" t="s">
        <v>1673</v>
      </c>
      <c r="K17" s="56" t="s">
        <v>107</v>
      </c>
      <c r="L17" s="61" t="s">
        <v>1674</v>
      </c>
      <c r="M17" s="119">
        <v>45840.579861111109</v>
      </c>
      <c r="N17" s="119">
        <v>45841.476388888892</v>
      </c>
      <c r="O17" s="84" t="s">
        <v>1589</v>
      </c>
      <c r="P17" s="84" t="s">
        <v>1590</v>
      </c>
      <c r="Q17" s="84" t="s">
        <v>1601</v>
      </c>
      <c r="R17" s="84" t="s">
        <v>1619</v>
      </c>
      <c r="S17" s="61" t="s">
        <v>145</v>
      </c>
      <c r="T17" s="56"/>
      <c r="U17" s="61" t="s">
        <v>1594</v>
      </c>
      <c r="V17" s="120" t="s">
        <v>1675</v>
      </c>
      <c r="W17" s="61" t="s">
        <v>1596</v>
      </c>
      <c r="X17" s="61" t="s">
        <v>1676</v>
      </c>
      <c r="Y17" s="61" t="s">
        <v>150</v>
      </c>
      <c r="Z17" s="61" t="s">
        <v>115</v>
      </c>
      <c r="AA17" s="61" t="s">
        <v>1677</v>
      </c>
      <c r="AB17" s="61">
        <v>1</v>
      </c>
      <c r="AC17" s="61">
        <v>0</v>
      </c>
      <c r="AD17" s="61">
        <v>0</v>
      </c>
      <c r="AE17" s="61">
        <v>0</v>
      </c>
      <c r="AF17" s="71">
        <f>IF(W17="SOPORTE_TELEFÓNICO",'BASE LIQUIDACION'!$B$10,IF(Y17="TIPO I",'BASE LIQUIDACION'!$C$3,IF(Y17="TIPO II",'BASE LIQUIDACION'!$C$4,IF(Y17="TIPO III",'BASE LIQUIDACION'!$C$5,'BASE LIQUIDACION'!$C$7))))</f>
        <v>65960.473639999997</v>
      </c>
      <c r="AG17" s="72">
        <f>IF(W17="SOPORTE_TELEFÓNICO",'BASE LIQUIDACION'!$B$10,(AB17*AF17+AC17*'BASE LIQUIDACION'!$B$12+AD17*'BASE LIQUIDACION'!$B$11+INCIDENTES!AE17*'BASE LIQUIDACION'!$B$13))</f>
        <v>65960.473639999997</v>
      </c>
    </row>
    <row r="18" spans="1:33" s="4" customFormat="1">
      <c r="A18" s="61" t="s">
        <v>161</v>
      </c>
      <c r="B18" s="56" t="str">
        <f>VLOOKUP(A18,'CENTRO DE COSTOS'!A:D,4,FALSE)</f>
        <v>DIEGO FERNANDO HENAO CARDONA</v>
      </c>
      <c r="C18" s="56" t="str">
        <f>VLOOKUP(A18,'CENTRO DE COSTOS'!A:D,2,FALSE)</f>
        <v>0004-0003</v>
      </c>
      <c r="D18" s="61">
        <v>76001</v>
      </c>
      <c r="E18" s="61">
        <v>2388444</v>
      </c>
      <c r="F18" s="61">
        <v>53834</v>
      </c>
      <c r="G18" s="56" t="s">
        <v>1586</v>
      </c>
      <c r="H18" s="61" t="s">
        <v>208</v>
      </c>
      <c r="I18" s="61" t="s">
        <v>161</v>
      </c>
      <c r="J18" s="61" t="s">
        <v>1678</v>
      </c>
      <c r="K18" s="56" t="s">
        <v>107</v>
      </c>
      <c r="L18" s="61" t="s">
        <v>1679</v>
      </c>
      <c r="M18" s="119">
        <v>45841.355555555558</v>
      </c>
      <c r="N18" s="119">
        <v>45841.494444444441</v>
      </c>
      <c r="O18" s="84" t="s">
        <v>1589</v>
      </c>
      <c r="P18" s="84" t="s">
        <v>1590</v>
      </c>
      <c r="Q18" s="84" t="s">
        <v>1650</v>
      </c>
      <c r="R18" s="84" t="s">
        <v>1651</v>
      </c>
      <c r="S18" s="61" t="s">
        <v>1593</v>
      </c>
      <c r="T18" s="56"/>
      <c r="U18" s="61" t="s">
        <v>1594</v>
      </c>
      <c r="V18" s="120" t="s">
        <v>1680</v>
      </c>
      <c r="W18" s="61" t="s">
        <v>1615</v>
      </c>
      <c r="X18" s="61">
        <v>0</v>
      </c>
      <c r="Y18" s="61" t="s">
        <v>150</v>
      </c>
      <c r="Z18" s="61" t="s">
        <v>115</v>
      </c>
      <c r="AA18" s="61" t="s">
        <v>1621</v>
      </c>
      <c r="AB18" s="61">
        <v>0</v>
      </c>
      <c r="AC18" s="61">
        <v>0</v>
      </c>
      <c r="AD18" s="61">
        <v>0</v>
      </c>
      <c r="AE18" s="61">
        <v>0</v>
      </c>
      <c r="AF18" s="71">
        <f>IF(W18="SOPORTE_TELEFÓNICO",'BASE LIQUIDACION'!$B$10,IF(Y18="TIPO I",'BASE LIQUIDACION'!$C$3,IF(Y18="TIPO II",'BASE LIQUIDACION'!$C$4,IF(Y18="TIPO III",'BASE LIQUIDACION'!$C$5,'BASE LIQUIDACION'!$C$7))))</f>
        <v>37904.65408</v>
      </c>
      <c r="AG18" s="72">
        <f>IF(W18="SOPORTE_TELEFÓNICO",'BASE LIQUIDACION'!$B$10,(AB18*AF18+AC18*'BASE LIQUIDACION'!$B$12+AD18*'BASE LIQUIDACION'!$B$11+INCIDENTES!AE18*'BASE LIQUIDACION'!$B$13))</f>
        <v>37904.65408</v>
      </c>
    </row>
    <row r="19" spans="1:33" s="4" customFormat="1">
      <c r="A19" s="61" t="s">
        <v>100</v>
      </c>
      <c r="B19" s="56" t="str">
        <f>VLOOKUP(A19,'CENTRO DE COSTOS'!A:D,4,FALSE)</f>
        <v>JUAN SEBASTIÁN RÍOS CASTRILLÓN</v>
      </c>
      <c r="C19" s="56" t="str">
        <f>VLOOKUP(A19,'CENTRO DE COSTOS'!A:D,2,FALSE)</f>
        <v>0004-0005</v>
      </c>
      <c r="D19" s="61">
        <v>5001</v>
      </c>
      <c r="E19" s="61">
        <v>2389782</v>
      </c>
      <c r="F19" s="61">
        <v>79923</v>
      </c>
      <c r="G19" s="56" t="s">
        <v>1586</v>
      </c>
      <c r="H19" s="61" t="s">
        <v>104</v>
      </c>
      <c r="I19" s="61" t="s">
        <v>100</v>
      </c>
      <c r="J19" s="61" t="s">
        <v>1681</v>
      </c>
      <c r="K19" s="56" t="s">
        <v>107</v>
      </c>
      <c r="L19" s="61" t="s">
        <v>1682</v>
      </c>
      <c r="M19" s="119">
        <v>45841.431944444441</v>
      </c>
      <c r="N19" s="119">
        <v>45841.635416666664</v>
      </c>
      <c r="O19" s="84" t="s">
        <v>1589</v>
      </c>
      <c r="P19" s="84" t="s">
        <v>1590</v>
      </c>
      <c r="Q19" s="84" t="s">
        <v>1591</v>
      </c>
      <c r="R19" s="84" t="s">
        <v>1592</v>
      </c>
      <c r="S19" s="61" t="s">
        <v>124</v>
      </c>
      <c r="T19" s="56"/>
      <c r="U19" s="61" t="s">
        <v>1594</v>
      </c>
      <c r="V19" s="120" t="s">
        <v>1683</v>
      </c>
      <c r="W19" s="61" t="s">
        <v>1596</v>
      </c>
      <c r="X19" s="61" t="s">
        <v>1684</v>
      </c>
      <c r="Y19" s="61" t="s">
        <v>150</v>
      </c>
      <c r="Z19" s="61" t="s">
        <v>115</v>
      </c>
      <c r="AA19" s="61" t="s">
        <v>1626</v>
      </c>
      <c r="AB19" s="61">
        <v>1</v>
      </c>
      <c r="AC19" s="61">
        <v>0</v>
      </c>
      <c r="AD19" s="61">
        <v>0</v>
      </c>
      <c r="AE19" s="61">
        <v>0</v>
      </c>
      <c r="AF19" s="71">
        <f>IF(W19="SOPORTE_TELEFÓNICO",'BASE LIQUIDACION'!$B$10,IF(Y19="TIPO I",'BASE LIQUIDACION'!$C$3,IF(Y19="TIPO II",'BASE LIQUIDACION'!$C$4,IF(Y19="TIPO III",'BASE LIQUIDACION'!$C$5,'BASE LIQUIDACION'!$C$7))))</f>
        <v>65960.473639999997</v>
      </c>
      <c r="AG19" s="72">
        <f>IF(W19="SOPORTE_TELEFÓNICO",'BASE LIQUIDACION'!$B$10,(AB19*AF19+AC19*'BASE LIQUIDACION'!$B$12+AD19*'BASE LIQUIDACION'!$B$11+INCIDENTES!AE19*'BASE LIQUIDACION'!$B$13))</f>
        <v>65960.473639999997</v>
      </c>
    </row>
    <row r="20" spans="1:33" s="4" customFormat="1">
      <c r="A20" s="61" t="s">
        <v>975</v>
      </c>
      <c r="B20" s="56" t="str">
        <f>VLOOKUP(A20,'CENTRO DE COSTOS'!A:D,4,FALSE)</f>
        <v>DIEGO FERNANDO HENAO CARDONA</v>
      </c>
      <c r="C20" s="56" t="str">
        <f>VLOOKUP(A20,'CENTRO DE COSTOS'!A:D,2,FALSE)</f>
        <v>0004-0003</v>
      </c>
      <c r="D20" s="61">
        <v>52356</v>
      </c>
      <c r="E20" s="61">
        <v>2386804</v>
      </c>
      <c r="F20" s="61">
        <v>44682</v>
      </c>
      <c r="G20" s="56" t="s">
        <v>1586</v>
      </c>
      <c r="H20" s="61" t="s">
        <v>607</v>
      </c>
      <c r="I20" s="61" t="s">
        <v>1302</v>
      </c>
      <c r="J20" s="61" t="s">
        <v>1685</v>
      </c>
      <c r="K20" s="56" t="s">
        <v>107</v>
      </c>
      <c r="L20" s="61" t="s">
        <v>1686</v>
      </c>
      <c r="M20" s="119">
        <v>45840.690972222219</v>
      </c>
      <c r="N20" s="119">
        <v>45841.644444444442</v>
      </c>
      <c r="O20" s="84" t="s">
        <v>1589</v>
      </c>
      <c r="P20" s="84" t="s">
        <v>1590</v>
      </c>
      <c r="Q20" s="84" t="s">
        <v>1591</v>
      </c>
      <c r="R20" s="84" t="s">
        <v>1592</v>
      </c>
      <c r="S20" s="61" t="s">
        <v>124</v>
      </c>
      <c r="T20" s="56"/>
      <c r="U20" s="61" t="s">
        <v>1594</v>
      </c>
      <c r="V20" s="120" t="s">
        <v>1687</v>
      </c>
      <c r="W20" s="61" t="s">
        <v>1596</v>
      </c>
      <c r="X20" s="61" t="s">
        <v>1688</v>
      </c>
      <c r="Y20" s="61" t="s">
        <v>139</v>
      </c>
      <c r="Z20" s="61" t="s">
        <v>115</v>
      </c>
      <c r="AA20" s="61" t="s">
        <v>1689</v>
      </c>
      <c r="AB20" s="61">
        <v>1</v>
      </c>
      <c r="AC20" s="61">
        <v>0</v>
      </c>
      <c r="AD20" s="61">
        <v>0</v>
      </c>
      <c r="AE20" s="61">
        <v>0</v>
      </c>
      <c r="AF20" s="71">
        <f>IF(W20="SOPORTE_TELEFÓNICO",'BASE LIQUIDACION'!$B$10,IF(Y20="TIPO I",'BASE LIQUIDACION'!$C$3,IF(Y20="TIPO II",'BASE LIQUIDACION'!$C$4,IF(Y20="TIPO III",'BASE LIQUIDACION'!$C$5,'BASE LIQUIDACION'!$C$7))))</f>
        <v>163813.55812</v>
      </c>
      <c r="AG20" s="72">
        <f>IF(W20="SOPORTE_TELEFÓNICO",'BASE LIQUIDACION'!$B$10,(AB20*AF20+AC20*'BASE LIQUIDACION'!$B$12+AD20*'BASE LIQUIDACION'!$B$11+INCIDENTES!AE20*'BASE LIQUIDACION'!$B$13))</f>
        <v>163813.55812</v>
      </c>
    </row>
    <row r="21" spans="1:33" s="4" customFormat="1">
      <c r="A21" s="61" t="s">
        <v>100</v>
      </c>
      <c r="B21" s="56" t="str">
        <f>VLOOKUP(A21,'CENTRO DE COSTOS'!A:D,4,FALSE)</f>
        <v>JUAN SEBASTIÁN RÍOS CASTRILLÓN</v>
      </c>
      <c r="C21" s="56" t="str">
        <f>VLOOKUP(A21,'CENTRO DE COSTOS'!A:D,2,FALSE)</f>
        <v>0004-0005</v>
      </c>
      <c r="D21" s="61">
        <v>5425</v>
      </c>
      <c r="E21" s="61">
        <v>2375218</v>
      </c>
      <c r="F21" s="61">
        <v>79106</v>
      </c>
      <c r="G21" s="56" t="s">
        <v>1586</v>
      </c>
      <c r="H21" s="61" t="s">
        <v>104</v>
      </c>
      <c r="I21" s="61" t="s">
        <v>667</v>
      </c>
      <c r="J21" s="61" t="s">
        <v>1690</v>
      </c>
      <c r="K21" s="56" t="s">
        <v>107</v>
      </c>
      <c r="L21" s="61" t="s">
        <v>1691</v>
      </c>
      <c r="M21" s="119">
        <v>45839.472534722219</v>
      </c>
      <c r="N21" s="119">
        <v>45842.377083333333</v>
      </c>
      <c r="O21" s="84" t="s">
        <v>1589</v>
      </c>
      <c r="P21" s="84" t="s">
        <v>1590</v>
      </c>
      <c r="Q21" s="84" t="s">
        <v>1643</v>
      </c>
      <c r="R21" s="84" t="s">
        <v>1644</v>
      </c>
      <c r="S21" s="61" t="s">
        <v>1593</v>
      </c>
      <c r="T21" s="56"/>
      <c r="U21" s="61" t="s">
        <v>1594</v>
      </c>
      <c r="V21" s="120" t="s">
        <v>1692</v>
      </c>
      <c r="W21" s="61" t="s">
        <v>1596</v>
      </c>
      <c r="X21" s="61" t="s">
        <v>1693</v>
      </c>
      <c r="Y21" s="61" t="s">
        <v>114</v>
      </c>
      <c r="Z21" s="61" t="s">
        <v>115</v>
      </c>
      <c r="AA21" s="61" t="s">
        <v>276</v>
      </c>
      <c r="AB21" s="61">
        <v>1</v>
      </c>
      <c r="AC21" s="61">
        <v>0</v>
      </c>
      <c r="AD21" s="61">
        <v>0</v>
      </c>
      <c r="AE21" s="61">
        <v>0</v>
      </c>
      <c r="AF21" s="71">
        <f>IF(W21="SOPORTE_TELEFÓNICO",'BASE LIQUIDACION'!$B$10,IF(Y21="TIPO I",'BASE LIQUIDACION'!$C$3,IF(Y21="TIPO II",'BASE LIQUIDACION'!$C$4,IF(Y21="TIPO III",'BASE LIQUIDACION'!$C$5,'BASE LIQUIDACION'!$C$7))))</f>
        <v>275728.37943999999</v>
      </c>
      <c r="AG21" s="72">
        <f>IF(W21="SOPORTE_TELEFÓNICO",'BASE LIQUIDACION'!$B$10,(AB21*AF21+AC21*'BASE LIQUIDACION'!$B$12+AD21*'BASE LIQUIDACION'!$B$11+INCIDENTES!AE21*'BASE LIQUIDACION'!$B$13))</f>
        <v>275728.37943999999</v>
      </c>
    </row>
    <row r="22" spans="1:33" s="4" customFormat="1">
      <c r="A22" s="61" t="s">
        <v>100</v>
      </c>
      <c r="B22" s="56" t="str">
        <f>VLOOKUP(A22,'CENTRO DE COSTOS'!A:D,4,FALSE)</f>
        <v>JUAN SEBASTIÁN RÍOS CASTRILLÓN</v>
      </c>
      <c r="C22" s="56" t="str">
        <f>VLOOKUP(A22,'CENTRO DE COSTOS'!A:D,2,FALSE)</f>
        <v>0004-0005</v>
      </c>
      <c r="D22" s="61">
        <v>5264</v>
      </c>
      <c r="E22" s="61">
        <v>2384017</v>
      </c>
      <c r="F22" s="61">
        <v>79370</v>
      </c>
      <c r="G22" s="56" t="s">
        <v>1586</v>
      </c>
      <c r="H22" s="61" t="s">
        <v>104</v>
      </c>
      <c r="I22" s="61" t="s">
        <v>650</v>
      </c>
      <c r="J22" s="61" t="s">
        <v>1694</v>
      </c>
      <c r="K22" s="56" t="s">
        <v>107</v>
      </c>
      <c r="L22" s="61" t="s">
        <v>1695</v>
      </c>
      <c r="M22" s="119">
        <v>45840.49832175926</v>
      </c>
      <c r="N22" s="119">
        <v>45842.396527777775</v>
      </c>
      <c r="O22" s="84" t="s">
        <v>1589</v>
      </c>
      <c r="P22" s="84" t="s">
        <v>1590</v>
      </c>
      <c r="Q22" s="84" t="s">
        <v>1696</v>
      </c>
      <c r="R22" s="84" t="s">
        <v>1697</v>
      </c>
      <c r="S22" s="61" t="s">
        <v>1593</v>
      </c>
      <c r="T22" s="56"/>
      <c r="U22" s="61" t="s">
        <v>1594</v>
      </c>
      <c r="V22" s="120" t="s">
        <v>1698</v>
      </c>
      <c r="W22" s="61" t="s">
        <v>1596</v>
      </c>
      <c r="X22" s="61" t="s">
        <v>1699</v>
      </c>
      <c r="Y22" s="61" t="s">
        <v>139</v>
      </c>
      <c r="Z22" s="61" t="s">
        <v>115</v>
      </c>
      <c r="AA22" s="61" t="s">
        <v>1700</v>
      </c>
      <c r="AB22" s="61">
        <v>1</v>
      </c>
      <c r="AC22" s="61">
        <v>0</v>
      </c>
      <c r="AD22" s="61">
        <v>0</v>
      </c>
      <c r="AE22" s="61">
        <v>0</v>
      </c>
      <c r="AF22" s="71">
        <f>IF(W22="SOPORTE_TELEFÓNICO",'BASE LIQUIDACION'!$B$10,IF(Y22="TIPO I",'BASE LIQUIDACION'!$C$3,IF(Y22="TIPO II",'BASE LIQUIDACION'!$C$4,IF(Y22="TIPO III",'BASE LIQUIDACION'!$C$5,'BASE LIQUIDACION'!$C$7))))</f>
        <v>163813.55812</v>
      </c>
      <c r="AG22" s="72">
        <f>IF(W22="SOPORTE_TELEFÓNICO",'BASE LIQUIDACION'!$B$10,(AB22*AF22+AC22*'BASE LIQUIDACION'!$B$12+AD22*'BASE LIQUIDACION'!$B$11+INCIDENTES!AE22*'BASE LIQUIDACION'!$B$13))</f>
        <v>163813.55812</v>
      </c>
    </row>
    <row r="23" spans="1:33" s="4" customFormat="1">
      <c r="A23" s="61" t="s">
        <v>100</v>
      </c>
      <c r="B23" s="56" t="str">
        <f>VLOOKUP(A23,'CENTRO DE COSTOS'!A:D,4,FALSE)</f>
        <v>JUAN SEBASTIÁN RÍOS CASTRILLÓN</v>
      </c>
      <c r="C23" s="56" t="str">
        <f>VLOOKUP(A23,'CENTRO DE COSTOS'!A:D,2,FALSE)</f>
        <v>0004-0005</v>
      </c>
      <c r="D23" s="61">
        <v>5001</v>
      </c>
      <c r="E23" s="61">
        <v>2389859</v>
      </c>
      <c r="F23" s="61">
        <v>79336</v>
      </c>
      <c r="G23" s="56" t="s">
        <v>1586</v>
      </c>
      <c r="H23" s="61" t="s">
        <v>104</v>
      </c>
      <c r="I23" s="61" t="s">
        <v>100</v>
      </c>
      <c r="J23" s="61" t="s">
        <v>1701</v>
      </c>
      <c r="K23" s="56" t="s">
        <v>107</v>
      </c>
      <c r="L23" s="61" t="s">
        <v>1702</v>
      </c>
      <c r="M23" s="119">
        <v>45841.429166666669</v>
      </c>
      <c r="N23" s="119">
        <v>45842.414583333331</v>
      </c>
      <c r="O23" s="84" t="s">
        <v>1589</v>
      </c>
      <c r="P23" s="84" t="s">
        <v>1590</v>
      </c>
      <c r="Q23" s="84" t="s">
        <v>1643</v>
      </c>
      <c r="R23" s="84" t="s">
        <v>1635</v>
      </c>
      <c r="S23" s="61" t="s">
        <v>1593</v>
      </c>
      <c r="T23" s="56"/>
      <c r="U23" s="61" t="s">
        <v>1594</v>
      </c>
      <c r="V23" s="120" t="s">
        <v>1703</v>
      </c>
      <c r="W23" s="61" t="s">
        <v>1596</v>
      </c>
      <c r="X23" s="61" t="s">
        <v>1704</v>
      </c>
      <c r="Y23" s="61" t="s">
        <v>150</v>
      </c>
      <c r="Z23" s="61" t="s">
        <v>115</v>
      </c>
      <c r="AA23" s="61" t="s">
        <v>1611</v>
      </c>
      <c r="AB23" s="61">
        <v>1</v>
      </c>
      <c r="AC23" s="61">
        <v>0</v>
      </c>
      <c r="AD23" s="61">
        <v>0</v>
      </c>
      <c r="AE23" s="61">
        <v>0</v>
      </c>
      <c r="AF23" s="71">
        <f>IF(W23="SOPORTE_TELEFÓNICO",'BASE LIQUIDACION'!$B$10,IF(Y23="TIPO I",'BASE LIQUIDACION'!$C$3,IF(Y23="TIPO II",'BASE LIQUIDACION'!$C$4,IF(Y23="TIPO III",'BASE LIQUIDACION'!$C$5,'BASE LIQUIDACION'!$C$7))))</f>
        <v>65960.473639999997</v>
      </c>
      <c r="AG23" s="72">
        <f>IF(W23="SOPORTE_TELEFÓNICO",'BASE LIQUIDACION'!$B$10,(AB23*AF23+AC23*'BASE LIQUIDACION'!$B$12+AD23*'BASE LIQUIDACION'!$B$11+INCIDENTES!AE23*'BASE LIQUIDACION'!$B$13))</f>
        <v>65960.473639999997</v>
      </c>
    </row>
    <row r="24" spans="1:33" s="4" customFormat="1">
      <c r="A24" s="61" t="s">
        <v>100</v>
      </c>
      <c r="B24" s="56" t="str">
        <f>VLOOKUP(A24,'CENTRO DE COSTOS'!A:D,4,FALSE)</f>
        <v>JUAN SEBASTIÁN RÍOS CASTRILLÓN</v>
      </c>
      <c r="C24" s="56" t="str">
        <f>VLOOKUP(A24,'CENTRO DE COSTOS'!A:D,2,FALSE)</f>
        <v>0004-0005</v>
      </c>
      <c r="D24" s="61">
        <v>5425</v>
      </c>
      <c r="E24" s="61">
        <v>2379717</v>
      </c>
      <c r="F24" s="61">
        <v>76602</v>
      </c>
      <c r="G24" s="56" t="s">
        <v>1586</v>
      </c>
      <c r="H24" s="61" t="s">
        <v>104</v>
      </c>
      <c r="I24" s="61" t="s">
        <v>667</v>
      </c>
      <c r="J24" s="61" t="s">
        <v>1705</v>
      </c>
      <c r="K24" s="56" t="s">
        <v>107</v>
      </c>
      <c r="L24" s="61" t="s">
        <v>1706</v>
      </c>
      <c r="M24" s="119">
        <v>45840.333333333336</v>
      </c>
      <c r="N24" s="119">
        <v>45842.426388888889</v>
      </c>
      <c r="O24" s="84" t="s">
        <v>1589</v>
      </c>
      <c r="P24" s="84" t="s">
        <v>1590</v>
      </c>
      <c r="Q24" s="84" t="s">
        <v>1643</v>
      </c>
      <c r="R24" s="84" t="s">
        <v>1644</v>
      </c>
      <c r="S24" s="61" t="s">
        <v>1593</v>
      </c>
      <c r="T24" s="56"/>
      <c r="U24" s="61" t="s">
        <v>1594</v>
      </c>
      <c r="V24" s="120" t="s">
        <v>1707</v>
      </c>
      <c r="W24" s="61" t="s">
        <v>1596</v>
      </c>
      <c r="X24" s="61" t="s">
        <v>1708</v>
      </c>
      <c r="Y24" s="61" t="s">
        <v>114</v>
      </c>
      <c r="Z24" s="61" t="s">
        <v>115</v>
      </c>
      <c r="AA24" s="61" t="s">
        <v>276</v>
      </c>
      <c r="AB24" s="61">
        <v>1</v>
      </c>
      <c r="AC24" s="61">
        <v>0</v>
      </c>
      <c r="AD24" s="61">
        <v>0</v>
      </c>
      <c r="AE24" s="61">
        <v>0</v>
      </c>
      <c r="AF24" s="71">
        <f>IF(W24="SOPORTE_TELEFÓNICO",'BASE LIQUIDACION'!$B$10,IF(Y24="TIPO I",'BASE LIQUIDACION'!$C$3,IF(Y24="TIPO II",'BASE LIQUIDACION'!$C$4,IF(Y24="TIPO III",'BASE LIQUIDACION'!$C$5,'BASE LIQUIDACION'!$C$7))))</f>
        <v>275728.37943999999</v>
      </c>
      <c r="AG24" s="72">
        <f>IF(W24="SOPORTE_TELEFÓNICO",'BASE LIQUIDACION'!$B$10,(AB24*AF24+AC24*'BASE LIQUIDACION'!$B$12+AD24*'BASE LIQUIDACION'!$B$11+INCIDENTES!AE24*'BASE LIQUIDACION'!$B$13))</f>
        <v>275728.37943999999</v>
      </c>
    </row>
    <row r="25" spans="1:33" s="4" customFormat="1">
      <c r="A25" s="61" t="s">
        <v>100</v>
      </c>
      <c r="B25" s="56" t="str">
        <f>VLOOKUP(A25,'CENTRO DE COSTOS'!A:D,4,FALSE)</f>
        <v>JUAN SEBASTIÁN RÍOS CASTRILLÓN</v>
      </c>
      <c r="C25" s="56" t="str">
        <f>VLOOKUP(A25,'CENTRO DE COSTOS'!A:D,2,FALSE)</f>
        <v>0004-0005</v>
      </c>
      <c r="D25" s="61">
        <v>5001</v>
      </c>
      <c r="E25" s="61">
        <v>2391115</v>
      </c>
      <c r="F25" s="61">
        <v>24257</v>
      </c>
      <c r="G25" s="56" t="s">
        <v>1586</v>
      </c>
      <c r="H25" s="61" t="s">
        <v>104</v>
      </c>
      <c r="I25" s="61" t="s">
        <v>100</v>
      </c>
      <c r="J25" s="61" t="s">
        <v>1709</v>
      </c>
      <c r="K25" s="56" t="s">
        <v>107</v>
      </c>
      <c r="L25" s="61" t="s">
        <v>1710</v>
      </c>
      <c r="M25" s="119">
        <v>45841.503125000003</v>
      </c>
      <c r="N25" s="119">
        <v>45842.446527777778</v>
      </c>
      <c r="O25" s="84" t="s">
        <v>1589</v>
      </c>
      <c r="P25" s="84" t="s">
        <v>1590</v>
      </c>
      <c r="Q25" s="84" t="s">
        <v>1696</v>
      </c>
      <c r="R25" s="84" t="s">
        <v>1711</v>
      </c>
      <c r="S25" s="61" t="s">
        <v>124</v>
      </c>
      <c r="T25" s="56"/>
      <c r="U25" s="61" t="s">
        <v>1594</v>
      </c>
      <c r="V25" s="120" t="s">
        <v>1712</v>
      </c>
      <c r="W25" s="61" t="s">
        <v>1596</v>
      </c>
      <c r="X25" s="61">
        <v>0</v>
      </c>
      <c r="Y25" s="61" t="s">
        <v>150</v>
      </c>
      <c r="Z25" s="61" t="s">
        <v>115</v>
      </c>
      <c r="AA25" s="61" t="s">
        <v>1713</v>
      </c>
      <c r="AB25" s="61">
        <v>1</v>
      </c>
      <c r="AC25" s="61">
        <v>0</v>
      </c>
      <c r="AD25" s="61">
        <v>0</v>
      </c>
      <c r="AE25" s="61">
        <v>0</v>
      </c>
      <c r="AF25" s="71">
        <f>IF(W25="SOPORTE_TELEFÓNICO",'BASE LIQUIDACION'!$B$10,IF(Y25="TIPO I",'BASE LIQUIDACION'!$C$3,IF(Y25="TIPO II",'BASE LIQUIDACION'!$C$4,IF(Y25="TIPO III",'BASE LIQUIDACION'!$C$5,'BASE LIQUIDACION'!$C$7))))</f>
        <v>65960.473639999997</v>
      </c>
      <c r="AG25" s="72">
        <f>IF(W25="SOPORTE_TELEFÓNICO",'BASE LIQUIDACION'!$B$10,(AB25*AF25+AC25*'BASE LIQUIDACION'!$B$12+AD25*'BASE LIQUIDACION'!$B$11+INCIDENTES!AE25*'BASE LIQUIDACION'!$B$13))</f>
        <v>65960.473639999997</v>
      </c>
    </row>
    <row r="26" spans="1:33" s="4" customFormat="1">
      <c r="A26" s="61" t="s">
        <v>360</v>
      </c>
      <c r="B26" s="56" t="str">
        <f>VLOOKUP(A26,'CENTRO DE COSTOS'!A:D,4,FALSE)</f>
        <v>KEVIN ALEXIS CORZO BUSTOS</v>
      </c>
      <c r="C26" s="56" t="str">
        <f>VLOOKUP(A26,'CENTRO DE COSTOS'!A:D,2,FALSE)</f>
        <v>0004-0007</v>
      </c>
      <c r="D26" s="61">
        <v>73585</v>
      </c>
      <c r="E26" s="61">
        <v>2394091</v>
      </c>
      <c r="F26" s="61">
        <v>79783</v>
      </c>
      <c r="G26" s="56" t="s">
        <v>1586</v>
      </c>
      <c r="H26" s="61" t="s">
        <v>362</v>
      </c>
      <c r="I26" s="61" t="s">
        <v>1518</v>
      </c>
      <c r="J26" s="61" t="s">
        <v>1714</v>
      </c>
      <c r="K26" s="56" t="s">
        <v>107</v>
      </c>
      <c r="L26" s="61" t="s">
        <v>1715</v>
      </c>
      <c r="M26" s="119">
        <v>45842.333333333336</v>
      </c>
      <c r="N26" s="119">
        <v>45842.541666666664</v>
      </c>
      <c r="O26" s="84" t="s">
        <v>1589</v>
      </c>
      <c r="P26" s="84" t="s">
        <v>1590</v>
      </c>
      <c r="Q26" s="84" t="s">
        <v>1650</v>
      </c>
      <c r="R26" s="84" t="s">
        <v>1651</v>
      </c>
      <c r="S26" s="61" t="s">
        <v>1593</v>
      </c>
      <c r="T26" s="56"/>
      <c r="U26" s="61" t="s">
        <v>1594</v>
      </c>
      <c r="V26" s="120" t="s">
        <v>1716</v>
      </c>
      <c r="W26" s="61" t="s">
        <v>1615</v>
      </c>
      <c r="X26" s="61">
        <v>0</v>
      </c>
      <c r="Y26" s="61" t="s">
        <v>139</v>
      </c>
      <c r="Z26" s="61" t="s">
        <v>115</v>
      </c>
      <c r="AA26" s="61" t="s">
        <v>367</v>
      </c>
      <c r="AB26" s="61">
        <v>0</v>
      </c>
      <c r="AC26" s="61">
        <v>0</v>
      </c>
      <c r="AD26" s="61">
        <v>0</v>
      </c>
      <c r="AE26" s="61">
        <v>0</v>
      </c>
      <c r="AF26" s="71">
        <f>IF(W26="SOPORTE_TELEFÓNICO",'BASE LIQUIDACION'!$B$10,IF(Y26="TIPO I",'BASE LIQUIDACION'!$C$3,IF(Y26="TIPO II",'BASE LIQUIDACION'!$C$4,IF(Y26="TIPO III",'BASE LIQUIDACION'!$C$5,'BASE LIQUIDACION'!$C$7))))</f>
        <v>37904.65408</v>
      </c>
      <c r="AG26" s="72">
        <f>IF(W26="SOPORTE_TELEFÓNICO",'BASE LIQUIDACION'!$B$10,(AB26*AF26+AC26*'BASE LIQUIDACION'!$B$12+AD26*'BASE LIQUIDACION'!$B$11+INCIDENTES!AE26*'BASE LIQUIDACION'!$B$13))</f>
        <v>37904.65408</v>
      </c>
    </row>
    <row r="27" spans="1:33" s="4" customFormat="1">
      <c r="A27" s="61" t="s">
        <v>100</v>
      </c>
      <c r="B27" s="56" t="str">
        <f>VLOOKUP(A27,'CENTRO DE COSTOS'!A:D,4,FALSE)</f>
        <v>JUAN SEBASTIÁN RÍOS CASTRILLÓN</v>
      </c>
      <c r="C27" s="56" t="str">
        <f>VLOOKUP(A27,'CENTRO DE COSTOS'!A:D,2,FALSE)</f>
        <v>0004-0005</v>
      </c>
      <c r="D27" s="61">
        <v>5360</v>
      </c>
      <c r="E27" s="61">
        <v>2393274</v>
      </c>
      <c r="F27" s="61">
        <v>12305</v>
      </c>
      <c r="G27" s="56" t="s">
        <v>1586</v>
      </c>
      <c r="H27" s="61" t="s">
        <v>104</v>
      </c>
      <c r="I27" s="61" t="s">
        <v>661</v>
      </c>
      <c r="J27" s="61" t="s">
        <v>1717</v>
      </c>
      <c r="K27" s="56" t="s">
        <v>107</v>
      </c>
      <c r="L27" s="61" t="s">
        <v>1718</v>
      </c>
      <c r="M27" s="119">
        <v>45841.693749999999</v>
      </c>
      <c r="N27" s="119">
        <v>45842.591122685182</v>
      </c>
      <c r="O27" s="84" t="s">
        <v>1589</v>
      </c>
      <c r="P27" s="84" t="s">
        <v>1590</v>
      </c>
      <c r="Q27" s="84" t="s">
        <v>1591</v>
      </c>
      <c r="R27" s="84" t="s">
        <v>1592</v>
      </c>
      <c r="S27" s="61" t="s">
        <v>1593</v>
      </c>
      <c r="T27" s="56"/>
      <c r="U27" s="61" t="s">
        <v>1594</v>
      </c>
      <c r="V27" s="120" t="s">
        <v>1719</v>
      </c>
      <c r="W27" s="61" t="s">
        <v>1596</v>
      </c>
      <c r="X27" s="61" t="s">
        <v>1720</v>
      </c>
      <c r="Y27" s="61" t="s">
        <v>150</v>
      </c>
      <c r="Z27" s="61" t="s">
        <v>115</v>
      </c>
      <c r="AA27" s="61" t="s">
        <v>1721</v>
      </c>
      <c r="AB27" s="61">
        <v>1</v>
      </c>
      <c r="AC27" s="61">
        <v>0</v>
      </c>
      <c r="AD27" s="61">
        <v>0</v>
      </c>
      <c r="AE27" s="61">
        <v>0</v>
      </c>
      <c r="AF27" s="71">
        <f>IF(W27="SOPORTE_TELEFÓNICO",'BASE LIQUIDACION'!$B$10,IF(Y27="TIPO I",'BASE LIQUIDACION'!$C$3,IF(Y27="TIPO II",'BASE LIQUIDACION'!$C$4,IF(Y27="TIPO III",'BASE LIQUIDACION'!$C$5,'BASE LIQUIDACION'!$C$7))))</f>
        <v>65960.473639999997</v>
      </c>
      <c r="AG27" s="72">
        <f>IF(W27="SOPORTE_TELEFÓNICO",'BASE LIQUIDACION'!$B$10,(AB27*AF27+AC27*'BASE LIQUIDACION'!$B$12+AD27*'BASE LIQUIDACION'!$B$11+INCIDENTES!AE27*'BASE LIQUIDACION'!$B$13))</f>
        <v>65960.473639999997</v>
      </c>
    </row>
    <row r="28" spans="1:33" s="4" customFormat="1">
      <c r="A28" s="61" t="s">
        <v>100</v>
      </c>
      <c r="B28" s="56" t="str">
        <f>VLOOKUP(A28,'CENTRO DE COSTOS'!A:D,4,FALSE)</f>
        <v>JUAN SEBASTIÁN RÍOS CASTRILLÓN</v>
      </c>
      <c r="C28" s="56" t="str">
        <f>VLOOKUP(A28,'CENTRO DE COSTOS'!A:D,2,FALSE)</f>
        <v>0004-0005</v>
      </c>
      <c r="D28" s="61">
        <v>5042</v>
      </c>
      <c r="E28" s="61">
        <v>2393568</v>
      </c>
      <c r="F28" s="61">
        <v>42910</v>
      </c>
      <c r="G28" s="56" t="s">
        <v>1586</v>
      </c>
      <c r="H28" s="61" t="s">
        <v>104</v>
      </c>
      <c r="I28" s="61" t="s">
        <v>694</v>
      </c>
      <c r="J28" s="61" t="s">
        <v>1722</v>
      </c>
      <c r="K28" s="56" t="s">
        <v>107</v>
      </c>
      <c r="L28" s="61" t="s">
        <v>1723</v>
      </c>
      <c r="M28" s="119">
        <v>45841.735543981478</v>
      </c>
      <c r="N28" s="119">
        <v>45842.626215277778</v>
      </c>
      <c r="O28" s="84" t="s">
        <v>1589</v>
      </c>
      <c r="P28" s="84" t="s">
        <v>1590</v>
      </c>
      <c r="Q28" s="84" t="s">
        <v>1591</v>
      </c>
      <c r="R28" s="84" t="s">
        <v>1592</v>
      </c>
      <c r="S28" s="61" t="s">
        <v>1593</v>
      </c>
      <c r="T28" s="56"/>
      <c r="U28" s="61" t="s">
        <v>1594</v>
      </c>
      <c r="V28" s="120" t="s">
        <v>1724</v>
      </c>
      <c r="W28" s="61" t="s">
        <v>1596</v>
      </c>
      <c r="X28" s="61" t="s">
        <v>1725</v>
      </c>
      <c r="Y28" s="61" t="s">
        <v>139</v>
      </c>
      <c r="Z28" s="61" t="s">
        <v>115</v>
      </c>
      <c r="AA28" s="61" t="s">
        <v>1626</v>
      </c>
      <c r="AB28" s="61">
        <v>1</v>
      </c>
      <c r="AC28" s="61">
        <v>0</v>
      </c>
      <c r="AD28" s="61">
        <v>0</v>
      </c>
      <c r="AE28" s="61">
        <v>0</v>
      </c>
      <c r="AF28" s="71">
        <f>IF(W28="SOPORTE_TELEFÓNICO",'BASE LIQUIDACION'!$B$10,IF(Y28="TIPO I",'BASE LIQUIDACION'!$C$3,IF(Y28="TIPO II",'BASE LIQUIDACION'!$C$4,IF(Y28="TIPO III",'BASE LIQUIDACION'!$C$5,'BASE LIQUIDACION'!$C$7))))</f>
        <v>163813.55812</v>
      </c>
      <c r="AG28" s="72">
        <f>IF(W28="SOPORTE_TELEFÓNICO",'BASE LIQUIDACION'!$B$10,(AB28*AF28+AC28*'BASE LIQUIDACION'!$B$12+AD28*'BASE LIQUIDACION'!$B$11+INCIDENTES!AE28*'BASE LIQUIDACION'!$B$13))</f>
        <v>163813.55812</v>
      </c>
    </row>
    <row r="29" spans="1:33" s="4" customFormat="1">
      <c r="A29" s="61" t="s">
        <v>179</v>
      </c>
      <c r="B29" s="56" t="str">
        <f>VLOOKUP(A29,'CENTRO DE COSTOS'!A:D,4,FALSE)</f>
        <v>KEVIN ALEXIS CORZO BUSTOS</v>
      </c>
      <c r="C29" s="56" t="str">
        <f>VLOOKUP(A29,'CENTRO DE COSTOS'!A:D,2,FALSE)</f>
        <v>0004-0007</v>
      </c>
      <c r="D29" s="61">
        <v>41016</v>
      </c>
      <c r="E29" s="61">
        <v>2390678</v>
      </c>
      <c r="F29" s="61">
        <v>75980</v>
      </c>
      <c r="G29" s="56" t="s">
        <v>1586</v>
      </c>
      <c r="H29" s="61" t="s">
        <v>190</v>
      </c>
      <c r="I29" s="61" t="s">
        <v>1187</v>
      </c>
      <c r="J29" s="61" t="s">
        <v>1726</v>
      </c>
      <c r="K29" s="56" t="s">
        <v>107</v>
      </c>
      <c r="L29" s="61" t="s">
        <v>1727</v>
      </c>
      <c r="M29" s="119">
        <v>45841.480555555558</v>
      </c>
      <c r="N29" s="119">
        <v>45842.631944444445</v>
      </c>
      <c r="O29" s="84" t="s">
        <v>1589</v>
      </c>
      <c r="P29" s="84" t="s">
        <v>1590</v>
      </c>
      <c r="Q29" s="84" t="s">
        <v>1601</v>
      </c>
      <c r="R29" s="84" t="s">
        <v>1728</v>
      </c>
      <c r="S29" s="61" t="s">
        <v>124</v>
      </c>
      <c r="T29" s="56"/>
      <c r="U29" s="61" t="s">
        <v>1594</v>
      </c>
      <c r="V29" s="120" t="s">
        <v>1729</v>
      </c>
      <c r="W29" s="61" t="s">
        <v>1615</v>
      </c>
      <c r="X29" s="61">
        <v>0</v>
      </c>
      <c r="Y29" s="61" t="s">
        <v>139</v>
      </c>
      <c r="Z29" s="61" t="s">
        <v>115</v>
      </c>
      <c r="AA29" s="61" t="s">
        <v>195</v>
      </c>
      <c r="AB29" s="61">
        <v>0</v>
      </c>
      <c r="AC29" s="61">
        <v>0</v>
      </c>
      <c r="AD29" s="61">
        <v>0</v>
      </c>
      <c r="AE29" s="61">
        <v>0</v>
      </c>
      <c r="AF29" s="71">
        <f>IF(W29="SOPORTE_TELEFÓNICO",'BASE LIQUIDACION'!$B$10,IF(Y29="TIPO I",'BASE LIQUIDACION'!$C$3,IF(Y29="TIPO II",'BASE LIQUIDACION'!$C$4,IF(Y29="TIPO III",'BASE LIQUIDACION'!$C$5,'BASE LIQUIDACION'!$C$7))))</f>
        <v>37904.65408</v>
      </c>
      <c r="AG29" s="72">
        <f>IF(W29="SOPORTE_TELEFÓNICO",'BASE LIQUIDACION'!$B$10,(AB29*AF29+AC29*'BASE LIQUIDACION'!$B$12+AD29*'BASE LIQUIDACION'!$B$11+INCIDENTES!AE29*'BASE LIQUIDACION'!$B$13))</f>
        <v>37904.65408</v>
      </c>
    </row>
    <row r="30" spans="1:33" s="4" customFormat="1">
      <c r="A30" s="61" t="s">
        <v>975</v>
      </c>
      <c r="B30" s="56" t="str">
        <f>VLOOKUP(A30,'CENTRO DE COSTOS'!A:D,4,FALSE)</f>
        <v>DIEGO FERNANDO HENAO CARDONA</v>
      </c>
      <c r="C30" s="56" t="str">
        <f>VLOOKUP(A30,'CENTRO DE COSTOS'!A:D,2,FALSE)</f>
        <v>0004-0003</v>
      </c>
      <c r="D30" s="61">
        <v>52227</v>
      </c>
      <c r="E30" s="61">
        <v>2391004</v>
      </c>
      <c r="F30" s="61">
        <v>10557</v>
      </c>
      <c r="G30" s="56" t="s">
        <v>1586</v>
      </c>
      <c r="H30" s="61" t="s">
        <v>607</v>
      </c>
      <c r="I30" s="61" t="s">
        <v>1289</v>
      </c>
      <c r="J30" s="61" t="s">
        <v>1730</v>
      </c>
      <c r="K30" s="56" t="s">
        <v>107</v>
      </c>
      <c r="L30" s="61" t="s">
        <v>1731</v>
      </c>
      <c r="M30" s="119">
        <v>45841.486111111109</v>
      </c>
      <c r="N30" s="119">
        <v>45842.633333333331</v>
      </c>
      <c r="O30" s="84" t="s">
        <v>1589</v>
      </c>
      <c r="P30" s="84" t="s">
        <v>1590</v>
      </c>
      <c r="Q30" s="84" t="s">
        <v>1591</v>
      </c>
      <c r="R30" s="84" t="s">
        <v>1592</v>
      </c>
      <c r="S30" s="61" t="s">
        <v>1593</v>
      </c>
      <c r="T30" s="56"/>
      <c r="U30" s="61" t="s">
        <v>1594</v>
      </c>
      <c r="V30" s="120" t="s">
        <v>1732</v>
      </c>
      <c r="W30" s="61" t="s">
        <v>1596</v>
      </c>
      <c r="X30" s="61" t="s">
        <v>1733</v>
      </c>
      <c r="Y30" s="61" t="s">
        <v>114</v>
      </c>
      <c r="Z30" s="61" t="s">
        <v>115</v>
      </c>
      <c r="AA30" s="61" t="s">
        <v>1689</v>
      </c>
      <c r="AB30" s="61">
        <v>1</v>
      </c>
      <c r="AC30" s="61">
        <v>0</v>
      </c>
      <c r="AD30" s="61">
        <v>0</v>
      </c>
      <c r="AE30" s="61">
        <v>0</v>
      </c>
      <c r="AF30" s="71">
        <f>IF(W30="SOPORTE_TELEFÓNICO",'BASE LIQUIDACION'!$B$10,IF(Y30="TIPO I",'BASE LIQUIDACION'!$C$3,IF(Y30="TIPO II",'BASE LIQUIDACION'!$C$4,IF(Y30="TIPO III",'BASE LIQUIDACION'!$C$5,'BASE LIQUIDACION'!$C$7))))</f>
        <v>275728.37943999999</v>
      </c>
      <c r="AG30" s="72">
        <f>IF(W30="SOPORTE_TELEFÓNICO",'BASE LIQUIDACION'!$B$10,(AB30*AF30+AC30*'BASE LIQUIDACION'!$B$12+AD30*'BASE LIQUIDACION'!$B$11+INCIDENTES!AE30*'BASE LIQUIDACION'!$B$13))</f>
        <v>275728.37943999999</v>
      </c>
    </row>
    <row r="31" spans="1:33" s="4" customFormat="1">
      <c r="A31" s="61" t="s">
        <v>282</v>
      </c>
      <c r="B31" s="56" t="str">
        <f>VLOOKUP(A31,'CENTRO DE COSTOS'!A:D,4,FALSE)</f>
        <v>JOSE MAURICIO HERNANDEZ ROJAS</v>
      </c>
      <c r="C31" s="56" t="str">
        <f>VLOOKUP(A31,'CENTRO DE COSTOS'!A:D,2,FALSE)</f>
        <v>0004-0001</v>
      </c>
      <c r="D31" s="61">
        <v>20001</v>
      </c>
      <c r="E31" s="61">
        <v>2395671</v>
      </c>
      <c r="F31" s="61">
        <v>75517</v>
      </c>
      <c r="G31" s="56" t="s">
        <v>1586</v>
      </c>
      <c r="H31" s="61" t="s">
        <v>284</v>
      </c>
      <c r="I31" s="61" t="s">
        <v>282</v>
      </c>
      <c r="J31" s="61" t="s">
        <v>1734</v>
      </c>
      <c r="K31" s="56" t="s">
        <v>107</v>
      </c>
      <c r="L31" s="61" t="s">
        <v>1735</v>
      </c>
      <c r="M31" s="119">
        <v>45842.404166666667</v>
      </c>
      <c r="N31" s="119">
        <v>45842.652083333334</v>
      </c>
      <c r="O31" s="84" t="s">
        <v>1589</v>
      </c>
      <c r="P31" s="84" t="s">
        <v>1668</v>
      </c>
      <c r="Q31" s="84" t="s">
        <v>1669</v>
      </c>
      <c r="R31" s="84" t="s">
        <v>1736</v>
      </c>
      <c r="S31" s="61" t="s">
        <v>1593</v>
      </c>
      <c r="T31" s="56"/>
      <c r="U31" s="61" t="s">
        <v>1594</v>
      </c>
      <c r="V31" s="120" t="s">
        <v>1737</v>
      </c>
      <c r="W31" s="61" t="s">
        <v>1596</v>
      </c>
      <c r="X31" s="61" t="s">
        <v>1738</v>
      </c>
      <c r="Y31" s="61" t="s">
        <v>150</v>
      </c>
      <c r="Z31" s="61" t="s">
        <v>115</v>
      </c>
      <c r="AA31" s="61" t="s">
        <v>1616</v>
      </c>
      <c r="AB31" s="61">
        <v>1</v>
      </c>
      <c r="AC31" s="61">
        <v>0</v>
      </c>
      <c r="AD31" s="61">
        <v>0</v>
      </c>
      <c r="AE31" s="61">
        <v>0</v>
      </c>
      <c r="AF31" s="71">
        <f>IF(W31="SOPORTE_TELEFÓNICO",'BASE LIQUIDACION'!$B$10,IF(Y31="TIPO I",'BASE LIQUIDACION'!$C$3,IF(Y31="TIPO II",'BASE LIQUIDACION'!$C$4,IF(Y31="TIPO III",'BASE LIQUIDACION'!$C$5,'BASE LIQUIDACION'!$C$7))))</f>
        <v>65960.473639999997</v>
      </c>
      <c r="AG31" s="72">
        <f>IF(W31="SOPORTE_TELEFÓNICO",'BASE LIQUIDACION'!$B$10,(AB31*AF31+AC31*'BASE LIQUIDACION'!$B$12+AD31*'BASE LIQUIDACION'!$B$11+INCIDENTES!AE31*'BASE LIQUIDACION'!$B$13))</f>
        <v>65960.473639999997</v>
      </c>
    </row>
    <row r="32" spans="1:33" s="4" customFormat="1">
      <c r="A32" s="61" t="s">
        <v>100</v>
      </c>
      <c r="B32" s="56" t="str">
        <f>VLOOKUP(A32,'CENTRO DE COSTOS'!A:D,4,FALSE)</f>
        <v>JUAN SEBASTIÁN RÍOS CASTRILLÓN</v>
      </c>
      <c r="C32" s="56" t="str">
        <f>VLOOKUP(A32,'CENTRO DE COSTOS'!A:D,2,FALSE)</f>
        <v>0004-0005</v>
      </c>
      <c r="D32" s="61">
        <v>5001</v>
      </c>
      <c r="E32" s="61">
        <v>2394087</v>
      </c>
      <c r="F32" s="61">
        <v>77881</v>
      </c>
      <c r="G32" s="56" t="s">
        <v>1586</v>
      </c>
      <c r="H32" s="61" t="s">
        <v>104</v>
      </c>
      <c r="I32" s="61" t="s">
        <v>100</v>
      </c>
      <c r="J32" s="61" t="s">
        <v>1739</v>
      </c>
      <c r="K32" s="56" t="s">
        <v>107</v>
      </c>
      <c r="L32" s="61" t="s">
        <v>1740</v>
      </c>
      <c r="M32" s="119">
        <v>45842.333333333336</v>
      </c>
      <c r="N32" s="119">
        <v>45842.686111111114</v>
      </c>
      <c r="O32" s="84" t="s">
        <v>1589</v>
      </c>
      <c r="P32" s="84" t="s">
        <v>1590</v>
      </c>
      <c r="Q32" s="84" t="s">
        <v>1591</v>
      </c>
      <c r="R32" s="84" t="s">
        <v>1592</v>
      </c>
      <c r="S32" s="61" t="s">
        <v>124</v>
      </c>
      <c r="T32" s="56"/>
      <c r="U32" s="61" t="s">
        <v>1594</v>
      </c>
      <c r="V32" s="120" t="s">
        <v>1741</v>
      </c>
      <c r="W32" s="61" t="s">
        <v>1596</v>
      </c>
      <c r="X32" s="61" t="s">
        <v>1742</v>
      </c>
      <c r="Y32" s="61" t="s">
        <v>150</v>
      </c>
      <c r="Z32" s="61" t="s">
        <v>115</v>
      </c>
      <c r="AA32" s="61" t="s">
        <v>1626</v>
      </c>
      <c r="AB32" s="61">
        <v>1</v>
      </c>
      <c r="AC32" s="61">
        <v>0</v>
      </c>
      <c r="AD32" s="61">
        <v>0</v>
      </c>
      <c r="AE32" s="61">
        <v>0</v>
      </c>
      <c r="AF32" s="71">
        <f>IF(W32="SOPORTE_TELEFÓNICO",'BASE LIQUIDACION'!$B$10,IF(Y32="TIPO I",'BASE LIQUIDACION'!$C$3,IF(Y32="TIPO II",'BASE LIQUIDACION'!$C$4,IF(Y32="TIPO III",'BASE LIQUIDACION'!$C$5,'BASE LIQUIDACION'!$C$7))))</f>
        <v>65960.473639999997</v>
      </c>
      <c r="AG32" s="72">
        <f>IF(W32="SOPORTE_TELEFÓNICO",'BASE LIQUIDACION'!$B$10,(AB32*AF32+AC32*'BASE LIQUIDACION'!$B$12+AD32*'BASE LIQUIDACION'!$B$11+INCIDENTES!AE32*'BASE LIQUIDACION'!$B$13))</f>
        <v>65960.473639999997</v>
      </c>
    </row>
    <row r="33" spans="1:33" s="4" customFormat="1">
      <c r="A33" s="61" t="s">
        <v>341</v>
      </c>
      <c r="B33" s="56" t="str">
        <f>VLOOKUP(A33,'CENTRO DE COSTOS'!A:D,4,FALSE)</f>
        <v>JOSE MAURICIO HERNANDEZ ROJAS</v>
      </c>
      <c r="C33" s="56" t="str">
        <f>VLOOKUP(A33,'CENTRO DE COSTOS'!A:D,2,FALSE)</f>
        <v>0004-0001</v>
      </c>
      <c r="D33" s="61">
        <v>13430</v>
      </c>
      <c r="E33" s="61">
        <v>2397668</v>
      </c>
      <c r="F33" s="61">
        <v>60167</v>
      </c>
      <c r="G33" s="56" t="s">
        <v>1586</v>
      </c>
      <c r="H33" s="61" t="s">
        <v>343</v>
      </c>
      <c r="I33" s="61" t="s">
        <v>344</v>
      </c>
      <c r="J33" s="61" t="s">
        <v>1743</v>
      </c>
      <c r="K33" s="56" t="s">
        <v>107</v>
      </c>
      <c r="L33" s="61" t="s">
        <v>1744</v>
      </c>
      <c r="M33" s="119">
        <v>45842.571527777778</v>
      </c>
      <c r="N33" s="119">
        <v>45843.361122685186</v>
      </c>
      <c r="O33" s="84" t="s">
        <v>1589</v>
      </c>
      <c r="P33" s="74" t="s">
        <v>1590</v>
      </c>
      <c r="Q33" s="74" t="s">
        <v>1696</v>
      </c>
      <c r="R33" s="74" t="s">
        <v>1697</v>
      </c>
      <c r="S33" s="61" t="s">
        <v>1593</v>
      </c>
      <c r="T33" s="56"/>
      <c r="U33" s="61" t="s">
        <v>1594</v>
      </c>
      <c r="V33" s="121" t="s">
        <v>1745</v>
      </c>
      <c r="W33" s="61" t="s">
        <v>1615</v>
      </c>
      <c r="X33" s="68">
        <v>0</v>
      </c>
      <c r="Y33" s="61" t="s">
        <v>128</v>
      </c>
      <c r="Z33" s="61" t="s">
        <v>115</v>
      </c>
      <c r="AA33" s="68" t="s">
        <v>160</v>
      </c>
      <c r="AB33" s="61">
        <v>0</v>
      </c>
      <c r="AC33" s="61">
        <v>0</v>
      </c>
      <c r="AD33" s="61">
        <v>0</v>
      </c>
      <c r="AE33" s="61">
        <v>0</v>
      </c>
      <c r="AF33" s="71">
        <f>IF(W33="SOPORTE_TELEFÓNICO",'BASE LIQUIDACION'!$B$10,IF(Y33="TIPO I",'BASE LIQUIDACION'!$C$3,IF(Y33="TIPO II",'BASE LIQUIDACION'!$C$4,IF(Y33="TIPO III",'BASE LIQUIDACION'!$C$5,'BASE LIQUIDACION'!$C$7))))</f>
        <v>37904.65408</v>
      </c>
      <c r="AG33" s="72">
        <f>IF(W33="SOPORTE_TELEFÓNICO",'BASE LIQUIDACION'!$B$10,(AB33*AF33+AC33*'BASE LIQUIDACION'!$B$12+AD33*'BASE LIQUIDACION'!$B$11+INCIDENTES!AE33*'BASE LIQUIDACION'!$B$13))</f>
        <v>37904.65408</v>
      </c>
    </row>
    <row r="34" spans="1:33" s="4" customFormat="1">
      <c r="A34" s="61" t="s">
        <v>161</v>
      </c>
      <c r="B34" s="56" t="str">
        <f>VLOOKUP(A34,'CENTRO DE COSTOS'!A:D,4,FALSE)</f>
        <v>DIEGO FERNANDO HENAO CARDONA</v>
      </c>
      <c r="C34" s="56" t="str">
        <f>VLOOKUP(A34,'CENTRO DE COSTOS'!A:D,2,FALSE)</f>
        <v>0004-0003</v>
      </c>
      <c r="D34" s="61">
        <v>76001</v>
      </c>
      <c r="E34" s="61">
        <v>2400348</v>
      </c>
      <c r="F34" s="61">
        <v>60641</v>
      </c>
      <c r="G34" s="56" t="s">
        <v>1586</v>
      </c>
      <c r="H34" s="61" t="s">
        <v>208</v>
      </c>
      <c r="I34" s="61" t="s">
        <v>161</v>
      </c>
      <c r="J34" s="61" t="s">
        <v>1746</v>
      </c>
      <c r="K34" s="56" t="s">
        <v>107</v>
      </c>
      <c r="L34" s="61" t="s">
        <v>1747</v>
      </c>
      <c r="M34" s="119">
        <v>45843.339386574073</v>
      </c>
      <c r="N34" s="119">
        <v>45843.543229166666</v>
      </c>
      <c r="O34" s="84" t="s">
        <v>1589</v>
      </c>
      <c r="P34" s="74" t="s">
        <v>1590</v>
      </c>
      <c r="Q34" s="74" t="s">
        <v>1643</v>
      </c>
      <c r="R34" s="74" t="s">
        <v>1635</v>
      </c>
      <c r="S34" s="61" t="s">
        <v>124</v>
      </c>
      <c r="T34" s="56"/>
      <c r="U34" s="61" t="s">
        <v>1594</v>
      </c>
      <c r="V34" s="121" t="s">
        <v>1748</v>
      </c>
      <c r="W34" s="61" t="s">
        <v>1615</v>
      </c>
      <c r="X34" s="68">
        <v>0</v>
      </c>
      <c r="Y34" s="61" t="s">
        <v>150</v>
      </c>
      <c r="Z34" s="61" t="s">
        <v>115</v>
      </c>
      <c r="AA34" s="68" t="s">
        <v>1621</v>
      </c>
      <c r="AB34" s="61">
        <v>0</v>
      </c>
      <c r="AC34" s="61">
        <v>0</v>
      </c>
      <c r="AD34" s="61">
        <v>0</v>
      </c>
      <c r="AE34" s="61">
        <v>0</v>
      </c>
      <c r="AF34" s="71">
        <f>IF(W34="SOPORTE_TELEFÓNICO",'BASE LIQUIDACION'!$B$10,IF(Y34="TIPO I",'BASE LIQUIDACION'!$C$3,IF(Y34="TIPO II",'BASE LIQUIDACION'!$C$4,IF(Y34="TIPO III",'BASE LIQUIDACION'!$C$5,'BASE LIQUIDACION'!$C$7))))</f>
        <v>37904.65408</v>
      </c>
      <c r="AG34" s="72">
        <f>IF(W34="SOPORTE_TELEFÓNICO",'BASE LIQUIDACION'!$B$10,(AB34*AF34+AC34*'BASE LIQUIDACION'!$B$12+AD34*'BASE LIQUIDACION'!$B$11+INCIDENTES!AE34*'BASE LIQUIDACION'!$B$13))</f>
        <v>37904.65408</v>
      </c>
    </row>
    <row r="35" spans="1:33" s="4" customFormat="1">
      <c r="A35" s="61" t="s">
        <v>432</v>
      </c>
      <c r="B35" s="56" t="str">
        <f>VLOOKUP(A35,'CENTRO DE COSTOS'!A:D,4,FALSE)</f>
        <v>KEVIN ALEXIS CORZO BUSTOS</v>
      </c>
      <c r="C35" s="56" t="str">
        <f>VLOOKUP(A35,'CENTRO DE COSTOS'!A:D,2,FALSE)</f>
        <v>0004-0007</v>
      </c>
      <c r="D35" s="61">
        <v>85010</v>
      </c>
      <c r="E35" s="61">
        <v>2394937</v>
      </c>
      <c r="F35" s="61">
        <v>32216</v>
      </c>
      <c r="G35" s="56" t="s">
        <v>1586</v>
      </c>
      <c r="H35" s="61" t="s">
        <v>434</v>
      </c>
      <c r="I35" s="61" t="s">
        <v>435</v>
      </c>
      <c r="J35" s="61" t="s">
        <v>1749</v>
      </c>
      <c r="K35" s="56" t="s">
        <v>107</v>
      </c>
      <c r="L35" s="61" t="s">
        <v>1750</v>
      </c>
      <c r="M35" s="119">
        <v>45842.35833333333</v>
      </c>
      <c r="N35" s="119">
        <v>45843.647905092592</v>
      </c>
      <c r="O35" s="84" t="s">
        <v>1589</v>
      </c>
      <c r="P35" s="74" t="s">
        <v>1590</v>
      </c>
      <c r="Q35" s="74" t="s">
        <v>1643</v>
      </c>
      <c r="R35" s="74" t="s">
        <v>1635</v>
      </c>
      <c r="S35" s="61" t="s">
        <v>124</v>
      </c>
      <c r="T35" s="56"/>
      <c r="U35" s="61" t="s">
        <v>1594</v>
      </c>
      <c r="V35" s="121" t="s">
        <v>1751</v>
      </c>
      <c r="W35" s="61" t="s">
        <v>1615</v>
      </c>
      <c r="X35" s="68">
        <v>0</v>
      </c>
      <c r="Y35" s="61" t="s">
        <v>139</v>
      </c>
      <c r="Z35" s="61" t="s">
        <v>115</v>
      </c>
      <c r="AA35" s="68" t="s">
        <v>440</v>
      </c>
      <c r="AB35" s="61">
        <v>0</v>
      </c>
      <c r="AC35" s="61">
        <v>0</v>
      </c>
      <c r="AD35" s="61">
        <v>0</v>
      </c>
      <c r="AE35" s="61">
        <v>0</v>
      </c>
      <c r="AF35" s="71">
        <f>IF(W35="SOPORTE_TELEFÓNICO",'BASE LIQUIDACION'!$B$10,IF(Y35="TIPO I",'BASE LIQUIDACION'!$C$3,IF(Y35="TIPO II",'BASE LIQUIDACION'!$C$4,IF(Y35="TIPO III",'BASE LIQUIDACION'!$C$5,'BASE LIQUIDACION'!$C$7))))</f>
        <v>37904.65408</v>
      </c>
      <c r="AG35" s="72">
        <f>IF(W35="SOPORTE_TELEFÓNICO",'BASE LIQUIDACION'!$B$10,(AB35*AF35+AC35*'BASE LIQUIDACION'!$B$12+AD35*'BASE LIQUIDACION'!$B$11+INCIDENTES!AE35*'BASE LIQUIDACION'!$B$13))</f>
        <v>37904.65408</v>
      </c>
    </row>
    <row r="36" spans="1:33" s="4" customFormat="1">
      <c r="A36" s="61" t="s">
        <v>432</v>
      </c>
      <c r="B36" s="56" t="str">
        <f>VLOOKUP(A36,'CENTRO DE COSTOS'!A:D,4,FALSE)</f>
        <v>KEVIN ALEXIS CORZO BUSTOS</v>
      </c>
      <c r="C36" s="56" t="str">
        <f>VLOOKUP(A36,'CENTRO DE COSTOS'!A:D,2,FALSE)</f>
        <v>0004-0007</v>
      </c>
      <c r="D36" s="61">
        <v>85001</v>
      </c>
      <c r="E36" s="61">
        <v>2400600</v>
      </c>
      <c r="F36" s="61">
        <v>31229</v>
      </c>
      <c r="G36" s="56" t="s">
        <v>1586</v>
      </c>
      <c r="H36" s="61" t="s">
        <v>434</v>
      </c>
      <c r="I36" s="61" t="s">
        <v>432</v>
      </c>
      <c r="J36" s="61" t="s">
        <v>1752</v>
      </c>
      <c r="K36" s="56" t="s">
        <v>107</v>
      </c>
      <c r="L36" s="61" t="s">
        <v>1753</v>
      </c>
      <c r="M36" s="119">
        <v>45843.39166666667</v>
      </c>
      <c r="N36" s="119">
        <v>45843.649340277778</v>
      </c>
      <c r="O36" s="84" t="s">
        <v>1589</v>
      </c>
      <c r="P36" s="74" t="s">
        <v>1590</v>
      </c>
      <c r="Q36" s="74" t="s">
        <v>1634</v>
      </c>
      <c r="R36" s="74" t="s">
        <v>1635</v>
      </c>
      <c r="S36" s="61" t="s">
        <v>1593</v>
      </c>
      <c r="T36" s="56"/>
      <c r="U36" s="61" t="s">
        <v>1594</v>
      </c>
      <c r="V36" s="121" t="s">
        <v>1754</v>
      </c>
      <c r="W36" s="61" t="s">
        <v>1615</v>
      </c>
      <c r="X36" s="68">
        <v>0</v>
      </c>
      <c r="Y36" s="61" t="s">
        <v>150</v>
      </c>
      <c r="Z36" s="61" t="s">
        <v>115</v>
      </c>
      <c r="AA36" s="68" t="s">
        <v>440</v>
      </c>
      <c r="AB36" s="61">
        <v>0</v>
      </c>
      <c r="AC36" s="61">
        <v>0</v>
      </c>
      <c r="AD36" s="61">
        <v>0</v>
      </c>
      <c r="AE36" s="61">
        <v>0</v>
      </c>
      <c r="AF36" s="71">
        <f>IF(W36="SOPORTE_TELEFÓNICO",'BASE LIQUIDACION'!$B$10,IF(Y36="TIPO I",'BASE LIQUIDACION'!$C$3,IF(Y36="TIPO II",'BASE LIQUIDACION'!$C$4,IF(Y36="TIPO III",'BASE LIQUIDACION'!$C$5,'BASE LIQUIDACION'!$C$7))))</f>
        <v>37904.65408</v>
      </c>
      <c r="AG36" s="72">
        <f>IF(W36="SOPORTE_TELEFÓNICO",'BASE LIQUIDACION'!$B$10,(AB36*AF36+AC36*'BASE LIQUIDACION'!$B$12+AD36*'BASE LIQUIDACION'!$B$11+INCIDENTES!AE36*'BASE LIQUIDACION'!$B$13))</f>
        <v>37904.65408</v>
      </c>
    </row>
    <row r="37" spans="1:33" s="4" customFormat="1">
      <c r="A37" s="61" t="s">
        <v>100</v>
      </c>
      <c r="B37" s="56" t="str">
        <f>VLOOKUP(A37,'CENTRO DE COSTOS'!A:D,4,FALSE)</f>
        <v>JUAN SEBASTIÁN RÍOS CASTRILLÓN</v>
      </c>
      <c r="C37" s="56" t="str">
        <f>VLOOKUP(A37,'CENTRO DE COSTOS'!A:D,2,FALSE)</f>
        <v>0004-0005</v>
      </c>
      <c r="D37" s="61">
        <v>5088</v>
      </c>
      <c r="E37" s="61">
        <v>2401170</v>
      </c>
      <c r="F37" s="61">
        <v>45042</v>
      </c>
      <c r="G37" s="56" t="s">
        <v>1586</v>
      </c>
      <c r="H37" s="61" t="s">
        <v>104</v>
      </c>
      <c r="I37" s="61" t="s">
        <v>628</v>
      </c>
      <c r="J37" s="61" t="s">
        <v>1755</v>
      </c>
      <c r="K37" s="56" t="s">
        <v>107</v>
      </c>
      <c r="L37" s="61" t="s">
        <v>1756</v>
      </c>
      <c r="M37" s="119">
        <v>45843.529166666667</v>
      </c>
      <c r="N37" s="119">
        <v>45845.487488425926</v>
      </c>
      <c r="O37" s="84" t="s">
        <v>1589</v>
      </c>
      <c r="P37" s="74" t="s">
        <v>1590</v>
      </c>
      <c r="Q37" s="74" t="s">
        <v>1643</v>
      </c>
      <c r="R37" s="74" t="s">
        <v>1635</v>
      </c>
      <c r="S37" s="61" t="s">
        <v>124</v>
      </c>
      <c r="T37" s="56"/>
      <c r="U37" s="61" t="s">
        <v>1594</v>
      </c>
      <c r="V37" s="121" t="s">
        <v>1757</v>
      </c>
      <c r="W37" s="61" t="s">
        <v>1615</v>
      </c>
      <c r="X37" s="68">
        <v>0</v>
      </c>
      <c r="Y37" s="61" t="s">
        <v>150</v>
      </c>
      <c r="Z37" s="61" t="s">
        <v>115</v>
      </c>
      <c r="AA37" s="68" t="s">
        <v>221</v>
      </c>
      <c r="AB37" s="61">
        <v>0</v>
      </c>
      <c r="AC37" s="61">
        <v>0</v>
      </c>
      <c r="AD37" s="61">
        <v>0</v>
      </c>
      <c r="AE37" s="61">
        <v>0</v>
      </c>
      <c r="AF37" s="71">
        <f>IF(W37="SOPORTE_TELEFÓNICO",'BASE LIQUIDACION'!$B$10,IF(Y37="TIPO I",'BASE LIQUIDACION'!$C$3,IF(Y37="TIPO II",'BASE LIQUIDACION'!$C$4,IF(Y37="TIPO III",'BASE LIQUIDACION'!$C$5,'BASE LIQUIDACION'!$C$7))))</f>
        <v>37904.65408</v>
      </c>
      <c r="AG37" s="72">
        <f>IF(W37="SOPORTE_TELEFÓNICO",'BASE LIQUIDACION'!$B$10,(AB37*AF37+AC37*'BASE LIQUIDACION'!$B$12+AD37*'BASE LIQUIDACION'!$B$11+INCIDENTES!AE37*'BASE LIQUIDACION'!$B$13))</f>
        <v>37904.65408</v>
      </c>
    </row>
    <row r="38" spans="1:33" s="4" customFormat="1">
      <c r="A38" s="61" t="s">
        <v>399</v>
      </c>
      <c r="B38" s="56" t="str">
        <f>VLOOKUP(A38,'CENTRO DE COSTOS'!A:D,4,FALSE)</f>
        <v>MIGUEL JULIÁN HERNÁNDEZ GUARÍN</v>
      </c>
      <c r="C38" s="56" t="str">
        <f>VLOOKUP(A38,'CENTRO DE COSTOS'!A:D,2,FALSE)</f>
        <v>0004-0008</v>
      </c>
      <c r="D38" s="61">
        <v>15001</v>
      </c>
      <c r="E38" s="61">
        <v>2404260</v>
      </c>
      <c r="F38" s="61">
        <v>79424</v>
      </c>
      <c r="G38" s="56" t="s">
        <v>1586</v>
      </c>
      <c r="H38" s="61" t="s">
        <v>401</v>
      </c>
      <c r="I38" s="61" t="s">
        <v>399</v>
      </c>
      <c r="J38" s="61" t="s">
        <v>1758</v>
      </c>
      <c r="K38" s="56" t="s">
        <v>107</v>
      </c>
      <c r="L38" s="61" t="s">
        <v>1759</v>
      </c>
      <c r="M38" s="119">
        <v>45845.395833333336</v>
      </c>
      <c r="N38" s="119">
        <v>45845.505069444444</v>
      </c>
      <c r="O38" s="84" t="s">
        <v>1589</v>
      </c>
      <c r="P38" s="74" t="s">
        <v>1590</v>
      </c>
      <c r="Q38" s="74" t="s">
        <v>1650</v>
      </c>
      <c r="R38" s="74" t="s">
        <v>1651</v>
      </c>
      <c r="S38" s="61" t="s">
        <v>1593</v>
      </c>
      <c r="T38" s="56"/>
      <c r="U38" s="61" t="s">
        <v>1594</v>
      </c>
      <c r="V38" s="121" t="s">
        <v>1760</v>
      </c>
      <c r="W38" s="61" t="s">
        <v>1596</v>
      </c>
      <c r="X38" s="68" t="s">
        <v>1761</v>
      </c>
      <c r="Y38" s="61" t="s">
        <v>150</v>
      </c>
      <c r="Z38" s="61" t="s">
        <v>115</v>
      </c>
      <c r="AA38" s="68" t="s">
        <v>557</v>
      </c>
      <c r="AB38" s="61">
        <v>1</v>
      </c>
      <c r="AC38" s="61">
        <v>0</v>
      </c>
      <c r="AD38" s="61">
        <v>0</v>
      </c>
      <c r="AE38" s="61">
        <v>0</v>
      </c>
      <c r="AF38" s="71">
        <f>IF(W38="SOPORTE_TELEFÓNICO",'BASE LIQUIDACION'!$B$10,IF(Y38="TIPO I",'BASE LIQUIDACION'!$C$3,IF(Y38="TIPO II",'BASE LIQUIDACION'!$C$4,IF(Y38="TIPO III",'BASE LIQUIDACION'!$C$5,'BASE LIQUIDACION'!$C$7))))</f>
        <v>65960.473639999997</v>
      </c>
      <c r="AG38" s="72">
        <f>IF(W38="SOPORTE_TELEFÓNICO",'BASE LIQUIDACION'!$B$10,(AB38*AF38+AC38*'BASE LIQUIDACION'!$B$12+AD38*'BASE LIQUIDACION'!$B$11+INCIDENTES!AE38*'BASE LIQUIDACION'!$B$13))</f>
        <v>65960.473639999997</v>
      </c>
    </row>
    <row r="39" spans="1:33" s="4" customFormat="1">
      <c r="A39" s="61" t="s">
        <v>170</v>
      </c>
      <c r="B39" s="56" t="str">
        <f>VLOOKUP(A39,'CENTRO DE COSTOS'!A:D,4,FALSE)</f>
        <v>WILLIAM ASDRUBAL ROZO ROZO</v>
      </c>
      <c r="C39" s="56" t="str">
        <f>VLOOKUP(A39,'CENTRO DE COSTOS'!A:D,2,FALSE)</f>
        <v>0004-0004</v>
      </c>
      <c r="D39" s="61">
        <v>25843</v>
      </c>
      <c r="E39" s="61">
        <v>2398472</v>
      </c>
      <c r="F39" s="61">
        <v>71906</v>
      </c>
      <c r="G39" s="56" t="s">
        <v>1586</v>
      </c>
      <c r="H39" s="61" t="s">
        <v>172</v>
      </c>
      <c r="I39" s="61" t="s">
        <v>1167</v>
      </c>
      <c r="J39" s="61" t="s">
        <v>1762</v>
      </c>
      <c r="K39" s="56" t="s">
        <v>107</v>
      </c>
      <c r="L39" s="61" t="s">
        <v>1763</v>
      </c>
      <c r="M39" s="119">
        <v>45842.63958333333</v>
      </c>
      <c r="N39" s="119">
        <v>45845.531666666669</v>
      </c>
      <c r="O39" s="84" t="s">
        <v>1589</v>
      </c>
      <c r="P39" s="74" t="s">
        <v>1590</v>
      </c>
      <c r="Q39" s="74" t="s">
        <v>1650</v>
      </c>
      <c r="R39" s="74" t="s">
        <v>1651</v>
      </c>
      <c r="S39" s="61" t="s">
        <v>1593</v>
      </c>
      <c r="T39" s="56"/>
      <c r="U39" s="61" t="s">
        <v>1594</v>
      </c>
      <c r="V39" s="121" t="s">
        <v>1764</v>
      </c>
      <c r="W39" s="61" t="s">
        <v>1596</v>
      </c>
      <c r="X39" s="68" t="s">
        <v>1765</v>
      </c>
      <c r="Y39" s="61" t="s">
        <v>139</v>
      </c>
      <c r="Z39" s="61" t="s">
        <v>115</v>
      </c>
      <c r="AA39" s="68" t="s">
        <v>1766</v>
      </c>
      <c r="AB39" s="61">
        <v>1</v>
      </c>
      <c r="AC39" s="61">
        <v>0</v>
      </c>
      <c r="AD39" s="61">
        <v>0</v>
      </c>
      <c r="AE39" s="61">
        <v>0</v>
      </c>
      <c r="AF39" s="71">
        <f>IF(W39="SOPORTE_TELEFÓNICO",'BASE LIQUIDACION'!$B$10,IF(Y39="TIPO I",'BASE LIQUIDACION'!$C$3,IF(Y39="TIPO II",'BASE LIQUIDACION'!$C$4,IF(Y39="TIPO III",'BASE LIQUIDACION'!$C$5,'BASE LIQUIDACION'!$C$7))))</f>
        <v>163813.55812</v>
      </c>
      <c r="AG39" s="72">
        <f>IF(W39="SOPORTE_TELEFÓNICO",'BASE LIQUIDACION'!$B$10,(AB39*AF39+AC39*'BASE LIQUIDACION'!$B$12+AD39*'BASE LIQUIDACION'!$B$11+INCIDENTES!AE39*'BASE LIQUIDACION'!$B$13))</f>
        <v>163813.55812</v>
      </c>
    </row>
    <row r="40" spans="1:33" s="4" customFormat="1">
      <c r="A40" s="61" t="s">
        <v>152</v>
      </c>
      <c r="B40" s="56" t="str">
        <f>VLOOKUP(A40,'CENTRO DE COSTOS'!A:D,4,FALSE)</f>
        <v>JOSE MAURICIO HERNANDEZ ROJAS</v>
      </c>
      <c r="C40" s="56" t="str">
        <f>VLOOKUP(A40,'CENTRO DE COSTOS'!A:D,2,FALSE)</f>
        <v>0004-0001</v>
      </c>
      <c r="D40" s="61">
        <v>70215</v>
      </c>
      <c r="E40" s="61">
        <v>2401544</v>
      </c>
      <c r="F40" s="61">
        <v>58268</v>
      </c>
      <c r="G40" s="56" t="s">
        <v>1586</v>
      </c>
      <c r="H40" s="61" t="s">
        <v>154</v>
      </c>
      <c r="I40" s="61" t="s">
        <v>1469</v>
      </c>
      <c r="J40" s="61" t="s">
        <v>1767</v>
      </c>
      <c r="K40" s="56" t="s">
        <v>107</v>
      </c>
      <c r="L40" s="61" t="s">
        <v>1768</v>
      </c>
      <c r="M40" s="119">
        <v>45843.647222222222</v>
      </c>
      <c r="N40" s="119">
        <v>45845.535543981481</v>
      </c>
      <c r="O40" s="84" t="s">
        <v>1589</v>
      </c>
      <c r="P40" s="74" t="s">
        <v>1590</v>
      </c>
      <c r="Q40" s="74" t="s">
        <v>1643</v>
      </c>
      <c r="R40" s="74" t="s">
        <v>1635</v>
      </c>
      <c r="S40" s="61" t="s">
        <v>124</v>
      </c>
      <c r="T40" s="56"/>
      <c r="U40" s="61" t="s">
        <v>1594</v>
      </c>
      <c r="V40" s="121" t="s">
        <v>1769</v>
      </c>
      <c r="W40" s="61" t="s">
        <v>1596</v>
      </c>
      <c r="X40" s="68" t="s">
        <v>1770</v>
      </c>
      <c r="Y40" s="61" t="s">
        <v>139</v>
      </c>
      <c r="Z40" s="61" t="s">
        <v>115</v>
      </c>
      <c r="AA40" s="68" t="s">
        <v>160</v>
      </c>
      <c r="AB40" s="61">
        <v>1</v>
      </c>
      <c r="AC40" s="61">
        <v>0</v>
      </c>
      <c r="AD40" s="61">
        <v>0</v>
      </c>
      <c r="AE40" s="61">
        <v>0</v>
      </c>
      <c r="AF40" s="71">
        <f>IF(W40="SOPORTE_TELEFÓNICO",'BASE LIQUIDACION'!$B$10,IF(Y40="TIPO I",'BASE LIQUIDACION'!$C$3,IF(Y40="TIPO II",'BASE LIQUIDACION'!$C$4,IF(Y40="TIPO III",'BASE LIQUIDACION'!$C$5,'BASE LIQUIDACION'!$C$7))))</f>
        <v>163813.55812</v>
      </c>
      <c r="AG40" s="72">
        <f>IF(W40="SOPORTE_TELEFÓNICO",'BASE LIQUIDACION'!$B$10,(AB40*AF40+AC40*'BASE LIQUIDACION'!$B$12+AD40*'BASE LIQUIDACION'!$B$11+INCIDENTES!AE40*'BASE LIQUIDACION'!$B$13))</f>
        <v>163813.55812</v>
      </c>
    </row>
    <row r="41" spans="1:33" s="4" customFormat="1">
      <c r="A41" s="61" t="s">
        <v>100</v>
      </c>
      <c r="B41" s="56" t="str">
        <f>VLOOKUP(A41,'CENTRO DE COSTOS'!A:D,4,FALSE)</f>
        <v>JUAN SEBASTIÁN RÍOS CASTRILLÓN</v>
      </c>
      <c r="C41" s="56" t="str">
        <f>VLOOKUP(A41,'CENTRO DE COSTOS'!A:D,2,FALSE)</f>
        <v>0004-0005</v>
      </c>
      <c r="D41" s="61">
        <v>5376</v>
      </c>
      <c r="E41" s="61">
        <v>2404540</v>
      </c>
      <c r="F41" s="61">
        <v>27550</v>
      </c>
      <c r="G41" s="56" t="s">
        <v>1586</v>
      </c>
      <c r="H41" s="61" t="s">
        <v>104</v>
      </c>
      <c r="I41" s="61" t="s">
        <v>663</v>
      </c>
      <c r="J41" s="61" t="s">
        <v>1771</v>
      </c>
      <c r="K41" s="56" t="s">
        <v>107</v>
      </c>
      <c r="L41" s="61" t="s">
        <v>1772</v>
      </c>
      <c r="M41" s="119">
        <v>45845.40902777778</v>
      </c>
      <c r="N41" s="119">
        <v>45845.592881944445</v>
      </c>
      <c r="O41" s="84" t="s">
        <v>1589</v>
      </c>
      <c r="P41" s="74" t="s">
        <v>1590</v>
      </c>
      <c r="Q41" s="74" t="s">
        <v>1591</v>
      </c>
      <c r="R41" s="74" t="s">
        <v>1592</v>
      </c>
      <c r="S41" s="61" t="s">
        <v>124</v>
      </c>
      <c r="T41" s="56"/>
      <c r="U41" s="61" t="s">
        <v>1594</v>
      </c>
      <c r="V41" s="121" t="s">
        <v>1773</v>
      </c>
      <c r="W41" s="61" t="s">
        <v>1596</v>
      </c>
      <c r="X41" s="68" t="s">
        <v>1774</v>
      </c>
      <c r="Y41" s="61" t="s">
        <v>139</v>
      </c>
      <c r="Z41" s="61" t="s">
        <v>115</v>
      </c>
      <c r="AA41" s="68" t="s">
        <v>1626</v>
      </c>
      <c r="AB41" s="61">
        <v>1</v>
      </c>
      <c r="AC41" s="61">
        <v>0</v>
      </c>
      <c r="AD41" s="61">
        <v>0</v>
      </c>
      <c r="AE41" s="61">
        <v>0</v>
      </c>
      <c r="AF41" s="71">
        <f>IF(W41="SOPORTE_TELEFÓNICO",'BASE LIQUIDACION'!$B$10,IF(Y41="TIPO I",'BASE LIQUIDACION'!$C$3,IF(Y41="TIPO II",'BASE LIQUIDACION'!$C$4,IF(Y41="TIPO III",'BASE LIQUIDACION'!$C$5,'BASE LIQUIDACION'!$C$7))))</f>
        <v>163813.55812</v>
      </c>
      <c r="AG41" s="72">
        <f>IF(W41="SOPORTE_TELEFÓNICO",'BASE LIQUIDACION'!$B$10,(AB41*AF41+AC41*'BASE LIQUIDACION'!$B$12+AD41*'BASE LIQUIDACION'!$B$11+INCIDENTES!AE41*'BASE LIQUIDACION'!$B$13))</f>
        <v>163813.55812</v>
      </c>
    </row>
    <row r="42" spans="1:33" s="4" customFormat="1">
      <c r="A42" s="61" t="s">
        <v>179</v>
      </c>
      <c r="B42" s="56" t="str">
        <f>VLOOKUP(A42,'CENTRO DE COSTOS'!A:D,4,FALSE)</f>
        <v>KEVIN ALEXIS CORZO BUSTOS</v>
      </c>
      <c r="C42" s="56" t="str">
        <f>VLOOKUP(A42,'CENTRO DE COSTOS'!A:D,2,FALSE)</f>
        <v>0004-0007</v>
      </c>
      <c r="D42" s="61">
        <v>18001</v>
      </c>
      <c r="E42" s="61">
        <v>2395638</v>
      </c>
      <c r="F42" s="61">
        <v>70552</v>
      </c>
      <c r="G42" s="56" t="s">
        <v>1586</v>
      </c>
      <c r="H42" s="61" t="s">
        <v>181</v>
      </c>
      <c r="I42" s="61" t="s">
        <v>182</v>
      </c>
      <c r="J42" s="61" t="s">
        <v>1775</v>
      </c>
      <c r="K42" s="56" t="s">
        <v>107</v>
      </c>
      <c r="L42" s="61" t="s">
        <v>1776</v>
      </c>
      <c r="M42" s="119">
        <v>45842.397916666669</v>
      </c>
      <c r="N42" s="119">
        <v>45845.599999999999</v>
      </c>
      <c r="O42" s="84" t="s">
        <v>1589</v>
      </c>
      <c r="P42" s="74" t="s">
        <v>1590</v>
      </c>
      <c r="Q42" s="74" t="s">
        <v>1650</v>
      </c>
      <c r="R42" s="74" t="s">
        <v>1651</v>
      </c>
      <c r="S42" s="61" t="s">
        <v>1593</v>
      </c>
      <c r="T42" s="56"/>
      <c r="U42" s="61" t="s">
        <v>1594</v>
      </c>
      <c r="V42" s="121" t="s">
        <v>1777</v>
      </c>
      <c r="W42" s="61" t="s">
        <v>1596</v>
      </c>
      <c r="X42" s="68" t="s">
        <v>1778</v>
      </c>
      <c r="Y42" s="61" t="s">
        <v>128</v>
      </c>
      <c r="Z42" s="61" t="s">
        <v>115</v>
      </c>
      <c r="AA42" s="68" t="s">
        <v>187</v>
      </c>
      <c r="AB42" s="61">
        <v>1</v>
      </c>
      <c r="AC42" s="61">
        <v>0</v>
      </c>
      <c r="AD42" s="61">
        <v>0</v>
      </c>
      <c r="AE42" s="61">
        <v>0</v>
      </c>
      <c r="AF42" s="71">
        <f>IF(W42="SOPORTE_TELEFÓNICO",'BASE LIQUIDACION'!$B$10,IF(Y42="TIPO I",'BASE LIQUIDACION'!$C$3,IF(Y42="TIPO II",'BASE LIQUIDACION'!$C$4,IF(Y42="TIPO III",'BASE LIQUIDACION'!$C$5,'BASE LIQUIDACION'!$C$7))))</f>
        <v>479589.73656000005</v>
      </c>
      <c r="AG42" s="72">
        <f>IF(W42="SOPORTE_TELEFÓNICO",'BASE LIQUIDACION'!$B$10,(AB42*AF42+AC42*'BASE LIQUIDACION'!$B$12+AD42*'BASE LIQUIDACION'!$B$11+INCIDENTES!AE42*'BASE LIQUIDACION'!$B$13))</f>
        <v>479589.73656000005</v>
      </c>
    </row>
    <row r="43" spans="1:33" s="4" customFormat="1">
      <c r="A43" s="61" t="s">
        <v>248</v>
      </c>
      <c r="B43" s="56" t="str">
        <f>VLOOKUP(A43,'CENTRO DE COSTOS'!A:D,4,FALSE)</f>
        <v>KEVIN ALEXIS CORZO BUSTOS</v>
      </c>
      <c r="C43" s="56" t="str">
        <f>VLOOKUP(A43,'CENTRO DE COSTOS'!A:D,2,FALSE)</f>
        <v>0004-0007</v>
      </c>
      <c r="D43" s="61">
        <v>50568</v>
      </c>
      <c r="E43" s="61">
        <v>2395867</v>
      </c>
      <c r="F43" s="61">
        <v>51424</v>
      </c>
      <c r="G43" s="56" t="s">
        <v>1586</v>
      </c>
      <c r="H43" s="61" t="s">
        <v>250</v>
      </c>
      <c r="I43" s="61" t="s">
        <v>1270</v>
      </c>
      <c r="J43" s="61" t="s">
        <v>1779</v>
      </c>
      <c r="K43" s="56" t="s">
        <v>107</v>
      </c>
      <c r="L43" s="61" t="s">
        <v>1780</v>
      </c>
      <c r="M43" s="119">
        <v>45842.417361111111</v>
      </c>
      <c r="N43" s="119">
        <v>45845.602777777778</v>
      </c>
      <c r="O43" s="84" t="s">
        <v>1589</v>
      </c>
      <c r="P43" s="74" t="s">
        <v>1590</v>
      </c>
      <c r="Q43" s="74" t="s">
        <v>1634</v>
      </c>
      <c r="R43" s="74" t="s">
        <v>1635</v>
      </c>
      <c r="S43" s="61" t="s">
        <v>1593</v>
      </c>
      <c r="T43" s="56"/>
      <c r="U43" s="61" t="s">
        <v>1594</v>
      </c>
      <c r="V43" s="121" t="s">
        <v>1781</v>
      </c>
      <c r="W43" s="61" t="s">
        <v>1596</v>
      </c>
      <c r="X43" s="68">
        <v>0</v>
      </c>
      <c r="Y43" s="61" t="s">
        <v>114</v>
      </c>
      <c r="Z43" s="61" t="s">
        <v>115</v>
      </c>
      <c r="AA43" s="68" t="s">
        <v>255</v>
      </c>
      <c r="AB43" s="61">
        <v>1</v>
      </c>
      <c r="AC43" s="61">
        <v>0</v>
      </c>
      <c r="AD43" s="61">
        <v>0</v>
      </c>
      <c r="AE43" s="61">
        <v>0</v>
      </c>
      <c r="AF43" s="71">
        <f>IF(W43="SOPORTE_TELEFÓNICO",'BASE LIQUIDACION'!$B$10,IF(Y43="TIPO I",'BASE LIQUIDACION'!$C$3,IF(Y43="TIPO II",'BASE LIQUIDACION'!$C$4,IF(Y43="TIPO III",'BASE LIQUIDACION'!$C$5,'BASE LIQUIDACION'!$C$7))))</f>
        <v>275728.37943999999</v>
      </c>
      <c r="AG43" s="72">
        <f>IF(W43="SOPORTE_TELEFÓNICO",'BASE LIQUIDACION'!$B$10,(AB43*AF43+AC43*'BASE LIQUIDACION'!$B$12+AD43*'BASE LIQUIDACION'!$B$11+INCIDENTES!AE43*'BASE LIQUIDACION'!$B$13))</f>
        <v>275728.37943999999</v>
      </c>
    </row>
    <row r="44" spans="1:33" s="4" customFormat="1">
      <c r="A44" s="61" t="s">
        <v>161</v>
      </c>
      <c r="B44" s="56" t="str">
        <f>VLOOKUP(A44,'CENTRO DE COSTOS'!A:D,4,FALSE)</f>
        <v>DIEGO FERNANDO HENAO CARDONA</v>
      </c>
      <c r="C44" s="56" t="str">
        <f>VLOOKUP(A44,'CENTRO DE COSTOS'!A:D,2,FALSE)</f>
        <v>0004-0003</v>
      </c>
      <c r="D44" s="61">
        <v>19001</v>
      </c>
      <c r="E44" s="61">
        <v>2405947</v>
      </c>
      <c r="F44" s="61">
        <v>66891</v>
      </c>
      <c r="G44" s="56" t="s">
        <v>1586</v>
      </c>
      <c r="H44" s="61" t="s">
        <v>163</v>
      </c>
      <c r="I44" s="61" t="s">
        <v>164</v>
      </c>
      <c r="J44" s="61" t="s">
        <v>1782</v>
      </c>
      <c r="K44" s="56" t="s">
        <v>107</v>
      </c>
      <c r="L44" s="61" t="s">
        <v>1783</v>
      </c>
      <c r="M44" s="119">
        <v>45845.463194444441</v>
      </c>
      <c r="N44" s="119">
        <v>45845.645138888889</v>
      </c>
      <c r="O44" s="84" t="s">
        <v>1589</v>
      </c>
      <c r="P44" s="74" t="s">
        <v>1590</v>
      </c>
      <c r="Q44" s="74" t="s">
        <v>1643</v>
      </c>
      <c r="R44" s="74" t="s">
        <v>1635</v>
      </c>
      <c r="S44" s="61" t="s">
        <v>1593</v>
      </c>
      <c r="T44" s="56"/>
      <c r="U44" s="61" t="s">
        <v>1594</v>
      </c>
      <c r="V44" s="121" t="s">
        <v>1784</v>
      </c>
      <c r="W44" s="61" t="s">
        <v>1615</v>
      </c>
      <c r="X44" s="68">
        <v>0</v>
      </c>
      <c r="Y44" s="61" t="s">
        <v>114</v>
      </c>
      <c r="Z44" s="61" t="s">
        <v>115</v>
      </c>
      <c r="AA44" s="68" t="s">
        <v>1621</v>
      </c>
      <c r="AB44" s="61">
        <v>0</v>
      </c>
      <c r="AC44" s="61">
        <v>0</v>
      </c>
      <c r="AD44" s="61">
        <v>0</v>
      </c>
      <c r="AE44" s="61">
        <v>0</v>
      </c>
      <c r="AF44" s="71">
        <f>IF(W44="SOPORTE_TELEFÓNICO",'BASE LIQUIDACION'!$B$10,IF(Y44="TIPO I",'BASE LIQUIDACION'!$C$3,IF(Y44="TIPO II",'BASE LIQUIDACION'!$C$4,IF(Y44="TIPO III",'BASE LIQUIDACION'!$C$5,'BASE LIQUIDACION'!$C$7))))</f>
        <v>37904.65408</v>
      </c>
      <c r="AG44" s="72">
        <f>IF(W44="SOPORTE_TELEFÓNICO",'BASE LIQUIDACION'!$B$10,(AB44*AF44+AC44*'BASE LIQUIDACION'!$B$12+AD44*'BASE LIQUIDACION'!$B$11+INCIDENTES!AE44*'BASE LIQUIDACION'!$B$13))</f>
        <v>37904.65408</v>
      </c>
    </row>
    <row r="45" spans="1:33" s="4" customFormat="1">
      <c r="A45" s="61" t="s">
        <v>161</v>
      </c>
      <c r="B45" s="56" t="str">
        <f>VLOOKUP(A45,'CENTRO DE COSTOS'!A:D,4,FALSE)</f>
        <v>DIEGO FERNANDO HENAO CARDONA</v>
      </c>
      <c r="C45" s="56" t="str">
        <f>VLOOKUP(A45,'CENTRO DE COSTOS'!A:D,2,FALSE)</f>
        <v>0004-0003</v>
      </c>
      <c r="D45" s="61">
        <v>76109</v>
      </c>
      <c r="E45" s="61">
        <v>2405077</v>
      </c>
      <c r="F45" s="61">
        <v>67291</v>
      </c>
      <c r="G45" s="56" t="s">
        <v>1586</v>
      </c>
      <c r="H45" s="61" t="s">
        <v>208</v>
      </c>
      <c r="I45" s="61" t="s">
        <v>1532</v>
      </c>
      <c r="J45" s="61" t="s">
        <v>1785</v>
      </c>
      <c r="K45" s="56" t="s">
        <v>107</v>
      </c>
      <c r="L45" s="61" t="s">
        <v>1786</v>
      </c>
      <c r="M45" s="119">
        <v>45845.429861111108</v>
      </c>
      <c r="N45" s="119">
        <v>45845.659722222219</v>
      </c>
      <c r="O45" s="84" t="s">
        <v>1589</v>
      </c>
      <c r="P45" s="74" t="s">
        <v>1590</v>
      </c>
      <c r="Q45" s="74" t="s">
        <v>1696</v>
      </c>
      <c r="R45" s="74" t="s">
        <v>1697</v>
      </c>
      <c r="S45" s="61" t="s">
        <v>1593</v>
      </c>
      <c r="T45" s="56"/>
      <c r="U45" s="61" t="s">
        <v>1594</v>
      </c>
      <c r="V45" s="121" t="s">
        <v>1787</v>
      </c>
      <c r="W45" s="61" t="s">
        <v>1615</v>
      </c>
      <c r="X45" s="68">
        <v>0</v>
      </c>
      <c r="Y45" s="61" t="s">
        <v>114</v>
      </c>
      <c r="Z45" s="61" t="s">
        <v>115</v>
      </c>
      <c r="AA45" s="68" t="s">
        <v>1621</v>
      </c>
      <c r="AB45" s="61">
        <v>0</v>
      </c>
      <c r="AC45" s="61">
        <v>0</v>
      </c>
      <c r="AD45" s="61">
        <v>0</v>
      </c>
      <c r="AE45" s="61">
        <v>0</v>
      </c>
      <c r="AF45" s="71">
        <f>IF(W45="SOPORTE_TELEFÓNICO",'BASE LIQUIDACION'!$B$10,IF(Y45="TIPO I",'BASE LIQUIDACION'!$C$3,IF(Y45="TIPO II",'BASE LIQUIDACION'!$C$4,IF(Y45="TIPO III",'BASE LIQUIDACION'!$C$5,'BASE LIQUIDACION'!$C$7))))</f>
        <v>37904.65408</v>
      </c>
      <c r="AG45" s="72">
        <f>IF(W45="SOPORTE_TELEFÓNICO",'BASE LIQUIDACION'!$B$10,(AB45*AF45+AC45*'BASE LIQUIDACION'!$B$12+AD45*'BASE LIQUIDACION'!$B$11+INCIDENTES!AE45*'BASE LIQUIDACION'!$B$13))</f>
        <v>37904.65408</v>
      </c>
    </row>
    <row r="46" spans="1:33" s="4" customFormat="1">
      <c r="A46" s="61" t="s">
        <v>100</v>
      </c>
      <c r="B46" s="56" t="str">
        <f>VLOOKUP(A46,'CENTRO DE COSTOS'!A:D,4,FALSE)</f>
        <v>JUAN SEBASTIÁN RÍOS CASTRILLÓN</v>
      </c>
      <c r="C46" s="56" t="str">
        <f>VLOOKUP(A46,'CENTRO DE COSTOS'!A:D,2,FALSE)</f>
        <v>0004-0005</v>
      </c>
      <c r="D46" s="61">
        <v>5579</v>
      </c>
      <c r="E46" s="61">
        <v>2394084</v>
      </c>
      <c r="F46" s="61">
        <v>45592</v>
      </c>
      <c r="G46" s="56" t="s">
        <v>1586</v>
      </c>
      <c r="H46" s="61" t="s">
        <v>104</v>
      </c>
      <c r="I46" s="61" t="s">
        <v>679</v>
      </c>
      <c r="J46" s="61" t="s">
        <v>1788</v>
      </c>
      <c r="K46" s="56" t="s">
        <v>107</v>
      </c>
      <c r="L46" s="61" t="s">
        <v>1789</v>
      </c>
      <c r="M46" s="119">
        <v>45842.333333333336</v>
      </c>
      <c r="N46" s="119">
        <v>45845.662662037037</v>
      </c>
      <c r="O46" s="84" t="s">
        <v>1589</v>
      </c>
      <c r="P46" s="74" t="s">
        <v>1590</v>
      </c>
      <c r="Q46" s="74" t="s">
        <v>1591</v>
      </c>
      <c r="R46" s="74" t="s">
        <v>1592</v>
      </c>
      <c r="S46" s="61" t="s">
        <v>1593</v>
      </c>
      <c r="T46" s="56"/>
      <c r="U46" s="61" t="s">
        <v>1594</v>
      </c>
      <c r="V46" s="121" t="s">
        <v>1790</v>
      </c>
      <c r="W46" s="61" t="s">
        <v>1596</v>
      </c>
      <c r="X46" s="68" t="s">
        <v>1791</v>
      </c>
      <c r="Y46" s="61" t="s">
        <v>114</v>
      </c>
      <c r="Z46" s="61" t="s">
        <v>115</v>
      </c>
      <c r="AA46" s="68" t="s">
        <v>373</v>
      </c>
      <c r="AB46" s="61">
        <v>1</v>
      </c>
      <c r="AC46" s="61">
        <v>0</v>
      </c>
      <c r="AD46" s="61">
        <v>0</v>
      </c>
      <c r="AE46" s="61">
        <v>0</v>
      </c>
      <c r="AF46" s="71">
        <f>IF(W46="SOPORTE_TELEFÓNICO",'BASE LIQUIDACION'!$B$10,IF(Y46="TIPO I",'BASE LIQUIDACION'!$C$3,IF(Y46="TIPO II",'BASE LIQUIDACION'!$C$4,IF(Y46="TIPO III",'BASE LIQUIDACION'!$C$5,'BASE LIQUIDACION'!$C$7))))</f>
        <v>275728.37943999999</v>
      </c>
      <c r="AG46" s="72">
        <f>IF(W46="SOPORTE_TELEFÓNICO",'BASE LIQUIDACION'!$B$10,(AB46*AF46+AC46*'BASE LIQUIDACION'!$B$12+AD46*'BASE LIQUIDACION'!$B$11+INCIDENTES!AE46*'BASE LIQUIDACION'!$B$13))</f>
        <v>275728.37943999999</v>
      </c>
    </row>
    <row r="47" spans="1:33" s="4" customFormat="1">
      <c r="A47" s="61" t="s">
        <v>170</v>
      </c>
      <c r="B47" s="56" t="str">
        <f>VLOOKUP(A47,'CENTRO DE COSTOS'!A:D,4,FALSE)</f>
        <v>WILLIAM ASDRUBAL ROZO ROZO</v>
      </c>
      <c r="C47" s="56" t="str">
        <f>VLOOKUP(A47,'CENTRO DE COSTOS'!A:D,2,FALSE)</f>
        <v>0004-0004</v>
      </c>
      <c r="D47" s="61">
        <v>11001</v>
      </c>
      <c r="E47" s="61">
        <v>2405769</v>
      </c>
      <c r="F47" s="61">
        <v>45935</v>
      </c>
      <c r="G47" s="56" t="s">
        <v>1586</v>
      </c>
      <c r="H47" s="61" t="s">
        <v>172</v>
      </c>
      <c r="I47" s="61" t="s">
        <v>170</v>
      </c>
      <c r="J47" s="61" t="s">
        <v>1792</v>
      </c>
      <c r="K47" s="56" t="s">
        <v>107</v>
      </c>
      <c r="L47" s="61" t="s">
        <v>1793</v>
      </c>
      <c r="M47" s="119">
        <v>45845.462500000001</v>
      </c>
      <c r="N47" s="119">
        <v>45845.717152777775</v>
      </c>
      <c r="O47" s="84" t="s">
        <v>1589</v>
      </c>
      <c r="P47" s="74" t="s">
        <v>1590</v>
      </c>
      <c r="Q47" s="74" t="s">
        <v>1601</v>
      </c>
      <c r="R47" s="74" t="s">
        <v>1602</v>
      </c>
      <c r="S47" s="61" t="s">
        <v>124</v>
      </c>
      <c r="T47" s="56"/>
      <c r="U47" s="61" t="s">
        <v>1594</v>
      </c>
      <c r="V47" s="121" t="s">
        <v>1794</v>
      </c>
      <c r="W47" s="61" t="s">
        <v>1615</v>
      </c>
      <c r="X47" s="68">
        <v>0</v>
      </c>
      <c r="Y47" s="61" t="s">
        <v>150</v>
      </c>
      <c r="Z47" s="61" t="s">
        <v>115</v>
      </c>
      <c r="AA47" s="68" t="s">
        <v>241</v>
      </c>
      <c r="AB47" s="61">
        <v>0</v>
      </c>
      <c r="AC47" s="61">
        <v>0</v>
      </c>
      <c r="AD47" s="61">
        <v>0</v>
      </c>
      <c r="AE47" s="61">
        <v>0</v>
      </c>
      <c r="AF47" s="71">
        <f>IF(W47="SOPORTE_TELEFÓNICO",'BASE LIQUIDACION'!$B$10,IF(Y47="TIPO I",'BASE LIQUIDACION'!$C$3,IF(Y47="TIPO II",'BASE LIQUIDACION'!$C$4,IF(Y47="TIPO III",'BASE LIQUIDACION'!$C$5,'BASE LIQUIDACION'!$C$7))))</f>
        <v>37904.65408</v>
      </c>
      <c r="AG47" s="72">
        <f>IF(W47="SOPORTE_TELEFÓNICO",'BASE LIQUIDACION'!$B$10,(AB47*AF47+AC47*'BASE LIQUIDACION'!$B$12+AD47*'BASE LIQUIDACION'!$B$11+INCIDENTES!AE47*'BASE LIQUIDACION'!$B$13))</f>
        <v>37904.65408</v>
      </c>
    </row>
    <row r="48" spans="1:33" s="4" customFormat="1">
      <c r="A48" s="61" t="s">
        <v>341</v>
      </c>
      <c r="B48" s="56" t="str">
        <f>VLOOKUP(A48,'CENTRO DE COSTOS'!A:D,4,FALSE)</f>
        <v>JOSE MAURICIO HERNANDEZ ROJAS</v>
      </c>
      <c r="C48" s="56" t="str">
        <f>VLOOKUP(A48,'CENTRO DE COSTOS'!A:D,2,FALSE)</f>
        <v>0004-0001</v>
      </c>
      <c r="D48" s="61">
        <v>13001</v>
      </c>
      <c r="E48" s="61">
        <v>2405449</v>
      </c>
      <c r="F48" s="61">
        <v>66684</v>
      </c>
      <c r="G48" s="56" t="s">
        <v>1586</v>
      </c>
      <c r="H48" s="61" t="s">
        <v>343</v>
      </c>
      <c r="I48" s="61" t="s">
        <v>341</v>
      </c>
      <c r="J48" s="61" t="s">
        <v>1795</v>
      </c>
      <c r="K48" s="56" t="s">
        <v>107</v>
      </c>
      <c r="L48" s="61" t="s">
        <v>1796</v>
      </c>
      <c r="M48" s="119">
        <v>45845.447222222225</v>
      </c>
      <c r="N48" s="119">
        <v>45845.732997685183</v>
      </c>
      <c r="O48" s="84" t="s">
        <v>1589</v>
      </c>
      <c r="P48" s="74" t="s">
        <v>1590</v>
      </c>
      <c r="Q48" s="74" t="s">
        <v>1601</v>
      </c>
      <c r="R48" s="74" t="s">
        <v>1619</v>
      </c>
      <c r="S48" s="61" t="s">
        <v>145</v>
      </c>
      <c r="T48" s="56"/>
      <c r="U48" s="61" t="s">
        <v>1594</v>
      </c>
      <c r="V48" s="121" t="s">
        <v>1797</v>
      </c>
      <c r="W48" s="61" t="s">
        <v>1615</v>
      </c>
      <c r="X48" s="68">
        <v>0</v>
      </c>
      <c r="Y48" s="61" t="s">
        <v>150</v>
      </c>
      <c r="Z48" s="61" t="s">
        <v>115</v>
      </c>
      <c r="AA48" s="68" t="s">
        <v>1798</v>
      </c>
      <c r="AB48" s="61">
        <v>0</v>
      </c>
      <c r="AC48" s="61">
        <v>0</v>
      </c>
      <c r="AD48" s="61">
        <v>0</v>
      </c>
      <c r="AE48" s="61">
        <v>0</v>
      </c>
      <c r="AF48" s="71">
        <f>IF(W48="SOPORTE_TELEFÓNICO",'BASE LIQUIDACION'!$B$10,IF(Y48="TIPO I",'BASE LIQUIDACION'!$C$3,IF(Y48="TIPO II",'BASE LIQUIDACION'!$C$4,IF(Y48="TIPO III",'BASE LIQUIDACION'!$C$5,'BASE LIQUIDACION'!$C$7))))</f>
        <v>37904.65408</v>
      </c>
      <c r="AG48" s="72">
        <f>IF(W48="SOPORTE_TELEFÓNICO",'BASE LIQUIDACION'!$B$10,(AB48*AF48+AC48*'BASE LIQUIDACION'!$B$12+AD48*'BASE LIQUIDACION'!$B$11+INCIDENTES!AE48*'BASE LIQUIDACION'!$B$13))</f>
        <v>37904.65408</v>
      </c>
    </row>
    <row r="49" spans="1:33" s="4" customFormat="1">
      <c r="A49" s="61" t="s">
        <v>170</v>
      </c>
      <c r="B49" s="56" t="str">
        <f>VLOOKUP(A49,'CENTRO DE COSTOS'!A:D,4,FALSE)</f>
        <v>WILLIAM ASDRUBAL ROZO ROZO</v>
      </c>
      <c r="C49" s="56" t="str">
        <f>VLOOKUP(A49,'CENTRO DE COSTOS'!A:D,2,FALSE)</f>
        <v>0004-0004</v>
      </c>
      <c r="D49" s="61">
        <v>25286</v>
      </c>
      <c r="E49" s="61">
        <v>2404508</v>
      </c>
      <c r="F49" s="61">
        <v>76006</v>
      </c>
      <c r="G49" s="56" t="s">
        <v>1586</v>
      </c>
      <c r="H49" s="61" t="s">
        <v>172</v>
      </c>
      <c r="I49" s="61" t="s">
        <v>1100</v>
      </c>
      <c r="J49" s="61" t="s">
        <v>1799</v>
      </c>
      <c r="K49" s="56" t="s">
        <v>107</v>
      </c>
      <c r="L49" s="61" t="s">
        <v>1800</v>
      </c>
      <c r="M49" s="119">
        <v>45845.404166666667</v>
      </c>
      <c r="N49" s="119">
        <v>45846.407546296294</v>
      </c>
      <c r="O49" s="84" t="s">
        <v>1589</v>
      </c>
      <c r="P49" s="74" t="s">
        <v>1668</v>
      </c>
      <c r="Q49" s="74" t="s">
        <v>1669</v>
      </c>
      <c r="R49" s="74" t="s">
        <v>1801</v>
      </c>
      <c r="S49" s="61" t="s">
        <v>1593</v>
      </c>
      <c r="T49" s="56"/>
      <c r="U49" s="61" t="s">
        <v>1594</v>
      </c>
      <c r="V49" s="121" t="s">
        <v>1802</v>
      </c>
      <c r="W49" s="61" t="s">
        <v>1596</v>
      </c>
      <c r="X49" s="68" t="s">
        <v>1803</v>
      </c>
      <c r="Y49" s="61" t="s">
        <v>139</v>
      </c>
      <c r="Z49" s="61" t="s">
        <v>115</v>
      </c>
      <c r="AA49" s="68" t="s">
        <v>1804</v>
      </c>
      <c r="AB49" s="61">
        <v>1</v>
      </c>
      <c r="AC49" s="61">
        <v>0</v>
      </c>
      <c r="AD49" s="61">
        <v>0</v>
      </c>
      <c r="AE49" s="61">
        <v>0</v>
      </c>
      <c r="AF49" s="71">
        <f>IF(W49="SOPORTE_TELEFÓNICO",'BASE LIQUIDACION'!$B$10,IF(Y49="TIPO I",'BASE LIQUIDACION'!$C$3,IF(Y49="TIPO II",'BASE LIQUIDACION'!$C$4,IF(Y49="TIPO III",'BASE LIQUIDACION'!$C$5,'BASE LIQUIDACION'!$C$7))))</f>
        <v>163813.55812</v>
      </c>
      <c r="AG49" s="72">
        <f>IF(W49="SOPORTE_TELEFÓNICO",'BASE LIQUIDACION'!$B$10,(AB49*AF49+AC49*'BASE LIQUIDACION'!$B$12+AD49*'BASE LIQUIDACION'!$B$11+INCIDENTES!AE49*'BASE LIQUIDACION'!$B$13))</f>
        <v>163813.55812</v>
      </c>
    </row>
    <row r="50" spans="1:33" s="4" customFormat="1">
      <c r="A50" s="61" t="s">
        <v>130</v>
      </c>
      <c r="B50" s="56" t="str">
        <f>VLOOKUP(A50,'CENTRO DE COSTOS'!A:D,4,FALSE)</f>
        <v>DIEGO FERNANDO HENAO CARDONA</v>
      </c>
      <c r="C50" s="56" t="str">
        <f>VLOOKUP(A50,'CENTRO DE COSTOS'!A:D,2,FALSE)</f>
        <v>0004-0002</v>
      </c>
      <c r="D50" s="61">
        <v>63001</v>
      </c>
      <c r="E50" s="61">
        <v>2410786</v>
      </c>
      <c r="F50" s="61">
        <v>25343</v>
      </c>
      <c r="G50" s="56" t="s">
        <v>1586</v>
      </c>
      <c r="H50" s="61" t="s">
        <v>1377</v>
      </c>
      <c r="I50" s="61" t="s">
        <v>596</v>
      </c>
      <c r="J50" s="61" t="s">
        <v>1805</v>
      </c>
      <c r="K50" s="56" t="s">
        <v>107</v>
      </c>
      <c r="L50" s="61" t="s">
        <v>1806</v>
      </c>
      <c r="M50" s="119">
        <v>45846.34652777778</v>
      </c>
      <c r="N50" s="119">
        <v>45846.511805555558</v>
      </c>
      <c r="O50" s="84" t="s">
        <v>1589</v>
      </c>
      <c r="P50" s="74" t="s">
        <v>1590</v>
      </c>
      <c r="Q50" s="74" t="s">
        <v>1591</v>
      </c>
      <c r="R50" s="74" t="s">
        <v>1592</v>
      </c>
      <c r="S50" s="61" t="s">
        <v>1664</v>
      </c>
      <c r="T50" s="56"/>
      <c r="U50" s="61" t="s">
        <v>1594</v>
      </c>
      <c r="V50" s="121" t="s">
        <v>1807</v>
      </c>
      <c r="W50" s="61" t="s">
        <v>1615</v>
      </c>
      <c r="X50" s="68">
        <v>0</v>
      </c>
      <c r="Y50" s="61" t="s">
        <v>139</v>
      </c>
      <c r="Z50" s="61" t="s">
        <v>115</v>
      </c>
      <c r="AA50" s="68">
        <v>0</v>
      </c>
      <c r="AB50" s="61">
        <v>0</v>
      </c>
      <c r="AC50" s="61">
        <v>0</v>
      </c>
      <c r="AD50" s="61">
        <v>0</v>
      </c>
      <c r="AE50" s="61">
        <v>0</v>
      </c>
      <c r="AF50" s="71">
        <f>IF(W50="SOPORTE_TELEFÓNICO",'BASE LIQUIDACION'!$B$10,IF(Y50="TIPO I",'BASE LIQUIDACION'!$C$3,IF(Y50="TIPO II",'BASE LIQUIDACION'!$C$4,IF(Y50="TIPO III",'BASE LIQUIDACION'!$C$5,'BASE LIQUIDACION'!$C$7))))</f>
        <v>37904.65408</v>
      </c>
      <c r="AG50" s="72">
        <f>IF(W50="SOPORTE_TELEFÓNICO",'BASE LIQUIDACION'!$B$10,(AB50*AF50+AC50*'BASE LIQUIDACION'!$B$12+AD50*'BASE LIQUIDACION'!$B$11+INCIDENTES!AE50*'BASE LIQUIDACION'!$B$13))</f>
        <v>37904.65408</v>
      </c>
    </row>
    <row r="51" spans="1:33" s="4" customFormat="1">
      <c r="A51" s="61" t="s">
        <v>161</v>
      </c>
      <c r="B51" s="56" t="str">
        <f>VLOOKUP(A51,'CENTRO DE COSTOS'!A:D,4,FALSE)</f>
        <v>DIEGO FERNANDO HENAO CARDONA</v>
      </c>
      <c r="C51" s="56" t="str">
        <f>VLOOKUP(A51,'CENTRO DE COSTOS'!A:D,2,FALSE)</f>
        <v>0004-0003</v>
      </c>
      <c r="D51" s="61">
        <v>76001</v>
      </c>
      <c r="E51" s="61">
        <v>2412646</v>
      </c>
      <c r="F51" s="61">
        <v>30980</v>
      </c>
      <c r="G51" s="56" t="s">
        <v>1586</v>
      </c>
      <c r="H51" s="61" t="s">
        <v>208</v>
      </c>
      <c r="I51" s="61" t="s">
        <v>161</v>
      </c>
      <c r="J51" s="61" t="s">
        <v>1808</v>
      </c>
      <c r="K51" s="56" t="s">
        <v>107</v>
      </c>
      <c r="L51" s="61" t="s">
        <v>1809</v>
      </c>
      <c r="M51" s="119">
        <v>45846.454861111109</v>
      </c>
      <c r="N51" s="119">
        <v>45846.562025462961</v>
      </c>
      <c r="O51" s="84" t="s">
        <v>1589</v>
      </c>
      <c r="P51" s="74" t="s">
        <v>1590</v>
      </c>
      <c r="Q51" s="74" t="s">
        <v>1601</v>
      </c>
      <c r="R51" s="74" t="s">
        <v>1619</v>
      </c>
      <c r="S51" s="61" t="s">
        <v>1593</v>
      </c>
      <c r="T51" s="56"/>
      <c r="U51" s="61" t="s">
        <v>1594</v>
      </c>
      <c r="V51" s="121" t="s">
        <v>1810</v>
      </c>
      <c r="W51" s="61" t="s">
        <v>1615</v>
      </c>
      <c r="X51" s="68">
        <v>0</v>
      </c>
      <c r="Y51" s="61" t="s">
        <v>150</v>
      </c>
      <c r="Z51" s="61" t="s">
        <v>115</v>
      </c>
      <c r="AA51" s="68" t="s">
        <v>1621</v>
      </c>
      <c r="AB51" s="61">
        <v>0</v>
      </c>
      <c r="AC51" s="61">
        <v>0</v>
      </c>
      <c r="AD51" s="61">
        <v>0</v>
      </c>
      <c r="AE51" s="61">
        <v>0</v>
      </c>
      <c r="AF51" s="71">
        <f>IF(W51="SOPORTE_TELEFÓNICO",'BASE LIQUIDACION'!$B$10,IF(Y51="TIPO I",'BASE LIQUIDACION'!$C$3,IF(Y51="TIPO II",'BASE LIQUIDACION'!$C$4,IF(Y51="TIPO III",'BASE LIQUIDACION'!$C$5,'BASE LIQUIDACION'!$C$7))))</f>
        <v>37904.65408</v>
      </c>
      <c r="AG51" s="72">
        <f>IF(W51="SOPORTE_TELEFÓNICO",'BASE LIQUIDACION'!$B$10,(AB51*AF51+AC51*'BASE LIQUIDACION'!$B$12+AD51*'BASE LIQUIDACION'!$B$11+INCIDENTES!AE51*'BASE LIQUIDACION'!$B$13))</f>
        <v>37904.65408</v>
      </c>
    </row>
    <row r="52" spans="1:33" s="4" customFormat="1">
      <c r="A52" s="61" t="s">
        <v>899</v>
      </c>
      <c r="B52" s="56" t="str">
        <f>VLOOKUP(A52,'CENTRO DE COSTOS'!A:D,4,FALSE)</f>
        <v>DIEGO FERNANDO HENAO CARDONA</v>
      </c>
      <c r="C52" s="56" t="str">
        <f>VLOOKUP(A52,'CENTRO DE COSTOS'!A:D,2,FALSE)</f>
        <v>0004-0002</v>
      </c>
      <c r="D52" s="61">
        <v>17001</v>
      </c>
      <c r="E52" s="61">
        <v>2409340</v>
      </c>
      <c r="F52" s="61">
        <v>71098</v>
      </c>
      <c r="G52" s="56" t="s">
        <v>1586</v>
      </c>
      <c r="H52" s="61" t="s">
        <v>600</v>
      </c>
      <c r="I52" s="61" t="s">
        <v>899</v>
      </c>
      <c r="J52" s="61" t="s">
        <v>1811</v>
      </c>
      <c r="K52" s="56" t="s">
        <v>107</v>
      </c>
      <c r="L52" s="61" t="s">
        <v>1812</v>
      </c>
      <c r="M52" s="119">
        <v>45845.695138888892</v>
      </c>
      <c r="N52" s="119">
        <v>45846.614768518521</v>
      </c>
      <c r="O52" s="84" t="s">
        <v>1589</v>
      </c>
      <c r="P52" s="74" t="s">
        <v>1590</v>
      </c>
      <c r="Q52" s="74" t="s">
        <v>1643</v>
      </c>
      <c r="R52" s="74" t="s">
        <v>1635</v>
      </c>
      <c r="S52" s="61" t="s">
        <v>124</v>
      </c>
      <c r="T52" s="56"/>
      <c r="U52" s="61" t="s">
        <v>1594</v>
      </c>
      <c r="V52" s="121" t="s">
        <v>1813</v>
      </c>
      <c r="W52" s="61" t="s">
        <v>1596</v>
      </c>
      <c r="X52" s="68" t="s">
        <v>1814</v>
      </c>
      <c r="Y52" s="61" t="s">
        <v>150</v>
      </c>
      <c r="Z52" s="61" t="s">
        <v>115</v>
      </c>
      <c r="AA52" s="68" t="s">
        <v>1815</v>
      </c>
      <c r="AB52" s="61">
        <v>1</v>
      </c>
      <c r="AC52" s="61">
        <v>0</v>
      </c>
      <c r="AD52" s="61">
        <v>0</v>
      </c>
      <c r="AE52" s="61">
        <v>0</v>
      </c>
      <c r="AF52" s="71">
        <f>IF(W52="SOPORTE_TELEFÓNICO",'BASE LIQUIDACION'!$B$10,IF(Y52="TIPO I",'BASE LIQUIDACION'!$C$3,IF(Y52="TIPO II",'BASE LIQUIDACION'!$C$4,IF(Y52="TIPO III",'BASE LIQUIDACION'!$C$5,'BASE LIQUIDACION'!$C$7))))</f>
        <v>65960.473639999997</v>
      </c>
      <c r="AG52" s="72">
        <f>IF(W52="SOPORTE_TELEFÓNICO",'BASE LIQUIDACION'!$B$10,(AB52*AF52+AC52*'BASE LIQUIDACION'!$B$12+AD52*'BASE LIQUIDACION'!$B$11+INCIDENTES!AE52*'BASE LIQUIDACION'!$B$13))</f>
        <v>65960.473639999997</v>
      </c>
    </row>
    <row r="53" spans="1:33" s="4" customFormat="1">
      <c r="A53" s="61" t="s">
        <v>179</v>
      </c>
      <c r="B53" s="56" t="str">
        <f>VLOOKUP(A53,'CENTRO DE COSTOS'!A:D,4,FALSE)</f>
        <v>KEVIN ALEXIS CORZO BUSTOS</v>
      </c>
      <c r="C53" s="56" t="str">
        <f>VLOOKUP(A53,'CENTRO DE COSTOS'!A:D,2,FALSE)</f>
        <v>0004-0007</v>
      </c>
      <c r="D53" s="61">
        <v>41551</v>
      </c>
      <c r="E53" s="61">
        <v>2412473</v>
      </c>
      <c r="F53" s="61">
        <v>42287</v>
      </c>
      <c r="G53" s="56" t="s">
        <v>1586</v>
      </c>
      <c r="H53" s="61" t="s">
        <v>190</v>
      </c>
      <c r="I53" s="61" t="s">
        <v>1206</v>
      </c>
      <c r="J53" s="61" t="s">
        <v>1816</v>
      </c>
      <c r="K53" s="56" t="s">
        <v>107</v>
      </c>
      <c r="L53" s="61" t="s">
        <v>1817</v>
      </c>
      <c r="M53" s="119">
        <v>45846.440972222219</v>
      </c>
      <c r="N53" s="119">
        <v>45847.448287037034</v>
      </c>
      <c r="O53" s="84" t="s">
        <v>1589</v>
      </c>
      <c r="P53" s="74" t="s">
        <v>1590</v>
      </c>
      <c r="Q53" s="74" t="s">
        <v>1643</v>
      </c>
      <c r="R53" s="74" t="s">
        <v>1635</v>
      </c>
      <c r="S53" s="61" t="s">
        <v>1593</v>
      </c>
      <c r="T53" s="56"/>
      <c r="U53" s="61" t="s">
        <v>1594</v>
      </c>
      <c r="V53" s="121" t="s">
        <v>1818</v>
      </c>
      <c r="W53" s="61" t="s">
        <v>1596</v>
      </c>
      <c r="X53" s="68" t="s">
        <v>1819</v>
      </c>
      <c r="Y53" s="61" t="s">
        <v>114</v>
      </c>
      <c r="Z53" s="61" t="s">
        <v>115</v>
      </c>
      <c r="AA53" s="68" t="s">
        <v>1820</v>
      </c>
      <c r="AB53" s="61">
        <v>1</v>
      </c>
      <c r="AC53" s="61">
        <v>0</v>
      </c>
      <c r="AD53" s="61">
        <v>0</v>
      </c>
      <c r="AE53" s="61">
        <v>0</v>
      </c>
      <c r="AF53" s="71">
        <f>IF(W53="SOPORTE_TELEFÓNICO",'BASE LIQUIDACION'!$B$10,IF(Y53="TIPO I",'BASE LIQUIDACION'!$C$3,IF(Y53="TIPO II",'BASE LIQUIDACION'!$C$4,IF(Y53="TIPO III",'BASE LIQUIDACION'!$C$5,'BASE LIQUIDACION'!$C$7))))</f>
        <v>275728.37943999999</v>
      </c>
      <c r="AG53" s="72">
        <f>IF(W53="SOPORTE_TELEFÓNICO",'BASE LIQUIDACION'!$B$10,(AB53*AF53+AC53*'BASE LIQUIDACION'!$B$12+AD53*'BASE LIQUIDACION'!$B$11+INCIDENTES!AE53*'BASE LIQUIDACION'!$B$13))</f>
        <v>275728.37943999999</v>
      </c>
    </row>
    <row r="54" spans="1:33" s="4" customFormat="1">
      <c r="A54" s="61" t="s">
        <v>100</v>
      </c>
      <c r="B54" s="56" t="str">
        <f>VLOOKUP(A54,'CENTRO DE COSTOS'!A:D,4,FALSE)</f>
        <v>JUAN SEBASTIÁN RÍOS CASTRILLÓN</v>
      </c>
      <c r="C54" s="56" t="str">
        <f>VLOOKUP(A54,'CENTRO DE COSTOS'!A:D,2,FALSE)</f>
        <v>0004-0005</v>
      </c>
      <c r="D54" s="61">
        <v>5001</v>
      </c>
      <c r="E54" s="61">
        <v>2417367</v>
      </c>
      <c r="F54" s="61">
        <v>54118</v>
      </c>
      <c r="G54" s="56" t="s">
        <v>1586</v>
      </c>
      <c r="H54" s="61" t="s">
        <v>104</v>
      </c>
      <c r="I54" s="61" t="s">
        <v>100</v>
      </c>
      <c r="J54" s="61" t="s">
        <v>1821</v>
      </c>
      <c r="K54" s="56" t="s">
        <v>107</v>
      </c>
      <c r="L54" s="61" t="s">
        <v>1822</v>
      </c>
      <c r="M54" s="119">
        <v>45847.342361111114</v>
      </c>
      <c r="N54" s="119">
        <v>45847.461504629631</v>
      </c>
      <c r="O54" s="84" t="s">
        <v>1589</v>
      </c>
      <c r="P54" s="74" t="s">
        <v>1590</v>
      </c>
      <c r="Q54" s="74" t="s">
        <v>1591</v>
      </c>
      <c r="R54" s="74" t="s">
        <v>1592</v>
      </c>
      <c r="S54" s="61" t="s">
        <v>124</v>
      </c>
      <c r="T54" s="56"/>
      <c r="U54" s="61" t="s">
        <v>1594</v>
      </c>
      <c r="V54" s="121" t="s">
        <v>1823</v>
      </c>
      <c r="W54" s="61" t="s">
        <v>1596</v>
      </c>
      <c r="X54" s="68" t="s">
        <v>1824</v>
      </c>
      <c r="Y54" s="61" t="s">
        <v>150</v>
      </c>
      <c r="Z54" s="61" t="s">
        <v>115</v>
      </c>
      <c r="AA54" s="68" t="s">
        <v>1611</v>
      </c>
      <c r="AB54" s="61">
        <v>1</v>
      </c>
      <c r="AC54" s="61">
        <v>0</v>
      </c>
      <c r="AD54" s="61">
        <v>0</v>
      </c>
      <c r="AE54" s="61">
        <v>0</v>
      </c>
      <c r="AF54" s="71">
        <f>IF(W54="SOPORTE_TELEFÓNICO",'BASE LIQUIDACION'!$B$10,IF(Y54="TIPO I",'BASE LIQUIDACION'!$C$3,IF(Y54="TIPO II",'BASE LIQUIDACION'!$C$4,IF(Y54="TIPO III",'BASE LIQUIDACION'!$C$5,'BASE LIQUIDACION'!$C$7))))</f>
        <v>65960.473639999997</v>
      </c>
      <c r="AG54" s="72">
        <f>IF(W54="SOPORTE_TELEFÓNICO",'BASE LIQUIDACION'!$B$10,(AB54*AF54+AC54*'BASE LIQUIDACION'!$B$12+AD54*'BASE LIQUIDACION'!$B$11+INCIDENTES!AE54*'BASE LIQUIDACION'!$B$13))</f>
        <v>65960.473639999997</v>
      </c>
    </row>
    <row r="55" spans="1:33" s="4" customFormat="1">
      <c r="A55" s="61" t="s">
        <v>360</v>
      </c>
      <c r="B55" s="56" t="str">
        <f>VLOOKUP(A55,'CENTRO DE COSTOS'!A:D,4,FALSE)</f>
        <v>KEVIN ALEXIS CORZO BUSTOS</v>
      </c>
      <c r="C55" s="56" t="str">
        <f>VLOOKUP(A55,'CENTRO DE COSTOS'!A:D,2,FALSE)</f>
        <v>0004-0007</v>
      </c>
      <c r="D55" s="61">
        <v>17380</v>
      </c>
      <c r="E55" s="61">
        <v>2418361</v>
      </c>
      <c r="F55" s="61">
        <v>75392</v>
      </c>
      <c r="G55" s="56" t="s">
        <v>1586</v>
      </c>
      <c r="H55" s="61" t="s">
        <v>600</v>
      </c>
      <c r="I55" s="61" t="s">
        <v>908</v>
      </c>
      <c r="J55" s="61" t="s">
        <v>1825</v>
      </c>
      <c r="K55" s="56" t="s">
        <v>107</v>
      </c>
      <c r="L55" s="61" t="s">
        <v>1826</v>
      </c>
      <c r="M55" s="119">
        <v>45847.393680555557</v>
      </c>
      <c r="N55" s="119">
        <v>45847.466423611113</v>
      </c>
      <c r="O55" s="84" t="s">
        <v>1589</v>
      </c>
      <c r="P55" s="74" t="s">
        <v>1590</v>
      </c>
      <c r="Q55" s="74" t="s">
        <v>1696</v>
      </c>
      <c r="R55" s="74" t="s">
        <v>1697</v>
      </c>
      <c r="S55" s="61" t="s">
        <v>1593</v>
      </c>
      <c r="T55" s="56"/>
      <c r="U55" s="61" t="s">
        <v>1594</v>
      </c>
      <c r="V55" s="121" t="s">
        <v>1827</v>
      </c>
      <c r="W55" s="61" t="s">
        <v>1615</v>
      </c>
      <c r="X55" s="68">
        <v>0</v>
      </c>
      <c r="Y55" s="61" t="s">
        <v>114</v>
      </c>
      <c r="Z55" s="61" t="s">
        <v>115</v>
      </c>
      <c r="AA55" s="68" t="s">
        <v>1828</v>
      </c>
      <c r="AB55" s="61">
        <v>0</v>
      </c>
      <c r="AC55" s="61">
        <v>0</v>
      </c>
      <c r="AD55" s="61">
        <v>0</v>
      </c>
      <c r="AE55" s="61">
        <v>0</v>
      </c>
      <c r="AF55" s="71">
        <f>IF(W55="SOPORTE_TELEFÓNICO",'BASE LIQUIDACION'!$B$10,IF(Y55="TIPO I",'BASE LIQUIDACION'!$C$3,IF(Y55="TIPO II",'BASE LIQUIDACION'!$C$4,IF(Y55="TIPO III",'BASE LIQUIDACION'!$C$5,'BASE LIQUIDACION'!$C$7))))</f>
        <v>37904.65408</v>
      </c>
      <c r="AG55" s="72">
        <f>IF(W55="SOPORTE_TELEFÓNICO",'BASE LIQUIDACION'!$B$10,(AB55*AF55+AC55*'BASE LIQUIDACION'!$B$12+AD55*'BASE LIQUIDACION'!$B$11+INCIDENTES!AE55*'BASE LIQUIDACION'!$B$13))</f>
        <v>37904.65408</v>
      </c>
    </row>
    <row r="56" spans="1:33" s="4" customFormat="1">
      <c r="A56" s="61" t="s">
        <v>222</v>
      </c>
      <c r="B56" s="56" t="str">
        <f>VLOOKUP(A56,'CENTRO DE COSTOS'!A:D,4,FALSE)</f>
        <v>MIGUEL JULIÁN HERNÁNDEZ GUARÍN</v>
      </c>
      <c r="C56" s="56" t="str">
        <f>VLOOKUP(A56,'CENTRO DE COSTOS'!A:D,2,FALSE)</f>
        <v>0004-0008</v>
      </c>
      <c r="D56" s="61">
        <v>54498</v>
      </c>
      <c r="E56" s="61">
        <v>2416306</v>
      </c>
      <c r="F56" s="61">
        <v>60894</v>
      </c>
      <c r="G56" s="56" t="s">
        <v>1586</v>
      </c>
      <c r="H56" s="61" t="s">
        <v>224</v>
      </c>
      <c r="I56" s="61" t="s">
        <v>1354</v>
      </c>
      <c r="J56" s="61" t="s">
        <v>1829</v>
      </c>
      <c r="K56" s="56" t="s">
        <v>107</v>
      </c>
      <c r="L56" s="61" t="s">
        <v>1830</v>
      </c>
      <c r="M56" s="119">
        <v>45846.703472222223</v>
      </c>
      <c r="N56" s="119">
        <v>45847.478472222225</v>
      </c>
      <c r="O56" s="84" t="s">
        <v>1589</v>
      </c>
      <c r="P56" s="74" t="s">
        <v>1590</v>
      </c>
      <c r="Q56" s="74" t="s">
        <v>1591</v>
      </c>
      <c r="R56" s="74" t="s">
        <v>1592</v>
      </c>
      <c r="S56" s="61" t="s">
        <v>124</v>
      </c>
      <c r="T56" s="56"/>
      <c r="U56" s="61" t="s">
        <v>1594</v>
      </c>
      <c r="V56" s="121" t="s">
        <v>1831</v>
      </c>
      <c r="W56" s="61" t="s">
        <v>1615</v>
      </c>
      <c r="X56" s="68">
        <v>0</v>
      </c>
      <c r="Y56" s="61" t="s">
        <v>128</v>
      </c>
      <c r="Z56" s="61" t="s">
        <v>115</v>
      </c>
      <c r="AA56" s="68">
        <v>0</v>
      </c>
      <c r="AB56" s="61">
        <v>0</v>
      </c>
      <c r="AC56" s="61">
        <v>0</v>
      </c>
      <c r="AD56" s="61">
        <v>0</v>
      </c>
      <c r="AE56" s="61">
        <v>0</v>
      </c>
      <c r="AF56" s="71">
        <f>IF(W56="SOPORTE_TELEFÓNICO",'BASE LIQUIDACION'!$B$10,IF(Y56="TIPO I",'BASE LIQUIDACION'!$C$3,IF(Y56="TIPO II",'BASE LIQUIDACION'!$C$4,IF(Y56="TIPO III",'BASE LIQUIDACION'!$C$5,'BASE LIQUIDACION'!$C$7))))</f>
        <v>37904.65408</v>
      </c>
      <c r="AG56" s="72">
        <f>IF(W56="SOPORTE_TELEFÓNICO",'BASE LIQUIDACION'!$B$10,(AB56*AF56+AC56*'BASE LIQUIDACION'!$B$12+AD56*'BASE LIQUIDACION'!$B$11+INCIDENTES!AE56*'BASE LIQUIDACION'!$B$13))</f>
        <v>37904.65408</v>
      </c>
    </row>
    <row r="57" spans="1:33" s="4" customFormat="1">
      <c r="A57" s="61" t="s">
        <v>130</v>
      </c>
      <c r="B57" s="56" t="str">
        <f>VLOOKUP(A57,'CENTRO DE COSTOS'!A:D,4,FALSE)</f>
        <v>DIEGO FERNANDO HENAO CARDONA</v>
      </c>
      <c r="C57" s="56" t="str">
        <f>VLOOKUP(A57,'CENTRO DE COSTOS'!A:D,2,FALSE)</f>
        <v>0004-0002</v>
      </c>
      <c r="D57" s="61">
        <v>76400</v>
      </c>
      <c r="E57" s="61">
        <v>2416669</v>
      </c>
      <c r="F57" s="61">
        <v>18445</v>
      </c>
      <c r="G57" s="56" t="s">
        <v>1586</v>
      </c>
      <c r="H57" s="61" t="s">
        <v>208</v>
      </c>
      <c r="I57" s="61" t="s">
        <v>606</v>
      </c>
      <c r="J57" s="61" t="s">
        <v>1832</v>
      </c>
      <c r="K57" s="56" t="s">
        <v>107</v>
      </c>
      <c r="L57" s="61" t="s">
        <v>1833</v>
      </c>
      <c r="M57" s="119">
        <v>45847.333333333336</v>
      </c>
      <c r="N57" s="119">
        <v>45847.509270833332</v>
      </c>
      <c r="O57" s="84" t="s">
        <v>1589</v>
      </c>
      <c r="P57" s="74" t="s">
        <v>1590</v>
      </c>
      <c r="Q57" s="74" t="s">
        <v>1601</v>
      </c>
      <c r="R57" s="74" t="s">
        <v>1619</v>
      </c>
      <c r="S57" s="61" t="s">
        <v>1593</v>
      </c>
      <c r="T57" s="56"/>
      <c r="U57" s="61" t="s">
        <v>1594</v>
      </c>
      <c r="V57" s="121" t="s">
        <v>1834</v>
      </c>
      <c r="W57" s="61" t="s">
        <v>1615</v>
      </c>
      <c r="X57" s="68">
        <v>0</v>
      </c>
      <c r="Y57" s="61" t="s">
        <v>139</v>
      </c>
      <c r="Z57" s="61" t="s">
        <v>115</v>
      </c>
      <c r="AA57" s="68" t="s">
        <v>1621</v>
      </c>
      <c r="AB57" s="61">
        <v>0</v>
      </c>
      <c r="AC57" s="61">
        <v>0</v>
      </c>
      <c r="AD57" s="61">
        <v>0</v>
      </c>
      <c r="AE57" s="61">
        <v>0</v>
      </c>
      <c r="AF57" s="71">
        <f>IF(W57="SOPORTE_TELEFÓNICO",'BASE LIQUIDACION'!$B$10,IF(Y57="TIPO I",'BASE LIQUIDACION'!$C$3,IF(Y57="TIPO II",'BASE LIQUIDACION'!$C$4,IF(Y57="TIPO III",'BASE LIQUIDACION'!$C$5,'BASE LIQUIDACION'!$C$7))))</f>
        <v>37904.65408</v>
      </c>
      <c r="AG57" s="72">
        <f>IF(W57="SOPORTE_TELEFÓNICO",'BASE LIQUIDACION'!$B$10,(AB57*AF57+AC57*'BASE LIQUIDACION'!$B$12+AD57*'BASE LIQUIDACION'!$B$11+INCIDENTES!AE57*'BASE LIQUIDACION'!$B$13))</f>
        <v>37904.65408</v>
      </c>
    </row>
    <row r="58" spans="1:33" s="4" customFormat="1">
      <c r="A58" s="61" t="s">
        <v>100</v>
      </c>
      <c r="B58" s="56" t="str">
        <f>VLOOKUP(A58,'CENTRO DE COSTOS'!A:D,4,FALSE)</f>
        <v>JUAN SEBASTIÁN RÍOS CASTRILLÓN</v>
      </c>
      <c r="C58" s="56" t="str">
        <f>VLOOKUP(A58,'CENTRO DE COSTOS'!A:D,2,FALSE)</f>
        <v>0004-0005</v>
      </c>
      <c r="D58" s="61">
        <v>5001</v>
      </c>
      <c r="E58" s="61">
        <v>2416432</v>
      </c>
      <c r="F58" s="61">
        <v>31833</v>
      </c>
      <c r="G58" s="56" t="s">
        <v>1586</v>
      </c>
      <c r="H58" s="61" t="s">
        <v>104</v>
      </c>
      <c r="I58" s="61" t="s">
        <v>100</v>
      </c>
      <c r="J58" s="61" t="s">
        <v>1835</v>
      </c>
      <c r="K58" s="56" t="s">
        <v>107</v>
      </c>
      <c r="L58" s="61" t="s">
        <v>1836</v>
      </c>
      <c r="M58" s="119">
        <v>45846.725694444445</v>
      </c>
      <c r="N58" s="119">
        <v>45847.550555555557</v>
      </c>
      <c r="O58" s="84" t="s">
        <v>1589</v>
      </c>
      <c r="P58" s="74" t="s">
        <v>1590</v>
      </c>
      <c r="Q58" s="74" t="s">
        <v>1643</v>
      </c>
      <c r="R58" s="74" t="s">
        <v>1635</v>
      </c>
      <c r="S58" s="61" t="s">
        <v>1593</v>
      </c>
      <c r="T58" s="56"/>
      <c r="U58" s="61" t="s">
        <v>1594</v>
      </c>
      <c r="V58" s="121" t="s">
        <v>1837</v>
      </c>
      <c r="W58" s="61" t="s">
        <v>1596</v>
      </c>
      <c r="X58" s="68" t="s">
        <v>1838</v>
      </c>
      <c r="Y58" s="61" t="s">
        <v>150</v>
      </c>
      <c r="Z58" s="61" t="s">
        <v>115</v>
      </c>
      <c r="AA58" s="68" t="s">
        <v>1713</v>
      </c>
      <c r="AB58" s="61">
        <v>1</v>
      </c>
      <c r="AC58" s="61">
        <v>0</v>
      </c>
      <c r="AD58" s="61">
        <v>0</v>
      </c>
      <c r="AE58" s="61">
        <v>0</v>
      </c>
      <c r="AF58" s="71">
        <f>IF(W58="SOPORTE_TELEFÓNICO",'BASE LIQUIDACION'!$B$10,IF(Y58="TIPO I",'BASE LIQUIDACION'!$C$3,IF(Y58="TIPO II",'BASE LIQUIDACION'!$C$4,IF(Y58="TIPO III",'BASE LIQUIDACION'!$C$5,'BASE LIQUIDACION'!$C$7))))</f>
        <v>65960.473639999997</v>
      </c>
      <c r="AG58" s="72">
        <f>IF(W58="SOPORTE_TELEFÓNICO",'BASE LIQUIDACION'!$B$10,(AB58*AF58+AC58*'BASE LIQUIDACION'!$B$12+AD58*'BASE LIQUIDACION'!$B$11+INCIDENTES!AE58*'BASE LIQUIDACION'!$B$13))</f>
        <v>65960.473639999997</v>
      </c>
    </row>
    <row r="59" spans="1:33" s="4" customFormat="1" ht="15" customHeight="1">
      <c r="A59" s="61" t="s">
        <v>100</v>
      </c>
      <c r="B59" s="56" t="str">
        <f>VLOOKUP(A59,'CENTRO DE COSTOS'!A:D,4,FALSE)</f>
        <v>JUAN SEBASTIÁN RÍOS CASTRILLÓN</v>
      </c>
      <c r="C59" s="56" t="str">
        <f>VLOOKUP(A59,'CENTRO DE COSTOS'!A:D,2,FALSE)</f>
        <v>0004-0005</v>
      </c>
      <c r="D59" s="61">
        <v>5390</v>
      </c>
      <c r="E59" s="61">
        <v>2412577</v>
      </c>
      <c r="F59" s="61">
        <v>39390</v>
      </c>
      <c r="G59" s="56" t="s">
        <v>1586</v>
      </c>
      <c r="H59" s="61" t="s">
        <v>104</v>
      </c>
      <c r="I59" s="61" t="s">
        <v>665</v>
      </c>
      <c r="J59" s="61" t="s">
        <v>1839</v>
      </c>
      <c r="K59" s="56" t="s">
        <v>107</v>
      </c>
      <c r="L59" s="61" t="s">
        <v>1840</v>
      </c>
      <c r="M59" s="119">
        <v>45846.446527777778</v>
      </c>
      <c r="N59" s="119">
        <v>45847.574108796296</v>
      </c>
      <c r="O59" s="84" t="s">
        <v>1589</v>
      </c>
      <c r="P59" s="74" t="s">
        <v>1590</v>
      </c>
      <c r="Q59" s="74" t="s">
        <v>1591</v>
      </c>
      <c r="R59" s="74" t="s">
        <v>1592</v>
      </c>
      <c r="S59" s="61" t="s">
        <v>1593</v>
      </c>
      <c r="T59" s="56"/>
      <c r="U59" s="61" t="s">
        <v>1594</v>
      </c>
      <c r="V59" s="121" t="s">
        <v>1841</v>
      </c>
      <c r="W59" s="61" t="s">
        <v>1596</v>
      </c>
      <c r="X59" s="68" t="s">
        <v>1842</v>
      </c>
      <c r="Y59" s="61" t="s">
        <v>139</v>
      </c>
      <c r="Z59" s="61" t="s">
        <v>115</v>
      </c>
      <c r="AA59" s="68" t="s">
        <v>1626</v>
      </c>
      <c r="AB59" s="61">
        <v>1</v>
      </c>
      <c r="AC59" s="61">
        <v>0</v>
      </c>
      <c r="AD59" s="61">
        <v>0</v>
      </c>
      <c r="AE59" s="61">
        <v>0</v>
      </c>
      <c r="AF59" s="71">
        <f>IF(W59="SOPORTE_TELEFÓNICO",'BASE LIQUIDACION'!$B$10,IF(Y59="TIPO I",'BASE LIQUIDACION'!$C$3,IF(Y59="TIPO II",'BASE LIQUIDACION'!$C$4,IF(Y59="TIPO III",'BASE LIQUIDACION'!$C$5,'BASE LIQUIDACION'!$C$7))))</f>
        <v>163813.55812</v>
      </c>
      <c r="AG59" s="72">
        <f>IF(W59="SOPORTE_TELEFÓNICO",'BASE LIQUIDACION'!$B$10,(AB59*AF59+AC59*'BASE LIQUIDACION'!$B$12+AD59*'BASE LIQUIDACION'!$B$11+INCIDENTES!AE59*'BASE LIQUIDACION'!$B$13))</f>
        <v>163813.55812</v>
      </c>
    </row>
    <row r="60" spans="1:33" s="4" customFormat="1">
      <c r="A60" s="61" t="s">
        <v>170</v>
      </c>
      <c r="B60" s="56" t="str">
        <f>VLOOKUP(A60,'CENTRO DE COSTOS'!A:D,4,FALSE)</f>
        <v>WILLIAM ASDRUBAL ROZO ROZO</v>
      </c>
      <c r="C60" s="56" t="str">
        <f>VLOOKUP(A60,'CENTRO DE COSTOS'!A:D,2,FALSE)</f>
        <v>0004-0004</v>
      </c>
      <c r="D60" s="61">
        <v>11001</v>
      </c>
      <c r="E60" s="61">
        <v>2418733</v>
      </c>
      <c r="F60" s="61">
        <v>79982</v>
      </c>
      <c r="G60" s="56" t="s">
        <v>1586</v>
      </c>
      <c r="H60" s="61" t="s">
        <v>172</v>
      </c>
      <c r="I60" s="61" t="s">
        <v>170</v>
      </c>
      <c r="J60" s="61" t="s">
        <v>1843</v>
      </c>
      <c r="K60" s="56" t="s">
        <v>107</v>
      </c>
      <c r="L60" s="61" t="s">
        <v>1844</v>
      </c>
      <c r="M60" s="119">
        <v>45847.412499999999</v>
      </c>
      <c r="N60" s="119">
        <v>45847.67083333333</v>
      </c>
      <c r="O60" s="84" t="s">
        <v>1589</v>
      </c>
      <c r="P60" s="74" t="s">
        <v>1668</v>
      </c>
      <c r="Q60" s="74" t="s">
        <v>1669</v>
      </c>
      <c r="R60" s="74" t="s">
        <v>1801</v>
      </c>
      <c r="S60" s="61" t="s">
        <v>1593</v>
      </c>
      <c r="T60" s="56"/>
      <c r="U60" s="61" t="s">
        <v>1594</v>
      </c>
      <c r="V60" s="121" t="s">
        <v>1845</v>
      </c>
      <c r="W60" s="61" t="s">
        <v>1596</v>
      </c>
      <c r="X60" s="68" t="s">
        <v>1846</v>
      </c>
      <c r="Y60" s="61" t="s">
        <v>150</v>
      </c>
      <c r="Z60" s="61" t="s">
        <v>115</v>
      </c>
      <c r="AA60" s="68" t="s">
        <v>241</v>
      </c>
      <c r="AB60" s="61">
        <v>1</v>
      </c>
      <c r="AC60" s="61">
        <v>0</v>
      </c>
      <c r="AD60" s="61">
        <v>0</v>
      </c>
      <c r="AE60" s="61">
        <v>0</v>
      </c>
      <c r="AF60" s="71">
        <f>IF(W60="SOPORTE_TELEFÓNICO",'BASE LIQUIDACION'!$B$10,IF(Y60="TIPO I",'BASE LIQUIDACION'!$C$3,IF(Y60="TIPO II",'BASE LIQUIDACION'!$C$4,IF(Y60="TIPO III",'BASE LIQUIDACION'!$C$5,'BASE LIQUIDACION'!$C$7))))</f>
        <v>65960.473639999997</v>
      </c>
      <c r="AG60" s="72">
        <f>IF(W60="SOPORTE_TELEFÓNICO",'BASE LIQUIDACION'!$B$10,(AB60*AF60+AC60*'BASE LIQUIDACION'!$B$12+AD60*'BASE LIQUIDACION'!$B$11+INCIDENTES!AE60*'BASE LIQUIDACION'!$B$13))</f>
        <v>65960.473639999997</v>
      </c>
    </row>
    <row r="61" spans="1:33" s="4" customFormat="1">
      <c r="A61" s="61" t="s">
        <v>130</v>
      </c>
      <c r="B61" s="56" t="str">
        <f>VLOOKUP(A61,'CENTRO DE COSTOS'!A:D,4,FALSE)</f>
        <v>DIEGO FERNANDO HENAO CARDONA</v>
      </c>
      <c r="C61" s="56" t="str">
        <f>VLOOKUP(A61,'CENTRO DE COSTOS'!A:D,2,FALSE)</f>
        <v>0004-0002</v>
      </c>
      <c r="D61" s="61">
        <v>63001</v>
      </c>
      <c r="E61" s="61">
        <v>2416422</v>
      </c>
      <c r="F61" s="61">
        <v>44082</v>
      </c>
      <c r="G61" s="56" t="s">
        <v>1586</v>
      </c>
      <c r="H61" s="61" t="s">
        <v>1377</v>
      </c>
      <c r="I61" s="61" t="s">
        <v>596</v>
      </c>
      <c r="J61" s="61" t="s">
        <v>1847</v>
      </c>
      <c r="K61" s="56" t="s">
        <v>107</v>
      </c>
      <c r="L61" s="61" t="s">
        <v>1848</v>
      </c>
      <c r="M61" s="119">
        <v>45846.722916666666</v>
      </c>
      <c r="N61" s="119">
        <v>45847.683668981481</v>
      </c>
      <c r="O61" s="84" t="s">
        <v>1589</v>
      </c>
      <c r="P61" s="74" t="s">
        <v>1590</v>
      </c>
      <c r="Q61" s="74" t="s">
        <v>1591</v>
      </c>
      <c r="R61" s="74" t="s">
        <v>1592</v>
      </c>
      <c r="S61" s="61" t="s">
        <v>145</v>
      </c>
      <c r="T61" s="56"/>
      <c r="U61" s="61" t="s">
        <v>1594</v>
      </c>
      <c r="V61" s="121" t="s">
        <v>1849</v>
      </c>
      <c r="W61" s="61" t="s">
        <v>1596</v>
      </c>
      <c r="X61" s="68" t="s">
        <v>1850</v>
      </c>
      <c r="Y61" s="61" t="s">
        <v>139</v>
      </c>
      <c r="Z61" s="61" t="s">
        <v>115</v>
      </c>
      <c r="AA61" s="68" t="s">
        <v>1851</v>
      </c>
      <c r="AB61" s="61">
        <v>1</v>
      </c>
      <c r="AC61" s="61">
        <v>0</v>
      </c>
      <c r="AD61" s="61">
        <v>0</v>
      </c>
      <c r="AE61" s="61">
        <v>0</v>
      </c>
      <c r="AF61" s="71">
        <f>IF(W61="SOPORTE_TELEFÓNICO",'BASE LIQUIDACION'!$B$10,IF(Y61="TIPO I",'BASE LIQUIDACION'!$C$3,IF(Y61="TIPO II",'BASE LIQUIDACION'!$C$4,IF(Y61="TIPO III",'BASE LIQUIDACION'!$C$5,'BASE LIQUIDACION'!$C$7))))</f>
        <v>163813.55812</v>
      </c>
      <c r="AG61" s="72">
        <f>IF(W61="SOPORTE_TELEFÓNICO",'BASE LIQUIDACION'!$B$10,(AB61*AF61+AC61*'BASE LIQUIDACION'!$B$12+AD61*'BASE LIQUIDACION'!$B$11+INCIDENTES!AE61*'BASE LIQUIDACION'!$B$13))</f>
        <v>163813.55812</v>
      </c>
    </row>
    <row r="62" spans="1:33" s="4" customFormat="1">
      <c r="A62" s="61" t="s">
        <v>899</v>
      </c>
      <c r="B62" s="56" t="str">
        <f>VLOOKUP(A62,'CENTRO DE COSTOS'!A:D,4,FALSE)</f>
        <v>DIEGO FERNANDO HENAO CARDONA</v>
      </c>
      <c r="C62" s="56" t="str">
        <f>VLOOKUP(A62,'CENTRO DE COSTOS'!A:D,2,FALSE)</f>
        <v>0004-0002</v>
      </c>
      <c r="D62" s="61">
        <v>17873</v>
      </c>
      <c r="E62" s="61">
        <v>2418722</v>
      </c>
      <c r="F62" s="61">
        <v>42699</v>
      </c>
      <c r="G62" s="56" t="s">
        <v>1586</v>
      </c>
      <c r="H62" s="61" t="s">
        <v>600</v>
      </c>
      <c r="I62" s="61" t="s">
        <v>922</v>
      </c>
      <c r="J62" s="61" t="s">
        <v>1852</v>
      </c>
      <c r="K62" s="56" t="s">
        <v>107</v>
      </c>
      <c r="L62" s="61" t="s">
        <v>1853</v>
      </c>
      <c r="M62" s="119">
        <v>45847.411111111112</v>
      </c>
      <c r="N62" s="119">
        <v>45847.709560185183</v>
      </c>
      <c r="O62" s="84" t="s">
        <v>1589</v>
      </c>
      <c r="P62" s="74" t="s">
        <v>1590</v>
      </c>
      <c r="Q62" s="74" t="s">
        <v>1634</v>
      </c>
      <c r="R62" s="74" t="s">
        <v>1635</v>
      </c>
      <c r="S62" s="61" t="s">
        <v>145</v>
      </c>
      <c r="T62" s="56"/>
      <c r="U62" s="61" t="s">
        <v>1594</v>
      </c>
      <c r="V62" s="121" t="s">
        <v>1854</v>
      </c>
      <c r="W62" s="61" t="s">
        <v>1596</v>
      </c>
      <c r="X62" s="68" t="s">
        <v>1855</v>
      </c>
      <c r="Y62" s="61" t="s">
        <v>150</v>
      </c>
      <c r="Z62" s="61" t="s">
        <v>115</v>
      </c>
      <c r="AA62" s="68" t="s">
        <v>1815</v>
      </c>
      <c r="AB62" s="61">
        <v>1</v>
      </c>
      <c r="AC62" s="61">
        <v>0</v>
      </c>
      <c r="AD62" s="61">
        <v>0</v>
      </c>
      <c r="AE62" s="61">
        <v>0</v>
      </c>
      <c r="AF62" s="71">
        <f>IF(W62="SOPORTE_TELEFÓNICO",'BASE LIQUIDACION'!$B$10,IF(Y62="TIPO I",'BASE LIQUIDACION'!$C$3,IF(Y62="TIPO II",'BASE LIQUIDACION'!$C$4,IF(Y62="TIPO III",'BASE LIQUIDACION'!$C$5,'BASE LIQUIDACION'!$C$7))))</f>
        <v>65960.473639999997</v>
      </c>
      <c r="AG62" s="72">
        <f>IF(W62="SOPORTE_TELEFÓNICO",'BASE LIQUIDACION'!$B$10,(AB62*AF62+AC62*'BASE LIQUIDACION'!$B$12+AD62*'BASE LIQUIDACION'!$B$11+INCIDENTES!AE62*'BASE LIQUIDACION'!$B$13))</f>
        <v>65960.473639999997</v>
      </c>
    </row>
    <row r="63" spans="1:33" s="4" customFormat="1">
      <c r="A63" s="61" t="s">
        <v>722</v>
      </c>
      <c r="B63" s="56" t="str">
        <f>VLOOKUP(A63,'CENTRO DE COSTOS'!A:D,4,FALSE)</f>
        <v>JOSE MAURICIO HERNANDEZ ROJAS</v>
      </c>
      <c r="C63" s="56" t="str">
        <f>VLOOKUP(A63,'CENTRO DE COSTOS'!A:D,2,FALSE)</f>
        <v>0004-0001</v>
      </c>
      <c r="D63" s="61">
        <v>8001</v>
      </c>
      <c r="E63" s="61">
        <v>2422146</v>
      </c>
      <c r="F63" s="61">
        <v>25233</v>
      </c>
      <c r="G63" s="56" t="s">
        <v>1586</v>
      </c>
      <c r="H63" s="61" t="s">
        <v>721</v>
      </c>
      <c r="I63" s="61" t="s">
        <v>722</v>
      </c>
      <c r="J63" s="61" t="s">
        <v>1856</v>
      </c>
      <c r="K63" s="56" t="s">
        <v>107</v>
      </c>
      <c r="L63" s="61" t="s">
        <v>1857</v>
      </c>
      <c r="M63" s="119">
        <v>45847.63958333333</v>
      </c>
      <c r="N63" s="122">
        <v>45847.71875</v>
      </c>
      <c r="O63" s="84" t="s">
        <v>1589</v>
      </c>
      <c r="P63" s="74" t="s">
        <v>1590</v>
      </c>
      <c r="Q63" s="74" t="s">
        <v>1591</v>
      </c>
      <c r="R63" s="74" t="s">
        <v>1592</v>
      </c>
      <c r="S63" s="61" t="s">
        <v>1664</v>
      </c>
      <c r="T63" s="56"/>
      <c r="U63" s="61" t="s">
        <v>1594</v>
      </c>
      <c r="V63" s="121" t="s">
        <v>1858</v>
      </c>
      <c r="W63" s="61" t="s">
        <v>1615</v>
      </c>
      <c r="X63" s="68">
        <v>0</v>
      </c>
      <c r="Y63" s="61" t="s">
        <v>150</v>
      </c>
      <c r="Z63" s="61" t="s">
        <v>115</v>
      </c>
      <c r="AA63" s="68" t="s">
        <v>1859</v>
      </c>
      <c r="AB63" s="61">
        <v>0</v>
      </c>
      <c r="AC63" s="61">
        <v>0</v>
      </c>
      <c r="AD63" s="61">
        <v>0</v>
      </c>
      <c r="AE63" s="61">
        <v>0</v>
      </c>
      <c r="AF63" s="71">
        <f>IF(W63="SOPORTE_TELEFÓNICO",'BASE LIQUIDACION'!$B$10,IF(Y63="TIPO I",'BASE LIQUIDACION'!$C$3,IF(Y63="TIPO II",'BASE LIQUIDACION'!$C$4,IF(Y63="TIPO III",'BASE LIQUIDACION'!$C$5,'BASE LIQUIDACION'!$C$7))))</f>
        <v>37904.65408</v>
      </c>
      <c r="AG63" s="72">
        <f>IF(W63="SOPORTE_TELEFÓNICO",'BASE LIQUIDACION'!$B$10,(AB63*AF63+AC63*'BASE LIQUIDACION'!$B$12+AD63*'BASE LIQUIDACION'!$B$11+INCIDENTES!AE63*'BASE LIQUIDACION'!$B$13))</f>
        <v>37904.65408</v>
      </c>
    </row>
    <row r="64" spans="1:33" s="4" customFormat="1">
      <c r="A64" s="61" t="s">
        <v>248</v>
      </c>
      <c r="B64" s="56" t="str">
        <f>VLOOKUP(A64,'CENTRO DE COSTOS'!A:D,4,FALSE)</f>
        <v>KEVIN ALEXIS CORZO BUSTOS</v>
      </c>
      <c r="C64" s="56" t="str">
        <f>VLOOKUP(A64,'CENTRO DE COSTOS'!A:D,2,FALSE)</f>
        <v>0004-0007</v>
      </c>
      <c r="D64" s="61">
        <v>95001</v>
      </c>
      <c r="E64" s="61">
        <v>2421437</v>
      </c>
      <c r="F64" s="61">
        <v>70956</v>
      </c>
      <c r="G64" s="56" t="s">
        <v>1586</v>
      </c>
      <c r="H64" s="61" t="s">
        <v>381</v>
      </c>
      <c r="I64" s="61" t="s">
        <v>382</v>
      </c>
      <c r="J64" s="61" t="s">
        <v>1860</v>
      </c>
      <c r="K64" s="56" t="s">
        <v>107</v>
      </c>
      <c r="L64" s="61" t="s">
        <v>1861</v>
      </c>
      <c r="M64" s="119">
        <v>45847.59652777778</v>
      </c>
      <c r="N64" s="119">
        <v>45848.484027777777</v>
      </c>
      <c r="O64" s="84" t="s">
        <v>1589</v>
      </c>
      <c r="P64" s="74" t="s">
        <v>1668</v>
      </c>
      <c r="Q64" s="74" t="s">
        <v>1669</v>
      </c>
      <c r="R64" s="74" t="s">
        <v>1736</v>
      </c>
      <c r="S64" s="61" t="s">
        <v>1593</v>
      </c>
      <c r="T64" s="56"/>
      <c r="U64" s="61" t="s">
        <v>1594</v>
      </c>
      <c r="V64" s="121" t="s">
        <v>1862</v>
      </c>
      <c r="W64" s="61" t="s">
        <v>1596</v>
      </c>
      <c r="X64" s="68" t="s">
        <v>1863</v>
      </c>
      <c r="Y64" s="61" t="s">
        <v>128</v>
      </c>
      <c r="Z64" s="61" t="s">
        <v>115</v>
      </c>
      <c r="AA64" s="68" t="s">
        <v>334</v>
      </c>
      <c r="AB64" s="61">
        <v>1</v>
      </c>
      <c r="AC64" s="61">
        <v>0</v>
      </c>
      <c r="AD64" s="61">
        <v>0</v>
      </c>
      <c r="AE64" s="61">
        <v>0</v>
      </c>
      <c r="AF64" s="71">
        <f>IF(W64="SOPORTE_TELEFÓNICO",'BASE LIQUIDACION'!$B$10,IF(Y64="TIPO I",'BASE LIQUIDACION'!$C$3,IF(Y64="TIPO II",'BASE LIQUIDACION'!$C$4,IF(Y64="TIPO III",'BASE LIQUIDACION'!$C$5,'BASE LIQUIDACION'!$C$7))))</f>
        <v>479589.73656000005</v>
      </c>
      <c r="AG64" s="72">
        <f>IF(W64="SOPORTE_TELEFÓNICO",'BASE LIQUIDACION'!$B$10,(AB64*AF64+AC64*'BASE LIQUIDACION'!$B$12+AD64*'BASE LIQUIDACION'!$B$11+INCIDENTES!AE64*'BASE LIQUIDACION'!$B$13))</f>
        <v>479589.73656000005</v>
      </c>
    </row>
    <row r="65" spans="1:33" s="4" customFormat="1">
      <c r="A65" s="61" t="s">
        <v>161</v>
      </c>
      <c r="B65" s="56" t="str">
        <f>VLOOKUP(A65,'CENTRO DE COSTOS'!A:D,4,FALSE)</f>
        <v>DIEGO FERNANDO HENAO CARDONA</v>
      </c>
      <c r="C65" s="56" t="str">
        <f>VLOOKUP(A65,'CENTRO DE COSTOS'!A:D,2,FALSE)</f>
        <v>0004-0003</v>
      </c>
      <c r="D65" s="61">
        <v>19548</v>
      </c>
      <c r="E65" s="61">
        <v>2409968</v>
      </c>
      <c r="F65" s="61">
        <v>57115</v>
      </c>
      <c r="G65" s="56" t="s">
        <v>1586</v>
      </c>
      <c r="H65" s="61" t="s">
        <v>163</v>
      </c>
      <c r="I65" s="61" t="s">
        <v>976</v>
      </c>
      <c r="J65" s="61" t="s">
        <v>1864</v>
      </c>
      <c r="K65" s="56" t="s">
        <v>107</v>
      </c>
      <c r="L65" s="61" t="s">
        <v>1865</v>
      </c>
      <c r="M65" s="119">
        <v>45846.333333333336</v>
      </c>
      <c r="N65" s="119">
        <v>45848.484803240739</v>
      </c>
      <c r="O65" s="84" t="s">
        <v>1589</v>
      </c>
      <c r="P65" s="74" t="s">
        <v>1590</v>
      </c>
      <c r="Q65" s="74" t="s">
        <v>1650</v>
      </c>
      <c r="R65" s="74" t="s">
        <v>1651</v>
      </c>
      <c r="S65" s="61" t="s">
        <v>1593</v>
      </c>
      <c r="T65" s="56"/>
      <c r="U65" s="61" t="s">
        <v>1594</v>
      </c>
      <c r="V65" s="121" t="s">
        <v>1866</v>
      </c>
      <c r="W65" s="61" t="s">
        <v>1615</v>
      </c>
      <c r="X65" s="68">
        <v>0</v>
      </c>
      <c r="Y65" s="61" t="s">
        <v>114</v>
      </c>
      <c r="Z65" s="61" t="s">
        <v>115</v>
      </c>
      <c r="AA65" s="68" t="s">
        <v>1621</v>
      </c>
      <c r="AB65" s="61">
        <v>0</v>
      </c>
      <c r="AC65" s="61">
        <v>0</v>
      </c>
      <c r="AD65" s="61">
        <v>0</v>
      </c>
      <c r="AE65" s="61">
        <v>0</v>
      </c>
      <c r="AF65" s="71">
        <f>IF(W65="SOPORTE_TELEFÓNICO",'BASE LIQUIDACION'!$B$10,IF(Y65="TIPO I",'BASE LIQUIDACION'!$C$3,IF(Y65="TIPO II",'BASE LIQUIDACION'!$C$4,IF(Y65="TIPO III",'BASE LIQUIDACION'!$C$5,'BASE LIQUIDACION'!$C$7))))</f>
        <v>37904.65408</v>
      </c>
      <c r="AG65" s="72">
        <f>IF(W65="SOPORTE_TELEFÓNICO",'BASE LIQUIDACION'!$B$10,(AB65*AF65+AC65*'BASE LIQUIDACION'!$B$12+AD65*'BASE LIQUIDACION'!$B$11+INCIDENTES!AE65*'BASE LIQUIDACION'!$B$13))</f>
        <v>37904.65408</v>
      </c>
    </row>
    <row r="66" spans="1:33" s="4" customFormat="1">
      <c r="A66" s="61" t="s">
        <v>130</v>
      </c>
      <c r="B66" s="56" t="str">
        <f>VLOOKUP(A66,'CENTRO DE COSTOS'!A:D,4,FALSE)</f>
        <v>DIEGO FERNANDO HENAO CARDONA</v>
      </c>
      <c r="C66" s="56" t="str">
        <f>VLOOKUP(A66,'CENTRO DE COSTOS'!A:D,2,FALSE)</f>
        <v>0004-0002</v>
      </c>
      <c r="D66" s="61">
        <v>66001</v>
      </c>
      <c r="E66" s="61">
        <v>2423263</v>
      </c>
      <c r="F66" s="61">
        <v>70026</v>
      </c>
      <c r="G66" s="56" t="s">
        <v>1586</v>
      </c>
      <c r="H66" s="61" t="s">
        <v>133</v>
      </c>
      <c r="I66" s="61" t="s">
        <v>130</v>
      </c>
      <c r="J66" s="61" t="s">
        <v>1867</v>
      </c>
      <c r="K66" s="56" t="s">
        <v>107</v>
      </c>
      <c r="L66" s="61" t="s">
        <v>1868</v>
      </c>
      <c r="M66" s="119">
        <v>45847.70208333333</v>
      </c>
      <c r="N66" s="119">
        <v>45848.505555555559</v>
      </c>
      <c r="O66" s="84" t="s">
        <v>1589</v>
      </c>
      <c r="P66" s="74" t="s">
        <v>1590</v>
      </c>
      <c r="Q66" s="74" t="s">
        <v>1634</v>
      </c>
      <c r="R66" s="74" t="s">
        <v>1635</v>
      </c>
      <c r="S66" s="61" t="s">
        <v>145</v>
      </c>
      <c r="T66" s="56"/>
      <c r="U66" s="61" t="s">
        <v>1594</v>
      </c>
      <c r="V66" s="121" t="s">
        <v>1869</v>
      </c>
      <c r="W66" s="61" t="s">
        <v>1596</v>
      </c>
      <c r="X66" s="68" t="s">
        <v>1870</v>
      </c>
      <c r="Y66" s="61" t="s">
        <v>150</v>
      </c>
      <c r="Z66" s="61" t="s">
        <v>115</v>
      </c>
      <c r="AA66" s="68" t="s">
        <v>140</v>
      </c>
      <c r="AB66" s="61">
        <v>1</v>
      </c>
      <c r="AC66" s="61">
        <v>0</v>
      </c>
      <c r="AD66" s="61">
        <v>0</v>
      </c>
      <c r="AE66" s="61">
        <v>0</v>
      </c>
      <c r="AF66" s="71">
        <f>IF(W66="SOPORTE_TELEFÓNICO",'BASE LIQUIDACION'!$B$10,IF(Y66="TIPO I",'BASE LIQUIDACION'!$C$3,IF(Y66="TIPO II",'BASE LIQUIDACION'!$C$4,IF(Y66="TIPO III",'BASE LIQUIDACION'!$C$5,'BASE LIQUIDACION'!$C$7))))</f>
        <v>65960.473639999997</v>
      </c>
      <c r="AG66" s="72">
        <f>IF(W66="SOPORTE_TELEFÓNICO",'BASE LIQUIDACION'!$B$10,(AB66*AF66+AC66*'BASE LIQUIDACION'!$B$12+AD66*'BASE LIQUIDACION'!$B$11+INCIDENTES!AE66*'BASE LIQUIDACION'!$B$13))</f>
        <v>65960.473639999997</v>
      </c>
    </row>
    <row r="67" spans="1:33" s="4" customFormat="1">
      <c r="A67" s="61" t="s">
        <v>282</v>
      </c>
      <c r="B67" s="56" t="str">
        <f>VLOOKUP(A67,'CENTRO DE COSTOS'!A:D,4,FALSE)</f>
        <v>JOSE MAURICIO HERNANDEZ ROJAS</v>
      </c>
      <c r="C67" s="56" t="str">
        <f>VLOOKUP(A67,'CENTRO DE COSTOS'!A:D,2,FALSE)</f>
        <v>0004-0001</v>
      </c>
      <c r="D67" s="61">
        <v>13473</v>
      </c>
      <c r="E67" s="61">
        <v>2387153</v>
      </c>
      <c r="F67" s="61">
        <v>36229</v>
      </c>
      <c r="G67" s="56" t="s">
        <v>1586</v>
      </c>
      <c r="H67" s="61" t="s">
        <v>343</v>
      </c>
      <c r="I67" s="61" t="s">
        <v>745</v>
      </c>
      <c r="J67" s="61" t="s">
        <v>1871</v>
      </c>
      <c r="K67" s="56" t="s">
        <v>107</v>
      </c>
      <c r="L67" s="61" t="s">
        <v>1872</v>
      </c>
      <c r="M67" s="119">
        <v>45840.741539351853</v>
      </c>
      <c r="N67" s="119">
        <v>45848.510324074072</v>
      </c>
      <c r="O67" s="84" t="s">
        <v>1589</v>
      </c>
      <c r="P67" s="74" t="s">
        <v>1590</v>
      </c>
      <c r="Q67" s="74" t="s">
        <v>1696</v>
      </c>
      <c r="R67" s="74" t="s">
        <v>1711</v>
      </c>
      <c r="S67" s="61" t="s">
        <v>1593</v>
      </c>
      <c r="T67" s="56"/>
      <c r="U67" s="61" t="s">
        <v>1594</v>
      </c>
      <c r="V67" s="121" t="s">
        <v>1873</v>
      </c>
      <c r="W67" s="61" t="s">
        <v>1615</v>
      </c>
      <c r="X67" s="68">
        <v>0</v>
      </c>
      <c r="Y67" s="61" t="s">
        <v>128</v>
      </c>
      <c r="Z67" s="61" t="s">
        <v>115</v>
      </c>
      <c r="AA67" s="68" t="s">
        <v>263</v>
      </c>
      <c r="AB67" s="61">
        <v>0</v>
      </c>
      <c r="AC67" s="61">
        <v>0</v>
      </c>
      <c r="AD67" s="61">
        <v>0</v>
      </c>
      <c r="AE67" s="61">
        <v>0</v>
      </c>
      <c r="AF67" s="71">
        <f>IF(W67="SOPORTE_TELEFÓNICO",'BASE LIQUIDACION'!$B$10,IF(Y67="TIPO I",'BASE LIQUIDACION'!$C$3,IF(Y67="TIPO II",'BASE LIQUIDACION'!$C$4,IF(Y67="TIPO III",'BASE LIQUIDACION'!$C$5,'BASE LIQUIDACION'!$C$7))))</f>
        <v>37904.65408</v>
      </c>
      <c r="AG67" s="72">
        <f>IF(W67="SOPORTE_TELEFÓNICO",'BASE LIQUIDACION'!$B$10,(AB67*AF67+AC67*'BASE LIQUIDACION'!$B$12+AD67*'BASE LIQUIDACION'!$B$11+INCIDENTES!AE67*'BASE LIQUIDACION'!$B$13))</f>
        <v>37904.65408</v>
      </c>
    </row>
    <row r="68" spans="1:33" s="4" customFormat="1">
      <c r="A68" s="61" t="s">
        <v>100</v>
      </c>
      <c r="B68" s="56" t="str">
        <f>VLOOKUP(A68,'CENTRO DE COSTOS'!A:D,4,FALSE)</f>
        <v>JUAN SEBASTIÁN RÍOS CASTRILLÓN</v>
      </c>
      <c r="C68" s="56" t="str">
        <f>VLOOKUP(A68,'CENTRO DE COSTOS'!A:D,2,FALSE)</f>
        <v>0004-0005</v>
      </c>
      <c r="D68" s="61">
        <v>5001</v>
      </c>
      <c r="E68" s="61">
        <v>2425156</v>
      </c>
      <c r="F68" s="61">
        <v>41259</v>
      </c>
      <c r="G68" s="56" t="s">
        <v>1586</v>
      </c>
      <c r="H68" s="61" t="s">
        <v>104</v>
      </c>
      <c r="I68" s="61" t="s">
        <v>100</v>
      </c>
      <c r="J68" s="61" t="s">
        <v>1874</v>
      </c>
      <c r="K68" s="56" t="s">
        <v>107</v>
      </c>
      <c r="L68" s="61" t="s">
        <v>1875</v>
      </c>
      <c r="M68" s="119">
        <v>45848.375</v>
      </c>
      <c r="N68" s="119">
        <v>45848.53402777778</v>
      </c>
      <c r="O68" s="84" t="s">
        <v>1589</v>
      </c>
      <c r="P68" s="74" t="s">
        <v>1590</v>
      </c>
      <c r="Q68" s="74" t="s">
        <v>1643</v>
      </c>
      <c r="R68" s="74" t="s">
        <v>1635</v>
      </c>
      <c r="S68" s="61" t="s">
        <v>124</v>
      </c>
      <c r="T68" s="56"/>
      <c r="U68" s="61" t="s">
        <v>1594</v>
      </c>
      <c r="V68" s="121" t="s">
        <v>1876</v>
      </c>
      <c r="W68" s="61" t="s">
        <v>1596</v>
      </c>
      <c r="X68" s="68" t="s">
        <v>1877</v>
      </c>
      <c r="Y68" s="61" t="s">
        <v>150</v>
      </c>
      <c r="Z68" s="61" t="s">
        <v>115</v>
      </c>
      <c r="AA68" s="68" t="s">
        <v>1721</v>
      </c>
      <c r="AB68" s="61">
        <v>1</v>
      </c>
      <c r="AC68" s="61">
        <v>0</v>
      </c>
      <c r="AD68" s="61">
        <v>0</v>
      </c>
      <c r="AE68" s="61">
        <v>0</v>
      </c>
      <c r="AF68" s="71">
        <f>IF(W68="SOPORTE_TELEFÓNICO",'BASE LIQUIDACION'!$B$10,IF(Y68="TIPO I",'BASE LIQUIDACION'!$C$3,IF(Y68="TIPO II",'BASE LIQUIDACION'!$C$4,IF(Y68="TIPO III",'BASE LIQUIDACION'!$C$5,'BASE LIQUIDACION'!$C$7))))</f>
        <v>65960.473639999997</v>
      </c>
      <c r="AG68" s="72">
        <f>IF(W68="SOPORTE_TELEFÓNICO",'BASE LIQUIDACION'!$B$10,(AB68*AF68+AC68*'BASE LIQUIDACION'!$B$12+AD68*'BASE LIQUIDACION'!$B$11+INCIDENTES!AE68*'BASE LIQUIDACION'!$B$13))</f>
        <v>65960.473639999997</v>
      </c>
    </row>
    <row r="69" spans="1:33" s="4" customFormat="1">
      <c r="A69" s="61" t="s">
        <v>100</v>
      </c>
      <c r="B69" s="56" t="str">
        <f>VLOOKUP(A69,'CENTRO DE COSTOS'!A:D,4,FALSE)</f>
        <v>JUAN SEBASTIÁN RÍOS CASTRILLÓN</v>
      </c>
      <c r="C69" s="56" t="str">
        <f>VLOOKUP(A69,'CENTRO DE COSTOS'!A:D,2,FALSE)</f>
        <v>0004-0005</v>
      </c>
      <c r="D69" s="61">
        <v>5001</v>
      </c>
      <c r="E69" s="61">
        <v>2425924</v>
      </c>
      <c r="F69" s="61">
        <v>16829</v>
      </c>
      <c r="G69" s="56" t="s">
        <v>1586</v>
      </c>
      <c r="H69" s="61" t="s">
        <v>104</v>
      </c>
      <c r="I69" s="61" t="s">
        <v>100</v>
      </c>
      <c r="J69" s="61" t="s">
        <v>1878</v>
      </c>
      <c r="K69" s="56" t="s">
        <v>107</v>
      </c>
      <c r="L69" s="61" t="s">
        <v>1879</v>
      </c>
      <c r="M69" s="119">
        <v>45848.409722222219</v>
      </c>
      <c r="N69" s="119">
        <v>45848.659872685188</v>
      </c>
      <c r="O69" s="84" t="s">
        <v>1589</v>
      </c>
      <c r="P69" s="74" t="s">
        <v>1590</v>
      </c>
      <c r="Q69" s="74" t="s">
        <v>1643</v>
      </c>
      <c r="R69" s="74" t="s">
        <v>1635</v>
      </c>
      <c r="S69" s="61" t="s">
        <v>145</v>
      </c>
      <c r="T69" s="56"/>
      <c r="U69" s="61" t="s">
        <v>1594</v>
      </c>
      <c r="V69" s="121" t="s">
        <v>1880</v>
      </c>
      <c r="W69" s="61" t="s">
        <v>1596</v>
      </c>
      <c r="X69" s="68" t="s">
        <v>1881</v>
      </c>
      <c r="Y69" s="61" t="s">
        <v>150</v>
      </c>
      <c r="Z69" s="61" t="s">
        <v>115</v>
      </c>
      <c r="AA69" s="68" t="s">
        <v>116</v>
      </c>
      <c r="AB69" s="61">
        <v>1</v>
      </c>
      <c r="AC69" s="61">
        <v>0</v>
      </c>
      <c r="AD69" s="61">
        <v>0</v>
      </c>
      <c r="AE69" s="61">
        <v>0</v>
      </c>
      <c r="AF69" s="71">
        <f>IF(W69="SOPORTE_TELEFÓNICO",'BASE LIQUIDACION'!$B$10,IF(Y69="TIPO I",'BASE LIQUIDACION'!$C$3,IF(Y69="TIPO II",'BASE LIQUIDACION'!$C$4,IF(Y69="TIPO III",'BASE LIQUIDACION'!$C$5,'BASE LIQUIDACION'!$C$7))))</f>
        <v>65960.473639999997</v>
      </c>
      <c r="AG69" s="72">
        <f>IF(W69="SOPORTE_TELEFÓNICO",'BASE LIQUIDACION'!$B$10,(AB69*AF69+AC69*'BASE LIQUIDACION'!$B$12+AD69*'BASE LIQUIDACION'!$B$11+INCIDENTES!AE69*'BASE LIQUIDACION'!$B$13))</f>
        <v>65960.473639999997</v>
      </c>
    </row>
    <row r="70" spans="1:33" s="4" customFormat="1">
      <c r="A70" s="61" t="s">
        <v>179</v>
      </c>
      <c r="B70" s="56" t="str">
        <f>VLOOKUP(A70,'CENTRO DE COSTOS'!A:D,4,FALSE)</f>
        <v>KEVIN ALEXIS CORZO BUSTOS</v>
      </c>
      <c r="C70" s="56" t="str">
        <f>VLOOKUP(A70,'CENTRO DE COSTOS'!A:D,2,FALSE)</f>
        <v>0004-0007</v>
      </c>
      <c r="D70" s="61">
        <v>41001</v>
      </c>
      <c r="E70" s="61">
        <v>2427258</v>
      </c>
      <c r="F70" s="61">
        <v>36089</v>
      </c>
      <c r="G70" s="56" t="s">
        <v>1586</v>
      </c>
      <c r="H70" s="61" t="s">
        <v>190</v>
      </c>
      <c r="I70" s="61" t="s">
        <v>179</v>
      </c>
      <c r="J70" s="61" t="s">
        <v>1882</v>
      </c>
      <c r="K70" s="56" t="s">
        <v>107</v>
      </c>
      <c r="L70" s="61" t="s">
        <v>1883</v>
      </c>
      <c r="M70" s="119">
        <v>45848.479861111111</v>
      </c>
      <c r="N70" s="119">
        <v>45848.661886574075</v>
      </c>
      <c r="O70" s="84" t="s">
        <v>1589</v>
      </c>
      <c r="P70" s="74" t="s">
        <v>1590</v>
      </c>
      <c r="Q70" s="74" t="s">
        <v>1643</v>
      </c>
      <c r="R70" s="74" t="s">
        <v>1635</v>
      </c>
      <c r="S70" s="61" t="s">
        <v>1593</v>
      </c>
      <c r="T70" s="56"/>
      <c r="U70" s="61" t="s">
        <v>1594</v>
      </c>
      <c r="V70" s="121" t="s">
        <v>1884</v>
      </c>
      <c r="W70" s="61" t="s">
        <v>1596</v>
      </c>
      <c r="X70" s="68" t="s">
        <v>1885</v>
      </c>
      <c r="Y70" s="61" t="s">
        <v>150</v>
      </c>
      <c r="Z70" s="61" t="s">
        <v>115</v>
      </c>
      <c r="AA70" s="68" t="s">
        <v>1886</v>
      </c>
      <c r="AB70" s="61">
        <v>1</v>
      </c>
      <c r="AC70" s="61">
        <v>0</v>
      </c>
      <c r="AD70" s="61">
        <v>0</v>
      </c>
      <c r="AE70" s="61">
        <v>0</v>
      </c>
      <c r="AF70" s="71">
        <f>IF(W70="SOPORTE_TELEFÓNICO",'BASE LIQUIDACION'!$B$10,IF(Y70="TIPO I",'BASE LIQUIDACION'!$C$3,IF(Y70="TIPO II",'BASE LIQUIDACION'!$C$4,IF(Y70="TIPO III",'BASE LIQUIDACION'!$C$5,'BASE LIQUIDACION'!$C$7))))</f>
        <v>65960.473639999997</v>
      </c>
      <c r="AG70" s="72">
        <f>IF(W70="SOPORTE_TELEFÓNICO",'BASE LIQUIDACION'!$B$10,(AB70*AF70+AC70*'BASE LIQUIDACION'!$B$12+AD70*'BASE LIQUIDACION'!$B$11+INCIDENTES!AE70*'BASE LIQUIDACION'!$B$13))</f>
        <v>65960.473639999997</v>
      </c>
    </row>
    <row r="71" spans="1:33" s="4" customFormat="1">
      <c r="A71" s="61" t="s">
        <v>100</v>
      </c>
      <c r="B71" s="56" t="str">
        <f>VLOOKUP(A71,'CENTRO DE COSTOS'!A:D,4,FALSE)</f>
        <v>JUAN SEBASTIÁN RÍOS CASTRILLÓN</v>
      </c>
      <c r="C71" s="56" t="str">
        <f>VLOOKUP(A71,'CENTRO DE COSTOS'!A:D,2,FALSE)</f>
        <v>0004-0005</v>
      </c>
      <c r="D71" s="61">
        <v>5380</v>
      </c>
      <c r="E71" s="61">
        <v>2424517</v>
      </c>
      <c r="F71" s="61">
        <v>24599</v>
      </c>
      <c r="G71" s="56" t="s">
        <v>1586</v>
      </c>
      <c r="H71" s="61" t="s">
        <v>104</v>
      </c>
      <c r="I71" s="61" t="s">
        <v>664</v>
      </c>
      <c r="J71" s="61" t="s">
        <v>1887</v>
      </c>
      <c r="K71" s="56" t="s">
        <v>107</v>
      </c>
      <c r="L71" s="61" t="s">
        <v>1888</v>
      </c>
      <c r="M71" s="119">
        <v>45848.333333333336</v>
      </c>
      <c r="N71" s="119">
        <v>45848.697442129633</v>
      </c>
      <c r="O71" s="84" t="s">
        <v>1589</v>
      </c>
      <c r="P71" s="74" t="s">
        <v>1590</v>
      </c>
      <c r="Q71" s="74" t="s">
        <v>1643</v>
      </c>
      <c r="R71" s="74" t="s">
        <v>1635</v>
      </c>
      <c r="S71" s="61" t="s">
        <v>145</v>
      </c>
      <c r="T71" s="56"/>
      <c r="U71" s="61" t="s">
        <v>1594</v>
      </c>
      <c r="V71" s="121" t="s">
        <v>1889</v>
      </c>
      <c r="W71" s="61" t="s">
        <v>1596</v>
      </c>
      <c r="X71" s="68" t="s">
        <v>1890</v>
      </c>
      <c r="Y71" s="61" t="s">
        <v>150</v>
      </c>
      <c r="Z71" s="61" t="s">
        <v>115</v>
      </c>
      <c r="AA71" s="68" t="s">
        <v>1721</v>
      </c>
      <c r="AB71" s="61">
        <v>1</v>
      </c>
      <c r="AC71" s="61">
        <v>0</v>
      </c>
      <c r="AD71" s="61">
        <v>0</v>
      </c>
      <c r="AE71" s="61">
        <v>0</v>
      </c>
      <c r="AF71" s="71">
        <f>IF(W71="SOPORTE_TELEFÓNICO",'BASE LIQUIDACION'!$B$10,IF(Y71="TIPO I",'BASE LIQUIDACION'!$C$3,IF(Y71="TIPO II",'BASE LIQUIDACION'!$C$4,IF(Y71="TIPO III",'BASE LIQUIDACION'!$C$5,'BASE LIQUIDACION'!$C$7))))</f>
        <v>65960.473639999997</v>
      </c>
      <c r="AG71" s="72">
        <f>IF(W71="SOPORTE_TELEFÓNICO",'BASE LIQUIDACION'!$B$10,(AB71*AF71+AC71*'BASE LIQUIDACION'!$B$12+AD71*'BASE LIQUIDACION'!$B$11+INCIDENTES!AE71*'BASE LIQUIDACION'!$B$13))</f>
        <v>65960.473639999997</v>
      </c>
    </row>
    <row r="72" spans="1:33" s="4" customFormat="1">
      <c r="A72" s="61" t="s">
        <v>100</v>
      </c>
      <c r="B72" s="56" t="str">
        <f>VLOOKUP(A72,'CENTRO DE COSTOS'!A:D,4,FALSE)</f>
        <v>JUAN SEBASTIÁN RÍOS CASTRILLÓN</v>
      </c>
      <c r="C72" s="56" t="str">
        <f>VLOOKUP(A72,'CENTRO DE COSTOS'!A:D,2,FALSE)</f>
        <v>0004-0005</v>
      </c>
      <c r="D72" s="61">
        <v>5088</v>
      </c>
      <c r="E72" s="61">
        <v>2426718</v>
      </c>
      <c r="F72" s="61">
        <v>38647</v>
      </c>
      <c r="G72" s="56" t="s">
        <v>1586</v>
      </c>
      <c r="H72" s="61" t="s">
        <v>104</v>
      </c>
      <c r="I72" s="61" t="s">
        <v>628</v>
      </c>
      <c r="J72" s="61" t="s">
        <v>1891</v>
      </c>
      <c r="K72" s="56" t="s">
        <v>107</v>
      </c>
      <c r="L72" s="61" t="s">
        <v>1892</v>
      </c>
      <c r="M72" s="119">
        <v>45848.451388888891</v>
      </c>
      <c r="N72" s="119">
        <v>45849.401030092595</v>
      </c>
      <c r="O72" s="84" t="s">
        <v>1589</v>
      </c>
      <c r="P72" s="74" t="s">
        <v>1590</v>
      </c>
      <c r="Q72" s="74" t="s">
        <v>1607</v>
      </c>
      <c r="R72" s="74" t="s">
        <v>1608</v>
      </c>
      <c r="S72" s="61" t="s">
        <v>1593</v>
      </c>
      <c r="T72" s="56"/>
      <c r="U72" s="61" t="s">
        <v>1594</v>
      </c>
      <c r="V72" s="121" t="s">
        <v>1893</v>
      </c>
      <c r="W72" s="61" t="s">
        <v>1596</v>
      </c>
      <c r="X72" s="68" t="s">
        <v>1894</v>
      </c>
      <c r="Y72" s="61" t="s">
        <v>150</v>
      </c>
      <c r="Z72" s="61" t="s">
        <v>115</v>
      </c>
      <c r="AA72" s="68" t="s">
        <v>1611</v>
      </c>
      <c r="AB72" s="61">
        <v>1</v>
      </c>
      <c r="AC72" s="61">
        <v>0</v>
      </c>
      <c r="AD72" s="61">
        <v>0</v>
      </c>
      <c r="AE72" s="61">
        <v>0</v>
      </c>
      <c r="AF72" s="71">
        <f>IF(W72="SOPORTE_TELEFÓNICO",'BASE LIQUIDACION'!$B$10,IF(Y72="TIPO I",'BASE LIQUIDACION'!$C$3,IF(Y72="TIPO II",'BASE LIQUIDACION'!$C$4,IF(Y72="TIPO III",'BASE LIQUIDACION'!$C$5,'BASE LIQUIDACION'!$C$7))))</f>
        <v>65960.473639999997</v>
      </c>
      <c r="AG72" s="72">
        <f>IF(W72="SOPORTE_TELEFÓNICO",'BASE LIQUIDACION'!$B$10,(AB72*AF72+AC72*'BASE LIQUIDACION'!$B$12+AD72*'BASE LIQUIDACION'!$B$11+INCIDENTES!AE72*'BASE LIQUIDACION'!$B$13))</f>
        <v>65960.473639999997</v>
      </c>
    </row>
    <row r="73" spans="1:33" s="4" customFormat="1">
      <c r="A73" s="61" t="s">
        <v>100</v>
      </c>
      <c r="B73" s="56" t="str">
        <f>VLOOKUP(A73,'CENTRO DE COSTOS'!A:D,4,FALSE)</f>
        <v>JUAN SEBASTIÁN RÍOS CASTRILLÓN</v>
      </c>
      <c r="C73" s="56" t="str">
        <f>VLOOKUP(A73,'CENTRO DE COSTOS'!A:D,2,FALSE)</f>
        <v>0004-0005</v>
      </c>
      <c r="D73" s="61">
        <v>5001</v>
      </c>
      <c r="E73" s="61">
        <v>2428955</v>
      </c>
      <c r="F73" s="61">
        <v>68694</v>
      </c>
      <c r="G73" s="56" t="s">
        <v>1586</v>
      </c>
      <c r="H73" s="61" t="s">
        <v>104</v>
      </c>
      <c r="I73" s="61" t="s">
        <v>100</v>
      </c>
      <c r="J73" s="61" t="s">
        <v>1895</v>
      </c>
      <c r="K73" s="56" t="s">
        <v>107</v>
      </c>
      <c r="L73" s="61" t="s">
        <v>1896</v>
      </c>
      <c r="M73" s="119">
        <v>45848.624305555553</v>
      </c>
      <c r="N73" s="119">
        <v>45849.443113425928</v>
      </c>
      <c r="O73" s="84" t="s">
        <v>1589</v>
      </c>
      <c r="P73" s="74" t="s">
        <v>1590</v>
      </c>
      <c r="Q73" s="74" t="s">
        <v>1591</v>
      </c>
      <c r="R73" s="74" t="s">
        <v>1592</v>
      </c>
      <c r="S73" s="61" t="s">
        <v>124</v>
      </c>
      <c r="T73" s="56"/>
      <c r="U73" s="61" t="s">
        <v>1594</v>
      </c>
      <c r="V73" s="121" t="s">
        <v>1897</v>
      </c>
      <c r="W73" s="61" t="s">
        <v>1596</v>
      </c>
      <c r="X73" s="68" t="s">
        <v>1898</v>
      </c>
      <c r="Y73" s="61" t="s">
        <v>150</v>
      </c>
      <c r="Z73" s="61" t="s">
        <v>115</v>
      </c>
      <c r="AA73" s="68" t="s">
        <v>1626</v>
      </c>
      <c r="AB73" s="61">
        <v>1</v>
      </c>
      <c r="AC73" s="61">
        <v>0</v>
      </c>
      <c r="AD73" s="61">
        <v>0</v>
      </c>
      <c r="AE73" s="61">
        <v>0</v>
      </c>
      <c r="AF73" s="71">
        <f>IF(W73="SOPORTE_TELEFÓNICO",'BASE LIQUIDACION'!$B$10,IF(Y73="TIPO I",'BASE LIQUIDACION'!$C$3,IF(Y73="TIPO II",'BASE LIQUIDACION'!$C$4,IF(Y73="TIPO III",'BASE LIQUIDACION'!$C$5,'BASE LIQUIDACION'!$C$7))))</f>
        <v>65960.473639999997</v>
      </c>
      <c r="AG73" s="72">
        <f>IF(W73="SOPORTE_TELEFÓNICO",'BASE LIQUIDACION'!$B$10,(AB73*AF73+AC73*'BASE LIQUIDACION'!$B$12+AD73*'BASE LIQUIDACION'!$B$11+INCIDENTES!AE73*'BASE LIQUIDACION'!$B$13))</f>
        <v>65960.473639999997</v>
      </c>
    </row>
    <row r="74" spans="1:33" s="4" customFormat="1">
      <c r="A74" s="61" t="s">
        <v>100</v>
      </c>
      <c r="B74" s="56" t="str">
        <f>VLOOKUP(A74,'CENTRO DE COSTOS'!A:D,4,FALSE)</f>
        <v>JUAN SEBASTIÁN RÍOS CASTRILLÓN</v>
      </c>
      <c r="C74" s="56" t="str">
        <f>VLOOKUP(A74,'CENTRO DE COSTOS'!A:D,2,FALSE)</f>
        <v>0004-0005</v>
      </c>
      <c r="D74" s="61">
        <v>5001</v>
      </c>
      <c r="E74" s="61">
        <v>2427593</v>
      </c>
      <c r="F74" s="61">
        <v>30042</v>
      </c>
      <c r="G74" s="56" t="s">
        <v>1586</v>
      </c>
      <c r="H74" s="61" t="s">
        <v>104</v>
      </c>
      <c r="I74" s="61" t="s">
        <v>100</v>
      </c>
      <c r="J74" s="61" t="s">
        <v>1899</v>
      </c>
      <c r="K74" s="56" t="s">
        <v>107</v>
      </c>
      <c r="L74" s="61" t="s">
        <v>1900</v>
      </c>
      <c r="M74" s="119">
        <v>45848.505555555559</v>
      </c>
      <c r="N74" s="119">
        <v>45849.449236111112</v>
      </c>
      <c r="O74" s="84" t="s">
        <v>1589</v>
      </c>
      <c r="P74" s="74" t="s">
        <v>1590</v>
      </c>
      <c r="Q74" s="74" t="s">
        <v>1591</v>
      </c>
      <c r="R74" s="74" t="s">
        <v>1592</v>
      </c>
      <c r="S74" s="61" t="s">
        <v>124</v>
      </c>
      <c r="T74" s="56"/>
      <c r="U74" s="61" t="s">
        <v>1594</v>
      </c>
      <c r="V74" s="121" t="s">
        <v>1901</v>
      </c>
      <c r="W74" s="61" t="s">
        <v>1596</v>
      </c>
      <c r="X74" s="68" t="s">
        <v>1902</v>
      </c>
      <c r="Y74" s="61" t="s">
        <v>150</v>
      </c>
      <c r="Z74" s="61" t="s">
        <v>115</v>
      </c>
      <c r="AA74" s="68" t="s">
        <v>1611</v>
      </c>
      <c r="AB74" s="61">
        <v>1</v>
      </c>
      <c r="AC74" s="61">
        <v>0</v>
      </c>
      <c r="AD74" s="61">
        <v>0</v>
      </c>
      <c r="AE74" s="61">
        <v>0</v>
      </c>
      <c r="AF74" s="71">
        <f>IF(W74="SOPORTE_TELEFÓNICO",'BASE LIQUIDACION'!$B$10,IF(Y74="TIPO I",'BASE LIQUIDACION'!$C$3,IF(Y74="TIPO II",'BASE LIQUIDACION'!$C$4,IF(Y74="TIPO III",'BASE LIQUIDACION'!$C$5,'BASE LIQUIDACION'!$C$7))))</f>
        <v>65960.473639999997</v>
      </c>
      <c r="AG74" s="72">
        <f>IF(W74="SOPORTE_TELEFÓNICO",'BASE LIQUIDACION'!$B$10,(AB74*AF74+AC74*'BASE LIQUIDACION'!$B$12+AD74*'BASE LIQUIDACION'!$B$11+INCIDENTES!AE74*'BASE LIQUIDACION'!$B$13))</f>
        <v>65960.473639999997</v>
      </c>
    </row>
    <row r="75" spans="1:33" s="4" customFormat="1">
      <c r="A75" s="61" t="s">
        <v>399</v>
      </c>
      <c r="B75" s="56" t="str">
        <f>VLOOKUP(A75,'CENTRO DE COSTOS'!A:D,4,FALSE)</f>
        <v>MIGUEL JULIÁN HERNÁNDEZ GUARÍN</v>
      </c>
      <c r="C75" s="56" t="str">
        <f>VLOOKUP(A75,'CENTRO DE COSTOS'!A:D,2,FALSE)</f>
        <v>0004-0008</v>
      </c>
      <c r="D75" s="61">
        <v>15632</v>
      </c>
      <c r="E75" s="61">
        <v>2427750</v>
      </c>
      <c r="F75" s="61">
        <v>68265</v>
      </c>
      <c r="G75" s="56" t="s">
        <v>1586</v>
      </c>
      <c r="H75" s="61" t="s">
        <v>401</v>
      </c>
      <c r="I75" s="61" t="s">
        <v>857</v>
      </c>
      <c r="J75" s="61" t="s">
        <v>1903</v>
      </c>
      <c r="K75" s="56" t="s">
        <v>107</v>
      </c>
      <c r="L75" s="61" t="s">
        <v>1904</v>
      </c>
      <c r="M75" s="119">
        <v>45848.525694444441</v>
      </c>
      <c r="N75" s="119">
        <v>45849.49591435185</v>
      </c>
      <c r="O75" s="84" t="s">
        <v>1589</v>
      </c>
      <c r="P75" s="74" t="s">
        <v>1590</v>
      </c>
      <c r="Q75" s="74" t="s">
        <v>1643</v>
      </c>
      <c r="R75" s="74" t="s">
        <v>1644</v>
      </c>
      <c r="S75" s="61" t="s">
        <v>1593</v>
      </c>
      <c r="T75" s="56"/>
      <c r="U75" s="61" t="s">
        <v>1594</v>
      </c>
      <c r="V75" s="121" t="s">
        <v>1905</v>
      </c>
      <c r="W75" s="61" t="s">
        <v>1615</v>
      </c>
      <c r="X75" s="68">
        <v>0</v>
      </c>
      <c r="Y75" s="61" t="s">
        <v>139</v>
      </c>
      <c r="Z75" s="61" t="s">
        <v>115</v>
      </c>
      <c r="AA75" s="68" t="s">
        <v>1906</v>
      </c>
      <c r="AB75" s="61">
        <v>0</v>
      </c>
      <c r="AC75" s="61">
        <v>0</v>
      </c>
      <c r="AD75" s="61">
        <v>0</v>
      </c>
      <c r="AE75" s="61">
        <v>0</v>
      </c>
      <c r="AF75" s="71">
        <f>IF(W75="SOPORTE_TELEFÓNICO",'BASE LIQUIDACION'!$B$10,IF(Y75="TIPO I",'BASE LIQUIDACION'!$C$3,IF(Y75="TIPO II",'BASE LIQUIDACION'!$C$4,IF(Y75="TIPO III",'BASE LIQUIDACION'!$C$5,'BASE LIQUIDACION'!$C$7))))</f>
        <v>37904.65408</v>
      </c>
      <c r="AG75" s="72">
        <f>IF(W75="SOPORTE_TELEFÓNICO",'BASE LIQUIDACION'!$B$10,(AB75*AF75+AC75*'BASE LIQUIDACION'!$B$12+AD75*'BASE LIQUIDACION'!$B$11+INCIDENTES!AE75*'BASE LIQUIDACION'!$B$13))</f>
        <v>37904.65408</v>
      </c>
    </row>
    <row r="76" spans="1:33" s="4" customFormat="1">
      <c r="A76" s="61" t="s">
        <v>100</v>
      </c>
      <c r="B76" s="56" t="str">
        <f>VLOOKUP(A76,'CENTRO DE COSTOS'!A:D,4,FALSE)</f>
        <v>JUAN SEBASTIÁN RÍOS CASTRILLÓN</v>
      </c>
      <c r="C76" s="56" t="str">
        <f>VLOOKUP(A76,'CENTRO DE COSTOS'!A:D,2,FALSE)</f>
        <v>0004-0005</v>
      </c>
      <c r="D76" s="61">
        <v>5360</v>
      </c>
      <c r="E76" s="61">
        <v>2427961</v>
      </c>
      <c r="F76" s="61">
        <v>47476</v>
      </c>
      <c r="G76" s="56" t="s">
        <v>1586</v>
      </c>
      <c r="H76" s="61" t="s">
        <v>104</v>
      </c>
      <c r="I76" s="61" t="s">
        <v>661</v>
      </c>
      <c r="J76" s="61" t="s">
        <v>1907</v>
      </c>
      <c r="K76" s="56" t="s">
        <v>107</v>
      </c>
      <c r="L76" s="61" t="s">
        <v>1908</v>
      </c>
      <c r="M76" s="119">
        <v>45848.548611111109</v>
      </c>
      <c r="N76" s="119">
        <v>45849.504571759258</v>
      </c>
      <c r="O76" s="84" t="s">
        <v>1589</v>
      </c>
      <c r="P76" s="74" t="s">
        <v>1590</v>
      </c>
      <c r="Q76" s="74" t="s">
        <v>1643</v>
      </c>
      <c r="R76" s="74" t="s">
        <v>1635</v>
      </c>
      <c r="S76" s="61" t="s">
        <v>124</v>
      </c>
      <c r="T76" s="56"/>
      <c r="U76" s="61" t="s">
        <v>1594</v>
      </c>
      <c r="V76" s="121" t="s">
        <v>1909</v>
      </c>
      <c r="W76" s="61" t="s">
        <v>1596</v>
      </c>
      <c r="X76" s="68" t="s">
        <v>1910</v>
      </c>
      <c r="Y76" s="61" t="s">
        <v>150</v>
      </c>
      <c r="Z76" s="61" t="s">
        <v>115</v>
      </c>
      <c r="AA76" s="68" t="s">
        <v>1721</v>
      </c>
      <c r="AB76" s="61">
        <v>1</v>
      </c>
      <c r="AC76" s="61">
        <v>0</v>
      </c>
      <c r="AD76" s="61">
        <v>0</v>
      </c>
      <c r="AE76" s="61">
        <v>0</v>
      </c>
      <c r="AF76" s="71">
        <f>IF(W76="SOPORTE_TELEFÓNICO",'BASE LIQUIDACION'!$B$10,IF(Y76="TIPO I",'BASE LIQUIDACION'!$C$3,IF(Y76="TIPO II",'BASE LIQUIDACION'!$C$4,IF(Y76="TIPO III",'BASE LIQUIDACION'!$C$5,'BASE LIQUIDACION'!$C$7))))</f>
        <v>65960.473639999997</v>
      </c>
      <c r="AG76" s="72">
        <f>IF(W76="SOPORTE_TELEFÓNICO",'BASE LIQUIDACION'!$B$10,(AB76*AF76+AC76*'BASE LIQUIDACION'!$B$12+AD76*'BASE LIQUIDACION'!$B$11+INCIDENTES!AE76*'BASE LIQUIDACION'!$B$13))</f>
        <v>65960.473639999997</v>
      </c>
    </row>
    <row r="77" spans="1:33" s="4" customFormat="1">
      <c r="A77" s="61" t="s">
        <v>179</v>
      </c>
      <c r="B77" s="56" t="str">
        <f>VLOOKUP(A77,'CENTRO DE COSTOS'!A:D,4,FALSE)</f>
        <v>KEVIN ALEXIS CORZO BUSTOS</v>
      </c>
      <c r="C77" s="56" t="str">
        <f>VLOOKUP(A77,'CENTRO DE COSTOS'!A:D,2,FALSE)</f>
        <v>0004-0007</v>
      </c>
      <c r="D77" s="61">
        <v>41001</v>
      </c>
      <c r="E77" s="61">
        <v>2428291</v>
      </c>
      <c r="F77" s="61">
        <v>80170</v>
      </c>
      <c r="G77" s="56" t="s">
        <v>1586</v>
      </c>
      <c r="H77" s="61" t="s">
        <v>190</v>
      </c>
      <c r="I77" s="61" t="s">
        <v>179</v>
      </c>
      <c r="J77" s="61" t="s">
        <v>1911</v>
      </c>
      <c r="K77" s="56" t="s">
        <v>107</v>
      </c>
      <c r="L77" s="61" t="s">
        <v>1912</v>
      </c>
      <c r="M77" s="119">
        <v>45848.59375</v>
      </c>
      <c r="N77" s="119">
        <v>45849.546111111114</v>
      </c>
      <c r="O77" s="84" t="s">
        <v>1589</v>
      </c>
      <c r="P77" s="74" t="s">
        <v>1590</v>
      </c>
      <c r="Q77" s="74" t="s">
        <v>1696</v>
      </c>
      <c r="R77" s="74" t="s">
        <v>1711</v>
      </c>
      <c r="S77" s="61" t="s">
        <v>1593</v>
      </c>
      <c r="T77" s="56"/>
      <c r="U77" s="61" t="s">
        <v>1594</v>
      </c>
      <c r="V77" s="121" t="s">
        <v>1913</v>
      </c>
      <c r="W77" s="61" t="s">
        <v>1615</v>
      </c>
      <c r="X77" s="68">
        <v>0</v>
      </c>
      <c r="Y77" s="61" t="s">
        <v>150</v>
      </c>
      <c r="Z77" s="61" t="s">
        <v>115</v>
      </c>
      <c r="AA77" s="68" t="s">
        <v>195</v>
      </c>
      <c r="AB77" s="61">
        <v>0</v>
      </c>
      <c r="AC77" s="61">
        <v>0</v>
      </c>
      <c r="AD77" s="61">
        <v>0</v>
      </c>
      <c r="AE77" s="61">
        <v>0</v>
      </c>
      <c r="AF77" s="71">
        <f>IF(W77="SOPORTE_TELEFÓNICO",'BASE LIQUIDACION'!$B$10,IF(Y77="TIPO I",'BASE LIQUIDACION'!$C$3,IF(Y77="TIPO II",'BASE LIQUIDACION'!$C$4,IF(Y77="TIPO III",'BASE LIQUIDACION'!$C$5,'BASE LIQUIDACION'!$C$7))))</f>
        <v>37904.65408</v>
      </c>
      <c r="AG77" s="72">
        <f>IF(W77="SOPORTE_TELEFÓNICO",'BASE LIQUIDACION'!$B$10,(AB77*AF77+AC77*'BASE LIQUIDACION'!$B$12+AD77*'BASE LIQUIDACION'!$B$11+INCIDENTES!AE77*'BASE LIQUIDACION'!$B$13))</f>
        <v>37904.65408</v>
      </c>
    </row>
    <row r="78" spans="1:33" s="4" customFormat="1">
      <c r="A78" s="61" t="s">
        <v>100</v>
      </c>
      <c r="B78" s="56" t="str">
        <f>VLOOKUP(A78,'CENTRO DE COSTOS'!A:D,4,FALSE)</f>
        <v>JUAN SEBASTIÁN RÍOS CASTRILLÓN</v>
      </c>
      <c r="C78" s="56" t="str">
        <f>VLOOKUP(A78,'CENTRO DE COSTOS'!A:D,2,FALSE)</f>
        <v>0004-0005</v>
      </c>
      <c r="D78" s="61">
        <v>5001</v>
      </c>
      <c r="E78" s="61">
        <v>2432997</v>
      </c>
      <c r="F78" s="61">
        <v>24793</v>
      </c>
      <c r="G78" s="56" t="s">
        <v>1586</v>
      </c>
      <c r="H78" s="61" t="s">
        <v>104</v>
      </c>
      <c r="I78" s="61" t="s">
        <v>100</v>
      </c>
      <c r="J78" s="61" t="s">
        <v>1914</v>
      </c>
      <c r="K78" s="56" t="s">
        <v>107</v>
      </c>
      <c r="L78" s="61" t="s">
        <v>1915</v>
      </c>
      <c r="M78" s="119">
        <v>45849.433333333334</v>
      </c>
      <c r="N78" s="119">
        <v>45849.568842592591</v>
      </c>
      <c r="O78" s="84" t="s">
        <v>1589</v>
      </c>
      <c r="P78" s="74" t="s">
        <v>1590</v>
      </c>
      <c r="Q78" s="74" t="s">
        <v>1591</v>
      </c>
      <c r="R78" s="74" t="s">
        <v>1592</v>
      </c>
      <c r="S78" s="61" t="s">
        <v>124</v>
      </c>
      <c r="T78" s="56"/>
      <c r="U78" s="61" t="s">
        <v>1594</v>
      </c>
      <c r="V78" s="121" t="s">
        <v>1916</v>
      </c>
      <c r="W78" s="61" t="s">
        <v>1596</v>
      </c>
      <c r="X78" s="68" t="s">
        <v>1917</v>
      </c>
      <c r="Y78" s="61" t="s">
        <v>150</v>
      </c>
      <c r="Z78" s="61" t="s">
        <v>115</v>
      </c>
      <c r="AA78" s="68" t="s">
        <v>1626</v>
      </c>
      <c r="AB78" s="61">
        <v>1</v>
      </c>
      <c r="AC78" s="61">
        <v>0</v>
      </c>
      <c r="AD78" s="61">
        <v>0</v>
      </c>
      <c r="AE78" s="61">
        <v>0</v>
      </c>
      <c r="AF78" s="71">
        <f>IF(W78="SOPORTE_TELEFÓNICO",'BASE LIQUIDACION'!$B$10,IF(Y78="TIPO I",'BASE LIQUIDACION'!$C$3,IF(Y78="TIPO II",'BASE LIQUIDACION'!$C$4,IF(Y78="TIPO III",'BASE LIQUIDACION'!$C$5,'BASE LIQUIDACION'!$C$7))))</f>
        <v>65960.473639999997</v>
      </c>
      <c r="AG78" s="72">
        <f>IF(W78="SOPORTE_TELEFÓNICO",'BASE LIQUIDACION'!$B$10,(AB78*AF78+AC78*'BASE LIQUIDACION'!$B$12+AD78*'BASE LIQUIDACION'!$B$11+INCIDENTES!AE78*'BASE LIQUIDACION'!$B$13))</f>
        <v>65960.473639999997</v>
      </c>
    </row>
    <row r="79" spans="1:33" s="4" customFormat="1">
      <c r="A79" s="61" t="s">
        <v>100</v>
      </c>
      <c r="B79" s="56" t="str">
        <f>VLOOKUP(A79,'CENTRO DE COSTOS'!A:D,4,FALSE)</f>
        <v>JUAN SEBASTIÁN RÍOS CASTRILLÓN</v>
      </c>
      <c r="C79" s="56" t="str">
        <f>VLOOKUP(A79,'CENTRO DE COSTOS'!A:D,2,FALSE)</f>
        <v>0004-0005</v>
      </c>
      <c r="D79" s="61">
        <v>5088</v>
      </c>
      <c r="E79" s="61">
        <v>2432233</v>
      </c>
      <c r="F79" s="61">
        <v>75938</v>
      </c>
      <c r="G79" s="56" t="s">
        <v>1586</v>
      </c>
      <c r="H79" s="61" t="s">
        <v>104</v>
      </c>
      <c r="I79" s="61" t="s">
        <v>628</v>
      </c>
      <c r="J79" s="61" t="s">
        <v>1918</v>
      </c>
      <c r="K79" s="56" t="s">
        <v>107</v>
      </c>
      <c r="L79" s="61" t="s">
        <v>1919</v>
      </c>
      <c r="M79" s="119">
        <v>45849.379861111112</v>
      </c>
      <c r="N79" s="119">
        <v>45849.639884259261</v>
      </c>
      <c r="O79" s="84" t="s">
        <v>1589</v>
      </c>
      <c r="P79" s="74" t="s">
        <v>1590</v>
      </c>
      <c r="Q79" s="74" t="s">
        <v>1650</v>
      </c>
      <c r="R79" s="74" t="s">
        <v>1651</v>
      </c>
      <c r="S79" s="61" t="s">
        <v>1593</v>
      </c>
      <c r="T79" s="56"/>
      <c r="U79" s="61" t="s">
        <v>1594</v>
      </c>
      <c r="V79" s="121" t="s">
        <v>1920</v>
      </c>
      <c r="W79" s="61" t="s">
        <v>1596</v>
      </c>
      <c r="X79" s="68" t="s">
        <v>1921</v>
      </c>
      <c r="Y79" s="61" t="s">
        <v>150</v>
      </c>
      <c r="Z79" s="61" t="s">
        <v>115</v>
      </c>
      <c r="AA79" s="68" t="s">
        <v>221</v>
      </c>
      <c r="AB79" s="61">
        <v>1</v>
      </c>
      <c r="AC79" s="61">
        <v>0</v>
      </c>
      <c r="AD79" s="61">
        <v>0</v>
      </c>
      <c r="AE79" s="61">
        <v>0</v>
      </c>
      <c r="AF79" s="71">
        <f>IF(W79="SOPORTE_TELEFÓNICO",'BASE LIQUIDACION'!$B$10,IF(Y79="TIPO I",'BASE LIQUIDACION'!$C$3,IF(Y79="TIPO II",'BASE LIQUIDACION'!$C$4,IF(Y79="TIPO III",'BASE LIQUIDACION'!$C$5,'BASE LIQUIDACION'!$C$7))))</f>
        <v>65960.473639999997</v>
      </c>
      <c r="AG79" s="72">
        <f>IF(W79="SOPORTE_TELEFÓNICO",'BASE LIQUIDACION'!$B$10,(AB79*AF79+AC79*'BASE LIQUIDACION'!$B$12+AD79*'BASE LIQUIDACION'!$B$11+INCIDENTES!AE79*'BASE LIQUIDACION'!$B$13))</f>
        <v>65960.473639999997</v>
      </c>
    </row>
    <row r="80" spans="1:33" s="4" customFormat="1">
      <c r="A80" s="61" t="s">
        <v>399</v>
      </c>
      <c r="B80" s="56" t="str">
        <f>VLOOKUP(A80,'CENTRO DE COSTOS'!A:D,4,FALSE)</f>
        <v>MIGUEL JULIÁN HERNÁNDEZ GUARÍN</v>
      </c>
      <c r="C80" s="56" t="str">
        <f>VLOOKUP(A80,'CENTRO DE COSTOS'!A:D,2,FALSE)</f>
        <v>0004-0008</v>
      </c>
      <c r="D80" s="61">
        <v>15001</v>
      </c>
      <c r="E80" s="61">
        <v>2432638</v>
      </c>
      <c r="F80" s="61">
        <v>79424</v>
      </c>
      <c r="G80" s="56" t="s">
        <v>1586</v>
      </c>
      <c r="H80" s="61" t="s">
        <v>401</v>
      </c>
      <c r="I80" s="61" t="s">
        <v>399</v>
      </c>
      <c r="J80" s="61" t="s">
        <v>1758</v>
      </c>
      <c r="K80" s="56" t="s">
        <v>107</v>
      </c>
      <c r="L80" s="61" t="s">
        <v>1922</v>
      </c>
      <c r="M80" s="119">
        <v>45849.408333333333</v>
      </c>
      <c r="N80" s="119">
        <v>45849.64770833333</v>
      </c>
      <c r="O80" s="84" t="s">
        <v>1589</v>
      </c>
      <c r="P80" s="74" t="s">
        <v>1590</v>
      </c>
      <c r="Q80" s="74" t="s">
        <v>1591</v>
      </c>
      <c r="R80" s="74" t="s">
        <v>1592</v>
      </c>
      <c r="S80" s="61" t="s">
        <v>1593</v>
      </c>
      <c r="T80" s="56"/>
      <c r="U80" s="61" t="s">
        <v>1594</v>
      </c>
      <c r="V80" s="121" t="s">
        <v>1923</v>
      </c>
      <c r="W80" s="61" t="s">
        <v>1596</v>
      </c>
      <c r="X80" s="68" t="s">
        <v>1761</v>
      </c>
      <c r="Y80" s="61" t="s">
        <v>150</v>
      </c>
      <c r="Z80" s="61" t="s">
        <v>115</v>
      </c>
      <c r="AA80" s="68" t="s">
        <v>1924</v>
      </c>
      <c r="AB80" s="61">
        <v>1</v>
      </c>
      <c r="AC80" s="61">
        <v>0</v>
      </c>
      <c r="AD80" s="61">
        <v>0</v>
      </c>
      <c r="AE80" s="61">
        <v>0</v>
      </c>
      <c r="AF80" s="71">
        <f>IF(W80="SOPORTE_TELEFÓNICO",'BASE LIQUIDACION'!$B$10,IF(Y80="TIPO I",'BASE LIQUIDACION'!$C$3,IF(Y80="TIPO II",'BASE LIQUIDACION'!$C$4,IF(Y80="TIPO III",'BASE LIQUIDACION'!$C$5,'BASE LIQUIDACION'!$C$7))))</f>
        <v>65960.473639999997</v>
      </c>
      <c r="AG80" s="72">
        <f>IF(W80="SOPORTE_TELEFÓNICO",'BASE LIQUIDACION'!$B$10,(AB80*AF80+AC80*'BASE LIQUIDACION'!$B$12+AD80*'BASE LIQUIDACION'!$B$11+INCIDENTES!AE80*'BASE LIQUIDACION'!$B$13))</f>
        <v>65960.473639999997</v>
      </c>
    </row>
    <row r="81" spans="1:33" s="4" customFormat="1">
      <c r="A81" s="61" t="s">
        <v>100</v>
      </c>
      <c r="B81" s="56" t="str">
        <f>VLOOKUP(A81,'CENTRO DE COSTOS'!A:D,4,FALSE)</f>
        <v>JUAN SEBASTIÁN RÍOS CASTRILLÓN</v>
      </c>
      <c r="C81" s="56" t="str">
        <f>VLOOKUP(A81,'CENTRO DE COSTOS'!A:D,2,FALSE)</f>
        <v>0004-0005</v>
      </c>
      <c r="D81" s="61">
        <v>5266</v>
      </c>
      <c r="E81" s="61">
        <v>2433727</v>
      </c>
      <c r="F81" s="61">
        <v>59486</v>
      </c>
      <c r="G81" s="56" t="s">
        <v>1586</v>
      </c>
      <c r="H81" s="61" t="s">
        <v>104</v>
      </c>
      <c r="I81" s="61" t="s">
        <v>651</v>
      </c>
      <c r="J81" s="61" t="s">
        <v>1925</v>
      </c>
      <c r="K81" s="56" t="s">
        <v>107</v>
      </c>
      <c r="L81" s="61" t="s">
        <v>1926</v>
      </c>
      <c r="M81" s="119">
        <v>45849.470138888886</v>
      </c>
      <c r="N81" s="119">
        <v>45849.652905092589</v>
      </c>
      <c r="O81" s="84" t="s">
        <v>1589</v>
      </c>
      <c r="P81" s="74" t="s">
        <v>1590</v>
      </c>
      <c r="Q81" s="74" t="s">
        <v>1643</v>
      </c>
      <c r="R81" s="74" t="s">
        <v>1635</v>
      </c>
      <c r="S81" s="61" t="s">
        <v>1593</v>
      </c>
      <c r="T81" s="56"/>
      <c r="U81" s="61" t="s">
        <v>1594</v>
      </c>
      <c r="V81" s="121" t="s">
        <v>1927</v>
      </c>
      <c r="W81" s="61" t="s">
        <v>1596</v>
      </c>
      <c r="X81" s="68" t="s">
        <v>1928</v>
      </c>
      <c r="Y81" s="61" t="s">
        <v>150</v>
      </c>
      <c r="Z81" s="61" t="s">
        <v>115</v>
      </c>
      <c r="AA81" s="68" t="s">
        <v>1721</v>
      </c>
      <c r="AB81" s="61">
        <v>1</v>
      </c>
      <c r="AC81" s="61">
        <v>0</v>
      </c>
      <c r="AD81" s="61">
        <v>0</v>
      </c>
      <c r="AE81" s="61">
        <v>0</v>
      </c>
      <c r="AF81" s="71">
        <f>IF(W81="SOPORTE_TELEFÓNICO",'BASE LIQUIDACION'!$B$10,IF(Y81="TIPO I",'BASE LIQUIDACION'!$C$3,IF(Y81="TIPO II",'BASE LIQUIDACION'!$C$4,IF(Y81="TIPO III",'BASE LIQUIDACION'!$C$5,'BASE LIQUIDACION'!$C$7))))</f>
        <v>65960.473639999997</v>
      </c>
      <c r="AG81" s="72">
        <f>IF(W81="SOPORTE_TELEFÓNICO",'BASE LIQUIDACION'!$B$10,(AB81*AF81+AC81*'BASE LIQUIDACION'!$B$12+AD81*'BASE LIQUIDACION'!$B$11+INCIDENTES!AE81*'BASE LIQUIDACION'!$B$13))</f>
        <v>65960.473639999997</v>
      </c>
    </row>
    <row r="82" spans="1:33" s="4" customFormat="1">
      <c r="A82" s="61" t="s">
        <v>100</v>
      </c>
      <c r="B82" s="56" t="str">
        <f>VLOOKUP(A82,'CENTRO DE COSTOS'!A:D,4,FALSE)</f>
        <v>JUAN SEBASTIÁN RÍOS CASTRILLÓN</v>
      </c>
      <c r="C82" s="56" t="str">
        <f>VLOOKUP(A82,'CENTRO DE COSTOS'!A:D,2,FALSE)</f>
        <v>0004-0005</v>
      </c>
      <c r="D82" s="61">
        <v>5001</v>
      </c>
      <c r="E82" s="61">
        <v>2434552</v>
      </c>
      <c r="F82" s="61">
        <v>80337</v>
      </c>
      <c r="G82" s="56" t="s">
        <v>1586</v>
      </c>
      <c r="H82" s="61" t="s">
        <v>104</v>
      </c>
      <c r="I82" s="61" t="s">
        <v>100</v>
      </c>
      <c r="J82" s="61" t="s">
        <v>1929</v>
      </c>
      <c r="K82" s="56" t="s">
        <v>107</v>
      </c>
      <c r="L82" s="61" t="s">
        <v>1930</v>
      </c>
      <c r="M82" s="119">
        <v>45849.550694444442</v>
      </c>
      <c r="N82" s="119">
        <v>45849.654409722221</v>
      </c>
      <c r="O82" s="84" t="s">
        <v>1589</v>
      </c>
      <c r="P82" s="74" t="s">
        <v>1590</v>
      </c>
      <c r="Q82" s="74" t="s">
        <v>1591</v>
      </c>
      <c r="R82" s="74" t="s">
        <v>1592</v>
      </c>
      <c r="S82" s="61" t="s">
        <v>124</v>
      </c>
      <c r="T82" s="56"/>
      <c r="U82" s="61" t="s">
        <v>1594</v>
      </c>
      <c r="V82" s="121" t="s">
        <v>1931</v>
      </c>
      <c r="W82" s="61" t="s">
        <v>1615</v>
      </c>
      <c r="X82" s="68">
        <v>0</v>
      </c>
      <c r="Y82" s="61" t="s">
        <v>150</v>
      </c>
      <c r="Z82" s="61" t="s">
        <v>115</v>
      </c>
      <c r="AA82" s="68" t="s">
        <v>1626</v>
      </c>
      <c r="AB82" s="61">
        <v>0</v>
      </c>
      <c r="AC82" s="61">
        <v>0</v>
      </c>
      <c r="AD82" s="61">
        <v>0</v>
      </c>
      <c r="AE82" s="61">
        <v>0</v>
      </c>
      <c r="AF82" s="71">
        <f>IF(W82="SOPORTE_TELEFÓNICO",'BASE LIQUIDACION'!$B$10,IF(Y82="TIPO I",'BASE LIQUIDACION'!$C$3,IF(Y82="TIPO II",'BASE LIQUIDACION'!$C$4,IF(Y82="TIPO III",'BASE LIQUIDACION'!$C$5,'BASE LIQUIDACION'!$C$7))))</f>
        <v>37904.65408</v>
      </c>
      <c r="AG82" s="72">
        <f>IF(W82="SOPORTE_TELEFÓNICO",'BASE LIQUIDACION'!$B$10,(AB82*AF82+AC82*'BASE LIQUIDACION'!$B$12+AD82*'BASE LIQUIDACION'!$B$11+INCIDENTES!AE82*'BASE LIQUIDACION'!$B$13))</f>
        <v>37904.65408</v>
      </c>
    </row>
    <row r="83" spans="1:33" s="4" customFormat="1">
      <c r="A83" s="61" t="s">
        <v>222</v>
      </c>
      <c r="B83" s="56" t="str">
        <f>VLOOKUP(A83,'CENTRO DE COSTOS'!A:D,4,FALSE)</f>
        <v>MIGUEL JULIÁN HERNÁNDEZ GUARÍN</v>
      </c>
      <c r="C83" s="56" t="str">
        <f>VLOOKUP(A83,'CENTRO DE COSTOS'!A:D,2,FALSE)</f>
        <v>0004-0008</v>
      </c>
      <c r="D83" s="61">
        <v>54405</v>
      </c>
      <c r="E83" s="61">
        <v>2432592</v>
      </c>
      <c r="F83" s="61">
        <v>30672</v>
      </c>
      <c r="G83" s="56" t="s">
        <v>1586</v>
      </c>
      <c r="H83" s="61" t="s">
        <v>224</v>
      </c>
      <c r="I83" s="61" t="s">
        <v>1351</v>
      </c>
      <c r="J83" s="61" t="s">
        <v>1932</v>
      </c>
      <c r="K83" s="56" t="s">
        <v>107</v>
      </c>
      <c r="L83" s="61" t="s">
        <v>1933</v>
      </c>
      <c r="M83" s="119">
        <v>45849.412499999999</v>
      </c>
      <c r="N83" s="119">
        <v>45849.677164351851</v>
      </c>
      <c r="O83" s="84" t="s">
        <v>1589</v>
      </c>
      <c r="P83" s="74" t="s">
        <v>1590</v>
      </c>
      <c r="Q83" s="74" t="s">
        <v>1591</v>
      </c>
      <c r="R83" s="74" t="s">
        <v>1592</v>
      </c>
      <c r="S83" s="61" t="s">
        <v>1593</v>
      </c>
      <c r="T83" s="56"/>
      <c r="U83" s="61" t="s">
        <v>1594</v>
      </c>
      <c r="V83" s="121" t="s">
        <v>1934</v>
      </c>
      <c r="W83" s="61" t="s">
        <v>1596</v>
      </c>
      <c r="X83" s="68" t="s">
        <v>1935</v>
      </c>
      <c r="Y83" s="61" t="s">
        <v>150</v>
      </c>
      <c r="Z83" s="61" t="s">
        <v>115</v>
      </c>
      <c r="AA83" s="68" t="s">
        <v>1936</v>
      </c>
      <c r="AB83" s="61">
        <v>1</v>
      </c>
      <c r="AC83" s="61">
        <v>0</v>
      </c>
      <c r="AD83" s="61">
        <v>0</v>
      </c>
      <c r="AE83" s="61">
        <v>0</v>
      </c>
      <c r="AF83" s="71">
        <f>IF(W83="SOPORTE_TELEFÓNICO",'BASE LIQUIDACION'!$B$10,IF(Y83="TIPO I",'BASE LIQUIDACION'!$C$3,IF(Y83="TIPO II",'BASE LIQUIDACION'!$C$4,IF(Y83="TIPO III",'BASE LIQUIDACION'!$C$5,'BASE LIQUIDACION'!$C$7))))</f>
        <v>65960.473639999997</v>
      </c>
      <c r="AG83" s="72">
        <f>IF(W83="SOPORTE_TELEFÓNICO",'BASE LIQUIDACION'!$B$10,(AB83*AF83+AC83*'BASE LIQUIDACION'!$B$12+AD83*'BASE LIQUIDACION'!$B$11+INCIDENTES!AE83*'BASE LIQUIDACION'!$B$13))</f>
        <v>65960.473639999997</v>
      </c>
    </row>
    <row r="84" spans="1:33" s="4" customFormat="1">
      <c r="A84" s="61" t="s">
        <v>130</v>
      </c>
      <c r="B84" s="56" t="str">
        <f>VLOOKUP(A84,'CENTRO DE COSTOS'!A:D,4,FALSE)</f>
        <v>DIEGO FERNANDO HENAO CARDONA</v>
      </c>
      <c r="C84" s="56" t="str">
        <f>VLOOKUP(A84,'CENTRO DE COSTOS'!A:D,2,FALSE)</f>
        <v>0004-0002</v>
      </c>
      <c r="D84" s="61">
        <v>76736</v>
      </c>
      <c r="E84" s="61">
        <v>2432828</v>
      </c>
      <c r="F84" s="61">
        <v>13622</v>
      </c>
      <c r="G84" s="56" t="s">
        <v>1586</v>
      </c>
      <c r="H84" s="61" t="s">
        <v>208</v>
      </c>
      <c r="I84" s="61" t="s">
        <v>1551</v>
      </c>
      <c r="J84" s="61" t="s">
        <v>1937</v>
      </c>
      <c r="K84" s="56" t="s">
        <v>107</v>
      </c>
      <c r="L84" s="61" t="s">
        <v>1938</v>
      </c>
      <c r="M84" s="119">
        <v>45849.418055555558</v>
      </c>
      <c r="N84" s="119">
        <v>45849.699791666666</v>
      </c>
      <c r="O84" s="84" t="s">
        <v>1589</v>
      </c>
      <c r="P84" s="74" t="s">
        <v>1590</v>
      </c>
      <c r="Q84" s="74" t="s">
        <v>1643</v>
      </c>
      <c r="R84" s="74" t="s">
        <v>1635</v>
      </c>
      <c r="S84" s="61" t="s">
        <v>145</v>
      </c>
      <c r="T84" s="56"/>
      <c r="U84" s="61" t="s">
        <v>1594</v>
      </c>
      <c r="V84" s="121" t="s">
        <v>1939</v>
      </c>
      <c r="W84" s="61" t="s">
        <v>1615</v>
      </c>
      <c r="X84" s="68">
        <v>0</v>
      </c>
      <c r="Y84" s="61" t="s">
        <v>139</v>
      </c>
      <c r="Z84" s="61" t="s">
        <v>115</v>
      </c>
      <c r="AA84" s="68" t="s">
        <v>1621</v>
      </c>
      <c r="AB84" s="61">
        <v>0</v>
      </c>
      <c r="AC84" s="61">
        <v>0</v>
      </c>
      <c r="AD84" s="61">
        <v>0</v>
      </c>
      <c r="AE84" s="61">
        <v>0</v>
      </c>
      <c r="AF84" s="71">
        <f>IF(W84="SOPORTE_TELEFÓNICO",'BASE LIQUIDACION'!$B$10,IF(Y84="TIPO I",'BASE LIQUIDACION'!$C$3,IF(Y84="TIPO II",'BASE LIQUIDACION'!$C$4,IF(Y84="TIPO III",'BASE LIQUIDACION'!$C$5,'BASE LIQUIDACION'!$C$7))))</f>
        <v>37904.65408</v>
      </c>
      <c r="AG84" s="72">
        <f>IF(W84="SOPORTE_TELEFÓNICO",'BASE LIQUIDACION'!$B$10,(AB84*AF84+AC84*'BASE LIQUIDACION'!$B$12+AD84*'BASE LIQUIDACION'!$B$11+INCIDENTES!AE84*'BASE LIQUIDACION'!$B$13))</f>
        <v>37904.65408</v>
      </c>
    </row>
    <row r="85" spans="1:33" s="4" customFormat="1">
      <c r="A85" s="61" t="s">
        <v>256</v>
      </c>
      <c r="B85" s="56" t="str">
        <f>VLOOKUP(A85,'CENTRO DE COSTOS'!A:D,4,FALSE)</f>
        <v>MIGUEL JULIÁN HERNÁNDEZ GUARÍN</v>
      </c>
      <c r="C85" s="56" t="str">
        <f>VLOOKUP(A85,'CENTRO DE COSTOS'!A:D,2,FALSE)</f>
        <v>0004-0008</v>
      </c>
      <c r="D85" s="61">
        <v>68001</v>
      </c>
      <c r="E85" s="61">
        <v>2433304</v>
      </c>
      <c r="F85" s="61">
        <v>64093</v>
      </c>
      <c r="G85" s="56" t="s">
        <v>1586</v>
      </c>
      <c r="H85" s="61" t="s">
        <v>258</v>
      </c>
      <c r="I85" s="61" t="s">
        <v>256</v>
      </c>
      <c r="J85" s="61" t="s">
        <v>1940</v>
      </c>
      <c r="K85" s="56" t="s">
        <v>107</v>
      </c>
      <c r="L85" s="61" t="s">
        <v>1941</v>
      </c>
      <c r="M85" s="119">
        <v>45849.443055555559</v>
      </c>
      <c r="N85" s="119">
        <v>45850.410416666666</v>
      </c>
      <c r="O85" s="84" t="s">
        <v>1589</v>
      </c>
      <c r="P85" s="74" t="s">
        <v>1590</v>
      </c>
      <c r="Q85" s="74" t="s">
        <v>1643</v>
      </c>
      <c r="R85" s="74" t="s">
        <v>1644</v>
      </c>
      <c r="S85" s="61" t="s">
        <v>1593</v>
      </c>
      <c r="T85" s="56"/>
      <c r="U85" s="61" t="s">
        <v>1594</v>
      </c>
      <c r="V85" s="121" t="s">
        <v>1942</v>
      </c>
      <c r="W85" s="61" t="s">
        <v>1615</v>
      </c>
      <c r="X85" s="68">
        <v>0</v>
      </c>
      <c r="Y85" s="61" t="s">
        <v>150</v>
      </c>
      <c r="Z85" s="61" t="s">
        <v>115</v>
      </c>
      <c r="AA85" s="68" t="s">
        <v>1943</v>
      </c>
      <c r="AB85" s="61">
        <v>0</v>
      </c>
      <c r="AC85" s="61">
        <v>0</v>
      </c>
      <c r="AD85" s="61">
        <v>0</v>
      </c>
      <c r="AE85" s="61">
        <v>0</v>
      </c>
      <c r="AF85" s="71">
        <f>IF(W85="SOPORTE_TELEFÓNICO",'BASE LIQUIDACION'!$B$10,IF(Y85="TIPO I",'BASE LIQUIDACION'!$C$3,IF(Y85="TIPO II",'BASE LIQUIDACION'!$C$4,IF(Y85="TIPO III",'BASE LIQUIDACION'!$C$5,'BASE LIQUIDACION'!$C$7))))</f>
        <v>37904.65408</v>
      </c>
      <c r="AG85" s="72">
        <f>IF(W85="SOPORTE_TELEFÓNICO",'BASE LIQUIDACION'!$B$10,(AB85*AF85+AC85*'BASE LIQUIDACION'!$B$12+AD85*'BASE LIQUIDACION'!$B$11+INCIDENTES!AE85*'BASE LIQUIDACION'!$B$13))</f>
        <v>37904.65408</v>
      </c>
    </row>
    <row r="86" spans="1:33" s="4" customFormat="1">
      <c r="A86" s="61" t="s">
        <v>100</v>
      </c>
      <c r="B86" s="56" t="str">
        <f>VLOOKUP(A86,'CENTRO DE COSTOS'!A:D,4,FALSE)</f>
        <v>JUAN SEBASTIÁN RÍOS CASTRILLÓN</v>
      </c>
      <c r="C86" s="56" t="str">
        <f>VLOOKUP(A86,'CENTRO DE COSTOS'!A:D,2,FALSE)</f>
        <v>0004-0005</v>
      </c>
      <c r="D86" s="61">
        <v>5001</v>
      </c>
      <c r="E86" s="61">
        <v>2434811</v>
      </c>
      <c r="F86" s="61">
        <v>73717</v>
      </c>
      <c r="G86" s="56" t="s">
        <v>1586</v>
      </c>
      <c r="H86" s="61" t="s">
        <v>104</v>
      </c>
      <c r="I86" s="61" t="s">
        <v>100</v>
      </c>
      <c r="J86" s="61" t="s">
        <v>1944</v>
      </c>
      <c r="K86" s="56" t="s">
        <v>107</v>
      </c>
      <c r="L86" s="61" t="s">
        <v>1945</v>
      </c>
      <c r="M86" s="119">
        <v>45849.575486111113</v>
      </c>
      <c r="N86" s="119">
        <v>45850.491666666669</v>
      </c>
      <c r="O86" s="84" t="s">
        <v>1589</v>
      </c>
      <c r="P86" s="74" t="s">
        <v>1590</v>
      </c>
      <c r="Q86" s="74" t="s">
        <v>1643</v>
      </c>
      <c r="R86" s="74" t="s">
        <v>1644</v>
      </c>
      <c r="S86" s="61" t="s">
        <v>1593</v>
      </c>
      <c r="T86" s="56"/>
      <c r="U86" s="61" t="s">
        <v>1594</v>
      </c>
      <c r="V86" s="121" t="s">
        <v>1946</v>
      </c>
      <c r="W86" s="61" t="s">
        <v>1615</v>
      </c>
      <c r="X86" s="68">
        <v>0</v>
      </c>
      <c r="Y86" s="61" t="s">
        <v>150</v>
      </c>
      <c r="Z86" s="61" t="s">
        <v>115</v>
      </c>
      <c r="AA86" s="68" t="s">
        <v>269</v>
      </c>
      <c r="AB86" s="61">
        <v>0</v>
      </c>
      <c r="AC86" s="61">
        <v>0</v>
      </c>
      <c r="AD86" s="61">
        <v>0</v>
      </c>
      <c r="AE86" s="61">
        <v>0</v>
      </c>
      <c r="AF86" s="71">
        <f>IF(W86="SOPORTE_TELEFÓNICO",'BASE LIQUIDACION'!$B$10,IF(Y86="TIPO I",'BASE LIQUIDACION'!$C$3,IF(Y86="TIPO II",'BASE LIQUIDACION'!$C$4,IF(Y86="TIPO III",'BASE LIQUIDACION'!$C$5,'BASE LIQUIDACION'!$C$7))))</f>
        <v>37904.65408</v>
      </c>
      <c r="AG86" s="72">
        <f>IF(W86="SOPORTE_TELEFÓNICO",'BASE LIQUIDACION'!$B$10,(AB86*AF86+AC86*'BASE LIQUIDACION'!$B$12+AD86*'BASE LIQUIDACION'!$B$11+INCIDENTES!AE86*'BASE LIQUIDACION'!$B$13))</f>
        <v>37904.65408</v>
      </c>
    </row>
    <row r="87" spans="1:33" s="4" customFormat="1">
      <c r="A87" s="61" t="s">
        <v>256</v>
      </c>
      <c r="B87" s="56" t="str">
        <f>VLOOKUP(A87,'CENTRO DE COSTOS'!A:D,4,FALSE)</f>
        <v>MIGUEL JULIÁN HERNÁNDEZ GUARÍN</v>
      </c>
      <c r="C87" s="56" t="str">
        <f>VLOOKUP(A87,'CENTRO DE COSTOS'!A:D,2,FALSE)</f>
        <v>0004-0008</v>
      </c>
      <c r="D87" s="61">
        <v>68001</v>
      </c>
      <c r="E87" s="61">
        <v>2437371</v>
      </c>
      <c r="F87" s="61">
        <v>77300</v>
      </c>
      <c r="G87" s="56" t="s">
        <v>1586</v>
      </c>
      <c r="H87" s="61" t="s">
        <v>258</v>
      </c>
      <c r="I87" s="61" t="s">
        <v>256</v>
      </c>
      <c r="J87" s="61" t="s">
        <v>1947</v>
      </c>
      <c r="K87" s="56" t="s">
        <v>107</v>
      </c>
      <c r="L87" s="61" t="s">
        <v>1948</v>
      </c>
      <c r="M87" s="119">
        <v>45850.394444444442</v>
      </c>
      <c r="N87" s="119">
        <v>45850.584722222222</v>
      </c>
      <c r="O87" s="84" t="s">
        <v>1589</v>
      </c>
      <c r="P87" s="74" t="s">
        <v>1590</v>
      </c>
      <c r="Q87" s="74" t="s">
        <v>1634</v>
      </c>
      <c r="R87" s="74" t="s">
        <v>1635</v>
      </c>
      <c r="S87" s="61" t="s">
        <v>1593</v>
      </c>
      <c r="T87" s="56"/>
      <c r="U87" s="61" t="s">
        <v>1594</v>
      </c>
      <c r="V87" s="121" t="s">
        <v>1949</v>
      </c>
      <c r="W87" s="61" t="s">
        <v>1596</v>
      </c>
      <c r="X87" s="68" t="s">
        <v>1950</v>
      </c>
      <c r="Y87" s="61" t="s">
        <v>150</v>
      </c>
      <c r="Z87" s="61" t="s">
        <v>115</v>
      </c>
      <c r="AA87" s="68" t="s">
        <v>263</v>
      </c>
      <c r="AB87" s="61">
        <v>1</v>
      </c>
      <c r="AC87" s="61">
        <v>0</v>
      </c>
      <c r="AD87" s="61">
        <v>0</v>
      </c>
      <c r="AE87" s="61">
        <v>0</v>
      </c>
      <c r="AF87" s="71">
        <f>IF(W87="SOPORTE_TELEFÓNICO",'BASE LIQUIDACION'!$B$10,IF(Y87="TIPO I",'BASE LIQUIDACION'!$C$3,IF(Y87="TIPO II",'BASE LIQUIDACION'!$C$4,IF(Y87="TIPO III",'BASE LIQUIDACION'!$C$5,'BASE LIQUIDACION'!$C$7))))</f>
        <v>65960.473639999997</v>
      </c>
      <c r="AG87" s="72">
        <f>IF(W87="SOPORTE_TELEFÓNICO",'BASE LIQUIDACION'!$B$10,(AB87*AF87+AC87*'BASE LIQUIDACION'!$B$12+AD87*'BASE LIQUIDACION'!$B$11+INCIDENTES!AE87*'BASE LIQUIDACION'!$B$13))</f>
        <v>65960.473639999997</v>
      </c>
    </row>
    <row r="88" spans="1:33" s="4" customFormat="1">
      <c r="A88" s="61" t="s">
        <v>256</v>
      </c>
      <c r="B88" s="56" t="str">
        <f>VLOOKUP(A88,'CENTRO DE COSTOS'!A:D,4,FALSE)</f>
        <v>MIGUEL JULIÁN HERNÁNDEZ GUARÍN</v>
      </c>
      <c r="C88" s="56" t="str">
        <f>VLOOKUP(A88,'CENTRO DE COSTOS'!A:D,2,FALSE)</f>
        <v>0004-0008</v>
      </c>
      <c r="D88" s="61">
        <v>68001</v>
      </c>
      <c r="E88" s="61">
        <v>2437295</v>
      </c>
      <c r="F88" s="61">
        <v>48861</v>
      </c>
      <c r="G88" s="56" t="s">
        <v>1586</v>
      </c>
      <c r="H88" s="61" t="s">
        <v>258</v>
      </c>
      <c r="I88" s="61" t="s">
        <v>256</v>
      </c>
      <c r="J88" s="61" t="s">
        <v>1951</v>
      </c>
      <c r="K88" s="56" t="s">
        <v>107</v>
      </c>
      <c r="L88" s="61" t="s">
        <v>1952</v>
      </c>
      <c r="M88" s="119">
        <v>45850.397222222222</v>
      </c>
      <c r="N88" s="119">
        <v>45850.620833333334</v>
      </c>
      <c r="O88" s="84" t="s">
        <v>1589</v>
      </c>
      <c r="P88" s="74" t="s">
        <v>1590</v>
      </c>
      <c r="Q88" s="74" t="s">
        <v>1643</v>
      </c>
      <c r="R88" s="74" t="s">
        <v>1635</v>
      </c>
      <c r="S88" s="61" t="s">
        <v>1593</v>
      </c>
      <c r="T88" s="56"/>
      <c r="U88" s="61" t="s">
        <v>1594</v>
      </c>
      <c r="V88" s="121" t="s">
        <v>1953</v>
      </c>
      <c r="W88" s="61" t="s">
        <v>1596</v>
      </c>
      <c r="X88" s="68" t="s">
        <v>1954</v>
      </c>
      <c r="Y88" s="61" t="s">
        <v>150</v>
      </c>
      <c r="Z88" s="61" t="s">
        <v>115</v>
      </c>
      <c r="AA88" s="68" t="s">
        <v>550</v>
      </c>
      <c r="AB88" s="61">
        <v>1</v>
      </c>
      <c r="AC88" s="61">
        <v>0</v>
      </c>
      <c r="AD88" s="61">
        <v>0</v>
      </c>
      <c r="AE88" s="61">
        <v>0</v>
      </c>
      <c r="AF88" s="71">
        <f>IF(W88="SOPORTE_TELEFÓNICO",'BASE LIQUIDACION'!$B$10,IF(Y88="TIPO I",'BASE LIQUIDACION'!$C$3,IF(Y88="TIPO II",'BASE LIQUIDACION'!$C$4,IF(Y88="TIPO III",'BASE LIQUIDACION'!$C$5,'BASE LIQUIDACION'!$C$7))))</f>
        <v>65960.473639999997</v>
      </c>
      <c r="AG88" s="72">
        <f>IF(W88="SOPORTE_TELEFÓNICO",'BASE LIQUIDACION'!$B$10,(AB88*AF88+AC88*'BASE LIQUIDACION'!$B$12+AD88*'BASE LIQUIDACION'!$B$11+INCIDENTES!AE88*'BASE LIQUIDACION'!$B$13))</f>
        <v>65960.473639999997</v>
      </c>
    </row>
    <row r="89" spans="1:33" s="4" customFormat="1">
      <c r="A89" s="61" t="s">
        <v>100</v>
      </c>
      <c r="B89" s="56" t="str">
        <f>VLOOKUP(A89,'CENTRO DE COSTOS'!A:D,4,FALSE)</f>
        <v>JUAN SEBASTIÁN RÍOS CASTRILLÓN</v>
      </c>
      <c r="C89" s="56" t="str">
        <f>VLOOKUP(A89,'CENTRO DE COSTOS'!A:D,2,FALSE)</f>
        <v>0004-0005</v>
      </c>
      <c r="D89" s="61">
        <v>5212</v>
      </c>
      <c r="E89" s="61">
        <v>2437294</v>
      </c>
      <c r="F89" s="61">
        <v>68622</v>
      </c>
      <c r="G89" s="56" t="s">
        <v>1586</v>
      </c>
      <c r="H89" s="61" t="s">
        <v>104</v>
      </c>
      <c r="I89" s="61" t="s">
        <v>643</v>
      </c>
      <c r="J89" s="61" t="s">
        <v>1955</v>
      </c>
      <c r="K89" s="56" t="s">
        <v>107</v>
      </c>
      <c r="L89" s="61" t="s">
        <v>1956</v>
      </c>
      <c r="M89" s="119">
        <v>45850.395138888889</v>
      </c>
      <c r="N89" s="119">
        <v>45850.634722222225</v>
      </c>
      <c r="O89" s="84" t="s">
        <v>1589</v>
      </c>
      <c r="P89" s="74" t="s">
        <v>1590</v>
      </c>
      <c r="Q89" s="74" t="s">
        <v>1601</v>
      </c>
      <c r="R89" s="74" t="s">
        <v>1602</v>
      </c>
      <c r="S89" s="61" t="s">
        <v>124</v>
      </c>
      <c r="T89" s="56"/>
      <c r="U89" s="61" t="s">
        <v>1594</v>
      </c>
      <c r="V89" s="121" t="s">
        <v>1957</v>
      </c>
      <c r="W89" s="61" t="s">
        <v>1596</v>
      </c>
      <c r="X89" s="68" t="s">
        <v>1958</v>
      </c>
      <c r="Y89" s="61" t="s">
        <v>150</v>
      </c>
      <c r="Z89" s="61" t="s">
        <v>115</v>
      </c>
      <c r="AA89" s="68" t="s">
        <v>1959</v>
      </c>
      <c r="AB89" s="61">
        <v>1</v>
      </c>
      <c r="AC89" s="61">
        <v>0</v>
      </c>
      <c r="AD89" s="61">
        <v>0</v>
      </c>
      <c r="AE89" s="61">
        <v>0</v>
      </c>
      <c r="AF89" s="71">
        <f>IF(W89="SOPORTE_TELEFÓNICO",'BASE LIQUIDACION'!$B$10,IF(Y89="TIPO I",'BASE LIQUIDACION'!$C$3,IF(Y89="TIPO II",'BASE LIQUIDACION'!$C$4,IF(Y89="TIPO III",'BASE LIQUIDACION'!$C$5,'BASE LIQUIDACION'!$C$7))))</f>
        <v>65960.473639999997</v>
      </c>
      <c r="AG89" s="72">
        <f>IF(W89="SOPORTE_TELEFÓNICO",'BASE LIQUIDACION'!$B$10,(AB89*AF89+AC89*'BASE LIQUIDACION'!$B$12+AD89*'BASE LIQUIDACION'!$B$11+INCIDENTES!AE89*'BASE LIQUIDACION'!$B$13))</f>
        <v>65960.473639999997</v>
      </c>
    </row>
    <row r="90" spans="1:33" s="4" customFormat="1">
      <c r="A90" s="61" t="s">
        <v>100</v>
      </c>
      <c r="B90" s="56" t="str">
        <f>VLOOKUP(A90,'CENTRO DE COSTOS'!A:D,4,FALSE)</f>
        <v>JUAN SEBASTIÁN RÍOS CASTRILLÓN</v>
      </c>
      <c r="C90" s="56" t="str">
        <f>VLOOKUP(A90,'CENTRO DE COSTOS'!A:D,2,FALSE)</f>
        <v>0004-0005</v>
      </c>
      <c r="D90" s="93">
        <v>5001</v>
      </c>
      <c r="E90" s="61">
        <v>2436823</v>
      </c>
      <c r="F90" s="61">
        <v>28592</v>
      </c>
      <c r="G90" s="56" t="s">
        <v>1586</v>
      </c>
      <c r="H90" s="61" t="s">
        <v>104</v>
      </c>
      <c r="I90" s="61" t="s">
        <v>100</v>
      </c>
      <c r="J90" s="61">
        <v>0</v>
      </c>
      <c r="K90" s="56" t="s">
        <v>107</v>
      </c>
      <c r="L90" s="61" t="s">
        <v>1960</v>
      </c>
      <c r="M90" s="119">
        <v>45849.739328703705</v>
      </c>
      <c r="N90" s="119">
        <v>45850.647222222222</v>
      </c>
      <c r="O90" s="84" t="s">
        <v>1589</v>
      </c>
      <c r="P90" s="74" t="s">
        <v>1590</v>
      </c>
      <c r="Q90" s="74" t="s">
        <v>1591</v>
      </c>
      <c r="R90" s="74" t="s">
        <v>1592</v>
      </c>
      <c r="S90" s="61" t="s">
        <v>1593</v>
      </c>
      <c r="T90" s="56"/>
      <c r="U90" s="61" t="s">
        <v>1594</v>
      </c>
      <c r="V90" s="121" t="s">
        <v>1961</v>
      </c>
      <c r="W90" s="61" t="s">
        <v>1615</v>
      </c>
      <c r="X90" s="68">
        <v>0</v>
      </c>
      <c r="Y90" s="61" t="s">
        <v>150</v>
      </c>
      <c r="Z90" s="61" t="s">
        <v>115</v>
      </c>
      <c r="AA90" s="68">
        <v>0</v>
      </c>
      <c r="AB90" s="61">
        <v>0</v>
      </c>
      <c r="AC90" s="61">
        <v>0</v>
      </c>
      <c r="AD90" s="61">
        <v>0</v>
      </c>
      <c r="AE90" s="61">
        <v>0</v>
      </c>
      <c r="AF90" s="71">
        <f>IF(W90="SOPORTE_TELEFÓNICO",'BASE LIQUIDACION'!$B$10,IF(Y90="TIPO I",'BASE LIQUIDACION'!$C$3,IF(Y90="TIPO II",'BASE LIQUIDACION'!$C$4,IF(Y90="TIPO III",'BASE LIQUIDACION'!$C$5,'BASE LIQUIDACION'!$C$7))))</f>
        <v>37904.65408</v>
      </c>
      <c r="AG90" s="72">
        <f>IF(W90="SOPORTE_TELEFÓNICO",'BASE LIQUIDACION'!$B$10,(AB90*AF90+AC90*'BASE LIQUIDACION'!$B$12+AD90*'BASE LIQUIDACION'!$B$11+INCIDENTES!AE90*'BASE LIQUIDACION'!$B$13))</f>
        <v>37904.65408</v>
      </c>
    </row>
    <row r="91" spans="1:33" s="4" customFormat="1">
      <c r="A91" s="61" t="s">
        <v>100</v>
      </c>
      <c r="B91" s="56" t="str">
        <f>VLOOKUP(A91,'CENTRO DE COSTOS'!A:D,4,FALSE)</f>
        <v>JUAN SEBASTIÁN RÍOS CASTRILLÓN</v>
      </c>
      <c r="C91" s="56" t="str">
        <f>VLOOKUP(A91,'CENTRO DE COSTOS'!A:D,2,FALSE)</f>
        <v>0004-0005</v>
      </c>
      <c r="D91" s="61">
        <v>5664</v>
      </c>
      <c r="E91" s="61">
        <v>2435267</v>
      </c>
      <c r="F91" s="61">
        <v>48480</v>
      </c>
      <c r="G91" s="56" t="s">
        <v>1586</v>
      </c>
      <c r="H91" s="61" t="s">
        <v>104</v>
      </c>
      <c r="I91" s="61" t="s">
        <v>613</v>
      </c>
      <c r="J91" s="61" t="s">
        <v>1962</v>
      </c>
      <c r="K91" s="56" t="s">
        <v>107</v>
      </c>
      <c r="L91" s="61" t="s">
        <v>1963</v>
      </c>
      <c r="M91" s="119">
        <v>45849.62222222222</v>
      </c>
      <c r="N91" s="119">
        <v>45850.665277777778</v>
      </c>
      <c r="O91" s="84" t="s">
        <v>1589</v>
      </c>
      <c r="P91" s="74" t="s">
        <v>1590</v>
      </c>
      <c r="Q91" s="74" t="s">
        <v>1607</v>
      </c>
      <c r="R91" s="74" t="s">
        <v>1608</v>
      </c>
      <c r="S91" s="61" t="s">
        <v>1593</v>
      </c>
      <c r="T91" s="56"/>
      <c r="U91" s="61" t="s">
        <v>1594</v>
      </c>
      <c r="V91" s="121" t="s">
        <v>1964</v>
      </c>
      <c r="W91" s="61" t="s">
        <v>1596</v>
      </c>
      <c r="X91" s="68" t="s">
        <v>1965</v>
      </c>
      <c r="Y91" s="61" t="s">
        <v>139</v>
      </c>
      <c r="Z91" s="61" t="s">
        <v>115</v>
      </c>
      <c r="AA91" s="68" t="s">
        <v>1611</v>
      </c>
      <c r="AB91" s="61">
        <v>1</v>
      </c>
      <c r="AC91" s="61">
        <v>0</v>
      </c>
      <c r="AD91" s="61">
        <v>0</v>
      </c>
      <c r="AE91" s="61">
        <v>0</v>
      </c>
      <c r="AF91" s="71">
        <f>IF(W91="SOPORTE_TELEFÓNICO",'BASE LIQUIDACION'!$B$10,IF(Y91="TIPO I",'BASE LIQUIDACION'!$C$3,IF(Y91="TIPO II",'BASE LIQUIDACION'!$C$4,IF(Y91="TIPO III",'BASE LIQUIDACION'!$C$5,'BASE LIQUIDACION'!$C$7))))</f>
        <v>163813.55812</v>
      </c>
      <c r="AG91" s="72">
        <f>IF(W91="SOPORTE_TELEFÓNICO",'BASE LIQUIDACION'!$B$10,(AB91*AF91+AC91*'BASE LIQUIDACION'!$B$12+AD91*'BASE LIQUIDACION'!$B$11+INCIDENTES!AE91*'BASE LIQUIDACION'!$B$13))</f>
        <v>163813.55812</v>
      </c>
    </row>
    <row r="92" spans="1:33" s="4" customFormat="1">
      <c r="A92" s="61" t="s">
        <v>100</v>
      </c>
      <c r="B92" s="56" t="str">
        <f>VLOOKUP(A92,'CENTRO DE COSTOS'!A:D,4,FALSE)</f>
        <v>JUAN SEBASTIÁN RÍOS CASTRILLÓN</v>
      </c>
      <c r="C92" s="56" t="str">
        <f>VLOOKUP(A92,'CENTRO DE COSTOS'!A:D,2,FALSE)</f>
        <v>0004-0005</v>
      </c>
      <c r="D92" s="61">
        <v>5360</v>
      </c>
      <c r="E92" s="61">
        <v>2437116</v>
      </c>
      <c r="F92" s="61">
        <v>59913</v>
      </c>
      <c r="G92" s="56" t="s">
        <v>1586</v>
      </c>
      <c r="H92" s="61" t="s">
        <v>104</v>
      </c>
      <c r="I92" s="61" t="s">
        <v>661</v>
      </c>
      <c r="J92" s="61" t="s">
        <v>1966</v>
      </c>
      <c r="K92" s="56" t="s">
        <v>107</v>
      </c>
      <c r="L92" s="61" t="s">
        <v>1967</v>
      </c>
      <c r="M92" s="119">
        <v>45850.333333333336</v>
      </c>
      <c r="N92" s="119">
        <v>45850.675694444442</v>
      </c>
      <c r="O92" s="84" t="s">
        <v>1589</v>
      </c>
      <c r="P92" s="74" t="s">
        <v>1590</v>
      </c>
      <c r="Q92" s="74" t="s">
        <v>1591</v>
      </c>
      <c r="R92" s="74" t="s">
        <v>1592</v>
      </c>
      <c r="S92" s="61" t="s">
        <v>124</v>
      </c>
      <c r="T92" s="56"/>
      <c r="U92" s="61" t="s">
        <v>1594</v>
      </c>
      <c r="V92" s="121" t="s">
        <v>1968</v>
      </c>
      <c r="W92" s="61" t="s">
        <v>1615</v>
      </c>
      <c r="X92" s="68">
        <v>0</v>
      </c>
      <c r="Y92" s="61" t="s">
        <v>150</v>
      </c>
      <c r="Z92" s="61" t="s">
        <v>115</v>
      </c>
      <c r="AA92" s="68" t="s">
        <v>1721</v>
      </c>
      <c r="AB92" s="61">
        <v>0</v>
      </c>
      <c r="AC92" s="61">
        <v>0</v>
      </c>
      <c r="AD92" s="61">
        <v>0</v>
      </c>
      <c r="AE92" s="61">
        <v>0</v>
      </c>
      <c r="AF92" s="71">
        <f>IF(W92="SOPORTE_TELEFÓNICO",'BASE LIQUIDACION'!$B$10,IF(Y92="TIPO I",'BASE LIQUIDACION'!$C$3,IF(Y92="TIPO II",'BASE LIQUIDACION'!$C$4,IF(Y92="TIPO III",'BASE LIQUIDACION'!$C$5,'BASE LIQUIDACION'!$C$7))))</f>
        <v>37904.65408</v>
      </c>
      <c r="AG92" s="72">
        <f>IF(W92="SOPORTE_TELEFÓNICO",'BASE LIQUIDACION'!$B$10,(AB92*AF92+AC92*'BASE LIQUIDACION'!$B$12+AD92*'BASE LIQUIDACION'!$B$11+INCIDENTES!AE92*'BASE LIQUIDACION'!$B$13))</f>
        <v>37904.65408</v>
      </c>
    </row>
    <row r="93" spans="1:33" s="4" customFormat="1">
      <c r="A93" s="61" t="s">
        <v>100</v>
      </c>
      <c r="B93" s="56" t="str">
        <f>VLOOKUP(A93,'CENTRO DE COSTOS'!A:D,4,FALSE)</f>
        <v>JUAN SEBASTIÁN RÍOS CASTRILLÓN</v>
      </c>
      <c r="C93" s="56" t="str">
        <f>VLOOKUP(A93,'CENTRO DE COSTOS'!A:D,2,FALSE)</f>
        <v>0004-0005</v>
      </c>
      <c r="D93" s="93">
        <v>5001</v>
      </c>
      <c r="E93" s="61">
        <v>2438606</v>
      </c>
      <c r="F93" s="61">
        <v>64209</v>
      </c>
      <c r="G93" s="56" t="s">
        <v>1586</v>
      </c>
      <c r="H93" s="61" t="s">
        <v>104</v>
      </c>
      <c r="I93" s="61" t="s">
        <v>100</v>
      </c>
      <c r="J93" s="61">
        <v>0</v>
      </c>
      <c r="K93" s="56" t="s">
        <v>107</v>
      </c>
      <c r="L93" s="61" t="s">
        <v>1969</v>
      </c>
      <c r="M93" s="119">
        <v>45851.468055555553</v>
      </c>
      <c r="N93" s="119">
        <v>45851.517581018517</v>
      </c>
      <c r="O93" s="84" t="s">
        <v>1589</v>
      </c>
      <c r="P93" s="74" t="s">
        <v>1590</v>
      </c>
      <c r="Q93" s="74" t="s">
        <v>1591</v>
      </c>
      <c r="R93" s="74" t="s">
        <v>1592</v>
      </c>
      <c r="S93" s="61" t="s">
        <v>1664</v>
      </c>
      <c r="T93" s="56"/>
      <c r="U93" s="61" t="s">
        <v>1594</v>
      </c>
      <c r="V93" s="121" t="s">
        <v>1970</v>
      </c>
      <c r="W93" s="61" t="s">
        <v>1615</v>
      </c>
      <c r="X93" s="68">
        <v>0</v>
      </c>
      <c r="Y93" s="61" t="s">
        <v>150</v>
      </c>
      <c r="Z93" s="61" t="s">
        <v>115</v>
      </c>
      <c r="AA93" s="68">
        <v>0</v>
      </c>
      <c r="AB93" s="61">
        <v>0</v>
      </c>
      <c r="AC93" s="61">
        <v>0</v>
      </c>
      <c r="AD93" s="61">
        <v>0</v>
      </c>
      <c r="AE93" s="61">
        <v>0</v>
      </c>
      <c r="AF93" s="71">
        <f>IF(W93="SOPORTE_TELEFÓNICO",'BASE LIQUIDACION'!$B$10,IF(Y93="TIPO I",'BASE LIQUIDACION'!$C$3,IF(Y93="TIPO II",'BASE LIQUIDACION'!$C$4,IF(Y93="TIPO III",'BASE LIQUIDACION'!$C$5,'BASE LIQUIDACION'!$C$7))))</f>
        <v>37904.65408</v>
      </c>
      <c r="AG93" s="72">
        <f>IF(W93="SOPORTE_TELEFÓNICO",'BASE LIQUIDACION'!$B$10,(AB93*AF93+AC93*'BASE LIQUIDACION'!$B$12+AD93*'BASE LIQUIDACION'!$B$11+INCIDENTES!AE93*'BASE LIQUIDACION'!$B$13))</f>
        <v>37904.65408</v>
      </c>
    </row>
    <row r="94" spans="1:33" s="4" customFormat="1">
      <c r="A94" s="61" t="s">
        <v>130</v>
      </c>
      <c r="B94" s="56" t="str">
        <f>VLOOKUP(A94,'CENTRO DE COSTOS'!A:D,4,FALSE)</f>
        <v>DIEGO FERNANDO HENAO CARDONA</v>
      </c>
      <c r="C94" s="56" t="str">
        <f>VLOOKUP(A94,'CENTRO DE COSTOS'!A:D,2,FALSE)</f>
        <v>0004-0002</v>
      </c>
      <c r="D94" s="61">
        <v>63001</v>
      </c>
      <c r="E94" s="61">
        <v>2440254</v>
      </c>
      <c r="F94" s="61">
        <v>25343</v>
      </c>
      <c r="G94" s="56" t="s">
        <v>1586</v>
      </c>
      <c r="H94" s="61" t="s">
        <v>1377</v>
      </c>
      <c r="I94" s="61" t="s">
        <v>596</v>
      </c>
      <c r="J94" s="61" t="s">
        <v>1805</v>
      </c>
      <c r="K94" s="56" t="s">
        <v>107</v>
      </c>
      <c r="L94" s="61" t="s">
        <v>1971</v>
      </c>
      <c r="M94" s="119">
        <v>45852.38958333333</v>
      </c>
      <c r="N94" s="119">
        <v>45852.407025462962</v>
      </c>
      <c r="O94" s="84" t="s">
        <v>1589</v>
      </c>
      <c r="P94" s="74" t="s">
        <v>1590</v>
      </c>
      <c r="Q94" s="74" t="s">
        <v>1591</v>
      </c>
      <c r="R94" s="74" t="s">
        <v>1592</v>
      </c>
      <c r="S94" s="61" t="s">
        <v>1664</v>
      </c>
      <c r="T94" s="56"/>
      <c r="U94" s="61" t="s">
        <v>1594</v>
      </c>
      <c r="V94" s="121" t="s">
        <v>1972</v>
      </c>
      <c r="W94" s="61" t="s">
        <v>1615</v>
      </c>
      <c r="X94" s="68">
        <v>0</v>
      </c>
      <c r="Y94" s="61" t="s">
        <v>139</v>
      </c>
      <c r="Z94" s="61" t="s">
        <v>115</v>
      </c>
      <c r="AA94" s="68">
        <v>0</v>
      </c>
      <c r="AB94" s="61">
        <v>0</v>
      </c>
      <c r="AC94" s="61">
        <v>0</v>
      </c>
      <c r="AD94" s="61">
        <v>0</v>
      </c>
      <c r="AE94" s="61">
        <v>0</v>
      </c>
      <c r="AF94" s="71">
        <f>IF(W94="SOPORTE_TELEFÓNICO",'BASE LIQUIDACION'!$B$10,IF(Y94="TIPO I",'BASE LIQUIDACION'!$C$3,IF(Y94="TIPO II",'BASE LIQUIDACION'!$C$4,IF(Y94="TIPO III",'BASE LIQUIDACION'!$C$5,'BASE LIQUIDACION'!$C$7))))</f>
        <v>37904.65408</v>
      </c>
      <c r="AG94" s="72">
        <f>IF(W94="SOPORTE_TELEFÓNICO",'BASE LIQUIDACION'!$B$10,(AB94*AF94+AC94*'BASE LIQUIDACION'!$B$12+AD94*'BASE LIQUIDACION'!$B$11+INCIDENTES!AE94*'BASE LIQUIDACION'!$B$13))</f>
        <v>37904.65408</v>
      </c>
    </row>
    <row r="95" spans="1:33" s="4" customFormat="1">
      <c r="A95" s="61" t="s">
        <v>399</v>
      </c>
      <c r="B95" s="56" t="str">
        <f>VLOOKUP(A95,'CENTRO DE COSTOS'!A:D,4,FALSE)</f>
        <v>MIGUEL JULIÁN HERNÁNDEZ GUARÍN</v>
      </c>
      <c r="C95" s="56" t="str">
        <f>VLOOKUP(A95,'CENTRO DE COSTOS'!A:D,2,FALSE)</f>
        <v>0004-0008</v>
      </c>
      <c r="D95" s="61">
        <v>15455</v>
      </c>
      <c r="E95" s="61">
        <v>2438435</v>
      </c>
      <c r="F95" s="61">
        <v>40145</v>
      </c>
      <c r="G95" s="56" t="s">
        <v>1586</v>
      </c>
      <c r="H95" s="61" t="s">
        <v>401</v>
      </c>
      <c r="I95" s="61" t="s">
        <v>790</v>
      </c>
      <c r="J95" s="61" t="s">
        <v>1973</v>
      </c>
      <c r="K95" s="56" t="s">
        <v>107</v>
      </c>
      <c r="L95" s="61" t="s">
        <v>1974</v>
      </c>
      <c r="M95" s="119">
        <v>45851.456250000003</v>
      </c>
      <c r="N95" s="119">
        <v>45852.441504629627</v>
      </c>
      <c r="O95" s="84" t="s">
        <v>1589</v>
      </c>
      <c r="P95" s="74" t="s">
        <v>1590</v>
      </c>
      <c r="Q95" s="74" t="s">
        <v>1591</v>
      </c>
      <c r="R95" s="74" t="s">
        <v>1592</v>
      </c>
      <c r="S95" s="61" t="s">
        <v>1593</v>
      </c>
      <c r="T95" s="56"/>
      <c r="U95" s="61" t="s">
        <v>1594</v>
      </c>
      <c r="V95" s="121" t="s">
        <v>1975</v>
      </c>
      <c r="W95" s="61" t="s">
        <v>1615</v>
      </c>
      <c r="X95" s="68">
        <v>0</v>
      </c>
      <c r="Y95" s="61" t="s">
        <v>128</v>
      </c>
      <c r="Z95" s="61" t="s">
        <v>115</v>
      </c>
      <c r="AA95" s="68" t="s">
        <v>1906</v>
      </c>
      <c r="AB95" s="61">
        <v>0</v>
      </c>
      <c r="AC95" s="61">
        <v>0</v>
      </c>
      <c r="AD95" s="61">
        <v>0</v>
      </c>
      <c r="AE95" s="61">
        <v>0</v>
      </c>
      <c r="AF95" s="71">
        <f>IF(W95="SOPORTE_TELEFÓNICO",'BASE LIQUIDACION'!$B$10,IF(Y95="TIPO I",'BASE LIQUIDACION'!$C$3,IF(Y95="TIPO II",'BASE LIQUIDACION'!$C$4,IF(Y95="TIPO III",'BASE LIQUIDACION'!$C$5,'BASE LIQUIDACION'!$C$7))))</f>
        <v>37904.65408</v>
      </c>
      <c r="AG95" s="72">
        <f>IF(W95="SOPORTE_TELEFÓNICO",'BASE LIQUIDACION'!$B$10,(AB95*AF95+AC95*'BASE LIQUIDACION'!$B$12+AD95*'BASE LIQUIDACION'!$B$11+INCIDENTES!AE95*'BASE LIQUIDACION'!$B$13))</f>
        <v>37904.65408</v>
      </c>
    </row>
    <row r="96" spans="1:33" s="4" customFormat="1">
      <c r="A96" s="61" t="s">
        <v>100</v>
      </c>
      <c r="B96" s="56" t="str">
        <f>VLOOKUP(A96,'CENTRO DE COSTOS'!A:D,4,FALSE)</f>
        <v>JUAN SEBASTIÁN RÍOS CASTRILLÓN</v>
      </c>
      <c r="C96" s="56" t="str">
        <f>VLOOKUP(A96,'CENTRO DE COSTOS'!A:D,2,FALSE)</f>
        <v>0004-0005</v>
      </c>
      <c r="D96" s="61">
        <v>5001</v>
      </c>
      <c r="E96" s="61">
        <v>2439287</v>
      </c>
      <c r="F96" s="61">
        <v>26420</v>
      </c>
      <c r="G96" s="56" t="s">
        <v>1586</v>
      </c>
      <c r="H96" s="61" t="s">
        <v>104</v>
      </c>
      <c r="I96" s="61" t="s">
        <v>100</v>
      </c>
      <c r="J96" s="61" t="s">
        <v>1976</v>
      </c>
      <c r="K96" s="56" t="s">
        <v>107</v>
      </c>
      <c r="L96" s="61" t="s">
        <v>1977</v>
      </c>
      <c r="M96" s="119">
        <v>45852.34652777778</v>
      </c>
      <c r="N96" s="119">
        <v>45852.46497685185</v>
      </c>
      <c r="O96" s="84" t="s">
        <v>1589</v>
      </c>
      <c r="P96" s="74" t="s">
        <v>1590</v>
      </c>
      <c r="Q96" s="74" t="s">
        <v>1591</v>
      </c>
      <c r="R96" s="74" t="s">
        <v>1592</v>
      </c>
      <c r="S96" s="61" t="s">
        <v>1593</v>
      </c>
      <c r="T96" s="56"/>
      <c r="U96" s="61" t="s">
        <v>1594</v>
      </c>
      <c r="V96" s="121" t="s">
        <v>1978</v>
      </c>
      <c r="W96" s="61" t="s">
        <v>1596</v>
      </c>
      <c r="X96" s="68" t="s">
        <v>1979</v>
      </c>
      <c r="Y96" s="61" t="s">
        <v>150</v>
      </c>
      <c r="Z96" s="61" t="s">
        <v>115</v>
      </c>
      <c r="AA96" s="68" t="s">
        <v>1611</v>
      </c>
      <c r="AB96" s="61">
        <v>1</v>
      </c>
      <c r="AC96" s="61">
        <v>0</v>
      </c>
      <c r="AD96" s="61">
        <v>0</v>
      </c>
      <c r="AE96" s="61">
        <v>0</v>
      </c>
      <c r="AF96" s="71">
        <f>IF(W96="SOPORTE_TELEFÓNICO",'BASE LIQUIDACION'!$B$10,IF(Y96="TIPO I",'BASE LIQUIDACION'!$C$3,IF(Y96="TIPO II",'BASE LIQUIDACION'!$C$4,IF(Y96="TIPO III",'BASE LIQUIDACION'!$C$5,'BASE LIQUIDACION'!$C$7))))</f>
        <v>65960.473639999997</v>
      </c>
      <c r="AG96" s="72">
        <f>IF(W96="SOPORTE_TELEFÓNICO",'BASE LIQUIDACION'!$B$10,(AB96*AF96+AC96*'BASE LIQUIDACION'!$B$12+AD96*'BASE LIQUIDACION'!$B$11+INCIDENTES!AE96*'BASE LIQUIDACION'!$B$13))</f>
        <v>65960.473639999997</v>
      </c>
    </row>
    <row r="97" spans="1:33" s="4" customFormat="1">
      <c r="A97" s="61" t="s">
        <v>222</v>
      </c>
      <c r="B97" s="56" t="str">
        <f>VLOOKUP(A97,'CENTRO DE COSTOS'!A:D,4,FALSE)</f>
        <v>MIGUEL JULIÁN HERNÁNDEZ GUARÍN</v>
      </c>
      <c r="C97" s="56" t="str">
        <f>VLOOKUP(A97,'CENTRO DE COSTOS'!A:D,2,FALSE)</f>
        <v>0004-0008</v>
      </c>
      <c r="D97" s="61">
        <v>54239</v>
      </c>
      <c r="E97" s="61">
        <v>2437257</v>
      </c>
      <c r="F97" s="61">
        <v>15003</v>
      </c>
      <c r="G97" s="56" t="s">
        <v>1586</v>
      </c>
      <c r="H97" s="61" t="s">
        <v>224</v>
      </c>
      <c r="I97" s="61" t="s">
        <v>1341</v>
      </c>
      <c r="J97" s="61" t="s">
        <v>1980</v>
      </c>
      <c r="K97" s="56" t="s">
        <v>107</v>
      </c>
      <c r="L97" s="61" t="s">
        <v>1981</v>
      </c>
      <c r="M97" s="119">
        <v>45850.367361111108</v>
      </c>
      <c r="N97" s="119">
        <v>45852.504826388889</v>
      </c>
      <c r="O97" s="84" t="s">
        <v>1589</v>
      </c>
      <c r="P97" s="74" t="s">
        <v>1590</v>
      </c>
      <c r="Q97" s="74" t="s">
        <v>1643</v>
      </c>
      <c r="R97" s="74" t="s">
        <v>1635</v>
      </c>
      <c r="S97" s="61" t="s">
        <v>1593</v>
      </c>
      <c r="T97" s="56"/>
      <c r="U97" s="61" t="s">
        <v>1594</v>
      </c>
      <c r="V97" s="121" t="s">
        <v>1982</v>
      </c>
      <c r="W97" s="61" t="s">
        <v>1596</v>
      </c>
      <c r="X97" s="68" t="s">
        <v>1983</v>
      </c>
      <c r="Y97" s="61" t="s">
        <v>139</v>
      </c>
      <c r="Z97" s="61" t="s">
        <v>115</v>
      </c>
      <c r="AA97" s="68" t="s">
        <v>1936</v>
      </c>
      <c r="AB97" s="61">
        <v>1</v>
      </c>
      <c r="AC97" s="61">
        <v>0</v>
      </c>
      <c r="AD97" s="61">
        <v>0</v>
      </c>
      <c r="AE97" s="61">
        <v>0</v>
      </c>
      <c r="AF97" s="71">
        <f>IF(W97="SOPORTE_TELEFÓNICO",'BASE LIQUIDACION'!$B$10,IF(Y97="TIPO I",'BASE LIQUIDACION'!$C$3,IF(Y97="TIPO II",'BASE LIQUIDACION'!$C$4,IF(Y97="TIPO III",'BASE LIQUIDACION'!$C$5,'BASE LIQUIDACION'!$C$7))))</f>
        <v>163813.55812</v>
      </c>
      <c r="AG97" s="72">
        <f>IF(W97="SOPORTE_TELEFÓNICO",'BASE LIQUIDACION'!$B$10,(AB97*AF97+AC97*'BASE LIQUIDACION'!$B$12+AD97*'BASE LIQUIDACION'!$B$11+INCIDENTES!AE97*'BASE LIQUIDACION'!$B$13))</f>
        <v>163813.55812</v>
      </c>
    </row>
    <row r="98" spans="1:33" s="4" customFormat="1">
      <c r="A98" s="61" t="s">
        <v>256</v>
      </c>
      <c r="B98" s="56" t="str">
        <f>VLOOKUP(A98,'CENTRO DE COSTOS'!A:D,4,FALSE)</f>
        <v>MIGUEL JULIÁN HERNÁNDEZ GUARÍN</v>
      </c>
      <c r="C98" s="56" t="str">
        <f>VLOOKUP(A98,'CENTRO DE COSTOS'!A:D,2,FALSE)</f>
        <v>0004-0008</v>
      </c>
      <c r="D98" s="61">
        <v>68001</v>
      </c>
      <c r="E98" s="61">
        <v>2438080</v>
      </c>
      <c r="F98" s="61">
        <v>79985</v>
      </c>
      <c r="G98" s="56" t="s">
        <v>1586</v>
      </c>
      <c r="H98" s="61" t="s">
        <v>258</v>
      </c>
      <c r="I98" s="61" t="s">
        <v>256</v>
      </c>
      <c r="J98" s="61" t="s">
        <v>1984</v>
      </c>
      <c r="K98" s="56" t="s">
        <v>107</v>
      </c>
      <c r="L98" s="61" t="s">
        <v>1985</v>
      </c>
      <c r="M98" s="119">
        <v>45851.333333333336</v>
      </c>
      <c r="N98" s="119">
        <v>45852.506226851852</v>
      </c>
      <c r="O98" s="84" t="s">
        <v>1589</v>
      </c>
      <c r="P98" s="74" t="s">
        <v>1590</v>
      </c>
      <c r="Q98" s="74" t="s">
        <v>1643</v>
      </c>
      <c r="R98" s="74" t="s">
        <v>1644</v>
      </c>
      <c r="S98" s="61" t="s">
        <v>1593</v>
      </c>
      <c r="T98" s="56"/>
      <c r="U98" s="61" t="s">
        <v>1594</v>
      </c>
      <c r="V98" s="121" t="s">
        <v>1986</v>
      </c>
      <c r="W98" s="61" t="s">
        <v>1596</v>
      </c>
      <c r="X98" s="68" t="s">
        <v>1987</v>
      </c>
      <c r="Y98" s="61" t="s">
        <v>150</v>
      </c>
      <c r="Z98" s="61" t="s">
        <v>115</v>
      </c>
      <c r="AA98" s="68" t="s">
        <v>550</v>
      </c>
      <c r="AB98" s="61">
        <v>2</v>
      </c>
      <c r="AC98" s="61">
        <v>0</v>
      </c>
      <c r="AD98" s="61">
        <v>0</v>
      </c>
      <c r="AE98" s="61">
        <v>0</v>
      </c>
      <c r="AF98" s="71">
        <f>IF(W98="SOPORTE_TELEFÓNICO",'BASE LIQUIDACION'!$B$10,IF(Y98="TIPO I",'BASE LIQUIDACION'!$C$3,IF(Y98="TIPO II",'BASE LIQUIDACION'!$C$4,IF(Y98="TIPO III",'BASE LIQUIDACION'!$C$5,'BASE LIQUIDACION'!$C$7))))</f>
        <v>65960.473639999997</v>
      </c>
      <c r="AG98" s="72">
        <f>IF(W98="SOPORTE_TELEFÓNICO",'BASE LIQUIDACION'!$B$10,(AB98*AF98+AC98*'BASE LIQUIDACION'!$B$12+AD98*'BASE LIQUIDACION'!$B$11+INCIDENTES!AE98*'BASE LIQUIDACION'!$B$13))</f>
        <v>131920.94727999999</v>
      </c>
    </row>
    <row r="99" spans="1:33" s="4" customFormat="1">
      <c r="A99" s="61" t="s">
        <v>256</v>
      </c>
      <c r="B99" s="56" t="str">
        <f>VLOOKUP(A99,'CENTRO DE COSTOS'!A:D,4,FALSE)</f>
        <v>MIGUEL JULIÁN HERNÁNDEZ GUARÍN</v>
      </c>
      <c r="C99" s="56" t="str">
        <f>VLOOKUP(A99,'CENTRO DE COSTOS'!A:D,2,FALSE)</f>
        <v>0004-0008</v>
      </c>
      <c r="D99" s="61">
        <v>68001</v>
      </c>
      <c r="E99" s="61">
        <v>2438655</v>
      </c>
      <c r="F99" s="61">
        <v>38830</v>
      </c>
      <c r="G99" s="56" t="s">
        <v>1586</v>
      </c>
      <c r="H99" s="61" t="s">
        <v>258</v>
      </c>
      <c r="I99" s="61" t="s">
        <v>256</v>
      </c>
      <c r="J99" s="61" t="s">
        <v>1988</v>
      </c>
      <c r="K99" s="56" t="s">
        <v>107</v>
      </c>
      <c r="L99" s="61" t="s">
        <v>1989</v>
      </c>
      <c r="M99" s="119">
        <v>45851.706944444442</v>
      </c>
      <c r="N99" s="119">
        <v>45852.659722222219</v>
      </c>
      <c r="O99" s="84" t="s">
        <v>1589</v>
      </c>
      <c r="P99" s="74" t="s">
        <v>1590</v>
      </c>
      <c r="Q99" s="74" t="s">
        <v>1634</v>
      </c>
      <c r="R99" s="74" t="s">
        <v>1635</v>
      </c>
      <c r="S99" s="61" t="s">
        <v>124</v>
      </c>
      <c r="T99" s="56"/>
      <c r="U99" s="61" t="s">
        <v>1594</v>
      </c>
      <c r="V99" s="121" t="s">
        <v>1990</v>
      </c>
      <c r="W99" s="61" t="s">
        <v>1615</v>
      </c>
      <c r="X99" s="68">
        <v>0</v>
      </c>
      <c r="Y99" s="61" t="s">
        <v>150</v>
      </c>
      <c r="Z99" s="61" t="s">
        <v>115</v>
      </c>
      <c r="AA99" s="68" t="s">
        <v>263</v>
      </c>
      <c r="AB99" s="61">
        <v>0</v>
      </c>
      <c r="AC99" s="61">
        <v>0</v>
      </c>
      <c r="AD99" s="61">
        <v>0</v>
      </c>
      <c r="AE99" s="61">
        <v>0</v>
      </c>
      <c r="AF99" s="71">
        <f>IF(W99="SOPORTE_TELEFÓNICO",'BASE LIQUIDACION'!$B$10,IF(Y99="TIPO I",'BASE LIQUIDACION'!$C$3,IF(Y99="TIPO II",'BASE LIQUIDACION'!$C$4,IF(Y99="TIPO III",'BASE LIQUIDACION'!$C$5,'BASE LIQUIDACION'!$C$7))))</f>
        <v>37904.65408</v>
      </c>
      <c r="AG99" s="72">
        <f>IF(W99="SOPORTE_TELEFÓNICO",'BASE LIQUIDACION'!$B$10,(AB99*AF99+AC99*'BASE LIQUIDACION'!$B$12+AD99*'BASE LIQUIDACION'!$B$11+INCIDENTES!AE99*'BASE LIQUIDACION'!$B$13))</f>
        <v>37904.65408</v>
      </c>
    </row>
    <row r="100" spans="1:33" s="4" customFormat="1">
      <c r="A100" s="61" t="s">
        <v>316</v>
      </c>
      <c r="B100" s="56" t="str">
        <f>VLOOKUP(A100,'CENTRO DE COSTOS'!A:D,4,FALSE)</f>
        <v>JUAN SEBASTIÁN RÍOS CASTRILLÓN</v>
      </c>
      <c r="C100" s="56" t="str">
        <f>VLOOKUP(A100,'CENTRO DE COSTOS'!A:D,2,FALSE)</f>
        <v>0004-0005</v>
      </c>
      <c r="D100" s="61">
        <v>27800</v>
      </c>
      <c r="E100" s="61">
        <v>2437955</v>
      </c>
      <c r="F100" s="61">
        <v>44457</v>
      </c>
      <c r="G100" s="56" t="s">
        <v>1586</v>
      </c>
      <c r="H100" s="61" t="s">
        <v>1012</v>
      </c>
      <c r="I100" s="61" t="s">
        <v>1042</v>
      </c>
      <c r="J100" s="61" t="s">
        <v>1991</v>
      </c>
      <c r="K100" s="56" t="s">
        <v>107</v>
      </c>
      <c r="L100" s="61" t="s">
        <v>1992</v>
      </c>
      <c r="M100" s="119">
        <v>45851.333333333336</v>
      </c>
      <c r="N100" s="119">
        <v>45852.685902777775</v>
      </c>
      <c r="O100" s="84" t="s">
        <v>1589</v>
      </c>
      <c r="P100" s="74" t="s">
        <v>1590</v>
      </c>
      <c r="Q100" s="74" t="s">
        <v>1591</v>
      </c>
      <c r="R100" s="74" t="s">
        <v>1592</v>
      </c>
      <c r="S100" s="61" t="s">
        <v>124</v>
      </c>
      <c r="T100" s="56"/>
      <c r="U100" s="61" t="s">
        <v>1594</v>
      </c>
      <c r="V100" s="121" t="s">
        <v>1993</v>
      </c>
      <c r="W100" s="61" t="s">
        <v>1615</v>
      </c>
      <c r="X100" s="68">
        <v>0</v>
      </c>
      <c r="Y100" s="61" t="s">
        <v>584</v>
      </c>
      <c r="Z100" s="61" t="s">
        <v>671</v>
      </c>
      <c r="AA100" s="68" t="s">
        <v>1721</v>
      </c>
      <c r="AB100" s="61">
        <v>0</v>
      </c>
      <c r="AC100" s="61">
        <v>0</v>
      </c>
      <c r="AD100" s="61">
        <v>0</v>
      </c>
      <c r="AE100" s="61">
        <v>0</v>
      </c>
      <c r="AF100" s="71">
        <f>IF(W100="SOPORTE_TELEFÓNICO",'BASE LIQUIDACION'!$B$10,IF(Y100="TIPO I",'BASE LIQUIDACION'!$C$3,IF(Y100="TIPO II",'BASE LIQUIDACION'!$C$4,IF(Y100="TIPO III",'BASE LIQUIDACION'!$C$5,'BASE LIQUIDACION'!$C$7))))</f>
        <v>37904.65408</v>
      </c>
      <c r="AG100" s="72">
        <f>IF(W100="SOPORTE_TELEFÓNICO",'BASE LIQUIDACION'!$B$10,(AB100*AF100+AC100*'BASE LIQUIDACION'!$B$12+AD100*'BASE LIQUIDACION'!$B$11+INCIDENTES!AE100*'BASE LIQUIDACION'!$B$13))</f>
        <v>37904.65408</v>
      </c>
    </row>
    <row r="101" spans="1:33" s="4" customFormat="1">
      <c r="A101" s="61" t="s">
        <v>975</v>
      </c>
      <c r="B101" s="56" t="str">
        <f>VLOOKUP(A101,'CENTRO DE COSTOS'!A:D,4,FALSE)</f>
        <v>DIEGO FERNANDO HENAO CARDONA</v>
      </c>
      <c r="C101" s="56" t="str">
        <f>VLOOKUP(A101,'CENTRO DE COSTOS'!A:D,2,FALSE)</f>
        <v>0004-0003</v>
      </c>
      <c r="D101" s="61">
        <v>52621</v>
      </c>
      <c r="E101" s="61">
        <v>2418257</v>
      </c>
      <c r="F101" s="61">
        <v>60203</v>
      </c>
      <c r="G101" s="56" t="s">
        <v>1586</v>
      </c>
      <c r="H101" s="61" t="s">
        <v>607</v>
      </c>
      <c r="I101" s="61" t="s">
        <v>1318</v>
      </c>
      <c r="J101" s="61" t="s">
        <v>1994</v>
      </c>
      <c r="K101" s="56" t="s">
        <v>107</v>
      </c>
      <c r="L101" s="61" t="s">
        <v>1995</v>
      </c>
      <c r="M101" s="119">
        <v>45847.390972222223</v>
      </c>
      <c r="N101" s="119">
        <v>45852.763229166667</v>
      </c>
      <c r="O101" s="84" t="s">
        <v>1589</v>
      </c>
      <c r="P101" s="74" t="s">
        <v>1590</v>
      </c>
      <c r="Q101" s="74" t="s">
        <v>1650</v>
      </c>
      <c r="R101" s="74" t="s">
        <v>1651</v>
      </c>
      <c r="S101" s="61" t="s">
        <v>1593</v>
      </c>
      <c r="T101" s="56"/>
      <c r="U101" s="61" t="s">
        <v>1594</v>
      </c>
      <c r="V101" s="121" t="s">
        <v>1996</v>
      </c>
      <c r="W101" s="61" t="s">
        <v>1615</v>
      </c>
      <c r="X101" s="68">
        <v>0</v>
      </c>
      <c r="Y101" s="61" t="s">
        <v>584</v>
      </c>
      <c r="Z101" s="61" t="s">
        <v>671</v>
      </c>
      <c r="AA101" s="68" t="s">
        <v>1997</v>
      </c>
      <c r="AB101" s="61">
        <v>0</v>
      </c>
      <c r="AC101" s="61">
        <v>0</v>
      </c>
      <c r="AD101" s="61">
        <v>0</v>
      </c>
      <c r="AE101" s="61">
        <v>0</v>
      </c>
      <c r="AF101" s="71">
        <f>IF(W101="SOPORTE_TELEFÓNICO",'BASE LIQUIDACION'!$B$10,IF(Y101="TIPO I",'BASE LIQUIDACION'!$C$3,IF(Y101="TIPO II",'BASE LIQUIDACION'!$C$4,IF(Y101="TIPO III",'BASE LIQUIDACION'!$C$5,'BASE LIQUIDACION'!$C$7))))</f>
        <v>37904.65408</v>
      </c>
      <c r="AG101" s="72">
        <f>IF(W101="SOPORTE_TELEFÓNICO",'BASE LIQUIDACION'!$B$10,(AB101*AF101+AC101*'BASE LIQUIDACION'!$B$12+AD101*'BASE LIQUIDACION'!$B$11+INCIDENTES!AE101*'BASE LIQUIDACION'!$B$13))</f>
        <v>37904.65408</v>
      </c>
    </row>
    <row r="102" spans="1:33" s="4" customFormat="1">
      <c r="A102" s="61" t="s">
        <v>100</v>
      </c>
      <c r="B102" s="56" t="str">
        <f>VLOOKUP(A102,'CENTRO DE COSTOS'!A:D,4,FALSE)</f>
        <v>JUAN SEBASTIÁN RÍOS CASTRILLÓN</v>
      </c>
      <c r="C102" s="56" t="str">
        <f>VLOOKUP(A102,'CENTRO DE COSTOS'!A:D,2,FALSE)</f>
        <v>0004-0005</v>
      </c>
      <c r="D102" s="61">
        <v>5789</v>
      </c>
      <c r="E102" s="61">
        <v>2438417</v>
      </c>
      <c r="F102" s="61">
        <v>31283</v>
      </c>
      <c r="G102" s="56" t="s">
        <v>1586</v>
      </c>
      <c r="H102" s="61" t="s">
        <v>104</v>
      </c>
      <c r="I102" s="61" t="s">
        <v>700</v>
      </c>
      <c r="J102" s="61" t="s">
        <v>1998</v>
      </c>
      <c r="K102" s="56" t="s">
        <v>107</v>
      </c>
      <c r="L102" s="61" t="s">
        <v>1999</v>
      </c>
      <c r="M102" s="119">
        <v>45851.393761574072</v>
      </c>
      <c r="N102" s="119">
        <v>45853.352719907409</v>
      </c>
      <c r="O102" s="84" t="s">
        <v>1589</v>
      </c>
      <c r="P102" s="74" t="s">
        <v>1590</v>
      </c>
      <c r="Q102" s="74" t="s">
        <v>1643</v>
      </c>
      <c r="R102" s="74" t="s">
        <v>1644</v>
      </c>
      <c r="S102" s="61" t="s">
        <v>1593</v>
      </c>
      <c r="T102" s="56"/>
      <c r="U102" s="61" t="s">
        <v>1594</v>
      </c>
      <c r="V102" s="121" t="s">
        <v>2000</v>
      </c>
      <c r="W102" s="61" t="s">
        <v>1615</v>
      </c>
      <c r="X102" s="68">
        <v>0</v>
      </c>
      <c r="Y102" s="61" t="s">
        <v>114</v>
      </c>
      <c r="Z102" s="61" t="s">
        <v>115</v>
      </c>
      <c r="AA102" s="68" t="s">
        <v>1700</v>
      </c>
      <c r="AB102" s="61">
        <v>0</v>
      </c>
      <c r="AC102" s="61">
        <v>0</v>
      </c>
      <c r="AD102" s="61">
        <v>0</v>
      </c>
      <c r="AE102" s="61">
        <v>0</v>
      </c>
      <c r="AF102" s="71">
        <f>IF(W102="SOPORTE_TELEFÓNICO",'BASE LIQUIDACION'!$B$10,IF(Y102="TIPO I",'BASE LIQUIDACION'!$C$3,IF(Y102="TIPO II",'BASE LIQUIDACION'!$C$4,IF(Y102="TIPO III",'BASE LIQUIDACION'!$C$5,'BASE LIQUIDACION'!$C$7))))</f>
        <v>37904.65408</v>
      </c>
      <c r="AG102" s="72">
        <f>IF(W102="SOPORTE_TELEFÓNICO",'BASE LIQUIDACION'!$B$10,(AB102*AF102+AC102*'BASE LIQUIDACION'!$B$12+AD102*'BASE LIQUIDACION'!$B$11+INCIDENTES!AE102*'BASE LIQUIDACION'!$B$13))</f>
        <v>37904.65408</v>
      </c>
    </row>
    <row r="103" spans="1:33" s="4" customFormat="1">
      <c r="A103" s="61" t="s">
        <v>975</v>
      </c>
      <c r="B103" s="56" t="str">
        <f>VLOOKUP(A103,'CENTRO DE COSTOS'!A:D,4,FALSE)</f>
        <v>DIEGO FERNANDO HENAO CARDONA</v>
      </c>
      <c r="C103" s="56" t="str">
        <f>VLOOKUP(A103,'CENTRO DE COSTOS'!A:D,2,FALSE)</f>
        <v>0004-0003</v>
      </c>
      <c r="D103" s="61">
        <v>52083</v>
      </c>
      <c r="E103" s="61">
        <v>2440034</v>
      </c>
      <c r="F103" s="61">
        <v>10193</v>
      </c>
      <c r="G103" s="56" t="s">
        <v>1586</v>
      </c>
      <c r="H103" s="61" t="s">
        <v>607</v>
      </c>
      <c r="I103" s="61" t="s">
        <v>787</v>
      </c>
      <c r="J103" s="61" t="s">
        <v>2001</v>
      </c>
      <c r="K103" s="56" t="s">
        <v>107</v>
      </c>
      <c r="L103" s="61" t="s">
        <v>2002</v>
      </c>
      <c r="M103" s="119">
        <v>45852.377083333333</v>
      </c>
      <c r="N103" s="119">
        <v>45853.406064814815</v>
      </c>
      <c r="O103" s="84" t="s">
        <v>1589</v>
      </c>
      <c r="P103" s="74" t="s">
        <v>1590</v>
      </c>
      <c r="Q103" s="74" t="s">
        <v>1696</v>
      </c>
      <c r="R103" s="74" t="s">
        <v>1697</v>
      </c>
      <c r="S103" s="61" t="s">
        <v>1593</v>
      </c>
      <c r="T103" s="56"/>
      <c r="U103" s="61" t="s">
        <v>1594</v>
      </c>
      <c r="V103" s="121" t="s">
        <v>2003</v>
      </c>
      <c r="W103" s="61" t="s">
        <v>1615</v>
      </c>
      <c r="X103" s="68">
        <v>0</v>
      </c>
      <c r="Y103" s="61" t="s">
        <v>114</v>
      </c>
      <c r="Z103" s="61" t="s">
        <v>115</v>
      </c>
      <c r="AA103" s="68" t="s">
        <v>1997</v>
      </c>
      <c r="AB103" s="61">
        <v>0</v>
      </c>
      <c r="AC103" s="61">
        <v>0</v>
      </c>
      <c r="AD103" s="61">
        <v>0</v>
      </c>
      <c r="AE103" s="61">
        <v>0</v>
      </c>
      <c r="AF103" s="71">
        <f>IF(W103="SOPORTE_TELEFÓNICO",'BASE LIQUIDACION'!$B$10,IF(Y103="TIPO I",'BASE LIQUIDACION'!$C$3,IF(Y103="TIPO II",'BASE LIQUIDACION'!$C$4,IF(Y103="TIPO III",'BASE LIQUIDACION'!$C$5,'BASE LIQUIDACION'!$C$7))))</f>
        <v>37904.65408</v>
      </c>
      <c r="AG103" s="72">
        <f>IF(W103="SOPORTE_TELEFÓNICO",'BASE LIQUIDACION'!$B$10,(AB103*AF103+AC103*'BASE LIQUIDACION'!$B$12+AD103*'BASE LIQUIDACION'!$B$11+INCIDENTES!AE103*'BASE LIQUIDACION'!$B$13))</f>
        <v>37904.65408</v>
      </c>
    </row>
    <row r="104" spans="1:33" s="4" customFormat="1">
      <c r="A104" s="61" t="s">
        <v>222</v>
      </c>
      <c r="B104" s="56" t="str">
        <f>VLOOKUP(A104,'CENTRO DE COSTOS'!A:D,4,FALSE)</f>
        <v>MIGUEL JULIÁN HERNÁNDEZ GUARÍN</v>
      </c>
      <c r="C104" s="56" t="str">
        <f>VLOOKUP(A104,'CENTRO DE COSTOS'!A:D,2,FALSE)</f>
        <v>0004-0008</v>
      </c>
      <c r="D104" s="61">
        <v>54001</v>
      </c>
      <c r="E104" s="61">
        <v>2449048</v>
      </c>
      <c r="F104" s="61">
        <v>47306</v>
      </c>
      <c r="G104" s="56" t="s">
        <v>1586</v>
      </c>
      <c r="H104" s="61" t="s">
        <v>224</v>
      </c>
      <c r="I104" s="61" t="s">
        <v>222</v>
      </c>
      <c r="J104" s="61" t="s">
        <v>2004</v>
      </c>
      <c r="K104" s="56" t="s">
        <v>107</v>
      </c>
      <c r="L104" s="61" t="s">
        <v>2005</v>
      </c>
      <c r="M104" s="119">
        <v>45853.481944444444</v>
      </c>
      <c r="N104" s="119">
        <v>45853.582812499997</v>
      </c>
      <c r="O104" s="84" t="s">
        <v>1589</v>
      </c>
      <c r="P104" s="74" t="s">
        <v>1590</v>
      </c>
      <c r="Q104" s="74" t="s">
        <v>1643</v>
      </c>
      <c r="R104" s="74" t="s">
        <v>1644</v>
      </c>
      <c r="S104" s="61" t="s">
        <v>1593</v>
      </c>
      <c r="T104" s="56"/>
      <c r="U104" s="61" t="s">
        <v>1594</v>
      </c>
      <c r="V104" s="121" t="s">
        <v>2006</v>
      </c>
      <c r="W104" s="61" t="s">
        <v>1615</v>
      </c>
      <c r="X104" s="68">
        <v>0</v>
      </c>
      <c r="Y104" s="61" t="s">
        <v>150</v>
      </c>
      <c r="Z104" s="61" t="s">
        <v>115</v>
      </c>
      <c r="AA104" s="68" t="s">
        <v>229</v>
      </c>
      <c r="AB104" s="61">
        <v>0</v>
      </c>
      <c r="AC104" s="61">
        <v>0</v>
      </c>
      <c r="AD104" s="61">
        <v>0</v>
      </c>
      <c r="AE104" s="61">
        <v>0</v>
      </c>
      <c r="AF104" s="71">
        <f>IF(W104="SOPORTE_TELEFÓNICO",'BASE LIQUIDACION'!$B$10,IF(Y104="TIPO I",'BASE LIQUIDACION'!$C$3,IF(Y104="TIPO II",'BASE LIQUIDACION'!$C$4,IF(Y104="TIPO III",'BASE LIQUIDACION'!$C$5,'BASE LIQUIDACION'!$C$7))))</f>
        <v>37904.65408</v>
      </c>
      <c r="AG104" s="72">
        <f>IF(W104="SOPORTE_TELEFÓNICO",'BASE LIQUIDACION'!$B$10,(AB104*AF104+AC104*'BASE LIQUIDACION'!$B$12+AD104*'BASE LIQUIDACION'!$B$11+INCIDENTES!AE104*'BASE LIQUIDACION'!$B$13))</f>
        <v>37904.65408</v>
      </c>
    </row>
    <row r="105" spans="1:33" s="4" customFormat="1">
      <c r="A105" s="61" t="s">
        <v>170</v>
      </c>
      <c r="B105" s="56" t="str">
        <f>VLOOKUP(A105,'CENTRO DE COSTOS'!A:D,4,FALSE)</f>
        <v>WILLIAM ASDRUBAL ROZO ROZO</v>
      </c>
      <c r="C105" s="56" t="str">
        <f>VLOOKUP(A105,'CENTRO DE COSTOS'!A:D,2,FALSE)</f>
        <v>0004-0004</v>
      </c>
      <c r="D105" s="61">
        <v>25307</v>
      </c>
      <c r="E105" s="61">
        <v>2450283</v>
      </c>
      <c r="F105" s="61">
        <v>30137</v>
      </c>
      <c r="G105" s="56" t="s">
        <v>1586</v>
      </c>
      <c r="H105" s="61" t="s">
        <v>172</v>
      </c>
      <c r="I105" s="61" t="s">
        <v>1106</v>
      </c>
      <c r="J105" s="61" t="s">
        <v>2007</v>
      </c>
      <c r="K105" s="56" t="s">
        <v>107</v>
      </c>
      <c r="L105" s="61" t="s">
        <v>2008</v>
      </c>
      <c r="M105" s="119">
        <v>45853.62222222222</v>
      </c>
      <c r="N105" s="119">
        <v>45853.630277777775</v>
      </c>
      <c r="O105" s="84" t="s">
        <v>1589</v>
      </c>
      <c r="P105" s="74" t="s">
        <v>1590</v>
      </c>
      <c r="Q105" s="74" t="s">
        <v>1591</v>
      </c>
      <c r="R105" s="74" t="s">
        <v>1592</v>
      </c>
      <c r="S105" s="61" t="s">
        <v>1664</v>
      </c>
      <c r="T105" s="56"/>
      <c r="U105" s="61" t="s">
        <v>1594</v>
      </c>
      <c r="V105" s="121" t="s">
        <v>1972</v>
      </c>
      <c r="W105" s="61" t="s">
        <v>1615</v>
      </c>
      <c r="X105" s="68">
        <v>0</v>
      </c>
      <c r="Y105" s="61" t="s">
        <v>114</v>
      </c>
      <c r="Z105" s="61" t="s">
        <v>115</v>
      </c>
      <c r="AA105" s="68">
        <v>0</v>
      </c>
      <c r="AB105" s="61">
        <v>0</v>
      </c>
      <c r="AC105" s="61">
        <v>0</v>
      </c>
      <c r="AD105" s="61">
        <v>0</v>
      </c>
      <c r="AE105" s="61">
        <v>0</v>
      </c>
      <c r="AF105" s="71">
        <f>IF(W105="SOPORTE_TELEFÓNICO",'BASE LIQUIDACION'!$B$10,IF(Y105="TIPO I",'BASE LIQUIDACION'!$C$3,IF(Y105="TIPO II",'BASE LIQUIDACION'!$C$4,IF(Y105="TIPO III",'BASE LIQUIDACION'!$C$5,'BASE LIQUIDACION'!$C$7))))</f>
        <v>37904.65408</v>
      </c>
      <c r="AG105" s="72">
        <f>IF(W105="SOPORTE_TELEFÓNICO",'BASE LIQUIDACION'!$B$10,(AB105*AF105+AC105*'BASE LIQUIDACION'!$B$12+AD105*'BASE LIQUIDACION'!$B$11+INCIDENTES!AE105*'BASE LIQUIDACION'!$B$13))</f>
        <v>37904.65408</v>
      </c>
    </row>
    <row r="106" spans="1:33" s="4" customFormat="1">
      <c r="A106" s="61" t="s">
        <v>100</v>
      </c>
      <c r="B106" s="56" t="str">
        <f>VLOOKUP(A106,'CENTRO DE COSTOS'!A:D,4,FALSE)</f>
        <v>JUAN SEBASTIÁN RÍOS CASTRILLÓN</v>
      </c>
      <c r="C106" s="56" t="str">
        <f>VLOOKUP(A106,'CENTRO DE COSTOS'!A:D,2,FALSE)</f>
        <v>0004-0005</v>
      </c>
      <c r="D106" s="61">
        <v>5001</v>
      </c>
      <c r="E106" s="61">
        <v>2449052</v>
      </c>
      <c r="F106" s="61">
        <v>38429</v>
      </c>
      <c r="G106" s="56" t="s">
        <v>1586</v>
      </c>
      <c r="H106" s="61" t="s">
        <v>104</v>
      </c>
      <c r="I106" s="61" t="s">
        <v>100</v>
      </c>
      <c r="J106" s="61" t="s">
        <v>2009</v>
      </c>
      <c r="K106" s="56" t="s">
        <v>107</v>
      </c>
      <c r="L106" s="61" t="s">
        <v>2010</v>
      </c>
      <c r="M106" s="119">
        <v>45853.48333333333</v>
      </c>
      <c r="N106" s="119">
        <v>45854.452893518515</v>
      </c>
      <c r="O106" s="84" t="s">
        <v>1589</v>
      </c>
      <c r="P106" s="74" t="s">
        <v>1590</v>
      </c>
      <c r="Q106" s="74" t="s">
        <v>1591</v>
      </c>
      <c r="R106" s="74" t="s">
        <v>1592</v>
      </c>
      <c r="S106" s="61" t="s">
        <v>1593</v>
      </c>
      <c r="T106" s="56"/>
      <c r="U106" s="61" t="s">
        <v>1594</v>
      </c>
      <c r="V106" s="121" t="s">
        <v>2011</v>
      </c>
      <c r="W106" s="61" t="s">
        <v>1615</v>
      </c>
      <c r="X106" s="68">
        <v>0</v>
      </c>
      <c r="Y106" s="61" t="s">
        <v>150</v>
      </c>
      <c r="Z106" s="61" t="s">
        <v>115</v>
      </c>
      <c r="AA106" s="68" t="s">
        <v>221</v>
      </c>
      <c r="AB106" s="61">
        <v>0</v>
      </c>
      <c r="AC106" s="61">
        <v>0</v>
      </c>
      <c r="AD106" s="61">
        <v>0</v>
      </c>
      <c r="AE106" s="61">
        <v>0</v>
      </c>
      <c r="AF106" s="71">
        <f>IF(W106="SOPORTE_TELEFÓNICO",'BASE LIQUIDACION'!$B$10,IF(Y106="TIPO I",'BASE LIQUIDACION'!$C$3,IF(Y106="TIPO II",'BASE LIQUIDACION'!$C$4,IF(Y106="TIPO III",'BASE LIQUIDACION'!$C$5,'BASE LIQUIDACION'!$C$7))))</f>
        <v>37904.65408</v>
      </c>
      <c r="AG106" s="72">
        <f>IF(W106="SOPORTE_TELEFÓNICO",'BASE LIQUIDACION'!$B$10,(AB106*AF106+AC106*'BASE LIQUIDACION'!$B$12+AD106*'BASE LIQUIDACION'!$B$11+INCIDENTES!AE106*'BASE LIQUIDACION'!$B$13))</f>
        <v>37904.65408</v>
      </c>
    </row>
    <row r="107" spans="1:33" s="4" customFormat="1">
      <c r="A107" s="61" t="s">
        <v>256</v>
      </c>
      <c r="B107" s="56" t="str">
        <f>VLOOKUP(A107,'CENTRO DE COSTOS'!A:D,4,FALSE)</f>
        <v>MIGUEL JULIÁN HERNÁNDEZ GUARÍN</v>
      </c>
      <c r="C107" s="56" t="str">
        <f>VLOOKUP(A107,'CENTRO DE COSTOS'!A:D,2,FALSE)</f>
        <v>0004-0008</v>
      </c>
      <c r="D107" s="61">
        <v>68001</v>
      </c>
      <c r="E107" s="61">
        <v>2451492</v>
      </c>
      <c r="F107" s="61">
        <v>79935</v>
      </c>
      <c r="G107" s="56" t="s">
        <v>1586</v>
      </c>
      <c r="H107" s="61" t="s">
        <v>258</v>
      </c>
      <c r="I107" s="61" t="s">
        <v>256</v>
      </c>
      <c r="J107" s="61" t="s">
        <v>2012</v>
      </c>
      <c r="K107" s="56" t="s">
        <v>107</v>
      </c>
      <c r="L107" s="61" t="s">
        <v>2013</v>
      </c>
      <c r="M107" s="119">
        <v>45853.70416666667</v>
      </c>
      <c r="N107" s="119">
        <v>45854.456562500003</v>
      </c>
      <c r="O107" s="84" t="s">
        <v>1589</v>
      </c>
      <c r="P107" s="74" t="s">
        <v>1590</v>
      </c>
      <c r="Q107" s="74" t="s">
        <v>1643</v>
      </c>
      <c r="R107" s="74" t="s">
        <v>1644</v>
      </c>
      <c r="S107" s="61" t="s">
        <v>1593</v>
      </c>
      <c r="T107" s="56"/>
      <c r="U107" s="61" t="s">
        <v>1594</v>
      </c>
      <c r="V107" s="121" t="s">
        <v>2014</v>
      </c>
      <c r="W107" s="61" t="s">
        <v>1596</v>
      </c>
      <c r="X107" s="68" t="s">
        <v>2015</v>
      </c>
      <c r="Y107" s="61" t="s">
        <v>150</v>
      </c>
      <c r="Z107" s="61" t="s">
        <v>115</v>
      </c>
      <c r="AA107" s="68" t="s">
        <v>263</v>
      </c>
      <c r="AB107" s="61">
        <v>1</v>
      </c>
      <c r="AC107" s="61">
        <v>0</v>
      </c>
      <c r="AD107" s="61">
        <v>0</v>
      </c>
      <c r="AE107" s="61">
        <v>0</v>
      </c>
      <c r="AF107" s="71">
        <f>IF(W107="SOPORTE_TELEFÓNICO",'BASE LIQUIDACION'!$B$10,IF(Y107="TIPO I",'BASE LIQUIDACION'!$C$3,IF(Y107="TIPO II",'BASE LIQUIDACION'!$C$4,IF(Y107="TIPO III",'BASE LIQUIDACION'!$C$5,'BASE LIQUIDACION'!$C$7))))</f>
        <v>65960.473639999997</v>
      </c>
      <c r="AG107" s="72">
        <f>IF(W107="SOPORTE_TELEFÓNICO",'BASE LIQUIDACION'!$B$10,(AB107*AF107+AC107*'BASE LIQUIDACION'!$B$12+AD107*'BASE LIQUIDACION'!$B$11+INCIDENTES!AE107*'BASE LIQUIDACION'!$B$13))</f>
        <v>65960.473639999997</v>
      </c>
    </row>
    <row r="108" spans="1:33" s="4" customFormat="1">
      <c r="A108" s="61" t="s">
        <v>100</v>
      </c>
      <c r="B108" s="56" t="str">
        <f>VLOOKUP(A108,'CENTRO DE COSTOS'!A:D,4,FALSE)</f>
        <v>JUAN SEBASTIÁN RÍOS CASTRILLÓN</v>
      </c>
      <c r="C108" s="56" t="str">
        <f>VLOOKUP(A108,'CENTRO DE COSTOS'!A:D,2,FALSE)</f>
        <v>0004-0005</v>
      </c>
      <c r="D108" s="61">
        <v>5001</v>
      </c>
      <c r="E108" s="61">
        <v>2452126</v>
      </c>
      <c r="F108" s="61">
        <v>28838</v>
      </c>
      <c r="G108" s="56" t="s">
        <v>1586</v>
      </c>
      <c r="H108" s="61" t="s">
        <v>104</v>
      </c>
      <c r="I108" s="61" t="s">
        <v>100</v>
      </c>
      <c r="J108" s="61" t="s">
        <v>2016</v>
      </c>
      <c r="K108" s="56" t="s">
        <v>107</v>
      </c>
      <c r="L108" s="61" t="s">
        <v>2017</v>
      </c>
      <c r="M108" s="119">
        <v>45854.333333333336</v>
      </c>
      <c r="N108" s="119">
        <v>45854.467824074076</v>
      </c>
      <c r="O108" s="84" t="s">
        <v>1589</v>
      </c>
      <c r="P108" s="74" t="s">
        <v>1590</v>
      </c>
      <c r="Q108" s="74" t="s">
        <v>1607</v>
      </c>
      <c r="R108" s="74" t="s">
        <v>1608</v>
      </c>
      <c r="S108" s="61" t="s">
        <v>1593</v>
      </c>
      <c r="T108" s="56"/>
      <c r="U108" s="61" t="s">
        <v>1594</v>
      </c>
      <c r="V108" s="121" t="s">
        <v>2018</v>
      </c>
      <c r="W108" s="61" t="s">
        <v>1596</v>
      </c>
      <c r="X108" s="68" t="s">
        <v>2019</v>
      </c>
      <c r="Y108" s="61" t="s">
        <v>150</v>
      </c>
      <c r="Z108" s="61" t="s">
        <v>115</v>
      </c>
      <c r="AA108" s="68" t="s">
        <v>269</v>
      </c>
      <c r="AB108" s="61">
        <v>1</v>
      </c>
      <c r="AC108" s="61">
        <v>0</v>
      </c>
      <c r="AD108" s="61">
        <v>0</v>
      </c>
      <c r="AE108" s="61">
        <v>0</v>
      </c>
      <c r="AF108" s="71">
        <f>IF(W108="SOPORTE_TELEFÓNICO",'BASE LIQUIDACION'!$B$10,IF(Y108="TIPO I",'BASE LIQUIDACION'!$C$3,IF(Y108="TIPO II",'BASE LIQUIDACION'!$C$4,IF(Y108="TIPO III",'BASE LIQUIDACION'!$C$5,'BASE LIQUIDACION'!$C$7))))</f>
        <v>65960.473639999997</v>
      </c>
      <c r="AG108" s="72">
        <f>IF(W108="SOPORTE_TELEFÓNICO",'BASE LIQUIDACION'!$B$10,(AB108*AF108+AC108*'BASE LIQUIDACION'!$B$12+AD108*'BASE LIQUIDACION'!$B$11+INCIDENTES!AE108*'BASE LIQUIDACION'!$B$13))</f>
        <v>65960.473639999997</v>
      </c>
    </row>
    <row r="109" spans="1:33" s="4" customFormat="1">
      <c r="A109" s="61" t="s">
        <v>100</v>
      </c>
      <c r="B109" s="56" t="str">
        <f>VLOOKUP(A109,'CENTRO DE COSTOS'!A:D,4,FALSE)</f>
        <v>JUAN SEBASTIÁN RÍOS CASTRILLÓN</v>
      </c>
      <c r="C109" s="56" t="str">
        <f>VLOOKUP(A109,'CENTRO DE COSTOS'!A:D,2,FALSE)</f>
        <v>0004-0005</v>
      </c>
      <c r="D109" s="61">
        <v>5001</v>
      </c>
      <c r="E109" s="61">
        <v>2455846</v>
      </c>
      <c r="F109" s="61">
        <v>38429</v>
      </c>
      <c r="G109" s="56" t="s">
        <v>1586</v>
      </c>
      <c r="H109" s="61" t="s">
        <v>104</v>
      </c>
      <c r="I109" s="61" t="s">
        <v>100</v>
      </c>
      <c r="J109" s="61" t="s">
        <v>2009</v>
      </c>
      <c r="K109" s="56" t="s">
        <v>107</v>
      </c>
      <c r="L109" s="61" t="s">
        <v>2020</v>
      </c>
      <c r="M109" s="119">
        <v>45854.536805555559</v>
      </c>
      <c r="N109" s="119">
        <v>45854.596365740741</v>
      </c>
      <c r="O109" s="84" t="s">
        <v>1589</v>
      </c>
      <c r="P109" s="74" t="s">
        <v>1590</v>
      </c>
      <c r="Q109" s="74" t="s">
        <v>1591</v>
      </c>
      <c r="R109" s="74" t="s">
        <v>1592</v>
      </c>
      <c r="S109" s="61" t="s">
        <v>1593</v>
      </c>
      <c r="T109" s="56"/>
      <c r="U109" s="61" t="s">
        <v>1594</v>
      </c>
      <c r="V109" s="121" t="s">
        <v>2021</v>
      </c>
      <c r="W109" s="61" t="s">
        <v>1596</v>
      </c>
      <c r="X109" s="68" t="s">
        <v>2022</v>
      </c>
      <c r="Y109" s="61" t="s">
        <v>150</v>
      </c>
      <c r="Z109" s="61" t="s">
        <v>115</v>
      </c>
      <c r="AA109" s="68" t="s">
        <v>221</v>
      </c>
      <c r="AB109" s="61">
        <v>1</v>
      </c>
      <c r="AC109" s="61">
        <v>0</v>
      </c>
      <c r="AD109" s="61">
        <v>0</v>
      </c>
      <c r="AE109" s="61">
        <v>0</v>
      </c>
      <c r="AF109" s="71">
        <f>IF(W109="SOPORTE_TELEFÓNICO",'BASE LIQUIDACION'!$B$10,IF(Y109="TIPO I",'BASE LIQUIDACION'!$C$3,IF(Y109="TIPO II",'BASE LIQUIDACION'!$C$4,IF(Y109="TIPO III",'BASE LIQUIDACION'!$C$5,'BASE LIQUIDACION'!$C$7))))</f>
        <v>65960.473639999997</v>
      </c>
      <c r="AG109" s="72">
        <f>IF(W109="SOPORTE_TELEFÓNICO",'BASE LIQUIDACION'!$B$10,(AB109*AF109+AC109*'BASE LIQUIDACION'!$B$12+AD109*'BASE LIQUIDACION'!$B$11+INCIDENTES!AE109*'BASE LIQUIDACION'!$B$13))</f>
        <v>65960.473639999997</v>
      </c>
    </row>
    <row r="110" spans="1:33" s="4" customFormat="1">
      <c r="A110" s="61" t="s">
        <v>100</v>
      </c>
      <c r="B110" s="56" t="str">
        <f>VLOOKUP(A110,'CENTRO DE COSTOS'!A:D,4,FALSE)</f>
        <v>JUAN SEBASTIÁN RÍOS CASTRILLÓN</v>
      </c>
      <c r="C110" s="56" t="str">
        <f>VLOOKUP(A110,'CENTRO DE COSTOS'!A:D,2,FALSE)</f>
        <v>0004-0005</v>
      </c>
      <c r="D110" s="61">
        <v>5088</v>
      </c>
      <c r="E110" s="61">
        <v>2453329</v>
      </c>
      <c r="F110" s="61">
        <v>21426</v>
      </c>
      <c r="G110" s="56" t="s">
        <v>1586</v>
      </c>
      <c r="H110" s="61" t="s">
        <v>104</v>
      </c>
      <c r="I110" s="61" t="s">
        <v>628</v>
      </c>
      <c r="J110" s="61" t="s">
        <v>2023</v>
      </c>
      <c r="K110" s="56" t="s">
        <v>107</v>
      </c>
      <c r="L110" s="61" t="s">
        <v>2024</v>
      </c>
      <c r="M110" s="119">
        <v>45854.368750000001</v>
      </c>
      <c r="N110" s="119">
        <v>45854.684178240743</v>
      </c>
      <c r="O110" s="84" t="s">
        <v>1589</v>
      </c>
      <c r="P110" s="74" t="s">
        <v>1590</v>
      </c>
      <c r="Q110" s="74" t="s">
        <v>1591</v>
      </c>
      <c r="R110" s="74" t="s">
        <v>1592</v>
      </c>
      <c r="S110" s="61" t="s">
        <v>145</v>
      </c>
      <c r="T110" s="56"/>
      <c r="U110" s="61" t="s">
        <v>1594</v>
      </c>
      <c r="V110" s="121" t="s">
        <v>2025</v>
      </c>
      <c r="W110" s="61" t="s">
        <v>1596</v>
      </c>
      <c r="X110" s="68" t="s">
        <v>2026</v>
      </c>
      <c r="Y110" s="61" t="s">
        <v>150</v>
      </c>
      <c r="Z110" s="61" t="s">
        <v>115</v>
      </c>
      <c r="AA110" s="68" t="s">
        <v>1721</v>
      </c>
      <c r="AB110" s="61">
        <v>1</v>
      </c>
      <c r="AC110" s="61">
        <v>0</v>
      </c>
      <c r="AD110" s="61">
        <v>0</v>
      </c>
      <c r="AE110" s="61">
        <v>0</v>
      </c>
      <c r="AF110" s="71">
        <f>IF(W110="SOPORTE_TELEFÓNICO",'BASE LIQUIDACION'!$B$10,IF(Y110="TIPO I",'BASE LIQUIDACION'!$C$3,IF(Y110="TIPO II",'BASE LIQUIDACION'!$C$4,IF(Y110="TIPO III",'BASE LIQUIDACION'!$C$5,'BASE LIQUIDACION'!$C$7))))</f>
        <v>65960.473639999997</v>
      </c>
      <c r="AG110" s="72">
        <f>IF(W110="SOPORTE_TELEFÓNICO",'BASE LIQUIDACION'!$B$10,(AB110*AF110+AC110*'BASE LIQUIDACION'!$B$12+AD110*'BASE LIQUIDACION'!$B$11+INCIDENTES!AE110*'BASE LIQUIDACION'!$B$13))</f>
        <v>65960.473639999997</v>
      </c>
    </row>
    <row r="111" spans="1:33" s="4" customFormat="1">
      <c r="A111" s="61" t="s">
        <v>130</v>
      </c>
      <c r="B111" s="56" t="str">
        <f>VLOOKUP(A111,'CENTRO DE COSTOS'!A:D,4,FALSE)</f>
        <v>DIEGO FERNANDO HENAO CARDONA</v>
      </c>
      <c r="C111" s="56" t="str">
        <f>VLOOKUP(A111,'CENTRO DE COSTOS'!A:D,2,FALSE)</f>
        <v>0004-0002</v>
      </c>
      <c r="D111" s="61">
        <v>76147</v>
      </c>
      <c r="E111" s="61">
        <v>2453976</v>
      </c>
      <c r="F111" s="61">
        <v>46252</v>
      </c>
      <c r="G111" s="56" t="s">
        <v>1586</v>
      </c>
      <c r="H111" s="61" t="s">
        <v>208</v>
      </c>
      <c r="I111" s="61" t="s">
        <v>1536</v>
      </c>
      <c r="J111" s="61" t="s">
        <v>2027</v>
      </c>
      <c r="K111" s="56" t="s">
        <v>107</v>
      </c>
      <c r="L111" s="61" t="s">
        <v>2028</v>
      </c>
      <c r="M111" s="119">
        <v>45854.40347222222</v>
      </c>
      <c r="N111" s="119">
        <v>45854.687858796293</v>
      </c>
      <c r="O111" s="84" t="s">
        <v>1589</v>
      </c>
      <c r="P111" s="74" t="s">
        <v>1590</v>
      </c>
      <c r="Q111" s="74" t="s">
        <v>1591</v>
      </c>
      <c r="R111" s="74" t="s">
        <v>1592</v>
      </c>
      <c r="S111" s="61" t="s">
        <v>1593</v>
      </c>
      <c r="T111" s="56"/>
      <c r="U111" s="61" t="s">
        <v>1594</v>
      </c>
      <c r="V111" s="121" t="s">
        <v>2029</v>
      </c>
      <c r="W111" s="61" t="s">
        <v>1596</v>
      </c>
      <c r="X111" s="68" t="s">
        <v>2030</v>
      </c>
      <c r="Y111" s="61" t="s">
        <v>150</v>
      </c>
      <c r="Z111" s="61" t="s">
        <v>115</v>
      </c>
      <c r="AA111" s="68" t="s">
        <v>151</v>
      </c>
      <c r="AB111" s="61">
        <v>1</v>
      </c>
      <c r="AC111" s="61">
        <v>0</v>
      </c>
      <c r="AD111" s="61">
        <v>0</v>
      </c>
      <c r="AE111" s="61">
        <v>0</v>
      </c>
      <c r="AF111" s="71">
        <f>IF(W111="SOPORTE_TELEFÓNICO",'BASE LIQUIDACION'!$B$10,IF(Y111="TIPO I",'BASE LIQUIDACION'!$C$3,IF(Y111="TIPO II",'BASE LIQUIDACION'!$C$4,IF(Y111="TIPO III",'BASE LIQUIDACION'!$C$5,'BASE LIQUIDACION'!$C$7))))</f>
        <v>65960.473639999997</v>
      </c>
      <c r="AG111" s="72">
        <f>IF(W111="SOPORTE_TELEFÓNICO",'BASE LIQUIDACION'!$B$10,(AB111*AF111+AC111*'BASE LIQUIDACION'!$B$12+AD111*'BASE LIQUIDACION'!$B$11+INCIDENTES!AE111*'BASE LIQUIDACION'!$B$13))</f>
        <v>65960.473639999997</v>
      </c>
    </row>
    <row r="112" spans="1:33" s="4" customFormat="1">
      <c r="A112" s="61" t="s">
        <v>130</v>
      </c>
      <c r="B112" s="56" t="str">
        <f>VLOOKUP(A112,'CENTRO DE COSTOS'!A:D,4,FALSE)</f>
        <v>DIEGO FERNANDO HENAO CARDONA</v>
      </c>
      <c r="C112" s="56" t="str">
        <f>VLOOKUP(A112,'CENTRO DE COSTOS'!A:D,2,FALSE)</f>
        <v>0004-0002</v>
      </c>
      <c r="D112" s="61">
        <v>63001</v>
      </c>
      <c r="E112" s="61">
        <v>2457106</v>
      </c>
      <c r="F112" s="61">
        <v>33988</v>
      </c>
      <c r="G112" s="56" t="s">
        <v>1586</v>
      </c>
      <c r="H112" s="61" t="s">
        <v>1377</v>
      </c>
      <c r="I112" s="61" t="s">
        <v>596</v>
      </c>
      <c r="J112" s="61" t="s">
        <v>2031</v>
      </c>
      <c r="K112" s="56" t="s">
        <v>107</v>
      </c>
      <c r="L112" s="61" t="s">
        <v>2032</v>
      </c>
      <c r="M112" s="119">
        <v>45854.640277777777</v>
      </c>
      <c r="N112" s="119">
        <v>45855.393078703702</v>
      </c>
      <c r="O112" s="84" t="s">
        <v>1589</v>
      </c>
      <c r="P112" s="74" t="s">
        <v>1590</v>
      </c>
      <c r="Q112" s="74" t="s">
        <v>1591</v>
      </c>
      <c r="R112" s="74" t="s">
        <v>1592</v>
      </c>
      <c r="S112" s="61" t="s">
        <v>145</v>
      </c>
      <c r="T112" s="56"/>
      <c r="U112" s="61" t="s">
        <v>1594</v>
      </c>
      <c r="V112" s="121" t="s">
        <v>2033</v>
      </c>
      <c r="W112" s="61" t="s">
        <v>1596</v>
      </c>
      <c r="X112" s="68" t="s">
        <v>2034</v>
      </c>
      <c r="Y112" s="61" t="s">
        <v>139</v>
      </c>
      <c r="Z112" s="61" t="s">
        <v>115</v>
      </c>
      <c r="AA112" s="68" t="s">
        <v>1851</v>
      </c>
      <c r="AB112" s="61">
        <v>1</v>
      </c>
      <c r="AC112" s="61">
        <v>0</v>
      </c>
      <c r="AD112" s="61">
        <v>0</v>
      </c>
      <c r="AE112" s="61">
        <v>0</v>
      </c>
      <c r="AF112" s="71">
        <f>IF(W112="SOPORTE_TELEFÓNICO",'BASE LIQUIDACION'!$B$10,IF(Y112="TIPO I",'BASE LIQUIDACION'!$C$3,IF(Y112="TIPO II",'BASE LIQUIDACION'!$C$4,IF(Y112="TIPO III",'BASE LIQUIDACION'!$C$5,'BASE LIQUIDACION'!$C$7))))</f>
        <v>163813.55812</v>
      </c>
      <c r="AG112" s="72">
        <f>IF(W112="SOPORTE_TELEFÓNICO",'BASE LIQUIDACION'!$B$10,(AB112*AF112+AC112*'BASE LIQUIDACION'!$B$12+AD112*'BASE LIQUIDACION'!$B$11+INCIDENTES!AE112*'BASE LIQUIDACION'!$B$13))</f>
        <v>163813.55812</v>
      </c>
    </row>
    <row r="113" spans="1:33" s="4" customFormat="1">
      <c r="A113" s="61" t="s">
        <v>100</v>
      </c>
      <c r="B113" s="56" t="str">
        <f>VLOOKUP(A113,'CENTRO DE COSTOS'!A:D,4,FALSE)</f>
        <v>JUAN SEBASTIÁN RÍOS CASTRILLÓN</v>
      </c>
      <c r="C113" s="56" t="str">
        <f>VLOOKUP(A113,'CENTRO DE COSTOS'!A:D,2,FALSE)</f>
        <v>0004-0005</v>
      </c>
      <c r="D113" s="61">
        <v>5001</v>
      </c>
      <c r="E113" s="61">
        <v>2458458</v>
      </c>
      <c r="F113" s="61">
        <v>70715</v>
      </c>
      <c r="G113" s="56" t="s">
        <v>1586</v>
      </c>
      <c r="H113" s="61" t="s">
        <v>104</v>
      </c>
      <c r="I113" s="61" t="s">
        <v>100</v>
      </c>
      <c r="J113" s="61" t="s">
        <v>2035</v>
      </c>
      <c r="K113" s="56" t="s">
        <v>107</v>
      </c>
      <c r="L113" s="61" t="s">
        <v>2036</v>
      </c>
      <c r="M113" s="119">
        <v>45855.333333333336</v>
      </c>
      <c r="N113" s="119">
        <v>45855.42559027778</v>
      </c>
      <c r="O113" s="84" t="s">
        <v>1589</v>
      </c>
      <c r="P113" s="74" t="s">
        <v>1590</v>
      </c>
      <c r="Q113" s="74" t="s">
        <v>1591</v>
      </c>
      <c r="R113" s="74" t="s">
        <v>1592</v>
      </c>
      <c r="S113" s="61" t="s">
        <v>145</v>
      </c>
      <c r="T113" s="56"/>
      <c r="U113" s="61" t="s">
        <v>1594</v>
      </c>
      <c r="V113" s="121" t="s">
        <v>2037</v>
      </c>
      <c r="W113" s="61" t="s">
        <v>1615</v>
      </c>
      <c r="X113" s="68">
        <v>0</v>
      </c>
      <c r="Y113" s="61" t="s">
        <v>150</v>
      </c>
      <c r="Z113" s="61" t="s">
        <v>115</v>
      </c>
      <c r="AA113" s="68" t="s">
        <v>1721</v>
      </c>
      <c r="AB113" s="61">
        <v>0</v>
      </c>
      <c r="AC113" s="61">
        <v>0</v>
      </c>
      <c r="AD113" s="61">
        <v>0</v>
      </c>
      <c r="AE113" s="61">
        <v>0</v>
      </c>
      <c r="AF113" s="71">
        <f>IF(W113="SOPORTE_TELEFÓNICO",'BASE LIQUIDACION'!$B$10,IF(Y113="TIPO I",'BASE LIQUIDACION'!$C$3,IF(Y113="TIPO II",'BASE LIQUIDACION'!$C$4,IF(Y113="TIPO III",'BASE LIQUIDACION'!$C$5,'BASE LIQUIDACION'!$C$7))))</f>
        <v>37904.65408</v>
      </c>
      <c r="AG113" s="72">
        <f>IF(W113="SOPORTE_TELEFÓNICO",'BASE LIQUIDACION'!$B$10,(AB113*AF113+AC113*'BASE LIQUIDACION'!$B$12+AD113*'BASE LIQUIDACION'!$B$11+INCIDENTES!AE113*'BASE LIQUIDACION'!$B$13))</f>
        <v>37904.65408</v>
      </c>
    </row>
    <row r="114" spans="1:33" s="4" customFormat="1">
      <c r="A114" s="61" t="s">
        <v>256</v>
      </c>
      <c r="B114" s="56" t="str">
        <f>VLOOKUP(A114,'CENTRO DE COSTOS'!A:D,4,FALSE)</f>
        <v>MIGUEL JULIÁN HERNÁNDEZ GUARÍN</v>
      </c>
      <c r="C114" s="56" t="str">
        <f>VLOOKUP(A114,'CENTRO DE COSTOS'!A:D,2,FALSE)</f>
        <v>0004-0008</v>
      </c>
      <c r="D114" s="61">
        <v>68081</v>
      </c>
      <c r="E114" s="61">
        <v>2453519</v>
      </c>
      <c r="F114" s="61">
        <v>19793</v>
      </c>
      <c r="G114" s="56" t="s">
        <v>1586</v>
      </c>
      <c r="H114" s="61" t="s">
        <v>258</v>
      </c>
      <c r="I114" s="61" t="s">
        <v>1402</v>
      </c>
      <c r="J114" s="61" t="s">
        <v>2038</v>
      </c>
      <c r="K114" s="56" t="s">
        <v>107</v>
      </c>
      <c r="L114" s="61" t="s">
        <v>2039</v>
      </c>
      <c r="M114" s="119">
        <v>45854.379861111112</v>
      </c>
      <c r="N114" s="119">
        <v>45855.426018518519</v>
      </c>
      <c r="O114" s="84" t="s">
        <v>1589</v>
      </c>
      <c r="P114" s="74" t="s">
        <v>1590</v>
      </c>
      <c r="Q114" s="74" t="s">
        <v>1634</v>
      </c>
      <c r="R114" s="74" t="s">
        <v>1635</v>
      </c>
      <c r="S114" s="61" t="s">
        <v>145</v>
      </c>
      <c r="T114" s="56"/>
      <c r="U114" s="61" t="s">
        <v>1594</v>
      </c>
      <c r="V114" s="121" t="s">
        <v>2040</v>
      </c>
      <c r="W114" s="61" t="s">
        <v>1615</v>
      </c>
      <c r="X114" s="68">
        <v>0</v>
      </c>
      <c r="Y114" s="61" t="s">
        <v>114</v>
      </c>
      <c r="Z114" s="61" t="s">
        <v>115</v>
      </c>
      <c r="AA114" s="68" t="s">
        <v>425</v>
      </c>
      <c r="AB114" s="61">
        <v>0</v>
      </c>
      <c r="AC114" s="61">
        <v>0</v>
      </c>
      <c r="AD114" s="61">
        <v>0</v>
      </c>
      <c r="AE114" s="61">
        <v>0</v>
      </c>
      <c r="AF114" s="71">
        <f>IF(W114="SOPORTE_TELEFÓNICO",'BASE LIQUIDACION'!$B$10,IF(Y114="TIPO I",'BASE LIQUIDACION'!$C$3,IF(Y114="TIPO II",'BASE LIQUIDACION'!$C$4,IF(Y114="TIPO III",'BASE LIQUIDACION'!$C$5,'BASE LIQUIDACION'!$C$7))))</f>
        <v>37904.65408</v>
      </c>
      <c r="AG114" s="72">
        <f>IF(W114="SOPORTE_TELEFÓNICO",'BASE LIQUIDACION'!$B$10,(AB114*AF114+AC114*'BASE LIQUIDACION'!$B$12+AD114*'BASE LIQUIDACION'!$B$11+INCIDENTES!AE114*'BASE LIQUIDACION'!$B$13))</f>
        <v>37904.65408</v>
      </c>
    </row>
    <row r="115" spans="1:33" s="4" customFormat="1">
      <c r="A115" s="61" t="s">
        <v>360</v>
      </c>
      <c r="B115" s="56" t="str">
        <f>VLOOKUP(A115,'CENTRO DE COSTOS'!A:D,4,FALSE)</f>
        <v>KEVIN ALEXIS CORZO BUSTOS</v>
      </c>
      <c r="C115" s="56" t="str">
        <f>VLOOKUP(A115,'CENTRO DE COSTOS'!A:D,2,FALSE)</f>
        <v>0004-0007</v>
      </c>
      <c r="D115" s="61">
        <v>73268</v>
      </c>
      <c r="E115" s="61">
        <v>2454198</v>
      </c>
      <c r="F115" s="61">
        <v>60669</v>
      </c>
      <c r="G115" s="56" t="s">
        <v>1586</v>
      </c>
      <c r="H115" s="61" t="s">
        <v>362</v>
      </c>
      <c r="I115" s="61" t="s">
        <v>1499</v>
      </c>
      <c r="J115" s="61" t="s">
        <v>2041</v>
      </c>
      <c r="K115" s="56" t="s">
        <v>107</v>
      </c>
      <c r="L115" s="61" t="s">
        <v>2042</v>
      </c>
      <c r="M115" s="119">
        <v>45854.418055555558</v>
      </c>
      <c r="N115" s="119">
        <v>45855.438773148147</v>
      </c>
      <c r="O115" s="84" t="s">
        <v>1589</v>
      </c>
      <c r="P115" s="74" t="s">
        <v>1590</v>
      </c>
      <c r="Q115" s="74" t="s">
        <v>1643</v>
      </c>
      <c r="R115" s="74" t="s">
        <v>1635</v>
      </c>
      <c r="S115" s="61" t="s">
        <v>1593</v>
      </c>
      <c r="T115" s="56"/>
      <c r="U115" s="61" t="s">
        <v>1594</v>
      </c>
      <c r="V115" s="121" t="s">
        <v>2043</v>
      </c>
      <c r="W115" s="61" t="s">
        <v>1615</v>
      </c>
      <c r="X115" s="68">
        <v>0</v>
      </c>
      <c r="Y115" s="61" t="s">
        <v>139</v>
      </c>
      <c r="Z115" s="61" t="s">
        <v>115</v>
      </c>
      <c r="AA115" s="68" t="s">
        <v>2044</v>
      </c>
      <c r="AB115" s="61">
        <v>0</v>
      </c>
      <c r="AC115" s="61">
        <v>0</v>
      </c>
      <c r="AD115" s="61">
        <v>0</v>
      </c>
      <c r="AE115" s="61">
        <v>0</v>
      </c>
      <c r="AF115" s="71">
        <f>IF(W115="SOPORTE_TELEFÓNICO",'BASE LIQUIDACION'!$B$10,IF(Y115="TIPO I",'BASE LIQUIDACION'!$C$3,IF(Y115="TIPO II",'BASE LIQUIDACION'!$C$4,IF(Y115="TIPO III",'BASE LIQUIDACION'!$C$5,'BASE LIQUIDACION'!$C$7))))</f>
        <v>37904.65408</v>
      </c>
      <c r="AG115" s="72">
        <f>IF(W115="SOPORTE_TELEFÓNICO",'BASE LIQUIDACION'!$B$10,(AB115*AF115+AC115*'BASE LIQUIDACION'!$B$12+AD115*'BASE LIQUIDACION'!$B$11+INCIDENTES!AE115*'BASE LIQUIDACION'!$B$13))</f>
        <v>37904.65408</v>
      </c>
    </row>
    <row r="116" spans="1:33" s="4" customFormat="1">
      <c r="A116" s="61" t="s">
        <v>100</v>
      </c>
      <c r="B116" s="56" t="str">
        <f>VLOOKUP(A116,'CENTRO DE COSTOS'!A:D,4,FALSE)</f>
        <v>JUAN SEBASTIÁN RÍOS CASTRILLÓN</v>
      </c>
      <c r="C116" s="56" t="str">
        <f>VLOOKUP(A116,'CENTRO DE COSTOS'!A:D,2,FALSE)</f>
        <v>0004-0005</v>
      </c>
      <c r="D116" s="61">
        <v>5001</v>
      </c>
      <c r="E116" s="61">
        <v>2461238</v>
      </c>
      <c r="F116" s="61">
        <v>38429</v>
      </c>
      <c r="G116" s="56" t="s">
        <v>1586</v>
      </c>
      <c r="H116" s="61" t="s">
        <v>104</v>
      </c>
      <c r="I116" s="61" t="s">
        <v>100</v>
      </c>
      <c r="J116" s="61" t="s">
        <v>2009</v>
      </c>
      <c r="K116" s="56" t="s">
        <v>107</v>
      </c>
      <c r="L116" s="61" t="s">
        <v>2045</v>
      </c>
      <c r="M116" s="119">
        <v>45855.467361111114</v>
      </c>
      <c r="N116" s="119">
        <v>45855.524282407408</v>
      </c>
      <c r="O116" s="84" t="s">
        <v>1589</v>
      </c>
      <c r="P116" s="74" t="s">
        <v>1590</v>
      </c>
      <c r="Q116" s="74" t="s">
        <v>1591</v>
      </c>
      <c r="R116" s="74" t="s">
        <v>1592</v>
      </c>
      <c r="S116" s="61" t="s">
        <v>1593</v>
      </c>
      <c r="T116" s="56"/>
      <c r="U116" s="61" t="s">
        <v>1594</v>
      </c>
      <c r="V116" s="121" t="s">
        <v>2046</v>
      </c>
      <c r="W116" s="61" t="s">
        <v>1615</v>
      </c>
      <c r="X116" s="68">
        <v>0</v>
      </c>
      <c r="Y116" s="61" t="s">
        <v>150</v>
      </c>
      <c r="Z116" s="61" t="s">
        <v>115</v>
      </c>
      <c r="AA116" s="68" t="s">
        <v>1721</v>
      </c>
      <c r="AB116" s="61">
        <v>0</v>
      </c>
      <c r="AC116" s="61">
        <v>0</v>
      </c>
      <c r="AD116" s="61">
        <v>0</v>
      </c>
      <c r="AE116" s="61">
        <v>0</v>
      </c>
      <c r="AF116" s="71">
        <f>IF(W116="SOPORTE_TELEFÓNICO",'BASE LIQUIDACION'!$B$10,IF(Y116="TIPO I",'BASE LIQUIDACION'!$C$3,IF(Y116="TIPO II",'BASE LIQUIDACION'!$C$4,IF(Y116="TIPO III",'BASE LIQUIDACION'!$C$5,'BASE LIQUIDACION'!$C$7))))</f>
        <v>37904.65408</v>
      </c>
      <c r="AG116" s="72">
        <f>IF(W116="SOPORTE_TELEFÓNICO",'BASE LIQUIDACION'!$B$10,(AB116*AF116+AC116*'BASE LIQUIDACION'!$B$12+AD116*'BASE LIQUIDACION'!$B$11+INCIDENTES!AE116*'BASE LIQUIDACION'!$B$13))</f>
        <v>37904.65408</v>
      </c>
    </row>
    <row r="117" spans="1:33" s="4" customFormat="1">
      <c r="A117" s="61" t="s">
        <v>100</v>
      </c>
      <c r="B117" s="56" t="str">
        <f>VLOOKUP(A117,'CENTRO DE COSTOS'!A:D,4,FALSE)</f>
        <v>JUAN SEBASTIÁN RÍOS CASTRILLÓN</v>
      </c>
      <c r="C117" s="56" t="str">
        <f>VLOOKUP(A117,'CENTRO DE COSTOS'!A:D,2,FALSE)</f>
        <v>0004-0005</v>
      </c>
      <c r="D117" s="61">
        <v>5148</v>
      </c>
      <c r="E117" s="61">
        <v>2460258</v>
      </c>
      <c r="F117" s="61">
        <v>76329</v>
      </c>
      <c r="G117" s="56" t="s">
        <v>1586</v>
      </c>
      <c r="H117" s="61" t="s">
        <v>104</v>
      </c>
      <c r="I117" s="61" t="s">
        <v>648</v>
      </c>
      <c r="J117" s="61" t="s">
        <v>2047</v>
      </c>
      <c r="K117" s="56" t="s">
        <v>107</v>
      </c>
      <c r="L117" s="61" t="s">
        <v>2048</v>
      </c>
      <c r="M117" s="119">
        <v>45855.414583333331</v>
      </c>
      <c r="N117" s="119">
        <v>45855.527361111112</v>
      </c>
      <c r="O117" s="84" t="s">
        <v>1589</v>
      </c>
      <c r="P117" s="74" t="s">
        <v>1590</v>
      </c>
      <c r="Q117" s="74" t="s">
        <v>1591</v>
      </c>
      <c r="R117" s="74" t="s">
        <v>1592</v>
      </c>
      <c r="S117" s="61" t="s">
        <v>124</v>
      </c>
      <c r="T117" s="56"/>
      <c r="U117" s="61" t="s">
        <v>1594</v>
      </c>
      <c r="V117" s="121" t="s">
        <v>2049</v>
      </c>
      <c r="W117" s="61" t="s">
        <v>1596</v>
      </c>
      <c r="X117" s="68" t="s">
        <v>2050</v>
      </c>
      <c r="Y117" s="61" t="s">
        <v>139</v>
      </c>
      <c r="Z117" s="61" t="s">
        <v>115</v>
      </c>
      <c r="AA117" s="68" t="s">
        <v>1611</v>
      </c>
      <c r="AB117" s="61">
        <v>1</v>
      </c>
      <c r="AC117" s="61">
        <v>0</v>
      </c>
      <c r="AD117" s="61">
        <v>0</v>
      </c>
      <c r="AE117" s="61">
        <v>0</v>
      </c>
      <c r="AF117" s="71">
        <f>IF(W117="SOPORTE_TELEFÓNICO",'BASE LIQUIDACION'!$B$10,IF(Y117="TIPO I",'BASE LIQUIDACION'!$C$3,IF(Y117="TIPO II",'BASE LIQUIDACION'!$C$4,IF(Y117="TIPO III",'BASE LIQUIDACION'!$C$5,'BASE LIQUIDACION'!$C$7))))</f>
        <v>163813.55812</v>
      </c>
      <c r="AG117" s="72">
        <f>IF(W117="SOPORTE_TELEFÓNICO",'BASE LIQUIDACION'!$B$10,(AB117*AF117+AC117*'BASE LIQUIDACION'!$B$12+AD117*'BASE LIQUIDACION'!$B$11+INCIDENTES!AE117*'BASE LIQUIDACION'!$B$13))</f>
        <v>163813.55812</v>
      </c>
    </row>
    <row r="118" spans="1:33" s="4" customFormat="1">
      <c r="A118" s="61" t="s">
        <v>100</v>
      </c>
      <c r="B118" s="56" t="str">
        <f>VLOOKUP(A118,'CENTRO DE COSTOS'!A:D,4,FALSE)</f>
        <v>JUAN SEBASTIÁN RÍOS CASTRILLÓN</v>
      </c>
      <c r="C118" s="56" t="str">
        <f>VLOOKUP(A118,'CENTRO DE COSTOS'!A:D,2,FALSE)</f>
        <v>0004-0005</v>
      </c>
      <c r="D118" s="61">
        <v>5001</v>
      </c>
      <c r="E118" s="61">
        <v>2455940</v>
      </c>
      <c r="F118" s="61">
        <v>16357</v>
      </c>
      <c r="G118" s="56" t="s">
        <v>1586</v>
      </c>
      <c r="H118" s="61" t="s">
        <v>104</v>
      </c>
      <c r="I118" s="61" t="s">
        <v>100</v>
      </c>
      <c r="J118" s="61" t="s">
        <v>2051</v>
      </c>
      <c r="K118" s="56" t="s">
        <v>107</v>
      </c>
      <c r="L118" s="61" t="s">
        <v>2052</v>
      </c>
      <c r="M118" s="119">
        <v>45854.572916666664</v>
      </c>
      <c r="N118" s="119">
        <v>45855.554537037038</v>
      </c>
      <c r="O118" s="84" t="s">
        <v>1589</v>
      </c>
      <c r="P118" s="74" t="s">
        <v>1590</v>
      </c>
      <c r="Q118" s="74" t="s">
        <v>1591</v>
      </c>
      <c r="R118" s="74" t="s">
        <v>1592</v>
      </c>
      <c r="S118" s="61" t="s">
        <v>145</v>
      </c>
      <c r="T118" s="56"/>
      <c r="U118" s="61" t="s">
        <v>1594</v>
      </c>
      <c r="V118" s="121" t="s">
        <v>2053</v>
      </c>
      <c r="W118" s="61" t="s">
        <v>1596</v>
      </c>
      <c r="X118" s="68" t="s">
        <v>2054</v>
      </c>
      <c r="Y118" s="61" t="s">
        <v>150</v>
      </c>
      <c r="Z118" s="61" t="s">
        <v>115</v>
      </c>
      <c r="AA118" s="68" t="s">
        <v>1721</v>
      </c>
      <c r="AB118" s="61">
        <v>1</v>
      </c>
      <c r="AC118" s="61">
        <v>0</v>
      </c>
      <c r="AD118" s="61">
        <v>0</v>
      </c>
      <c r="AE118" s="61">
        <v>0</v>
      </c>
      <c r="AF118" s="71">
        <f>IF(W118="SOPORTE_TELEFÓNICO",'BASE LIQUIDACION'!$B$10,IF(Y118="TIPO I",'BASE LIQUIDACION'!$C$3,IF(Y118="TIPO II",'BASE LIQUIDACION'!$C$4,IF(Y118="TIPO III",'BASE LIQUIDACION'!$C$5,'BASE LIQUIDACION'!$C$7))))</f>
        <v>65960.473639999997</v>
      </c>
      <c r="AG118" s="72">
        <f>IF(W118="SOPORTE_TELEFÓNICO",'BASE LIQUIDACION'!$B$10,(AB118*AF118+AC118*'BASE LIQUIDACION'!$B$12+AD118*'BASE LIQUIDACION'!$B$11+INCIDENTES!AE118*'BASE LIQUIDACION'!$B$13))</f>
        <v>65960.473639999997</v>
      </c>
    </row>
    <row r="119" spans="1:33" s="4" customFormat="1">
      <c r="A119" s="61" t="s">
        <v>100</v>
      </c>
      <c r="B119" s="56" t="str">
        <f>VLOOKUP(A119,'CENTRO DE COSTOS'!A:D,4,FALSE)</f>
        <v>JUAN SEBASTIÁN RÍOS CASTRILLÓN</v>
      </c>
      <c r="C119" s="56" t="str">
        <f>VLOOKUP(A119,'CENTRO DE COSTOS'!A:D,2,FALSE)</f>
        <v>0004-0005</v>
      </c>
      <c r="D119" s="61">
        <v>5001</v>
      </c>
      <c r="E119" s="61">
        <v>2460982</v>
      </c>
      <c r="F119" s="61">
        <v>51395</v>
      </c>
      <c r="G119" s="56" t="s">
        <v>1586</v>
      </c>
      <c r="H119" s="61" t="s">
        <v>104</v>
      </c>
      <c r="I119" s="61" t="s">
        <v>100</v>
      </c>
      <c r="J119" s="61" t="s">
        <v>2055</v>
      </c>
      <c r="K119" s="56" t="s">
        <v>107</v>
      </c>
      <c r="L119" s="61" t="s">
        <v>2056</v>
      </c>
      <c r="M119" s="119">
        <v>45855.45208333333</v>
      </c>
      <c r="N119" s="119">
        <v>45855.597187500003</v>
      </c>
      <c r="O119" s="84" t="s">
        <v>1589</v>
      </c>
      <c r="P119" s="74" t="s">
        <v>1590</v>
      </c>
      <c r="Q119" s="74" t="s">
        <v>1591</v>
      </c>
      <c r="R119" s="74" t="s">
        <v>1592</v>
      </c>
      <c r="S119" s="61" t="s">
        <v>1593</v>
      </c>
      <c r="T119" s="56"/>
      <c r="U119" s="61" t="s">
        <v>1594</v>
      </c>
      <c r="V119" s="121" t="s">
        <v>2057</v>
      </c>
      <c r="W119" s="61" t="s">
        <v>1596</v>
      </c>
      <c r="X119" s="68" t="s">
        <v>2058</v>
      </c>
      <c r="Y119" s="61" t="s">
        <v>150</v>
      </c>
      <c r="Z119" s="61" t="s">
        <v>115</v>
      </c>
      <c r="AA119" s="68" t="s">
        <v>1721</v>
      </c>
      <c r="AB119" s="61">
        <v>1</v>
      </c>
      <c r="AC119" s="61">
        <v>0</v>
      </c>
      <c r="AD119" s="61">
        <v>0</v>
      </c>
      <c r="AE119" s="61">
        <v>0</v>
      </c>
      <c r="AF119" s="71">
        <f>IF(W119="SOPORTE_TELEFÓNICO",'BASE LIQUIDACION'!$B$10,IF(Y119="TIPO I",'BASE LIQUIDACION'!$C$3,IF(Y119="TIPO II",'BASE LIQUIDACION'!$C$4,IF(Y119="TIPO III",'BASE LIQUIDACION'!$C$5,'BASE LIQUIDACION'!$C$7))))</f>
        <v>65960.473639999997</v>
      </c>
      <c r="AG119" s="72">
        <f>IF(W119="SOPORTE_TELEFÓNICO",'BASE LIQUIDACION'!$B$10,(AB119*AF119+AC119*'BASE LIQUIDACION'!$B$12+AD119*'BASE LIQUIDACION'!$B$11+INCIDENTES!AE119*'BASE LIQUIDACION'!$B$13))</f>
        <v>65960.473639999997</v>
      </c>
    </row>
    <row r="120" spans="1:33" s="4" customFormat="1">
      <c r="A120" s="61" t="s">
        <v>100</v>
      </c>
      <c r="B120" s="56" t="str">
        <f>VLOOKUP(A120,'CENTRO DE COSTOS'!A:D,4,FALSE)</f>
        <v>JUAN SEBASTIÁN RÍOS CASTRILLÓN</v>
      </c>
      <c r="C120" s="56" t="str">
        <f>VLOOKUP(A120,'CENTRO DE COSTOS'!A:D,2,FALSE)</f>
        <v>0004-0005</v>
      </c>
      <c r="D120" s="61">
        <v>5001</v>
      </c>
      <c r="E120" s="61">
        <v>2461098</v>
      </c>
      <c r="F120" s="61">
        <v>35673</v>
      </c>
      <c r="G120" s="56" t="s">
        <v>1586</v>
      </c>
      <c r="H120" s="61" t="s">
        <v>104</v>
      </c>
      <c r="I120" s="61" t="s">
        <v>100</v>
      </c>
      <c r="J120" s="61" t="s">
        <v>2059</v>
      </c>
      <c r="K120" s="56" t="s">
        <v>107</v>
      </c>
      <c r="L120" s="61" t="s">
        <v>2060</v>
      </c>
      <c r="M120" s="119">
        <v>45855.470833333333</v>
      </c>
      <c r="N120" s="119">
        <v>45855.653784722221</v>
      </c>
      <c r="O120" s="84" t="s">
        <v>1589</v>
      </c>
      <c r="P120" s="74" t="s">
        <v>1590</v>
      </c>
      <c r="Q120" s="74" t="s">
        <v>1591</v>
      </c>
      <c r="R120" s="74" t="s">
        <v>1592</v>
      </c>
      <c r="S120" s="61" t="s">
        <v>124</v>
      </c>
      <c r="T120" s="56"/>
      <c r="U120" s="61" t="s">
        <v>1594</v>
      </c>
      <c r="V120" s="121" t="s">
        <v>2061</v>
      </c>
      <c r="W120" s="61" t="s">
        <v>1596</v>
      </c>
      <c r="X120" s="68" t="s">
        <v>2062</v>
      </c>
      <c r="Y120" s="61" t="s">
        <v>150</v>
      </c>
      <c r="Z120" s="61" t="s">
        <v>115</v>
      </c>
      <c r="AA120" s="68" t="s">
        <v>1721</v>
      </c>
      <c r="AB120" s="61">
        <v>1</v>
      </c>
      <c r="AC120" s="61">
        <v>0</v>
      </c>
      <c r="AD120" s="61">
        <v>0</v>
      </c>
      <c r="AE120" s="61">
        <v>0</v>
      </c>
      <c r="AF120" s="71">
        <f>IF(W120="SOPORTE_TELEFÓNICO",'BASE LIQUIDACION'!$B$10,IF(Y120="TIPO I",'BASE LIQUIDACION'!$C$3,IF(Y120="TIPO II",'BASE LIQUIDACION'!$C$4,IF(Y120="TIPO III",'BASE LIQUIDACION'!$C$5,'BASE LIQUIDACION'!$C$7))))</f>
        <v>65960.473639999997</v>
      </c>
      <c r="AG120" s="72">
        <f>IF(W120="SOPORTE_TELEFÓNICO",'BASE LIQUIDACION'!$B$10,(AB120*AF120+AC120*'BASE LIQUIDACION'!$B$12+AD120*'BASE LIQUIDACION'!$B$11+INCIDENTES!AE120*'BASE LIQUIDACION'!$B$13))</f>
        <v>65960.473639999997</v>
      </c>
    </row>
    <row r="121" spans="1:33" s="4" customFormat="1">
      <c r="A121" s="61" t="s">
        <v>399</v>
      </c>
      <c r="B121" s="56" t="str">
        <f>VLOOKUP(A121,'CENTRO DE COSTOS'!A:D,4,FALSE)</f>
        <v>MIGUEL JULIÁN HERNÁNDEZ GUARÍN</v>
      </c>
      <c r="C121" s="56" t="str">
        <f>VLOOKUP(A121,'CENTRO DE COSTOS'!A:D,2,FALSE)</f>
        <v>0004-0008</v>
      </c>
      <c r="D121" s="61">
        <v>15764</v>
      </c>
      <c r="E121" s="61">
        <v>2459913</v>
      </c>
      <c r="F121" s="61">
        <v>47544</v>
      </c>
      <c r="G121" s="56" t="s">
        <v>1586</v>
      </c>
      <c r="H121" s="61" t="s">
        <v>401</v>
      </c>
      <c r="I121" s="61" t="s">
        <v>876</v>
      </c>
      <c r="J121" s="61" t="s">
        <v>2063</v>
      </c>
      <c r="K121" s="56" t="s">
        <v>107</v>
      </c>
      <c r="L121" s="61" t="s">
        <v>2064</v>
      </c>
      <c r="M121" s="119">
        <v>45855.383333333331</v>
      </c>
      <c r="N121" s="119">
        <v>45855.693159722221</v>
      </c>
      <c r="O121" s="84" t="s">
        <v>1589</v>
      </c>
      <c r="P121" s="74" t="s">
        <v>1668</v>
      </c>
      <c r="Q121" s="74" t="s">
        <v>1669</v>
      </c>
      <c r="R121" s="74" t="s">
        <v>2065</v>
      </c>
      <c r="S121" s="61" t="s">
        <v>1593</v>
      </c>
      <c r="T121" s="56"/>
      <c r="U121" s="61" t="s">
        <v>1594</v>
      </c>
      <c r="V121" s="121" t="s">
        <v>2066</v>
      </c>
      <c r="W121" s="61" t="s">
        <v>1596</v>
      </c>
      <c r="X121" s="68" t="s">
        <v>2067</v>
      </c>
      <c r="Y121" s="61" t="s">
        <v>150</v>
      </c>
      <c r="Z121" s="61" t="s">
        <v>115</v>
      </c>
      <c r="AA121" s="68" t="s">
        <v>1924</v>
      </c>
      <c r="AB121" s="61">
        <v>1</v>
      </c>
      <c r="AC121" s="61">
        <v>0</v>
      </c>
      <c r="AD121" s="61">
        <v>0</v>
      </c>
      <c r="AE121" s="61">
        <v>0</v>
      </c>
      <c r="AF121" s="71">
        <f>IF(W121="SOPORTE_TELEFÓNICO",'BASE LIQUIDACION'!$B$10,IF(Y121="TIPO I",'BASE LIQUIDACION'!$C$3,IF(Y121="TIPO II",'BASE LIQUIDACION'!$C$4,IF(Y121="TIPO III",'BASE LIQUIDACION'!$C$5,'BASE LIQUIDACION'!$C$7))))</f>
        <v>65960.473639999997</v>
      </c>
      <c r="AG121" s="72">
        <f>IF(W121="SOPORTE_TELEFÓNICO",'BASE LIQUIDACION'!$B$10,(AB121*AF121+AC121*'BASE LIQUIDACION'!$B$12+AD121*'BASE LIQUIDACION'!$B$11+INCIDENTES!AE121*'BASE LIQUIDACION'!$B$13))</f>
        <v>65960.473639999997</v>
      </c>
    </row>
    <row r="122" spans="1:33" s="4" customFormat="1">
      <c r="A122" s="61" t="s">
        <v>100</v>
      </c>
      <c r="B122" s="56" t="str">
        <f>VLOOKUP(A122,'CENTRO DE COSTOS'!A:D,4,FALSE)</f>
        <v>JUAN SEBASTIÁN RÍOS CASTRILLÓN</v>
      </c>
      <c r="C122" s="56" t="str">
        <f>VLOOKUP(A122,'CENTRO DE COSTOS'!A:D,2,FALSE)</f>
        <v>0004-0005</v>
      </c>
      <c r="D122" s="61">
        <v>5001</v>
      </c>
      <c r="E122" s="61">
        <v>2463962</v>
      </c>
      <c r="F122" s="61">
        <v>60536</v>
      </c>
      <c r="G122" s="56" t="s">
        <v>1586</v>
      </c>
      <c r="H122" s="61" t="s">
        <v>104</v>
      </c>
      <c r="I122" s="61" t="s">
        <v>100</v>
      </c>
      <c r="J122" s="61" t="s">
        <v>2068</v>
      </c>
      <c r="K122" s="56" t="s">
        <v>107</v>
      </c>
      <c r="L122" s="61" t="s">
        <v>2069</v>
      </c>
      <c r="M122" s="119">
        <v>45855.738888888889</v>
      </c>
      <c r="N122" s="119">
        <v>45856.39634259259</v>
      </c>
      <c r="O122" s="84" t="s">
        <v>1589</v>
      </c>
      <c r="P122" s="74" t="s">
        <v>1590</v>
      </c>
      <c r="Q122" s="74" t="s">
        <v>1591</v>
      </c>
      <c r="R122" s="74" t="s">
        <v>1592</v>
      </c>
      <c r="S122" s="61" t="s">
        <v>1593</v>
      </c>
      <c r="T122" s="56"/>
      <c r="U122" s="61" t="s">
        <v>1594</v>
      </c>
      <c r="V122" s="121" t="s">
        <v>2070</v>
      </c>
      <c r="W122" s="61" t="s">
        <v>1596</v>
      </c>
      <c r="X122" s="68" t="s">
        <v>2071</v>
      </c>
      <c r="Y122" s="61" t="s">
        <v>150</v>
      </c>
      <c r="Z122" s="61" t="s">
        <v>115</v>
      </c>
      <c r="AA122" s="68" t="s">
        <v>1611</v>
      </c>
      <c r="AB122" s="61">
        <v>1</v>
      </c>
      <c r="AC122" s="61">
        <v>0</v>
      </c>
      <c r="AD122" s="61">
        <v>0</v>
      </c>
      <c r="AE122" s="61">
        <v>0</v>
      </c>
      <c r="AF122" s="71">
        <f>IF(W122="SOPORTE_TELEFÓNICO",'BASE LIQUIDACION'!$B$10,IF(Y122="TIPO I",'BASE LIQUIDACION'!$C$3,IF(Y122="TIPO II",'BASE LIQUIDACION'!$C$4,IF(Y122="TIPO III",'BASE LIQUIDACION'!$C$5,'BASE LIQUIDACION'!$C$7))))</f>
        <v>65960.473639999997</v>
      </c>
      <c r="AG122" s="72">
        <f>IF(W122="SOPORTE_TELEFÓNICO",'BASE LIQUIDACION'!$B$10,(AB122*AF122+AC122*'BASE LIQUIDACION'!$B$12+AD122*'BASE LIQUIDACION'!$B$11+INCIDENTES!AE122*'BASE LIQUIDACION'!$B$13))</f>
        <v>65960.473639999997</v>
      </c>
    </row>
    <row r="123" spans="1:33" s="4" customFormat="1">
      <c r="A123" s="61" t="s">
        <v>360</v>
      </c>
      <c r="B123" s="56" t="str">
        <f>VLOOKUP(A123,'CENTRO DE COSTOS'!A:D,4,FALSE)</f>
        <v>KEVIN ALEXIS CORZO BUSTOS</v>
      </c>
      <c r="C123" s="56" t="str">
        <f>VLOOKUP(A123,'CENTRO DE COSTOS'!A:D,2,FALSE)</f>
        <v>0004-0007</v>
      </c>
      <c r="D123" s="61">
        <v>73001</v>
      </c>
      <c r="E123" s="61">
        <v>2462250</v>
      </c>
      <c r="F123" s="61">
        <v>77942</v>
      </c>
      <c r="G123" s="56" t="s">
        <v>1586</v>
      </c>
      <c r="H123" s="61" t="s">
        <v>362</v>
      </c>
      <c r="I123" s="61" t="s">
        <v>360</v>
      </c>
      <c r="J123" s="61" t="s">
        <v>2072</v>
      </c>
      <c r="K123" s="56" t="s">
        <v>107</v>
      </c>
      <c r="L123" s="61" t="s">
        <v>2073</v>
      </c>
      <c r="M123" s="119">
        <v>45855.6</v>
      </c>
      <c r="N123" s="119">
        <v>45856.405324074076</v>
      </c>
      <c r="O123" s="84" t="s">
        <v>1589</v>
      </c>
      <c r="P123" s="74" t="s">
        <v>1590</v>
      </c>
      <c r="Q123" s="74" t="s">
        <v>1643</v>
      </c>
      <c r="R123" s="74" t="s">
        <v>1635</v>
      </c>
      <c r="S123" s="61" t="s">
        <v>124</v>
      </c>
      <c r="T123" s="56"/>
      <c r="U123" s="61" t="s">
        <v>1594</v>
      </c>
      <c r="V123" s="121" t="s">
        <v>2074</v>
      </c>
      <c r="W123" s="61" t="s">
        <v>1596</v>
      </c>
      <c r="X123" s="68" t="s">
        <v>2075</v>
      </c>
      <c r="Y123" s="61" t="s">
        <v>150</v>
      </c>
      <c r="Z123" s="61" t="s">
        <v>115</v>
      </c>
      <c r="AA123" s="68" t="s">
        <v>367</v>
      </c>
      <c r="AB123" s="61">
        <v>1</v>
      </c>
      <c r="AC123" s="61">
        <v>0</v>
      </c>
      <c r="AD123" s="61">
        <v>0</v>
      </c>
      <c r="AE123" s="61">
        <v>0</v>
      </c>
      <c r="AF123" s="71">
        <f>IF(W123="SOPORTE_TELEFÓNICO",'BASE LIQUIDACION'!$B$10,IF(Y123="TIPO I",'BASE LIQUIDACION'!$C$3,IF(Y123="TIPO II",'BASE LIQUIDACION'!$C$4,IF(Y123="TIPO III",'BASE LIQUIDACION'!$C$5,'BASE LIQUIDACION'!$C$7))))</f>
        <v>65960.473639999997</v>
      </c>
      <c r="AG123" s="72">
        <f>IF(W123="SOPORTE_TELEFÓNICO",'BASE LIQUIDACION'!$B$10,(AB123*AF123+AC123*'BASE LIQUIDACION'!$B$12+AD123*'BASE LIQUIDACION'!$B$11+INCIDENTES!AE123*'BASE LIQUIDACION'!$B$13))</f>
        <v>65960.473639999997</v>
      </c>
    </row>
    <row r="124" spans="1:33" s="4" customFormat="1">
      <c r="A124" s="61" t="s">
        <v>100</v>
      </c>
      <c r="B124" s="56" t="str">
        <f>VLOOKUP(A124,'CENTRO DE COSTOS'!A:D,4,FALSE)</f>
        <v>JUAN SEBASTIÁN RÍOS CASTRILLÓN</v>
      </c>
      <c r="C124" s="56" t="str">
        <f>VLOOKUP(A124,'CENTRO DE COSTOS'!A:D,2,FALSE)</f>
        <v>0004-0005</v>
      </c>
      <c r="D124" s="61">
        <v>5088</v>
      </c>
      <c r="E124" s="61">
        <v>2461838</v>
      </c>
      <c r="F124" s="61">
        <v>26860</v>
      </c>
      <c r="G124" s="56" t="s">
        <v>1586</v>
      </c>
      <c r="H124" s="61" t="s">
        <v>104</v>
      </c>
      <c r="I124" s="61" t="s">
        <v>628</v>
      </c>
      <c r="J124" s="61" t="s">
        <v>2076</v>
      </c>
      <c r="K124" s="56" t="s">
        <v>107</v>
      </c>
      <c r="L124" s="61" t="s">
        <v>2077</v>
      </c>
      <c r="M124" s="119">
        <v>45855.511111111111</v>
      </c>
      <c r="N124" s="119">
        <v>45856.427395833336</v>
      </c>
      <c r="O124" s="84" t="s">
        <v>1589</v>
      </c>
      <c r="P124" s="74" t="s">
        <v>1590</v>
      </c>
      <c r="Q124" s="74" t="s">
        <v>1643</v>
      </c>
      <c r="R124" s="74" t="s">
        <v>1635</v>
      </c>
      <c r="S124" s="61" t="s">
        <v>145</v>
      </c>
      <c r="T124" s="56"/>
      <c r="U124" s="61" t="s">
        <v>1594</v>
      </c>
      <c r="V124" s="121" t="s">
        <v>2078</v>
      </c>
      <c r="W124" s="61" t="s">
        <v>1596</v>
      </c>
      <c r="X124" s="68" t="s">
        <v>2079</v>
      </c>
      <c r="Y124" s="61" t="s">
        <v>150</v>
      </c>
      <c r="Z124" s="61" t="s">
        <v>115</v>
      </c>
      <c r="AA124" s="68" t="s">
        <v>276</v>
      </c>
      <c r="AB124" s="61">
        <v>1</v>
      </c>
      <c r="AC124" s="61">
        <v>0</v>
      </c>
      <c r="AD124" s="61">
        <v>0</v>
      </c>
      <c r="AE124" s="61">
        <v>0</v>
      </c>
      <c r="AF124" s="71">
        <f>IF(W124="SOPORTE_TELEFÓNICO",'BASE LIQUIDACION'!$B$10,IF(Y124="TIPO I",'BASE LIQUIDACION'!$C$3,IF(Y124="TIPO II",'BASE LIQUIDACION'!$C$4,IF(Y124="TIPO III",'BASE LIQUIDACION'!$C$5,'BASE LIQUIDACION'!$C$7))))</f>
        <v>65960.473639999997</v>
      </c>
      <c r="AG124" s="72">
        <f>IF(W124="SOPORTE_TELEFÓNICO",'BASE LIQUIDACION'!$B$10,(AB124*AF124+AC124*'BASE LIQUIDACION'!$B$12+AD124*'BASE LIQUIDACION'!$B$11+INCIDENTES!AE124*'BASE LIQUIDACION'!$B$13))</f>
        <v>65960.473639999997</v>
      </c>
    </row>
    <row r="125" spans="1:33" s="4" customFormat="1">
      <c r="A125" s="61" t="s">
        <v>100</v>
      </c>
      <c r="B125" s="56" t="str">
        <f>VLOOKUP(A125,'CENTRO DE COSTOS'!A:D,4,FALSE)</f>
        <v>JUAN SEBASTIÁN RÍOS CASTRILLÓN</v>
      </c>
      <c r="C125" s="56" t="str">
        <f>VLOOKUP(A125,'CENTRO DE COSTOS'!A:D,2,FALSE)</f>
        <v>0004-0005</v>
      </c>
      <c r="D125" s="61">
        <v>5360</v>
      </c>
      <c r="E125" s="61">
        <v>2464970</v>
      </c>
      <c r="F125" s="61">
        <v>48570</v>
      </c>
      <c r="G125" s="56" t="s">
        <v>1586</v>
      </c>
      <c r="H125" s="61" t="s">
        <v>104</v>
      </c>
      <c r="I125" s="61" t="s">
        <v>661</v>
      </c>
      <c r="J125" s="61" t="s">
        <v>2080</v>
      </c>
      <c r="K125" s="56" t="s">
        <v>107</v>
      </c>
      <c r="L125" s="61" t="s">
        <v>2081</v>
      </c>
      <c r="M125" s="119">
        <v>45856.354166666664</v>
      </c>
      <c r="N125" s="119">
        <v>45856.514803240738</v>
      </c>
      <c r="O125" s="84" t="s">
        <v>1589</v>
      </c>
      <c r="P125" s="74" t="s">
        <v>1590</v>
      </c>
      <c r="Q125" s="74" t="s">
        <v>1601</v>
      </c>
      <c r="R125" s="74" t="s">
        <v>1619</v>
      </c>
      <c r="S125" s="61" t="s">
        <v>124</v>
      </c>
      <c r="T125" s="56"/>
      <c r="U125" s="61" t="s">
        <v>1594</v>
      </c>
      <c r="V125" s="121" t="s">
        <v>2082</v>
      </c>
      <c r="W125" s="61" t="s">
        <v>1596</v>
      </c>
      <c r="X125" s="68" t="s">
        <v>2083</v>
      </c>
      <c r="Y125" s="61" t="s">
        <v>150</v>
      </c>
      <c r="Z125" s="61" t="s">
        <v>115</v>
      </c>
      <c r="AA125" s="68" t="s">
        <v>1631</v>
      </c>
      <c r="AB125" s="61">
        <v>1</v>
      </c>
      <c r="AC125" s="61">
        <v>0</v>
      </c>
      <c r="AD125" s="61">
        <v>0</v>
      </c>
      <c r="AE125" s="61">
        <v>0</v>
      </c>
      <c r="AF125" s="71">
        <f>IF(W125="SOPORTE_TELEFÓNICO",'BASE LIQUIDACION'!$B$10,IF(Y125="TIPO I",'BASE LIQUIDACION'!$C$3,IF(Y125="TIPO II",'BASE LIQUIDACION'!$C$4,IF(Y125="TIPO III",'BASE LIQUIDACION'!$C$5,'BASE LIQUIDACION'!$C$7))))</f>
        <v>65960.473639999997</v>
      </c>
      <c r="AG125" s="72">
        <f>IF(W125="SOPORTE_TELEFÓNICO",'BASE LIQUIDACION'!$B$10,(AB125*AF125+AC125*'BASE LIQUIDACION'!$B$12+AD125*'BASE LIQUIDACION'!$B$11+INCIDENTES!AE125*'BASE LIQUIDACION'!$B$13))</f>
        <v>65960.473639999997</v>
      </c>
    </row>
    <row r="126" spans="1:33" s="4" customFormat="1">
      <c r="A126" s="61" t="s">
        <v>975</v>
      </c>
      <c r="B126" s="56" t="str">
        <f>VLOOKUP(A126,'CENTRO DE COSTOS'!A:D,4,FALSE)</f>
        <v>DIEGO FERNANDO HENAO CARDONA</v>
      </c>
      <c r="C126" s="56" t="str">
        <f>VLOOKUP(A126,'CENTRO DE COSTOS'!A:D,2,FALSE)</f>
        <v>0004-0003</v>
      </c>
      <c r="D126" s="61">
        <v>52110</v>
      </c>
      <c r="E126" s="61">
        <v>2464137</v>
      </c>
      <c r="F126" s="61">
        <v>44481</v>
      </c>
      <c r="G126" s="56" t="s">
        <v>1586</v>
      </c>
      <c r="H126" s="61" t="s">
        <v>607</v>
      </c>
      <c r="I126" s="61" t="s">
        <v>1284</v>
      </c>
      <c r="J126" s="61" t="s">
        <v>2084</v>
      </c>
      <c r="K126" s="56" t="s">
        <v>107</v>
      </c>
      <c r="L126" s="61" t="s">
        <v>2085</v>
      </c>
      <c r="M126" s="119">
        <v>45855.749305555553</v>
      </c>
      <c r="N126" s="119">
        <v>45856.527372685188</v>
      </c>
      <c r="O126" s="84" t="s">
        <v>1589</v>
      </c>
      <c r="P126" s="74" t="s">
        <v>1590</v>
      </c>
      <c r="Q126" s="74" t="s">
        <v>1643</v>
      </c>
      <c r="R126" s="74" t="s">
        <v>1644</v>
      </c>
      <c r="S126" s="61" t="s">
        <v>124</v>
      </c>
      <c r="T126" s="56"/>
      <c r="U126" s="61" t="s">
        <v>1594</v>
      </c>
      <c r="V126" s="121" t="s">
        <v>2086</v>
      </c>
      <c r="W126" s="61" t="s">
        <v>1596</v>
      </c>
      <c r="X126" s="68" t="s">
        <v>2087</v>
      </c>
      <c r="Y126" s="61" t="s">
        <v>139</v>
      </c>
      <c r="Z126" s="61" t="s">
        <v>115</v>
      </c>
      <c r="AA126" s="68" t="s">
        <v>1689</v>
      </c>
      <c r="AB126" s="61">
        <v>1</v>
      </c>
      <c r="AC126" s="61">
        <v>0</v>
      </c>
      <c r="AD126" s="61">
        <v>0</v>
      </c>
      <c r="AE126" s="61">
        <v>0</v>
      </c>
      <c r="AF126" s="71">
        <f>IF(W126="SOPORTE_TELEFÓNICO",'BASE LIQUIDACION'!$B$10,IF(Y126="TIPO I",'BASE LIQUIDACION'!$C$3,IF(Y126="TIPO II",'BASE LIQUIDACION'!$C$4,IF(Y126="TIPO III",'BASE LIQUIDACION'!$C$5,'BASE LIQUIDACION'!$C$7))))</f>
        <v>163813.55812</v>
      </c>
      <c r="AG126" s="72">
        <f>IF(W126="SOPORTE_TELEFÓNICO",'BASE LIQUIDACION'!$B$10,(AB126*AF126+AC126*'BASE LIQUIDACION'!$B$12+AD126*'BASE LIQUIDACION'!$B$11+INCIDENTES!AE126*'BASE LIQUIDACION'!$B$13))</f>
        <v>163813.55812</v>
      </c>
    </row>
    <row r="127" spans="1:33" s="4" customFormat="1">
      <c r="A127" s="61" t="s">
        <v>100</v>
      </c>
      <c r="B127" s="56" t="str">
        <f>VLOOKUP(A127,'CENTRO DE COSTOS'!A:D,4,FALSE)</f>
        <v>JUAN SEBASTIÁN RÍOS CASTRILLÓN</v>
      </c>
      <c r="C127" s="56" t="str">
        <f>VLOOKUP(A127,'CENTRO DE COSTOS'!A:D,2,FALSE)</f>
        <v>0004-0005</v>
      </c>
      <c r="D127" s="61">
        <v>5001</v>
      </c>
      <c r="E127" s="61">
        <v>2465620</v>
      </c>
      <c r="F127" s="61">
        <v>27302</v>
      </c>
      <c r="G127" s="56" t="s">
        <v>1586</v>
      </c>
      <c r="H127" s="61" t="s">
        <v>104</v>
      </c>
      <c r="I127" s="61" t="s">
        <v>100</v>
      </c>
      <c r="J127" s="61" t="s">
        <v>2088</v>
      </c>
      <c r="K127" s="56" t="s">
        <v>107</v>
      </c>
      <c r="L127" s="61" t="s">
        <v>2089</v>
      </c>
      <c r="M127" s="119">
        <v>45856.382638888892</v>
      </c>
      <c r="N127" s="119">
        <v>45856.582499999997</v>
      </c>
      <c r="O127" s="84" t="s">
        <v>1589</v>
      </c>
      <c r="P127" s="74" t="s">
        <v>1590</v>
      </c>
      <c r="Q127" s="74" t="s">
        <v>1607</v>
      </c>
      <c r="R127" s="74" t="s">
        <v>1608</v>
      </c>
      <c r="S127" s="61" t="s">
        <v>145</v>
      </c>
      <c r="T127" s="56"/>
      <c r="U127" s="61" t="s">
        <v>1594</v>
      </c>
      <c r="V127" s="121" t="s">
        <v>2090</v>
      </c>
      <c r="W127" s="61" t="s">
        <v>1596</v>
      </c>
      <c r="X127" s="68" t="s">
        <v>2091</v>
      </c>
      <c r="Y127" s="61" t="s">
        <v>150</v>
      </c>
      <c r="Z127" s="61" t="s">
        <v>115</v>
      </c>
      <c r="AA127" s="68" t="s">
        <v>1631</v>
      </c>
      <c r="AB127" s="61">
        <v>1</v>
      </c>
      <c r="AC127" s="61">
        <v>0</v>
      </c>
      <c r="AD127" s="61">
        <v>0</v>
      </c>
      <c r="AE127" s="61">
        <v>0</v>
      </c>
      <c r="AF127" s="71">
        <f>IF(W127="SOPORTE_TELEFÓNICO",'BASE LIQUIDACION'!$B$10,IF(Y127="TIPO I",'BASE LIQUIDACION'!$C$3,IF(Y127="TIPO II",'BASE LIQUIDACION'!$C$4,IF(Y127="TIPO III",'BASE LIQUIDACION'!$C$5,'BASE LIQUIDACION'!$C$7))))</f>
        <v>65960.473639999997</v>
      </c>
      <c r="AG127" s="72">
        <f>IF(W127="SOPORTE_TELEFÓNICO",'BASE LIQUIDACION'!$B$10,(AB127*AF127+AC127*'BASE LIQUIDACION'!$B$12+AD127*'BASE LIQUIDACION'!$B$11+INCIDENTES!AE127*'BASE LIQUIDACION'!$B$13))</f>
        <v>65960.473639999997</v>
      </c>
    </row>
    <row r="128" spans="1:33" s="4" customFormat="1">
      <c r="A128" s="61" t="s">
        <v>100</v>
      </c>
      <c r="B128" s="56" t="str">
        <f>VLOOKUP(A128,'CENTRO DE COSTOS'!A:D,4,FALSE)</f>
        <v>JUAN SEBASTIÁN RÍOS CASTRILLÓN</v>
      </c>
      <c r="C128" s="56" t="str">
        <f>VLOOKUP(A128,'CENTRO DE COSTOS'!A:D,2,FALSE)</f>
        <v>0004-0005</v>
      </c>
      <c r="D128" s="61">
        <v>5266</v>
      </c>
      <c r="E128" s="61">
        <v>2467769</v>
      </c>
      <c r="F128" s="61">
        <v>29309</v>
      </c>
      <c r="G128" s="56" t="s">
        <v>1586</v>
      </c>
      <c r="H128" s="61" t="s">
        <v>104</v>
      </c>
      <c r="I128" s="61" t="s">
        <v>651</v>
      </c>
      <c r="J128" s="61" t="s">
        <v>2092</v>
      </c>
      <c r="K128" s="56" t="s">
        <v>107</v>
      </c>
      <c r="L128" s="61" t="s">
        <v>2093</v>
      </c>
      <c r="M128" s="119">
        <v>45856.519444444442</v>
      </c>
      <c r="N128" s="119">
        <v>45856.624039351853</v>
      </c>
      <c r="O128" s="84" t="s">
        <v>1589</v>
      </c>
      <c r="P128" s="74" t="s">
        <v>1590</v>
      </c>
      <c r="Q128" s="74" t="s">
        <v>1591</v>
      </c>
      <c r="R128" s="74" t="s">
        <v>1592</v>
      </c>
      <c r="S128" s="61" t="s">
        <v>1593</v>
      </c>
      <c r="T128" s="56"/>
      <c r="U128" s="61" t="s">
        <v>1594</v>
      </c>
      <c r="V128" s="121" t="s">
        <v>2094</v>
      </c>
      <c r="W128" s="61" t="s">
        <v>1615</v>
      </c>
      <c r="X128" s="68">
        <v>0</v>
      </c>
      <c r="Y128" s="61" t="s">
        <v>150</v>
      </c>
      <c r="Z128" s="61" t="s">
        <v>115</v>
      </c>
      <c r="AA128" s="68" t="s">
        <v>1721</v>
      </c>
      <c r="AB128" s="61">
        <v>0</v>
      </c>
      <c r="AC128" s="61">
        <v>0</v>
      </c>
      <c r="AD128" s="61">
        <v>0</v>
      </c>
      <c r="AE128" s="61">
        <v>0</v>
      </c>
      <c r="AF128" s="71">
        <f>IF(W128="SOPORTE_TELEFÓNICO",'BASE LIQUIDACION'!$B$10,IF(Y128="TIPO I",'BASE LIQUIDACION'!$C$3,IF(Y128="TIPO II",'BASE LIQUIDACION'!$C$4,IF(Y128="TIPO III",'BASE LIQUIDACION'!$C$5,'BASE LIQUIDACION'!$C$7))))</f>
        <v>37904.65408</v>
      </c>
      <c r="AG128" s="72">
        <f>IF(W128="SOPORTE_TELEFÓNICO",'BASE LIQUIDACION'!$B$10,(AB128*AF128+AC128*'BASE LIQUIDACION'!$B$12+AD128*'BASE LIQUIDACION'!$B$11+INCIDENTES!AE128*'BASE LIQUIDACION'!$B$13))</f>
        <v>37904.65408</v>
      </c>
    </row>
    <row r="129" spans="1:33" s="4" customFormat="1">
      <c r="A129" s="61" t="s">
        <v>432</v>
      </c>
      <c r="B129" s="56" t="str">
        <f>VLOOKUP(A129,'CENTRO DE COSTOS'!A:D,4,FALSE)</f>
        <v>KEVIN ALEXIS CORZO BUSTOS</v>
      </c>
      <c r="C129" s="56" t="str">
        <f>VLOOKUP(A129,'CENTRO DE COSTOS'!A:D,2,FALSE)</f>
        <v>0004-0007</v>
      </c>
      <c r="D129" s="61">
        <v>85001</v>
      </c>
      <c r="E129" s="61">
        <v>2458402</v>
      </c>
      <c r="F129" s="61">
        <v>58961</v>
      </c>
      <c r="G129" s="56" t="s">
        <v>1586</v>
      </c>
      <c r="H129" s="61" t="s">
        <v>434</v>
      </c>
      <c r="I129" s="61" t="s">
        <v>432</v>
      </c>
      <c r="J129" s="61" t="s">
        <v>2095</v>
      </c>
      <c r="K129" s="56" t="s">
        <v>107</v>
      </c>
      <c r="L129" s="61" t="s">
        <v>2096</v>
      </c>
      <c r="M129" s="119">
        <v>45854.727083333331</v>
      </c>
      <c r="N129" s="119">
        <v>45857.37</v>
      </c>
      <c r="O129" s="84" t="s">
        <v>1589</v>
      </c>
      <c r="P129" s="74" t="s">
        <v>1590</v>
      </c>
      <c r="Q129" s="74" t="s">
        <v>1643</v>
      </c>
      <c r="R129" s="74" t="s">
        <v>1635</v>
      </c>
      <c r="S129" s="61" t="s">
        <v>1593</v>
      </c>
      <c r="T129" s="56"/>
      <c r="U129" s="61" t="s">
        <v>1594</v>
      </c>
      <c r="V129" s="121" t="s">
        <v>2097</v>
      </c>
      <c r="W129" s="61" t="s">
        <v>1615</v>
      </c>
      <c r="X129" s="68">
        <v>0</v>
      </c>
      <c r="Y129" s="61" t="s">
        <v>150</v>
      </c>
      <c r="Z129" s="61" t="s">
        <v>115</v>
      </c>
      <c r="AA129" s="68" t="s">
        <v>440</v>
      </c>
      <c r="AB129" s="61">
        <v>0</v>
      </c>
      <c r="AC129" s="61">
        <v>0</v>
      </c>
      <c r="AD129" s="61">
        <v>0</v>
      </c>
      <c r="AE129" s="61">
        <v>0</v>
      </c>
      <c r="AF129" s="71">
        <f>IF(W129="SOPORTE_TELEFÓNICO",'BASE LIQUIDACION'!$B$10,IF(Y129="TIPO I",'BASE LIQUIDACION'!$C$3,IF(Y129="TIPO II",'BASE LIQUIDACION'!$C$4,IF(Y129="TIPO III",'BASE LIQUIDACION'!$C$5,'BASE LIQUIDACION'!$C$7))))</f>
        <v>37904.65408</v>
      </c>
      <c r="AG129" s="72">
        <f>IF(W129="SOPORTE_TELEFÓNICO",'BASE LIQUIDACION'!$B$10,(AB129*AF129+AC129*'BASE LIQUIDACION'!$B$12+AD129*'BASE LIQUIDACION'!$B$11+INCIDENTES!AE129*'BASE LIQUIDACION'!$B$13))</f>
        <v>37904.65408</v>
      </c>
    </row>
    <row r="130" spans="1:33" s="4" customFormat="1">
      <c r="A130" s="61" t="s">
        <v>341</v>
      </c>
      <c r="B130" s="56" t="str">
        <f>VLOOKUP(A130,'CENTRO DE COSTOS'!A:D,4,FALSE)</f>
        <v>JOSE MAURICIO HERNANDEZ ROJAS</v>
      </c>
      <c r="C130" s="56" t="str">
        <f>VLOOKUP(A130,'CENTRO DE COSTOS'!A:D,2,FALSE)</f>
        <v>0004-0001</v>
      </c>
      <c r="D130" s="61">
        <v>13001</v>
      </c>
      <c r="E130" s="61">
        <v>2470067</v>
      </c>
      <c r="F130" s="61">
        <v>25269</v>
      </c>
      <c r="G130" s="56" t="s">
        <v>1586</v>
      </c>
      <c r="H130" s="61" t="s">
        <v>343</v>
      </c>
      <c r="I130" s="61" t="s">
        <v>341</v>
      </c>
      <c r="J130" s="61" t="s">
        <v>2098</v>
      </c>
      <c r="K130" s="56" t="s">
        <v>107</v>
      </c>
      <c r="L130" s="61" t="s">
        <v>2099</v>
      </c>
      <c r="M130" s="119">
        <v>45857.361805555556</v>
      </c>
      <c r="N130" s="119">
        <v>45857.388553240744</v>
      </c>
      <c r="O130" s="84" t="s">
        <v>1589</v>
      </c>
      <c r="P130" s="74" t="s">
        <v>1590</v>
      </c>
      <c r="Q130" s="74" t="s">
        <v>1591</v>
      </c>
      <c r="R130" s="74" t="s">
        <v>1592</v>
      </c>
      <c r="S130" s="61" t="s">
        <v>1664</v>
      </c>
      <c r="T130" s="56"/>
      <c r="U130" s="61" t="s">
        <v>1594</v>
      </c>
      <c r="V130" s="121" t="s">
        <v>2100</v>
      </c>
      <c r="W130" s="61" t="s">
        <v>1615</v>
      </c>
      <c r="X130" s="68">
        <v>0</v>
      </c>
      <c r="Y130" s="61" t="s">
        <v>150</v>
      </c>
      <c r="Z130" s="61" t="s">
        <v>115</v>
      </c>
      <c r="AA130" s="68">
        <v>0</v>
      </c>
      <c r="AB130" s="61">
        <v>0</v>
      </c>
      <c r="AC130" s="61">
        <v>0</v>
      </c>
      <c r="AD130" s="61">
        <v>0</v>
      </c>
      <c r="AE130" s="61">
        <v>0</v>
      </c>
      <c r="AF130" s="71">
        <f>IF(W130="SOPORTE_TELEFÓNICO",'BASE LIQUIDACION'!$B$10,IF(Y130="TIPO I",'BASE LIQUIDACION'!$C$3,IF(Y130="TIPO II",'BASE LIQUIDACION'!$C$4,IF(Y130="TIPO III",'BASE LIQUIDACION'!$C$5,'BASE LIQUIDACION'!$C$7))))</f>
        <v>37904.65408</v>
      </c>
      <c r="AG130" s="72">
        <f>IF(W130="SOPORTE_TELEFÓNICO",'BASE LIQUIDACION'!$B$10,(AB130*AF130+AC130*'BASE LIQUIDACION'!$B$12+AD130*'BASE LIQUIDACION'!$B$11+INCIDENTES!AE130*'BASE LIQUIDACION'!$B$13))</f>
        <v>37904.65408</v>
      </c>
    </row>
    <row r="131" spans="1:33" s="4" customFormat="1">
      <c r="A131" s="61" t="s">
        <v>256</v>
      </c>
      <c r="B131" s="56" t="str">
        <f>VLOOKUP(A131,'CENTRO DE COSTOS'!A:D,4,FALSE)</f>
        <v>MIGUEL JULIÁN HERNÁNDEZ GUARÍN</v>
      </c>
      <c r="C131" s="56" t="str">
        <f>VLOOKUP(A131,'CENTRO DE COSTOS'!A:D,2,FALSE)</f>
        <v>0004-0008</v>
      </c>
      <c r="D131" s="61">
        <v>68418</v>
      </c>
      <c r="E131" s="61">
        <v>2470242</v>
      </c>
      <c r="F131" s="61">
        <v>49017</v>
      </c>
      <c r="G131" s="56" t="s">
        <v>1586</v>
      </c>
      <c r="H131" s="61" t="s">
        <v>258</v>
      </c>
      <c r="I131" s="61" t="s">
        <v>1435</v>
      </c>
      <c r="J131" s="61" t="s">
        <v>2101</v>
      </c>
      <c r="K131" s="56" t="s">
        <v>107</v>
      </c>
      <c r="L131" s="61" t="s">
        <v>2102</v>
      </c>
      <c r="M131" s="119">
        <v>45857.361111111109</v>
      </c>
      <c r="N131" s="119">
        <v>45857.409108796295</v>
      </c>
      <c r="O131" s="84" t="s">
        <v>1589</v>
      </c>
      <c r="P131" s="74" t="s">
        <v>1590</v>
      </c>
      <c r="Q131" s="74" t="s">
        <v>1643</v>
      </c>
      <c r="R131" s="74" t="s">
        <v>1635</v>
      </c>
      <c r="S131" s="61" t="s">
        <v>124</v>
      </c>
      <c r="T131" s="56"/>
      <c r="U131" s="61" t="s">
        <v>1594</v>
      </c>
      <c r="V131" s="121" t="s">
        <v>2103</v>
      </c>
      <c r="W131" s="61" t="s">
        <v>1615</v>
      </c>
      <c r="X131" s="68">
        <v>0</v>
      </c>
      <c r="Y131" s="61" t="s">
        <v>139</v>
      </c>
      <c r="Z131" s="61" t="s">
        <v>115</v>
      </c>
      <c r="AA131" s="68" t="s">
        <v>2104</v>
      </c>
      <c r="AB131" s="61">
        <v>0</v>
      </c>
      <c r="AC131" s="61">
        <v>0</v>
      </c>
      <c r="AD131" s="61">
        <v>0</v>
      </c>
      <c r="AE131" s="61">
        <v>0</v>
      </c>
      <c r="AF131" s="71">
        <f>IF(W131="SOPORTE_TELEFÓNICO",'BASE LIQUIDACION'!$B$10,IF(Y131="TIPO I",'BASE LIQUIDACION'!$C$3,IF(Y131="TIPO II",'BASE LIQUIDACION'!$C$4,IF(Y131="TIPO III",'BASE LIQUIDACION'!$C$5,'BASE LIQUIDACION'!$C$7))))</f>
        <v>37904.65408</v>
      </c>
      <c r="AG131" s="72">
        <f>IF(W131="SOPORTE_TELEFÓNICO",'BASE LIQUIDACION'!$B$10,(AB131*AF131+AC131*'BASE LIQUIDACION'!$B$12+AD131*'BASE LIQUIDACION'!$B$11+INCIDENTES!AE131*'BASE LIQUIDACION'!$B$13))</f>
        <v>37904.65408</v>
      </c>
    </row>
    <row r="132" spans="1:33" s="4" customFormat="1">
      <c r="A132" s="61" t="s">
        <v>222</v>
      </c>
      <c r="B132" s="56" t="str">
        <f>VLOOKUP(A132,'CENTRO DE COSTOS'!A:D,4,FALSE)</f>
        <v>MIGUEL JULIÁN HERNÁNDEZ GUARÍN</v>
      </c>
      <c r="C132" s="56" t="str">
        <f>VLOOKUP(A132,'CENTRO DE COSTOS'!A:D,2,FALSE)</f>
        <v>0004-0008</v>
      </c>
      <c r="D132" s="61">
        <v>54001</v>
      </c>
      <c r="E132" s="61">
        <v>2469336</v>
      </c>
      <c r="F132" s="61">
        <v>79069</v>
      </c>
      <c r="G132" s="56" t="s">
        <v>1586</v>
      </c>
      <c r="H132" s="61" t="s">
        <v>224</v>
      </c>
      <c r="I132" s="61" t="s">
        <v>222</v>
      </c>
      <c r="J132" s="61" t="s">
        <v>2105</v>
      </c>
      <c r="K132" s="56" t="s">
        <v>107</v>
      </c>
      <c r="L132" s="61" t="s">
        <v>2106</v>
      </c>
      <c r="M132" s="119">
        <v>45856.686111111114</v>
      </c>
      <c r="N132" s="119">
        <v>45857.451342592591</v>
      </c>
      <c r="O132" s="84" t="s">
        <v>1589</v>
      </c>
      <c r="P132" s="74" t="s">
        <v>1590</v>
      </c>
      <c r="Q132" s="74" t="s">
        <v>1643</v>
      </c>
      <c r="R132" s="74" t="s">
        <v>1644</v>
      </c>
      <c r="S132" s="61" t="s">
        <v>1593</v>
      </c>
      <c r="T132" s="56"/>
      <c r="U132" s="61" t="s">
        <v>1594</v>
      </c>
      <c r="V132" s="121" t="s">
        <v>2107</v>
      </c>
      <c r="W132" s="61" t="s">
        <v>1596</v>
      </c>
      <c r="X132" s="68" t="s">
        <v>2108</v>
      </c>
      <c r="Y132" s="61" t="s">
        <v>150</v>
      </c>
      <c r="Z132" s="61" t="s">
        <v>115</v>
      </c>
      <c r="AA132" s="68" t="s">
        <v>229</v>
      </c>
      <c r="AB132" s="61">
        <v>1</v>
      </c>
      <c r="AC132" s="61">
        <v>0</v>
      </c>
      <c r="AD132" s="61">
        <v>0</v>
      </c>
      <c r="AE132" s="61">
        <v>0</v>
      </c>
      <c r="AF132" s="71">
        <f>IF(W132="SOPORTE_TELEFÓNICO",'BASE LIQUIDACION'!$B$10,IF(Y132="TIPO I",'BASE LIQUIDACION'!$C$3,IF(Y132="TIPO II",'BASE LIQUIDACION'!$C$4,IF(Y132="TIPO III",'BASE LIQUIDACION'!$C$5,'BASE LIQUIDACION'!$C$7))))</f>
        <v>65960.473639999997</v>
      </c>
      <c r="AG132" s="72">
        <f>IF(W132="SOPORTE_TELEFÓNICO",'BASE LIQUIDACION'!$B$10,(AB132*AF132+AC132*'BASE LIQUIDACION'!$B$12+AD132*'BASE LIQUIDACION'!$B$11+INCIDENTES!AE132*'BASE LIQUIDACION'!$B$13))</f>
        <v>65960.473639999997</v>
      </c>
    </row>
    <row r="133" spans="1:33" s="4" customFormat="1">
      <c r="A133" s="61" t="s">
        <v>100</v>
      </c>
      <c r="B133" s="56" t="str">
        <f>VLOOKUP(A133,'CENTRO DE COSTOS'!A:D,4,FALSE)</f>
        <v>JUAN SEBASTIÁN RÍOS CASTRILLÓN</v>
      </c>
      <c r="C133" s="56" t="str">
        <f>VLOOKUP(A133,'CENTRO DE COSTOS'!A:D,2,FALSE)</f>
        <v>0004-0005</v>
      </c>
      <c r="D133" s="61">
        <v>5001</v>
      </c>
      <c r="E133" s="61">
        <v>2469591</v>
      </c>
      <c r="F133" s="61">
        <v>76359</v>
      </c>
      <c r="G133" s="56" t="s">
        <v>1586</v>
      </c>
      <c r="H133" s="61" t="s">
        <v>104</v>
      </c>
      <c r="I133" s="61" t="s">
        <v>100</v>
      </c>
      <c r="J133" s="61" t="s">
        <v>2109</v>
      </c>
      <c r="K133" s="56" t="s">
        <v>107</v>
      </c>
      <c r="L133" s="61" t="s">
        <v>2110</v>
      </c>
      <c r="M133" s="119">
        <v>45857.333333333336</v>
      </c>
      <c r="N133" s="119">
        <v>45857.523368055554</v>
      </c>
      <c r="O133" s="84" t="s">
        <v>1589</v>
      </c>
      <c r="P133" s="74" t="s">
        <v>1590</v>
      </c>
      <c r="Q133" s="74" t="s">
        <v>1643</v>
      </c>
      <c r="R133" s="74" t="s">
        <v>1644</v>
      </c>
      <c r="S133" s="61" t="s">
        <v>1593</v>
      </c>
      <c r="T133" s="56"/>
      <c r="U133" s="61" t="s">
        <v>1594</v>
      </c>
      <c r="V133" s="121" t="s">
        <v>2111</v>
      </c>
      <c r="W133" s="61" t="s">
        <v>1615</v>
      </c>
      <c r="X133" s="68">
        <v>0</v>
      </c>
      <c r="Y133" s="61" t="s">
        <v>150</v>
      </c>
      <c r="Z133" s="61" t="s">
        <v>115</v>
      </c>
      <c r="AA133" s="68" t="s">
        <v>1631</v>
      </c>
      <c r="AB133" s="61">
        <v>0</v>
      </c>
      <c r="AC133" s="61">
        <v>0</v>
      </c>
      <c r="AD133" s="61">
        <v>0</v>
      </c>
      <c r="AE133" s="61">
        <v>0</v>
      </c>
      <c r="AF133" s="71">
        <f>IF(W133="SOPORTE_TELEFÓNICO",'BASE LIQUIDACION'!$B$10,IF(Y133="TIPO I",'BASE LIQUIDACION'!$C$3,IF(Y133="TIPO II",'BASE LIQUIDACION'!$C$4,IF(Y133="TIPO III",'BASE LIQUIDACION'!$C$5,'BASE LIQUIDACION'!$C$7))))</f>
        <v>37904.65408</v>
      </c>
      <c r="AG133" s="72">
        <f>IF(W133="SOPORTE_TELEFÓNICO",'BASE LIQUIDACION'!$B$10,(AB133*AF133+AC133*'BASE LIQUIDACION'!$B$12+AD133*'BASE LIQUIDACION'!$B$11+INCIDENTES!AE133*'BASE LIQUIDACION'!$B$13))</f>
        <v>37904.65408</v>
      </c>
    </row>
    <row r="134" spans="1:33" s="4" customFormat="1">
      <c r="A134" s="61" t="s">
        <v>170</v>
      </c>
      <c r="B134" s="56" t="str">
        <f>VLOOKUP(A134,'CENTRO DE COSTOS'!A:D,4,FALSE)</f>
        <v>WILLIAM ASDRUBAL ROZO ROZO</v>
      </c>
      <c r="C134" s="56" t="str">
        <f>VLOOKUP(A134,'CENTRO DE COSTOS'!A:D,2,FALSE)</f>
        <v>0004-0004</v>
      </c>
      <c r="D134" s="61">
        <v>11001</v>
      </c>
      <c r="E134" s="61">
        <v>2462027</v>
      </c>
      <c r="F134" s="61">
        <v>75986</v>
      </c>
      <c r="G134" s="56" t="s">
        <v>1586</v>
      </c>
      <c r="H134" s="61" t="s">
        <v>172</v>
      </c>
      <c r="I134" s="61" t="s">
        <v>170</v>
      </c>
      <c r="J134" s="61" t="s">
        <v>2112</v>
      </c>
      <c r="K134" s="56" t="s">
        <v>107</v>
      </c>
      <c r="L134" s="61" t="s">
        <v>2113</v>
      </c>
      <c r="M134" s="119">
        <v>45855.54583333333</v>
      </c>
      <c r="N134" s="119">
        <v>45857.538472222222</v>
      </c>
      <c r="O134" s="84" t="s">
        <v>1589</v>
      </c>
      <c r="P134" s="74" t="s">
        <v>1590</v>
      </c>
      <c r="Q134" s="74" t="s">
        <v>1643</v>
      </c>
      <c r="R134" s="74" t="s">
        <v>1635</v>
      </c>
      <c r="S134" s="61" t="s">
        <v>1593</v>
      </c>
      <c r="T134" s="56"/>
      <c r="U134" s="61" t="s">
        <v>1594</v>
      </c>
      <c r="V134" s="121" t="s">
        <v>2114</v>
      </c>
      <c r="W134" s="61" t="s">
        <v>1596</v>
      </c>
      <c r="X134" s="68" t="s">
        <v>2115</v>
      </c>
      <c r="Y134" s="61" t="s">
        <v>150</v>
      </c>
      <c r="Z134" s="61" t="s">
        <v>115</v>
      </c>
      <c r="AA134" s="68" t="s">
        <v>1647</v>
      </c>
      <c r="AB134" s="61">
        <v>1</v>
      </c>
      <c r="AC134" s="61">
        <v>0</v>
      </c>
      <c r="AD134" s="61">
        <v>0</v>
      </c>
      <c r="AE134" s="61">
        <v>0</v>
      </c>
      <c r="AF134" s="71">
        <f>IF(W134="SOPORTE_TELEFÓNICO",'BASE LIQUIDACION'!$B$10,IF(Y134="TIPO I",'BASE LIQUIDACION'!$C$3,IF(Y134="TIPO II",'BASE LIQUIDACION'!$C$4,IF(Y134="TIPO III",'BASE LIQUIDACION'!$C$5,'BASE LIQUIDACION'!$C$7))))</f>
        <v>65960.473639999997</v>
      </c>
      <c r="AG134" s="72">
        <f>IF(W134="SOPORTE_TELEFÓNICO",'BASE LIQUIDACION'!$B$10,(AB134*AF134+AC134*'BASE LIQUIDACION'!$B$12+AD134*'BASE LIQUIDACION'!$B$11+INCIDENTES!AE134*'BASE LIQUIDACION'!$B$13))</f>
        <v>65960.473639999997</v>
      </c>
    </row>
    <row r="135" spans="1:33" s="4" customFormat="1">
      <c r="A135" s="61" t="s">
        <v>100</v>
      </c>
      <c r="B135" s="56" t="str">
        <f>VLOOKUP(A135,'CENTRO DE COSTOS'!A:D,4,FALSE)</f>
        <v>JUAN SEBASTIÁN RÍOS CASTRILLÓN</v>
      </c>
      <c r="C135" s="56" t="str">
        <f>VLOOKUP(A135,'CENTRO DE COSTOS'!A:D,2,FALSE)</f>
        <v>0004-0005</v>
      </c>
      <c r="D135" s="61">
        <v>5615</v>
      </c>
      <c r="E135" s="61">
        <v>2464099</v>
      </c>
      <c r="F135" s="61">
        <v>70990</v>
      </c>
      <c r="G135" s="56" t="s">
        <v>1586</v>
      </c>
      <c r="H135" s="61" t="s">
        <v>104</v>
      </c>
      <c r="I135" s="61" t="s">
        <v>608</v>
      </c>
      <c r="J135" s="61" t="s">
        <v>2116</v>
      </c>
      <c r="K135" s="56" t="s">
        <v>107</v>
      </c>
      <c r="L135" s="61" t="s">
        <v>2117</v>
      </c>
      <c r="M135" s="119">
        <v>45855.736111111109</v>
      </c>
      <c r="N135" s="119">
        <v>45857.567071759258</v>
      </c>
      <c r="O135" s="84" t="s">
        <v>1589</v>
      </c>
      <c r="P135" s="74" t="s">
        <v>1590</v>
      </c>
      <c r="Q135" s="74" t="s">
        <v>1601</v>
      </c>
      <c r="R135" s="74" t="s">
        <v>1728</v>
      </c>
      <c r="S135" s="61" t="s">
        <v>1593</v>
      </c>
      <c r="T135" s="56"/>
      <c r="U135" s="61" t="s">
        <v>1594</v>
      </c>
      <c r="V135" s="121" t="s">
        <v>2118</v>
      </c>
      <c r="W135" s="61" t="s">
        <v>1615</v>
      </c>
      <c r="X135" s="68">
        <v>0</v>
      </c>
      <c r="Y135" s="61" t="s">
        <v>139</v>
      </c>
      <c r="Z135" s="61" t="s">
        <v>115</v>
      </c>
      <c r="AA135" s="68" t="s">
        <v>1611</v>
      </c>
      <c r="AB135" s="61">
        <v>0</v>
      </c>
      <c r="AC135" s="61">
        <v>0</v>
      </c>
      <c r="AD135" s="61">
        <v>0</v>
      </c>
      <c r="AE135" s="61">
        <v>0</v>
      </c>
      <c r="AF135" s="71">
        <f>IF(W135="SOPORTE_TELEFÓNICO",'BASE LIQUIDACION'!$B$10,IF(Y135="TIPO I",'BASE LIQUIDACION'!$C$3,IF(Y135="TIPO II",'BASE LIQUIDACION'!$C$4,IF(Y135="TIPO III",'BASE LIQUIDACION'!$C$5,'BASE LIQUIDACION'!$C$7))))</f>
        <v>37904.65408</v>
      </c>
      <c r="AG135" s="72">
        <f>IF(W135="SOPORTE_TELEFÓNICO",'BASE LIQUIDACION'!$B$10,(AB135*AF135+AC135*'BASE LIQUIDACION'!$B$12+AD135*'BASE LIQUIDACION'!$B$11+INCIDENTES!AE135*'BASE LIQUIDACION'!$B$13))</f>
        <v>37904.65408</v>
      </c>
    </row>
    <row r="136" spans="1:33" s="4" customFormat="1">
      <c r="A136" s="61" t="s">
        <v>100</v>
      </c>
      <c r="B136" s="56" t="str">
        <f>VLOOKUP(A136,'CENTRO DE COSTOS'!A:D,4,FALSE)</f>
        <v>JUAN SEBASTIÁN RÍOS CASTRILLÓN</v>
      </c>
      <c r="C136" s="56" t="str">
        <f>VLOOKUP(A136,'CENTRO DE COSTOS'!A:D,2,FALSE)</f>
        <v>0004-0005</v>
      </c>
      <c r="D136" s="61">
        <v>5001</v>
      </c>
      <c r="E136" s="61">
        <v>2469134</v>
      </c>
      <c r="F136" s="61">
        <v>55662</v>
      </c>
      <c r="G136" s="56" t="s">
        <v>1586</v>
      </c>
      <c r="H136" s="61" t="s">
        <v>104</v>
      </c>
      <c r="I136" s="61" t="s">
        <v>100</v>
      </c>
      <c r="J136" s="61" t="s">
        <v>2119</v>
      </c>
      <c r="K136" s="56" t="s">
        <v>107</v>
      </c>
      <c r="L136" s="61" t="s">
        <v>2120</v>
      </c>
      <c r="M136" s="119">
        <v>45856.678472222222</v>
      </c>
      <c r="N136" s="119">
        <v>45857.607187499998</v>
      </c>
      <c r="O136" s="84" t="s">
        <v>1589</v>
      </c>
      <c r="P136" s="74" t="s">
        <v>1590</v>
      </c>
      <c r="Q136" s="74" t="s">
        <v>1591</v>
      </c>
      <c r="R136" s="74" t="s">
        <v>1592</v>
      </c>
      <c r="S136" s="61" t="s">
        <v>124</v>
      </c>
      <c r="T136" s="56"/>
      <c r="U136" s="61" t="s">
        <v>1594</v>
      </c>
      <c r="V136" s="121" t="s">
        <v>2121</v>
      </c>
      <c r="W136" s="61" t="s">
        <v>1615</v>
      </c>
      <c r="X136" s="68">
        <v>0</v>
      </c>
      <c r="Y136" s="61" t="s">
        <v>150</v>
      </c>
      <c r="Z136" s="61" t="s">
        <v>115</v>
      </c>
      <c r="AA136" s="68" t="s">
        <v>373</v>
      </c>
      <c r="AB136" s="61">
        <v>0</v>
      </c>
      <c r="AC136" s="61">
        <v>0</v>
      </c>
      <c r="AD136" s="61">
        <v>0</v>
      </c>
      <c r="AE136" s="61">
        <v>0</v>
      </c>
      <c r="AF136" s="71">
        <f>IF(W136="SOPORTE_TELEFÓNICO",'BASE LIQUIDACION'!$B$10,IF(Y136="TIPO I",'BASE LIQUIDACION'!$C$3,IF(Y136="TIPO II",'BASE LIQUIDACION'!$C$4,IF(Y136="TIPO III",'BASE LIQUIDACION'!$C$5,'BASE LIQUIDACION'!$C$7))))</f>
        <v>37904.65408</v>
      </c>
      <c r="AG136" s="72">
        <f>IF(W136="SOPORTE_TELEFÓNICO",'BASE LIQUIDACION'!$B$10,(AB136*AF136+AC136*'BASE LIQUIDACION'!$B$12+AD136*'BASE LIQUIDACION'!$B$11+INCIDENTES!AE136*'BASE LIQUIDACION'!$B$13))</f>
        <v>37904.65408</v>
      </c>
    </row>
    <row r="137" spans="1:33" s="4" customFormat="1">
      <c r="A137" s="61" t="s">
        <v>290</v>
      </c>
      <c r="B137" s="56" t="str">
        <f>VLOOKUP(A137,'CENTRO DE COSTOS'!A:D,4,FALSE)</f>
        <v>JOSE MAURICIO HERNANDEZ ROJAS</v>
      </c>
      <c r="C137" s="56" t="str">
        <f>VLOOKUP(A137,'CENTRO DE COSTOS'!A:D,2,FALSE)</f>
        <v>0004-0001</v>
      </c>
      <c r="D137" s="61">
        <v>23001</v>
      </c>
      <c r="E137" s="61" t="s">
        <v>2122</v>
      </c>
      <c r="F137" s="61">
        <v>73110</v>
      </c>
      <c r="G137" s="56" t="s">
        <v>1586</v>
      </c>
      <c r="H137" s="61" t="s">
        <v>292</v>
      </c>
      <c r="I137" s="61" t="s">
        <v>290</v>
      </c>
      <c r="J137" s="61" t="s">
        <v>2123</v>
      </c>
      <c r="K137" s="56" t="s">
        <v>107</v>
      </c>
      <c r="L137" s="61" t="s">
        <v>2124</v>
      </c>
      <c r="M137" s="119">
        <v>45856.702777777777</v>
      </c>
      <c r="N137" s="119">
        <v>45857.64166666667</v>
      </c>
      <c r="O137" s="84" t="s">
        <v>1589</v>
      </c>
      <c r="P137" s="74" t="s">
        <v>1590</v>
      </c>
      <c r="Q137" s="74" t="s">
        <v>1591</v>
      </c>
      <c r="R137" s="74" t="s">
        <v>1592</v>
      </c>
      <c r="S137" s="61" t="s">
        <v>124</v>
      </c>
      <c r="T137" s="56"/>
      <c r="U137" s="61" t="s">
        <v>1594</v>
      </c>
      <c r="V137" s="121" t="s">
        <v>2125</v>
      </c>
      <c r="W137" s="61" t="s">
        <v>1596</v>
      </c>
      <c r="X137" s="68" t="s">
        <v>2126</v>
      </c>
      <c r="Y137" s="61" t="s">
        <v>150</v>
      </c>
      <c r="Z137" s="61" t="s">
        <v>115</v>
      </c>
      <c r="AA137" s="68" t="s">
        <v>298</v>
      </c>
      <c r="AB137" s="61">
        <v>1</v>
      </c>
      <c r="AC137" s="61">
        <v>0</v>
      </c>
      <c r="AD137" s="61">
        <v>0</v>
      </c>
      <c r="AE137" s="61">
        <v>0</v>
      </c>
      <c r="AF137" s="71">
        <f>IF(W137="SOPORTE_TELEFÓNICO",'BASE LIQUIDACION'!$B$10,IF(Y137="TIPO I",'BASE LIQUIDACION'!$C$3,IF(Y137="TIPO II",'BASE LIQUIDACION'!$C$4,IF(Y137="TIPO III",'BASE LIQUIDACION'!$C$5,'BASE LIQUIDACION'!$C$7))))</f>
        <v>65960.473639999997</v>
      </c>
      <c r="AG137" s="72">
        <f>IF(W137="SOPORTE_TELEFÓNICO",'BASE LIQUIDACION'!$B$10,(AB137*AF137+AC137*'BASE LIQUIDACION'!$B$12+AD137*'BASE LIQUIDACION'!$B$11+INCIDENTES!AE137*'BASE LIQUIDACION'!$B$13))</f>
        <v>65960.473639999997</v>
      </c>
    </row>
    <row r="138" spans="1:33" s="4" customFormat="1">
      <c r="A138" s="61" t="s">
        <v>100</v>
      </c>
      <c r="B138" s="56" t="str">
        <f>VLOOKUP(A138,'CENTRO DE COSTOS'!A:D,4,FALSE)</f>
        <v>JUAN SEBASTIÁN RÍOS CASTRILLÓN</v>
      </c>
      <c r="C138" s="56" t="str">
        <f>VLOOKUP(A138,'CENTRO DE COSTOS'!A:D,2,FALSE)</f>
        <v>0004-0005</v>
      </c>
      <c r="D138" s="61">
        <v>5001</v>
      </c>
      <c r="E138" s="61">
        <v>2471002</v>
      </c>
      <c r="F138" s="61">
        <v>80416</v>
      </c>
      <c r="G138" s="56" t="s">
        <v>1586</v>
      </c>
      <c r="H138" s="61" t="s">
        <v>104</v>
      </c>
      <c r="I138" s="61" t="s">
        <v>100</v>
      </c>
      <c r="J138" s="61" t="s">
        <v>2127</v>
      </c>
      <c r="K138" s="56" t="s">
        <v>107</v>
      </c>
      <c r="L138" s="61" t="s">
        <v>2128</v>
      </c>
      <c r="M138" s="119">
        <v>45858.333333333336</v>
      </c>
      <c r="N138" s="119">
        <v>45858.47446759259</v>
      </c>
      <c r="O138" s="84" t="s">
        <v>1589</v>
      </c>
      <c r="P138" s="74" t="s">
        <v>1590</v>
      </c>
      <c r="Q138" s="74" t="s">
        <v>1601</v>
      </c>
      <c r="R138" s="74" t="s">
        <v>1602</v>
      </c>
      <c r="S138" s="61" t="s">
        <v>1593</v>
      </c>
      <c r="T138" s="56"/>
      <c r="U138" s="61" t="s">
        <v>1594</v>
      </c>
      <c r="V138" s="121" t="s">
        <v>2129</v>
      </c>
      <c r="W138" s="61" t="s">
        <v>1615</v>
      </c>
      <c r="X138" s="68">
        <v>0</v>
      </c>
      <c r="Y138" s="61" t="s">
        <v>150</v>
      </c>
      <c r="Z138" s="61" t="s">
        <v>115</v>
      </c>
      <c r="AA138" s="68" t="s">
        <v>221</v>
      </c>
      <c r="AB138" s="61">
        <v>0</v>
      </c>
      <c r="AC138" s="61">
        <v>0</v>
      </c>
      <c r="AD138" s="61">
        <v>0</v>
      </c>
      <c r="AE138" s="61">
        <v>0</v>
      </c>
      <c r="AF138" s="71">
        <f>IF(W138="SOPORTE_TELEFÓNICO",'BASE LIQUIDACION'!$B$10,IF(Y138="TIPO I",'BASE LIQUIDACION'!$C$3,IF(Y138="TIPO II",'BASE LIQUIDACION'!$C$4,IF(Y138="TIPO III",'BASE LIQUIDACION'!$C$5,'BASE LIQUIDACION'!$C$7))))</f>
        <v>37904.65408</v>
      </c>
      <c r="AG138" s="72">
        <f>IF(W138="SOPORTE_TELEFÓNICO",'BASE LIQUIDACION'!$B$10,(AB138*AF138+AC138*'BASE LIQUIDACION'!$B$12+AD138*'BASE LIQUIDACION'!$B$11+INCIDENTES!AE138*'BASE LIQUIDACION'!$B$13))</f>
        <v>37904.65408</v>
      </c>
    </row>
    <row r="139" spans="1:33" s="4" customFormat="1">
      <c r="A139" s="61" t="s">
        <v>248</v>
      </c>
      <c r="B139" s="56" t="str">
        <f>VLOOKUP(A139,'CENTRO DE COSTOS'!A:D,4,FALSE)</f>
        <v>KEVIN ALEXIS CORZO BUSTOS</v>
      </c>
      <c r="C139" s="56" t="str">
        <f>VLOOKUP(A139,'CENTRO DE COSTOS'!A:D,2,FALSE)</f>
        <v>0004-0007</v>
      </c>
      <c r="D139" s="61">
        <v>50001</v>
      </c>
      <c r="E139" s="61">
        <v>2471410</v>
      </c>
      <c r="F139" s="61">
        <v>77377</v>
      </c>
      <c r="G139" s="56" t="s">
        <v>1586</v>
      </c>
      <c r="H139" s="61" t="s">
        <v>250</v>
      </c>
      <c r="I139" s="61" t="s">
        <v>248</v>
      </c>
      <c r="J139" s="61" t="s">
        <v>2130</v>
      </c>
      <c r="K139" s="56" t="s">
        <v>107</v>
      </c>
      <c r="L139" s="61" t="s">
        <v>2131</v>
      </c>
      <c r="M139" s="119">
        <v>45858.443055555559</v>
      </c>
      <c r="N139" s="119">
        <v>45859.379861111112</v>
      </c>
      <c r="O139" s="84" t="s">
        <v>1589</v>
      </c>
      <c r="P139" s="74" t="s">
        <v>1590</v>
      </c>
      <c r="Q139" s="74" t="s">
        <v>1634</v>
      </c>
      <c r="R139" s="74" t="s">
        <v>1635</v>
      </c>
      <c r="S139" s="61" t="s">
        <v>1593</v>
      </c>
      <c r="T139" s="56"/>
      <c r="U139" s="61" t="s">
        <v>1594</v>
      </c>
      <c r="V139" s="121" t="s">
        <v>2132</v>
      </c>
      <c r="W139" s="61" t="s">
        <v>1596</v>
      </c>
      <c r="X139" s="68" t="s">
        <v>2133</v>
      </c>
      <c r="Y139" s="61" t="s">
        <v>150</v>
      </c>
      <c r="Z139" s="61" t="s">
        <v>115</v>
      </c>
      <c r="AA139" s="68" t="s">
        <v>255</v>
      </c>
      <c r="AB139" s="61">
        <v>1</v>
      </c>
      <c r="AC139" s="61">
        <v>0</v>
      </c>
      <c r="AD139" s="61">
        <v>0</v>
      </c>
      <c r="AE139" s="61">
        <v>0</v>
      </c>
      <c r="AF139" s="71">
        <f>IF(W139="SOPORTE_TELEFÓNICO",'BASE LIQUIDACION'!$B$10,IF(Y139="TIPO I",'BASE LIQUIDACION'!$C$3,IF(Y139="TIPO II",'BASE LIQUIDACION'!$C$4,IF(Y139="TIPO III",'BASE LIQUIDACION'!$C$5,'BASE LIQUIDACION'!$C$7))))</f>
        <v>65960.473639999997</v>
      </c>
      <c r="AG139" s="72">
        <f>IF(W139="SOPORTE_TELEFÓNICO",'BASE LIQUIDACION'!$B$10,(AB139*AF139+AC139*'BASE LIQUIDACION'!$B$12+AD139*'BASE LIQUIDACION'!$B$11+INCIDENTES!AE139*'BASE LIQUIDACION'!$B$13))</f>
        <v>65960.473639999997</v>
      </c>
    </row>
    <row r="140" spans="1:33" s="4" customFormat="1">
      <c r="A140" s="61" t="s">
        <v>100</v>
      </c>
      <c r="B140" s="56" t="str">
        <f>VLOOKUP(A140,'CENTRO DE COSTOS'!A:D,4,FALSE)</f>
        <v>JUAN SEBASTIÁN RÍOS CASTRILLÓN</v>
      </c>
      <c r="C140" s="56" t="str">
        <f>VLOOKUP(A140,'CENTRO DE COSTOS'!A:D,2,FALSE)</f>
        <v>0004-0005</v>
      </c>
      <c r="D140" s="61">
        <v>5318</v>
      </c>
      <c r="E140" s="61">
        <v>2471387</v>
      </c>
      <c r="F140" s="61">
        <v>70122</v>
      </c>
      <c r="G140" s="56" t="s">
        <v>1586</v>
      </c>
      <c r="H140" s="61" t="s">
        <v>104</v>
      </c>
      <c r="I140" s="61" t="s">
        <v>657</v>
      </c>
      <c r="J140" s="61" t="s">
        <v>2134</v>
      </c>
      <c r="K140" s="56" t="s">
        <v>107</v>
      </c>
      <c r="L140" s="61" t="s">
        <v>2135</v>
      </c>
      <c r="M140" s="119">
        <v>45858.716666666667</v>
      </c>
      <c r="N140" s="119">
        <v>45859.462500000001</v>
      </c>
      <c r="O140" s="84" t="s">
        <v>1589</v>
      </c>
      <c r="P140" s="74" t="s">
        <v>1590</v>
      </c>
      <c r="Q140" s="74" t="s">
        <v>1607</v>
      </c>
      <c r="R140" s="74" t="s">
        <v>1608</v>
      </c>
      <c r="S140" s="61" t="s">
        <v>124</v>
      </c>
      <c r="T140" s="56"/>
      <c r="U140" s="61" t="s">
        <v>1594</v>
      </c>
      <c r="V140" s="121" t="s">
        <v>2136</v>
      </c>
      <c r="W140" s="61" t="s">
        <v>1596</v>
      </c>
      <c r="X140" s="68" t="s">
        <v>2137</v>
      </c>
      <c r="Y140" s="61" t="s">
        <v>139</v>
      </c>
      <c r="Z140" s="61" t="s">
        <v>115</v>
      </c>
      <c r="AA140" s="68" t="s">
        <v>1611</v>
      </c>
      <c r="AB140" s="61">
        <v>1</v>
      </c>
      <c r="AC140" s="61">
        <v>0</v>
      </c>
      <c r="AD140" s="61">
        <v>0</v>
      </c>
      <c r="AE140" s="61">
        <v>0</v>
      </c>
      <c r="AF140" s="71">
        <f>IF(W140="SOPORTE_TELEFÓNICO",'BASE LIQUIDACION'!$B$10,IF(Y140="TIPO I",'BASE LIQUIDACION'!$C$3,IF(Y140="TIPO II",'BASE LIQUIDACION'!$C$4,IF(Y140="TIPO III",'BASE LIQUIDACION'!$C$5,'BASE LIQUIDACION'!$C$7))))</f>
        <v>163813.55812</v>
      </c>
      <c r="AG140" s="72">
        <f>IF(W140="SOPORTE_TELEFÓNICO",'BASE LIQUIDACION'!$B$10,(AB140*AF140+AC140*'BASE LIQUIDACION'!$B$12+AD140*'BASE LIQUIDACION'!$B$11+INCIDENTES!AE140*'BASE LIQUIDACION'!$B$13))</f>
        <v>163813.55812</v>
      </c>
    </row>
    <row r="141" spans="1:33" s="4" customFormat="1">
      <c r="A141" s="61" t="s">
        <v>100</v>
      </c>
      <c r="B141" s="56" t="str">
        <f>VLOOKUP(A141,'CENTRO DE COSTOS'!A:D,4,FALSE)</f>
        <v>JUAN SEBASTIÁN RÍOS CASTRILLÓN</v>
      </c>
      <c r="C141" s="56" t="str">
        <f>VLOOKUP(A141,'CENTRO DE COSTOS'!A:D,2,FALSE)</f>
        <v>0004-0005</v>
      </c>
      <c r="D141" s="61">
        <v>5390</v>
      </c>
      <c r="E141" s="61">
        <v>2470689</v>
      </c>
      <c r="F141" s="61">
        <v>42891</v>
      </c>
      <c r="G141" s="56" t="s">
        <v>1586</v>
      </c>
      <c r="H141" s="61" t="s">
        <v>104</v>
      </c>
      <c r="I141" s="61" t="s">
        <v>665</v>
      </c>
      <c r="J141" s="61" t="s">
        <v>2138</v>
      </c>
      <c r="K141" s="56" t="s">
        <v>107</v>
      </c>
      <c r="L141" s="61" t="s">
        <v>2139</v>
      </c>
      <c r="M141" s="119">
        <v>45857.742361111108</v>
      </c>
      <c r="N141" s="119">
        <v>45859.54791666667</v>
      </c>
      <c r="O141" s="84" t="s">
        <v>1589</v>
      </c>
      <c r="P141" s="74" t="s">
        <v>1590</v>
      </c>
      <c r="Q141" s="74" t="s">
        <v>1607</v>
      </c>
      <c r="R141" s="74" t="s">
        <v>1608</v>
      </c>
      <c r="S141" s="61" t="s">
        <v>1593</v>
      </c>
      <c r="T141" s="56"/>
      <c r="U141" s="61" t="s">
        <v>1594</v>
      </c>
      <c r="V141" s="121" t="s">
        <v>2140</v>
      </c>
      <c r="W141" s="61" t="s">
        <v>1596</v>
      </c>
      <c r="X141" s="68" t="s">
        <v>2141</v>
      </c>
      <c r="Y141" s="61" t="s">
        <v>139</v>
      </c>
      <c r="Z141" s="61" t="s">
        <v>115</v>
      </c>
      <c r="AA141" s="68" t="s">
        <v>1631</v>
      </c>
      <c r="AB141" s="61">
        <v>1</v>
      </c>
      <c r="AC141" s="61">
        <v>0</v>
      </c>
      <c r="AD141" s="61">
        <v>0</v>
      </c>
      <c r="AE141" s="61">
        <v>0</v>
      </c>
      <c r="AF141" s="71">
        <f>IF(W141="SOPORTE_TELEFÓNICO",'BASE LIQUIDACION'!$B$10,IF(Y141="TIPO I",'BASE LIQUIDACION'!$C$3,IF(Y141="TIPO II",'BASE LIQUIDACION'!$C$4,IF(Y141="TIPO III",'BASE LIQUIDACION'!$C$5,'BASE LIQUIDACION'!$C$7))))</f>
        <v>163813.55812</v>
      </c>
      <c r="AG141" s="72">
        <f>IF(W141="SOPORTE_TELEFÓNICO",'BASE LIQUIDACION'!$B$10,(AB141*AF141+AC141*'BASE LIQUIDACION'!$B$12+AD141*'BASE LIQUIDACION'!$B$11+INCIDENTES!AE141*'BASE LIQUIDACION'!$B$13))</f>
        <v>163813.55812</v>
      </c>
    </row>
    <row r="142" spans="1:33" s="4" customFormat="1">
      <c r="A142" s="61" t="s">
        <v>100</v>
      </c>
      <c r="B142" s="56" t="str">
        <f>VLOOKUP(A142,'CENTRO DE COSTOS'!A:D,4,FALSE)</f>
        <v>JUAN SEBASTIÁN RÍOS CASTRILLÓN</v>
      </c>
      <c r="C142" s="56" t="str">
        <f>VLOOKUP(A142,'CENTRO DE COSTOS'!A:D,2,FALSE)</f>
        <v>0004-0005</v>
      </c>
      <c r="D142" s="61">
        <v>5321</v>
      </c>
      <c r="E142" s="61">
        <v>2470794</v>
      </c>
      <c r="F142" s="61">
        <v>26800</v>
      </c>
      <c r="G142" s="56" t="s">
        <v>1586</v>
      </c>
      <c r="H142" s="61" t="s">
        <v>104</v>
      </c>
      <c r="I142" s="61" t="s">
        <v>658</v>
      </c>
      <c r="J142" s="61" t="s">
        <v>2142</v>
      </c>
      <c r="K142" s="56" t="s">
        <v>107</v>
      </c>
      <c r="L142" s="61" t="s">
        <v>2143</v>
      </c>
      <c r="M142" s="119">
        <v>45858.333333333336</v>
      </c>
      <c r="N142" s="119">
        <v>45859.558333333334</v>
      </c>
      <c r="O142" s="84" t="s">
        <v>1589</v>
      </c>
      <c r="P142" s="74" t="s">
        <v>1590</v>
      </c>
      <c r="Q142" s="74" t="s">
        <v>1601</v>
      </c>
      <c r="R142" s="74" t="s">
        <v>2144</v>
      </c>
      <c r="S142" s="61" t="s">
        <v>1593</v>
      </c>
      <c r="T142" s="56"/>
      <c r="U142" s="61" t="s">
        <v>1594</v>
      </c>
      <c r="V142" s="121" t="s">
        <v>2145</v>
      </c>
      <c r="W142" s="61" t="s">
        <v>1596</v>
      </c>
      <c r="X142" s="68" t="s">
        <v>2146</v>
      </c>
      <c r="Y142" s="61" t="s">
        <v>139</v>
      </c>
      <c r="Z142" s="61" t="s">
        <v>115</v>
      </c>
      <c r="AA142" s="68" t="s">
        <v>1611</v>
      </c>
      <c r="AB142" s="61">
        <v>1</v>
      </c>
      <c r="AC142" s="61">
        <v>0</v>
      </c>
      <c r="AD142" s="61">
        <v>0</v>
      </c>
      <c r="AE142" s="61">
        <v>0</v>
      </c>
      <c r="AF142" s="71">
        <f>IF(W142="SOPORTE_TELEFÓNICO",'BASE LIQUIDACION'!$B$10,IF(Y142="TIPO I",'BASE LIQUIDACION'!$C$3,IF(Y142="TIPO II",'BASE LIQUIDACION'!$C$4,IF(Y142="TIPO III",'BASE LIQUIDACION'!$C$5,'BASE LIQUIDACION'!$C$7))))</f>
        <v>163813.55812</v>
      </c>
      <c r="AG142" s="72">
        <f>IF(W142="SOPORTE_TELEFÓNICO",'BASE LIQUIDACION'!$B$10,(AB142*AF142+AC142*'BASE LIQUIDACION'!$B$12+AD142*'BASE LIQUIDACION'!$B$11+INCIDENTES!AE142*'BASE LIQUIDACION'!$B$13))</f>
        <v>163813.55812</v>
      </c>
    </row>
    <row r="143" spans="1:33" s="4" customFormat="1">
      <c r="A143" s="61" t="s">
        <v>100</v>
      </c>
      <c r="B143" s="56" t="str">
        <f>VLOOKUP(A143,'CENTRO DE COSTOS'!A:D,4,FALSE)</f>
        <v>JUAN SEBASTIÁN RÍOS CASTRILLÓN</v>
      </c>
      <c r="C143" s="56" t="str">
        <f>VLOOKUP(A143,'CENTRO DE COSTOS'!A:D,2,FALSE)</f>
        <v>0004-0005</v>
      </c>
      <c r="D143" s="61">
        <v>5360</v>
      </c>
      <c r="E143" s="61">
        <v>2474500</v>
      </c>
      <c r="F143" s="61">
        <v>31143</v>
      </c>
      <c r="G143" s="56" t="s">
        <v>1586</v>
      </c>
      <c r="H143" s="61" t="s">
        <v>104</v>
      </c>
      <c r="I143" s="61" t="s">
        <v>661</v>
      </c>
      <c r="J143" s="61" t="s">
        <v>2147</v>
      </c>
      <c r="K143" s="56" t="s">
        <v>107</v>
      </c>
      <c r="L143" s="61" t="s">
        <v>2148</v>
      </c>
      <c r="M143" s="119">
        <v>45859.444444444445</v>
      </c>
      <c r="N143" s="119">
        <v>45859.599305555559</v>
      </c>
      <c r="O143" s="84" t="s">
        <v>1589</v>
      </c>
      <c r="P143" s="74" t="s">
        <v>1590</v>
      </c>
      <c r="Q143" s="74" t="s">
        <v>1591</v>
      </c>
      <c r="R143" s="74" t="s">
        <v>1592</v>
      </c>
      <c r="S143" s="61" t="s">
        <v>124</v>
      </c>
      <c r="T143" s="56"/>
      <c r="U143" s="61" t="s">
        <v>1594</v>
      </c>
      <c r="V143" s="121" t="s">
        <v>2149</v>
      </c>
      <c r="W143" s="61" t="s">
        <v>1596</v>
      </c>
      <c r="X143" s="68" t="s">
        <v>2150</v>
      </c>
      <c r="Y143" s="61" t="s">
        <v>150</v>
      </c>
      <c r="Z143" s="61" t="s">
        <v>115</v>
      </c>
      <c r="AA143" s="68" t="s">
        <v>1721</v>
      </c>
      <c r="AB143" s="61">
        <v>1</v>
      </c>
      <c r="AC143" s="61">
        <v>0</v>
      </c>
      <c r="AD143" s="61">
        <v>0</v>
      </c>
      <c r="AE143" s="61">
        <v>0</v>
      </c>
      <c r="AF143" s="71">
        <f>IF(W143="SOPORTE_TELEFÓNICO",'BASE LIQUIDACION'!$B$10,IF(Y143="TIPO I",'BASE LIQUIDACION'!$C$3,IF(Y143="TIPO II",'BASE LIQUIDACION'!$C$4,IF(Y143="TIPO III",'BASE LIQUIDACION'!$C$5,'BASE LIQUIDACION'!$C$7))))</f>
        <v>65960.473639999997</v>
      </c>
      <c r="AG143" s="72">
        <f>IF(W143="SOPORTE_TELEFÓNICO",'BASE LIQUIDACION'!$B$10,(AB143*AF143+AC143*'BASE LIQUIDACION'!$B$12+AD143*'BASE LIQUIDACION'!$B$11+INCIDENTES!AE143*'BASE LIQUIDACION'!$B$13))</f>
        <v>65960.473639999997</v>
      </c>
    </row>
    <row r="144" spans="1:33" s="4" customFormat="1">
      <c r="A144" s="61" t="s">
        <v>100</v>
      </c>
      <c r="B144" s="56" t="str">
        <f>VLOOKUP(A144,'CENTRO DE COSTOS'!A:D,4,FALSE)</f>
        <v>JUAN SEBASTIÁN RÍOS CASTRILLÓN</v>
      </c>
      <c r="C144" s="56" t="str">
        <f>VLOOKUP(A144,'CENTRO DE COSTOS'!A:D,2,FALSE)</f>
        <v>0004-0005</v>
      </c>
      <c r="D144" s="61">
        <v>5088</v>
      </c>
      <c r="E144" s="61">
        <v>2474351</v>
      </c>
      <c r="F144" s="61">
        <v>36304</v>
      </c>
      <c r="G144" s="56" t="s">
        <v>1586</v>
      </c>
      <c r="H144" s="61" t="s">
        <v>104</v>
      </c>
      <c r="I144" s="61" t="s">
        <v>628</v>
      </c>
      <c r="J144" s="61" t="s">
        <v>2151</v>
      </c>
      <c r="K144" s="56" t="s">
        <v>107</v>
      </c>
      <c r="L144" s="61" t="s">
        <v>2152</v>
      </c>
      <c r="M144" s="119">
        <v>45859.443749999999</v>
      </c>
      <c r="N144" s="119">
        <v>45859.642361111109</v>
      </c>
      <c r="O144" s="84" t="s">
        <v>1589</v>
      </c>
      <c r="P144" s="74" t="s">
        <v>1590</v>
      </c>
      <c r="Q144" s="74" t="s">
        <v>1643</v>
      </c>
      <c r="R144" s="74" t="s">
        <v>1644</v>
      </c>
      <c r="S144" s="61" t="s">
        <v>124</v>
      </c>
      <c r="T144" s="56"/>
      <c r="U144" s="61" t="s">
        <v>1594</v>
      </c>
      <c r="V144" s="121" t="s">
        <v>2153</v>
      </c>
      <c r="W144" s="61" t="s">
        <v>1596</v>
      </c>
      <c r="X144" s="68" t="s">
        <v>2154</v>
      </c>
      <c r="Y144" s="61" t="s">
        <v>150</v>
      </c>
      <c r="Z144" s="61" t="s">
        <v>115</v>
      </c>
      <c r="AA144" s="68" t="s">
        <v>373</v>
      </c>
      <c r="AB144" s="61">
        <v>1</v>
      </c>
      <c r="AC144" s="61">
        <v>0</v>
      </c>
      <c r="AD144" s="61">
        <v>0</v>
      </c>
      <c r="AE144" s="61">
        <v>0</v>
      </c>
      <c r="AF144" s="71">
        <f>IF(W144="SOPORTE_TELEFÓNICO",'BASE LIQUIDACION'!$B$10,IF(Y144="TIPO I",'BASE LIQUIDACION'!$C$3,IF(Y144="TIPO II",'BASE LIQUIDACION'!$C$4,IF(Y144="TIPO III",'BASE LIQUIDACION'!$C$5,'BASE LIQUIDACION'!$C$7))))</f>
        <v>65960.473639999997</v>
      </c>
      <c r="AG144" s="72">
        <f>IF(W144="SOPORTE_TELEFÓNICO",'BASE LIQUIDACION'!$B$10,(AB144*AF144+AC144*'BASE LIQUIDACION'!$B$12+AD144*'BASE LIQUIDACION'!$B$11+INCIDENTES!AE144*'BASE LIQUIDACION'!$B$13))</f>
        <v>65960.473639999997</v>
      </c>
    </row>
    <row r="145" spans="1:33" s="4" customFormat="1">
      <c r="A145" s="61" t="s">
        <v>256</v>
      </c>
      <c r="B145" s="56" t="str">
        <f>VLOOKUP(A145,'CENTRO DE COSTOS'!A:D,4,FALSE)</f>
        <v>MIGUEL JULIÁN HERNÁNDEZ GUARÍN</v>
      </c>
      <c r="C145" s="56" t="str">
        <f>VLOOKUP(A145,'CENTRO DE COSTOS'!A:D,2,FALSE)</f>
        <v>0004-0008</v>
      </c>
      <c r="D145" s="61">
        <v>68001</v>
      </c>
      <c r="E145" s="61">
        <v>2477627</v>
      </c>
      <c r="F145" s="61">
        <v>48861</v>
      </c>
      <c r="G145" s="56" t="s">
        <v>1586</v>
      </c>
      <c r="H145" s="61" t="s">
        <v>258</v>
      </c>
      <c r="I145" s="61" t="s">
        <v>256</v>
      </c>
      <c r="J145" s="61" t="s">
        <v>1951</v>
      </c>
      <c r="K145" s="56" t="s">
        <v>107</v>
      </c>
      <c r="L145" s="61" t="s">
        <v>2155</v>
      </c>
      <c r="M145" s="119">
        <v>45859.65625</v>
      </c>
      <c r="N145" s="119">
        <v>45860.363888888889</v>
      </c>
      <c r="O145" s="84" t="s">
        <v>1589</v>
      </c>
      <c r="P145" s="74" t="s">
        <v>1590</v>
      </c>
      <c r="Q145" s="74" t="s">
        <v>1591</v>
      </c>
      <c r="R145" s="74" t="s">
        <v>1592</v>
      </c>
      <c r="S145" s="61" t="s">
        <v>1593</v>
      </c>
      <c r="T145" s="56"/>
      <c r="U145" s="61" t="s">
        <v>1594</v>
      </c>
      <c r="V145" s="121" t="s">
        <v>2156</v>
      </c>
      <c r="W145" s="61" t="s">
        <v>1615</v>
      </c>
      <c r="X145" s="68">
        <v>0</v>
      </c>
      <c r="Y145" s="61" t="s">
        <v>150</v>
      </c>
      <c r="Z145" s="61" t="s">
        <v>115</v>
      </c>
      <c r="AA145" s="68" t="s">
        <v>263</v>
      </c>
      <c r="AB145" s="61">
        <v>0</v>
      </c>
      <c r="AC145" s="61">
        <v>0</v>
      </c>
      <c r="AD145" s="61">
        <v>0</v>
      </c>
      <c r="AE145" s="61">
        <v>0</v>
      </c>
      <c r="AF145" s="71">
        <f>IF(W145="SOPORTE_TELEFÓNICO",'BASE LIQUIDACION'!$B$10,IF(Y145="TIPO I",'BASE LIQUIDACION'!$C$3,IF(Y145="TIPO II",'BASE LIQUIDACION'!$C$4,IF(Y145="TIPO III",'BASE LIQUIDACION'!$C$5,'BASE LIQUIDACION'!$C$7))))</f>
        <v>37904.65408</v>
      </c>
      <c r="AG145" s="72">
        <f>IF(W145="SOPORTE_TELEFÓNICO",'BASE LIQUIDACION'!$B$10,(AB145*AF145+AC145*'BASE LIQUIDACION'!$B$12+AD145*'BASE LIQUIDACION'!$B$11+INCIDENTES!AE145*'BASE LIQUIDACION'!$B$13))</f>
        <v>37904.65408</v>
      </c>
    </row>
    <row r="146" spans="1:33" s="4" customFormat="1">
      <c r="A146" s="61" t="s">
        <v>100</v>
      </c>
      <c r="B146" s="56" t="str">
        <f>VLOOKUP(A146,'CENTRO DE COSTOS'!A:D,4,FALSE)</f>
        <v>JUAN SEBASTIÁN RÍOS CASTRILLÓN</v>
      </c>
      <c r="C146" s="56" t="str">
        <f>VLOOKUP(A146,'CENTRO DE COSTOS'!A:D,2,FALSE)</f>
        <v>0004-0005</v>
      </c>
      <c r="D146" s="61">
        <v>5001</v>
      </c>
      <c r="E146" s="61">
        <v>2475753</v>
      </c>
      <c r="F146" s="61">
        <v>75242</v>
      </c>
      <c r="G146" s="56" t="s">
        <v>1586</v>
      </c>
      <c r="H146" s="61" t="s">
        <v>104</v>
      </c>
      <c r="I146" s="61" t="s">
        <v>100</v>
      </c>
      <c r="J146" s="61" t="s">
        <v>2157</v>
      </c>
      <c r="K146" s="56" t="s">
        <v>107</v>
      </c>
      <c r="L146" s="61" t="s">
        <v>2158</v>
      </c>
      <c r="M146" s="119">
        <v>45859.518055555556</v>
      </c>
      <c r="N146" s="119">
        <v>45860.422222222223</v>
      </c>
      <c r="O146" s="84" t="s">
        <v>1589</v>
      </c>
      <c r="P146" s="74" t="s">
        <v>1590</v>
      </c>
      <c r="Q146" s="74" t="s">
        <v>1591</v>
      </c>
      <c r="R146" s="74" t="s">
        <v>1592</v>
      </c>
      <c r="S146" s="61" t="s">
        <v>124</v>
      </c>
      <c r="T146" s="56"/>
      <c r="U146" s="61" t="s">
        <v>1594</v>
      </c>
      <c r="V146" s="121" t="s">
        <v>2159</v>
      </c>
      <c r="W146" s="61" t="s">
        <v>1596</v>
      </c>
      <c r="X146" s="68" t="s">
        <v>2160</v>
      </c>
      <c r="Y146" s="61" t="s">
        <v>150</v>
      </c>
      <c r="Z146" s="61" t="s">
        <v>115</v>
      </c>
      <c r="AA146" s="68" t="s">
        <v>1611</v>
      </c>
      <c r="AB146" s="61">
        <v>1</v>
      </c>
      <c r="AC146" s="61">
        <v>0</v>
      </c>
      <c r="AD146" s="61">
        <v>0</v>
      </c>
      <c r="AE146" s="61">
        <v>0</v>
      </c>
      <c r="AF146" s="71">
        <f>IF(W146="SOPORTE_TELEFÓNICO",'BASE LIQUIDACION'!$B$10,IF(Y146="TIPO I",'BASE LIQUIDACION'!$C$3,IF(Y146="TIPO II",'BASE LIQUIDACION'!$C$4,IF(Y146="TIPO III",'BASE LIQUIDACION'!$C$5,'BASE LIQUIDACION'!$C$7))))</f>
        <v>65960.473639999997</v>
      </c>
      <c r="AG146" s="72">
        <f>IF(W146="SOPORTE_TELEFÓNICO",'BASE LIQUIDACION'!$B$10,(AB146*AF146+AC146*'BASE LIQUIDACION'!$B$12+AD146*'BASE LIQUIDACION'!$B$11+INCIDENTES!AE146*'BASE LIQUIDACION'!$B$13))</f>
        <v>65960.473639999997</v>
      </c>
    </row>
    <row r="147" spans="1:33" s="4" customFormat="1">
      <c r="A147" s="61" t="s">
        <v>100</v>
      </c>
      <c r="B147" s="56" t="str">
        <f>VLOOKUP(A147,'CENTRO DE COSTOS'!A:D,4,FALSE)</f>
        <v>JUAN SEBASTIÁN RÍOS CASTRILLÓN</v>
      </c>
      <c r="C147" s="56" t="str">
        <f>VLOOKUP(A147,'CENTRO DE COSTOS'!A:D,2,FALSE)</f>
        <v>0004-0005</v>
      </c>
      <c r="D147" s="61">
        <v>5001</v>
      </c>
      <c r="E147" s="61">
        <v>2477975</v>
      </c>
      <c r="F147" s="61">
        <v>67241</v>
      </c>
      <c r="G147" s="56" t="s">
        <v>1586</v>
      </c>
      <c r="H147" s="61" t="s">
        <v>104</v>
      </c>
      <c r="I147" s="61" t="s">
        <v>100</v>
      </c>
      <c r="J147" s="61" t="s">
        <v>2161</v>
      </c>
      <c r="K147" s="56" t="s">
        <v>107</v>
      </c>
      <c r="L147" s="61" t="s">
        <v>2162</v>
      </c>
      <c r="M147" s="119">
        <v>45859.684027777781</v>
      </c>
      <c r="N147" s="119">
        <v>45860.445138888892</v>
      </c>
      <c r="O147" s="84" t="s">
        <v>1589</v>
      </c>
      <c r="P147" s="74" t="s">
        <v>1590</v>
      </c>
      <c r="Q147" s="74" t="s">
        <v>1696</v>
      </c>
      <c r="R147" s="74" t="s">
        <v>1697</v>
      </c>
      <c r="S147" s="61" t="s">
        <v>124</v>
      </c>
      <c r="T147" s="56"/>
      <c r="U147" s="61" t="s">
        <v>1594</v>
      </c>
      <c r="V147" s="121" t="s">
        <v>2163</v>
      </c>
      <c r="W147" s="61" t="s">
        <v>1596</v>
      </c>
      <c r="X147" s="68" t="s">
        <v>2164</v>
      </c>
      <c r="Y147" s="61" t="s">
        <v>150</v>
      </c>
      <c r="Z147" s="61" t="s">
        <v>115</v>
      </c>
      <c r="AA147" s="68" t="s">
        <v>1700</v>
      </c>
      <c r="AB147" s="61">
        <v>1</v>
      </c>
      <c r="AC147" s="61">
        <v>0</v>
      </c>
      <c r="AD147" s="61">
        <v>0</v>
      </c>
      <c r="AE147" s="61">
        <v>0</v>
      </c>
      <c r="AF147" s="71">
        <f>IF(W147="SOPORTE_TELEFÓNICO",'BASE LIQUIDACION'!$B$10,IF(Y147="TIPO I",'BASE LIQUIDACION'!$C$3,IF(Y147="TIPO II",'BASE LIQUIDACION'!$C$4,IF(Y147="TIPO III",'BASE LIQUIDACION'!$C$5,'BASE LIQUIDACION'!$C$7))))</f>
        <v>65960.473639999997</v>
      </c>
      <c r="AG147" s="72">
        <f>IF(W147="SOPORTE_TELEFÓNICO",'BASE LIQUIDACION'!$B$10,(AB147*AF147+AC147*'BASE LIQUIDACION'!$B$12+AD147*'BASE LIQUIDACION'!$B$11+INCIDENTES!AE147*'BASE LIQUIDACION'!$B$13))</f>
        <v>65960.473639999997</v>
      </c>
    </row>
    <row r="148" spans="1:33" s="4" customFormat="1">
      <c r="A148" s="61" t="s">
        <v>100</v>
      </c>
      <c r="B148" s="56" t="str">
        <f>VLOOKUP(A148,'CENTRO DE COSTOS'!A:D,4,FALSE)</f>
        <v>JUAN SEBASTIÁN RÍOS CASTRILLÓN</v>
      </c>
      <c r="C148" s="56" t="str">
        <f>VLOOKUP(A148,'CENTRO DE COSTOS'!A:D,2,FALSE)</f>
        <v>0004-0005</v>
      </c>
      <c r="D148" s="61">
        <v>5615</v>
      </c>
      <c r="E148" s="61">
        <v>2473206</v>
      </c>
      <c r="F148" s="61">
        <v>24951</v>
      </c>
      <c r="G148" s="56" t="s">
        <v>1586</v>
      </c>
      <c r="H148" s="61" t="s">
        <v>104</v>
      </c>
      <c r="I148" s="61" t="s">
        <v>608</v>
      </c>
      <c r="J148" s="61" t="s">
        <v>2165</v>
      </c>
      <c r="K148" s="56" t="s">
        <v>107</v>
      </c>
      <c r="L148" s="61" t="s">
        <v>2166</v>
      </c>
      <c r="M148" s="119">
        <v>45859.390277777777</v>
      </c>
      <c r="N148" s="119">
        <v>45860.465277777781</v>
      </c>
      <c r="O148" s="84" t="s">
        <v>1589</v>
      </c>
      <c r="P148" s="74" t="s">
        <v>1590</v>
      </c>
      <c r="Q148" s="74" t="s">
        <v>1607</v>
      </c>
      <c r="R148" s="74" t="s">
        <v>1608</v>
      </c>
      <c r="S148" s="61" t="s">
        <v>1593</v>
      </c>
      <c r="T148" s="56"/>
      <c r="U148" s="61" t="s">
        <v>1594</v>
      </c>
      <c r="V148" s="121" t="s">
        <v>2167</v>
      </c>
      <c r="W148" s="61" t="s">
        <v>1596</v>
      </c>
      <c r="X148" s="68" t="s">
        <v>2168</v>
      </c>
      <c r="Y148" s="61" t="s">
        <v>139</v>
      </c>
      <c r="Z148" s="61" t="s">
        <v>115</v>
      </c>
      <c r="AA148" s="68" t="s">
        <v>1631</v>
      </c>
      <c r="AB148" s="61">
        <v>1</v>
      </c>
      <c r="AC148" s="61">
        <v>0</v>
      </c>
      <c r="AD148" s="61">
        <v>0</v>
      </c>
      <c r="AE148" s="61">
        <v>0</v>
      </c>
      <c r="AF148" s="71">
        <f>IF(W148="SOPORTE_TELEFÓNICO",'BASE LIQUIDACION'!$B$10,IF(Y148="TIPO I",'BASE LIQUIDACION'!$C$3,IF(Y148="TIPO II",'BASE LIQUIDACION'!$C$4,IF(Y148="TIPO III",'BASE LIQUIDACION'!$C$5,'BASE LIQUIDACION'!$C$7))))</f>
        <v>163813.55812</v>
      </c>
      <c r="AG148" s="72">
        <f>IF(W148="SOPORTE_TELEFÓNICO",'BASE LIQUIDACION'!$B$10,(AB148*AF148+AC148*'BASE LIQUIDACION'!$B$12+AD148*'BASE LIQUIDACION'!$B$11+INCIDENTES!AE148*'BASE LIQUIDACION'!$B$13))</f>
        <v>163813.55812</v>
      </c>
    </row>
    <row r="149" spans="1:33" s="4" customFormat="1">
      <c r="A149" s="61" t="s">
        <v>161</v>
      </c>
      <c r="B149" s="56" t="str">
        <f>VLOOKUP(A149,'CENTRO DE COSTOS'!A:D,4,FALSE)</f>
        <v>DIEGO FERNANDO HENAO CARDONA</v>
      </c>
      <c r="C149" s="56" t="str">
        <f>VLOOKUP(A149,'CENTRO DE COSTOS'!A:D,2,FALSE)</f>
        <v>0004-0003</v>
      </c>
      <c r="D149" s="61">
        <v>76001</v>
      </c>
      <c r="E149" s="61">
        <v>2481884</v>
      </c>
      <c r="F149" s="61">
        <v>74801</v>
      </c>
      <c r="G149" s="56" t="s">
        <v>1586</v>
      </c>
      <c r="H149" s="61" t="s">
        <v>208</v>
      </c>
      <c r="I149" s="61" t="s">
        <v>161</v>
      </c>
      <c r="J149" s="61" t="s">
        <v>2169</v>
      </c>
      <c r="K149" s="56" t="s">
        <v>107</v>
      </c>
      <c r="L149" s="61" t="s">
        <v>2170</v>
      </c>
      <c r="M149" s="119">
        <v>45860.381249999999</v>
      </c>
      <c r="N149" s="119">
        <v>45860.488194444442</v>
      </c>
      <c r="O149" s="84" t="s">
        <v>1589</v>
      </c>
      <c r="P149" s="74" t="s">
        <v>1668</v>
      </c>
      <c r="Q149" s="74" t="s">
        <v>1669</v>
      </c>
      <c r="R149" s="74" t="s">
        <v>1736</v>
      </c>
      <c r="S149" s="61" t="s">
        <v>1593</v>
      </c>
      <c r="T149" s="56"/>
      <c r="U149" s="61" t="s">
        <v>1594</v>
      </c>
      <c r="V149" s="121" t="s">
        <v>2171</v>
      </c>
      <c r="W149" s="61" t="s">
        <v>1596</v>
      </c>
      <c r="X149" s="68" t="s">
        <v>2172</v>
      </c>
      <c r="Y149" s="61" t="s">
        <v>150</v>
      </c>
      <c r="Z149" s="61" t="s">
        <v>115</v>
      </c>
      <c r="AA149" s="68" t="s">
        <v>393</v>
      </c>
      <c r="AB149" s="61">
        <v>1</v>
      </c>
      <c r="AC149" s="61">
        <v>0</v>
      </c>
      <c r="AD149" s="61">
        <v>0</v>
      </c>
      <c r="AE149" s="61">
        <v>0</v>
      </c>
      <c r="AF149" s="71">
        <f>IF(W149="SOPORTE_TELEFÓNICO",'BASE LIQUIDACION'!$B$10,IF(Y149="TIPO I",'BASE LIQUIDACION'!$C$3,IF(Y149="TIPO II",'BASE LIQUIDACION'!$C$4,IF(Y149="TIPO III",'BASE LIQUIDACION'!$C$5,'BASE LIQUIDACION'!$C$7))))</f>
        <v>65960.473639999997</v>
      </c>
      <c r="AG149" s="72">
        <f>IF(W149="SOPORTE_TELEFÓNICO",'BASE LIQUIDACION'!$B$10,(AB149*AF149+AC149*'BASE LIQUIDACION'!$B$12+AD149*'BASE LIQUIDACION'!$B$11+INCIDENTES!AE149*'BASE LIQUIDACION'!$B$13))</f>
        <v>65960.473639999997</v>
      </c>
    </row>
    <row r="150" spans="1:33" s="4" customFormat="1">
      <c r="A150" s="61" t="s">
        <v>100</v>
      </c>
      <c r="B150" s="56" t="str">
        <f>VLOOKUP(A150,'CENTRO DE COSTOS'!A:D,4,FALSE)</f>
        <v>JUAN SEBASTIÁN RÍOS CASTRILLÓN</v>
      </c>
      <c r="C150" s="56" t="str">
        <f>VLOOKUP(A150,'CENTRO DE COSTOS'!A:D,2,FALSE)</f>
        <v>0004-0005</v>
      </c>
      <c r="D150" s="61">
        <v>5266</v>
      </c>
      <c r="E150" s="61">
        <v>2483262</v>
      </c>
      <c r="F150" s="61">
        <v>20834</v>
      </c>
      <c r="G150" s="56" t="s">
        <v>1586</v>
      </c>
      <c r="H150" s="61" t="s">
        <v>104</v>
      </c>
      <c r="I150" s="61" t="s">
        <v>651</v>
      </c>
      <c r="J150" s="61" t="s">
        <v>2173</v>
      </c>
      <c r="K150" s="56" t="s">
        <v>107</v>
      </c>
      <c r="L150" s="61" t="s">
        <v>2174</v>
      </c>
      <c r="M150" s="119">
        <v>45860.45416666667</v>
      </c>
      <c r="N150" s="119">
        <v>45860.675694444442</v>
      </c>
      <c r="O150" s="84" t="s">
        <v>1589</v>
      </c>
      <c r="P150" s="74" t="s">
        <v>1590</v>
      </c>
      <c r="Q150" s="74" t="s">
        <v>1591</v>
      </c>
      <c r="R150" s="74" t="s">
        <v>1592</v>
      </c>
      <c r="S150" s="61" t="s">
        <v>1593</v>
      </c>
      <c r="T150" s="56"/>
      <c r="U150" s="61" t="s">
        <v>1594</v>
      </c>
      <c r="V150" s="121" t="s">
        <v>2175</v>
      </c>
      <c r="W150" s="61" t="s">
        <v>1596</v>
      </c>
      <c r="X150" s="68" t="s">
        <v>2176</v>
      </c>
      <c r="Y150" s="61" t="s">
        <v>150</v>
      </c>
      <c r="Z150" s="61" t="s">
        <v>115</v>
      </c>
      <c r="AA150" s="68" t="s">
        <v>1721</v>
      </c>
      <c r="AB150" s="61">
        <v>1</v>
      </c>
      <c r="AC150" s="61">
        <v>0</v>
      </c>
      <c r="AD150" s="61">
        <v>0</v>
      </c>
      <c r="AE150" s="61">
        <v>0</v>
      </c>
      <c r="AF150" s="71">
        <f>IF(W150="SOPORTE_TELEFÓNICO",'BASE LIQUIDACION'!$B$10,IF(Y150="TIPO I",'BASE LIQUIDACION'!$C$3,IF(Y150="TIPO II",'BASE LIQUIDACION'!$C$4,IF(Y150="TIPO III",'BASE LIQUIDACION'!$C$5,'BASE LIQUIDACION'!$C$7))))</f>
        <v>65960.473639999997</v>
      </c>
      <c r="AG150" s="72">
        <f>IF(W150="SOPORTE_TELEFÓNICO",'BASE LIQUIDACION'!$B$10,(AB150*AF150+AC150*'BASE LIQUIDACION'!$B$12+AD150*'BASE LIQUIDACION'!$B$11+INCIDENTES!AE150*'BASE LIQUIDACION'!$B$13))</f>
        <v>65960.473639999997</v>
      </c>
    </row>
    <row r="151" spans="1:33" s="4" customFormat="1">
      <c r="A151" s="61" t="s">
        <v>100</v>
      </c>
      <c r="B151" s="56" t="str">
        <f>VLOOKUP(A151,'CENTRO DE COSTOS'!A:D,4,FALSE)</f>
        <v>JUAN SEBASTIÁN RÍOS CASTRILLÓN</v>
      </c>
      <c r="C151" s="56" t="str">
        <f>VLOOKUP(A151,'CENTRO DE COSTOS'!A:D,2,FALSE)</f>
        <v>0004-0005</v>
      </c>
      <c r="D151" s="61">
        <v>5001</v>
      </c>
      <c r="E151" s="61">
        <v>2483163</v>
      </c>
      <c r="F151" s="61">
        <v>37589</v>
      </c>
      <c r="G151" s="56" t="s">
        <v>1586</v>
      </c>
      <c r="H151" s="61" t="s">
        <v>104</v>
      </c>
      <c r="I151" s="61" t="s">
        <v>100</v>
      </c>
      <c r="J151" s="61" t="s">
        <v>2177</v>
      </c>
      <c r="K151" s="56" t="s">
        <v>107</v>
      </c>
      <c r="L151" s="61" t="s">
        <v>2178</v>
      </c>
      <c r="M151" s="119">
        <v>45860.443055555559</v>
      </c>
      <c r="N151" s="119">
        <v>45860.678472222222</v>
      </c>
      <c r="O151" s="84" t="s">
        <v>1589</v>
      </c>
      <c r="P151" s="74" t="s">
        <v>1590</v>
      </c>
      <c r="Q151" s="74" t="s">
        <v>1607</v>
      </c>
      <c r="R151" s="74" t="s">
        <v>1608</v>
      </c>
      <c r="S151" s="61" t="s">
        <v>124</v>
      </c>
      <c r="T151" s="56"/>
      <c r="U151" s="61" t="s">
        <v>1594</v>
      </c>
      <c r="V151" s="121" t="s">
        <v>2179</v>
      </c>
      <c r="W151" s="61" t="s">
        <v>1596</v>
      </c>
      <c r="X151" s="68" t="s">
        <v>2180</v>
      </c>
      <c r="Y151" s="61" t="s">
        <v>150</v>
      </c>
      <c r="Z151" s="61" t="s">
        <v>115</v>
      </c>
      <c r="AA151" s="68" t="s">
        <v>1611</v>
      </c>
      <c r="AB151" s="61">
        <v>1</v>
      </c>
      <c r="AC151" s="61">
        <v>0</v>
      </c>
      <c r="AD151" s="61">
        <v>0</v>
      </c>
      <c r="AE151" s="61">
        <v>0</v>
      </c>
      <c r="AF151" s="71">
        <f>IF(W151="SOPORTE_TELEFÓNICO",'BASE LIQUIDACION'!$B$10,IF(Y151="TIPO I",'BASE LIQUIDACION'!$C$3,IF(Y151="TIPO II",'BASE LIQUIDACION'!$C$4,IF(Y151="TIPO III",'BASE LIQUIDACION'!$C$5,'BASE LIQUIDACION'!$C$7))))</f>
        <v>65960.473639999997</v>
      </c>
      <c r="AG151" s="72">
        <f>IF(W151="SOPORTE_TELEFÓNICO",'BASE LIQUIDACION'!$B$10,(AB151*AF151+AC151*'BASE LIQUIDACION'!$B$12+AD151*'BASE LIQUIDACION'!$B$11+INCIDENTES!AE151*'BASE LIQUIDACION'!$B$13))</f>
        <v>65960.473639999997</v>
      </c>
    </row>
    <row r="152" spans="1:33" s="4" customFormat="1">
      <c r="A152" s="61" t="s">
        <v>130</v>
      </c>
      <c r="B152" s="56" t="str">
        <f>VLOOKUP(A152,'CENTRO DE COSTOS'!A:D,4,FALSE)</f>
        <v>DIEGO FERNANDO HENAO CARDONA</v>
      </c>
      <c r="C152" s="56" t="str">
        <f>VLOOKUP(A152,'CENTRO DE COSTOS'!A:D,2,FALSE)</f>
        <v>0004-0002</v>
      </c>
      <c r="D152" s="61">
        <v>63130</v>
      </c>
      <c r="E152" s="61">
        <v>2487225</v>
      </c>
      <c r="F152" s="61">
        <v>33639</v>
      </c>
      <c r="G152" s="56" t="s">
        <v>1586</v>
      </c>
      <c r="H152" s="61" t="s">
        <v>1377</v>
      </c>
      <c r="I152" s="61" t="s">
        <v>1378</v>
      </c>
      <c r="J152" s="61" t="s">
        <v>2181</v>
      </c>
      <c r="K152" s="56" t="s">
        <v>107</v>
      </c>
      <c r="L152" s="61" t="s">
        <v>2182</v>
      </c>
      <c r="M152" s="119">
        <v>45861.333333333336</v>
      </c>
      <c r="N152" s="119">
        <v>45861.417361111111</v>
      </c>
      <c r="O152" s="84" t="s">
        <v>1589</v>
      </c>
      <c r="P152" s="74" t="s">
        <v>1590</v>
      </c>
      <c r="Q152" s="74" t="s">
        <v>1591</v>
      </c>
      <c r="R152" s="74" t="s">
        <v>1592</v>
      </c>
      <c r="S152" s="61" t="s">
        <v>1593</v>
      </c>
      <c r="T152" s="56"/>
      <c r="U152" s="61" t="s">
        <v>1594</v>
      </c>
      <c r="V152" s="121" t="s">
        <v>2183</v>
      </c>
      <c r="W152" s="61" t="s">
        <v>1596</v>
      </c>
      <c r="X152" s="68" t="s">
        <v>2184</v>
      </c>
      <c r="Y152" s="61" t="s">
        <v>139</v>
      </c>
      <c r="Z152" s="61" t="s">
        <v>115</v>
      </c>
      <c r="AA152" s="68" t="s">
        <v>1851</v>
      </c>
      <c r="AB152" s="61">
        <v>1</v>
      </c>
      <c r="AC152" s="61">
        <v>0</v>
      </c>
      <c r="AD152" s="61">
        <v>0</v>
      </c>
      <c r="AE152" s="61">
        <v>0</v>
      </c>
      <c r="AF152" s="71">
        <f>IF(W152="SOPORTE_TELEFÓNICO",'BASE LIQUIDACION'!$B$10,IF(Y152="TIPO I",'BASE LIQUIDACION'!$C$3,IF(Y152="TIPO II",'BASE LIQUIDACION'!$C$4,IF(Y152="TIPO III",'BASE LIQUIDACION'!$C$5,'BASE LIQUIDACION'!$C$7))))</f>
        <v>163813.55812</v>
      </c>
      <c r="AG152" s="72">
        <f>IF(W152="SOPORTE_TELEFÓNICO",'BASE LIQUIDACION'!$B$10,(AB152*AF152+AC152*'BASE LIQUIDACION'!$B$12+AD152*'BASE LIQUIDACION'!$B$11+INCIDENTES!AE152*'BASE LIQUIDACION'!$B$13))</f>
        <v>163813.55812</v>
      </c>
    </row>
    <row r="153" spans="1:33" s="4" customFormat="1">
      <c r="A153" s="61" t="s">
        <v>222</v>
      </c>
      <c r="B153" s="56" t="str">
        <f>VLOOKUP(A153,'CENTRO DE COSTOS'!A:D,4,FALSE)</f>
        <v>MIGUEL JULIÁN HERNÁNDEZ GUARÍN</v>
      </c>
      <c r="C153" s="56" t="str">
        <f>VLOOKUP(A153,'CENTRO DE COSTOS'!A:D,2,FALSE)</f>
        <v>0004-0008</v>
      </c>
      <c r="D153" s="61">
        <v>54498</v>
      </c>
      <c r="E153" s="61">
        <v>2468356</v>
      </c>
      <c r="F153" s="61">
        <v>71623</v>
      </c>
      <c r="G153" s="56" t="s">
        <v>1586</v>
      </c>
      <c r="H153" s="61" t="s">
        <v>224</v>
      </c>
      <c r="I153" s="61" t="s">
        <v>1354</v>
      </c>
      <c r="J153" s="61" t="s">
        <v>2185</v>
      </c>
      <c r="K153" s="56" t="s">
        <v>107</v>
      </c>
      <c r="L153" s="61" t="s">
        <v>2186</v>
      </c>
      <c r="M153" s="119">
        <v>45856.605555555558</v>
      </c>
      <c r="N153" s="119">
        <v>45861.490972222222</v>
      </c>
      <c r="O153" s="84" t="s">
        <v>1589</v>
      </c>
      <c r="P153" s="74" t="s">
        <v>1590</v>
      </c>
      <c r="Q153" s="74" t="s">
        <v>1601</v>
      </c>
      <c r="R153" s="74" t="s">
        <v>1602</v>
      </c>
      <c r="S153" s="61" t="s">
        <v>1593</v>
      </c>
      <c r="T153" s="56"/>
      <c r="U153" s="61" t="s">
        <v>1594</v>
      </c>
      <c r="V153" s="121" t="s">
        <v>2187</v>
      </c>
      <c r="W153" s="61" t="s">
        <v>1596</v>
      </c>
      <c r="X153" s="68" t="s">
        <v>2188</v>
      </c>
      <c r="Y153" s="61" t="s">
        <v>128</v>
      </c>
      <c r="Z153" s="61" t="s">
        <v>115</v>
      </c>
      <c r="AA153" s="68" t="s">
        <v>2104</v>
      </c>
      <c r="AB153" s="61">
        <v>1</v>
      </c>
      <c r="AC153" s="61">
        <v>0</v>
      </c>
      <c r="AD153" s="61">
        <v>0</v>
      </c>
      <c r="AE153" s="61">
        <v>0</v>
      </c>
      <c r="AF153" s="71">
        <f>IF(W153="SOPORTE_TELEFÓNICO",'BASE LIQUIDACION'!$B$10,IF(Y153="TIPO I",'BASE LIQUIDACION'!$C$3,IF(Y153="TIPO II",'BASE LIQUIDACION'!$C$4,IF(Y153="TIPO III",'BASE LIQUIDACION'!$C$5,'BASE LIQUIDACION'!$C$7))))</f>
        <v>479589.73656000005</v>
      </c>
      <c r="AG153" s="72">
        <f>IF(W153="SOPORTE_TELEFÓNICO",'BASE LIQUIDACION'!$B$10,(AB153*AF153+AC153*'BASE LIQUIDACION'!$B$12+AD153*'BASE LIQUIDACION'!$B$11+INCIDENTES!AE153*'BASE LIQUIDACION'!$B$13))</f>
        <v>479589.73656000005</v>
      </c>
    </row>
    <row r="154" spans="1:33" s="4" customFormat="1">
      <c r="A154" s="61" t="s">
        <v>130</v>
      </c>
      <c r="B154" s="56" t="str">
        <f>VLOOKUP(A154,'CENTRO DE COSTOS'!A:D,4,FALSE)</f>
        <v>DIEGO FERNANDO HENAO CARDONA</v>
      </c>
      <c r="C154" s="56" t="str">
        <f>VLOOKUP(A154,'CENTRO DE COSTOS'!A:D,2,FALSE)</f>
        <v>0004-0002</v>
      </c>
      <c r="D154" s="61">
        <v>66001</v>
      </c>
      <c r="E154" s="61">
        <v>2487156</v>
      </c>
      <c r="F154" s="61">
        <v>78610</v>
      </c>
      <c r="G154" s="56" t="s">
        <v>1586</v>
      </c>
      <c r="H154" s="61" t="s">
        <v>133</v>
      </c>
      <c r="I154" s="61" t="s">
        <v>130</v>
      </c>
      <c r="J154" s="61" t="s">
        <v>2189</v>
      </c>
      <c r="K154" s="56" t="s">
        <v>107</v>
      </c>
      <c r="L154" s="61" t="s">
        <v>2190</v>
      </c>
      <c r="M154" s="119">
        <v>45861.333333333336</v>
      </c>
      <c r="N154" s="119">
        <v>45861.515972222223</v>
      </c>
      <c r="O154" s="84" t="s">
        <v>1589</v>
      </c>
      <c r="P154" s="74" t="s">
        <v>1590</v>
      </c>
      <c r="Q154" s="74" t="s">
        <v>1643</v>
      </c>
      <c r="R154" s="74" t="s">
        <v>1635</v>
      </c>
      <c r="S154" s="61" t="s">
        <v>1593</v>
      </c>
      <c r="T154" s="56"/>
      <c r="U154" s="61" t="s">
        <v>1594</v>
      </c>
      <c r="V154" s="121" t="s">
        <v>2191</v>
      </c>
      <c r="W154" s="61" t="s">
        <v>1596</v>
      </c>
      <c r="X154" s="68" t="s">
        <v>2192</v>
      </c>
      <c r="Y154" s="61" t="s">
        <v>150</v>
      </c>
      <c r="Z154" s="61" t="s">
        <v>115</v>
      </c>
      <c r="AA154" s="68" t="s">
        <v>2193</v>
      </c>
      <c r="AB154" s="61">
        <v>1</v>
      </c>
      <c r="AC154" s="61">
        <v>0</v>
      </c>
      <c r="AD154" s="61">
        <v>0</v>
      </c>
      <c r="AE154" s="61">
        <v>0</v>
      </c>
      <c r="AF154" s="71">
        <f>IF(W154="SOPORTE_TELEFÓNICO",'BASE LIQUIDACION'!$B$10,IF(Y154="TIPO I",'BASE LIQUIDACION'!$C$3,IF(Y154="TIPO II",'BASE LIQUIDACION'!$C$4,IF(Y154="TIPO III",'BASE LIQUIDACION'!$C$5,'BASE LIQUIDACION'!$C$7))))</f>
        <v>65960.473639999997</v>
      </c>
      <c r="AG154" s="72">
        <f>IF(W154="SOPORTE_TELEFÓNICO",'BASE LIQUIDACION'!$B$10,(AB154*AF154+AC154*'BASE LIQUIDACION'!$B$12+AD154*'BASE LIQUIDACION'!$B$11+INCIDENTES!AE154*'BASE LIQUIDACION'!$B$13))</f>
        <v>65960.473639999997</v>
      </c>
    </row>
    <row r="155" spans="1:33" s="4" customFormat="1">
      <c r="A155" s="61" t="s">
        <v>222</v>
      </c>
      <c r="B155" s="56" t="str">
        <f>VLOOKUP(A155,'CENTRO DE COSTOS'!A:D,4,FALSE)</f>
        <v>MIGUEL JULIÁN HERNÁNDEZ GUARÍN</v>
      </c>
      <c r="C155" s="56" t="str">
        <f>VLOOKUP(A155,'CENTRO DE COSTOS'!A:D,2,FALSE)</f>
        <v>0004-0008</v>
      </c>
      <c r="D155" s="61">
        <v>54498</v>
      </c>
      <c r="E155" s="61">
        <v>2470785</v>
      </c>
      <c r="F155" s="61">
        <v>50734</v>
      </c>
      <c r="G155" s="56" t="s">
        <v>1586</v>
      </c>
      <c r="H155" s="61" t="s">
        <v>224</v>
      </c>
      <c r="I155" s="61" t="s">
        <v>1354</v>
      </c>
      <c r="J155" s="61" t="s">
        <v>2194</v>
      </c>
      <c r="K155" s="56" t="s">
        <v>107</v>
      </c>
      <c r="L155" s="61" t="s">
        <v>2195</v>
      </c>
      <c r="M155" s="119">
        <v>45858.333333333336</v>
      </c>
      <c r="N155" s="119">
        <v>45861.527777777781</v>
      </c>
      <c r="O155" s="84"/>
      <c r="P155" s="74" t="s">
        <v>1590</v>
      </c>
      <c r="Q155" s="74" t="s">
        <v>1643</v>
      </c>
      <c r="R155" s="74" t="s">
        <v>1635</v>
      </c>
      <c r="S155" s="61" t="s">
        <v>1593</v>
      </c>
      <c r="T155" s="56"/>
      <c r="U155" s="61" t="s">
        <v>1594</v>
      </c>
      <c r="V155" s="121" t="s">
        <v>2196</v>
      </c>
      <c r="W155" s="61" t="s">
        <v>1615</v>
      </c>
      <c r="X155" s="68">
        <v>0</v>
      </c>
      <c r="Y155" s="61" t="s">
        <v>128</v>
      </c>
      <c r="Z155" s="61" t="s">
        <v>115</v>
      </c>
      <c r="AA155" s="68" t="s">
        <v>2104</v>
      </c>
      <c r="AB155" s="61">
        <v>0</v>
      </c>
      <c r="AC155" s="61">
        <v>0</v>
      </c>
      <c r="AD155" s="61">
        <v>0</v>
      </c>
      <c r="AE155" s="61">
        <v>0</v>
      </c>
      <c r="AF155" s="71">
        <f>IF(W155="SOPORTE_TELEFÓNICO",'BASE LIQUIDACION'!$B$10,IF(Y155="TIPO I",'BASE LIQUIDACION'!$C$3,IF(Y155="TIPO II",'BASE LIQUIDACION'!$C$4,IF(Y155="TIPO III",'BASE LIQUIDACION'!$C$5,'BASE LIQUIDACION'!$C$7))))</f>
        <v>37904.65408</v>
      </c>
      <c r="AG155" s="72">
        <f>IF(W155="SOPORTE_TELEFÓNICO",'BASE LIQUIDACION'!$B$10,(AB155*AF155+AC155*'BASE LIQUIDACION'!$B$12+AD155*'BASE LIQUIDACION'!$B$11+INCIDENTES!AE155*'BASE LIQUIDACION'!$B$13))</f>
        <v>37904.65408</v>
      </c>
    </row>
    <row r="156" spans="1:33" s="4" customFormat="1">
      <c r="A156" s="61" t="s">
        <v>100</v>
      </c>
      <c r="B156" s="56" t="str">
        <f>VLOOKUP(A156,'CENTRO DE COSTOS'!A:D,4,FALSE)</f>
        <v>JUAN SEBASTIÁN RÍOS CASTRILLÓN</v>
      </c>
      <c r="C156" s="56" t="str">
        <f>VLOOKUP(A156,'CENTRO DE COSTOS'!A:D,2,FALSE)</f>
        <v>0004-0005</v>
      </c>
      <c r="D156" s="61">
        <v>5631</v>
      </c>
      <c r="E156" s="61">
        <v>2489605</v>
      </c>
      <c r="F156" s="61">
        <v>79928</v>
      </c>
      <c r="G156" s="56" t="s">
        <v>1586</v>
      </c>
      <c r="H156" s="61" t="s">
        <v>104</v>
      </c>
      <c r="I156" s="61" t="s">
        <v>684</v>
      </c>
      <c r="J156" s="61" t="s">
        <v>2197</v>
      </c>
      <c r="K156" s="56" t="s">
        <v>107</v>
      </c>
      <c r="L156" s="61" t="s">
        <v>2198</v>
      </c>
      <c r="M156" s="119">
        <v>45861.411111111112</v>
      </c>
      <c r="N156" s="119">
        <v>45861.542361111111</v>
      </c>
      <c r="O156" s="84" t="s">
        <v>1589</v>
      </c>
      <c r="P156" s="74" t="s">
        <v>1590</v>
      </c>
      <c r="Q156" s="74" t="s">
        <v>1591</v>
      </c>
      <c r="R156" s="74" t="s">
        <v>1592</v>
      </c>
      <c r="S156" s="61" t="s">
        <v>124</v>
      </c>
      <c r="T156" s="56"/>
      <c r="U156" s="61" t="s">
        <v>1594</v>
      </c>
      <c r="V156" s="121" t="s">
        <v>2199</v>
      </c>
      <c r="W156" s="61" t="s">
        <v>1596</v>
      </c>
      <c r="X156" s="68" t="s">
        <v>2200</v>
      </c>
      <c r="Y156" s="61" t="s">
        <v>150</v>
      </c>
      <c r="Z156" s="61" t="s">
        <v>115</v>
      </c>
      <c r="AA156" s="68" t="s">
        <v>1721</v>
      </c>
      <c r="AB156" s="61">
        <v>1</v>
      </c>
      <c r="AC156" s="61">
        <v>0</v>
      </c>
      <c r="AD156" s="61">
        <v>0</v>
      </c>
      <c r="AE156" s="61">
        <v>0</v>
      </c>
      <c r="AF156" s="71">
        <f>IF(W156="SOPORTE_TELEFÓNICO",'BASE LIQUIDACION'!$B$10,IF(Y156="TIPO I",'BASE LIQUIDACION'!$C$3,IF(Y156="TIPO II",'BASE LIQUIDACION'!$C$4,IF(Y156="TIPO III",'BASE LIQUIDACION'!$C$5,'BASE LIQUIDACION'!$C$7))))</f>
        <v>65960.473639999997</v>
      </c>
      <c r="AG156" s="72">
        <f>IF(W156="SOPORTE_TELEFÓNICO",'BASE LIQUIDACION'!$B$10,(AB156*AF156+AC156*'BASE LIQUIDACION'!$B$12+AD156*'BASE LIQUIDACION'!$B$11+INCIDENTES!AE156*'BASE LIQUIDACION'!$B$13))</f>
        <v>65960.473639999997</v>
      </c>
    </row>
    <row r="157" spans="1:33" s="4" customFormat="1">
      <c r="A157" s="61" t="s">
        <v>100</v>
      </c>
      <c r="B157" s="56" t="str">
        <f>VLOOKUP(A157,'CENTRO DE COSTOS'!A:D,4,FALSE)</f>
        <v>JUAN SEBASTIÁN RÍOS CASTRILLÓN</v>
      </c>
      <c r="C157" s="56" t="str">
        <f>VLOOKUP(A157,'CENTRO DE COSTOS'!A:D,2,FALSE)</f>
        <v>0004-0005</v>
      </c>
      <c r="D157" s="61">
        <v>5001</v>
      </c>
      <c r="E157" s="61">
        <v>2491022</v>
      </c>
      <c r="F157" s="61">
        <v>74399</v>
      </c>
      <c r="G157" s="56" t="s">
        <v>1586</v>
      </c>
      <c r="H157" s="61" t="s">
        <v>104</v>
      </c>
      <c r="I157" s="61" t="s">
        <v>100</v>
      </c>
      <c r="J157" s="61" t="s">
        <v>2201</v>
      </c>
      <c r="K157" s="56" t="s">
        <v>107</v>
      </c>
      <c r="L157" s="61" t="s">
        <v>2202</v>
      </c>
      <c r="M157" s="119">
        <v>45861.477083333331</v>
      </c>
      <c r="N157" s="119">
        <v>45861.578472222223</v>
      </c>
      <c r="O157" s="84" t="s">
        <v>1589</v>
      </c>
      <c r="P157" s="74" t="s">
        <v>1590</v>
      </c>
      <c r="Q157" s="74" t="s">
        <v>1643</v>
      </c>
      <c r="R157" s="74" t="s">
        <v>1635</v>
      </c>
      <c r="S157" s="61" t="s">
        <v>1593</v>
      </c>
      <c r="T157" s="56"/>
      <c r="U157" s="61" t="s">
        <v>1594</v>
      </c>
      <c r="V157" s="121" t="s">
        <v>2203</v>
      </c>
      <c r="W157" s="61" t="s">
        <v>1596</v>
      </c>
      <c r="X157" s="68" t="s">
        <v>2204</v>
      </c>
      <c r="Y157" s="61" t="s">
        <v>150</v>
      </c>
      <c r="Z157" s="61" t="s">
        <v>115</v>
      </c>
      <c r="AA157" s="68" t="s">
        <v>1611</v>
      </c>
      <c r="AB157" s="61">
        <v>1</v>
      </c>
      <c r="AC157" s="61">
        <v>0</v>
      </c>
      <c r="AD157" s="61">
        <v>0</v>
      </c>
      <c r="AE157" s="61">
        <v>0</v>
      </c>
      <c r="AF157" s="71">
        <f>IF(W157="SOPORTE_TELEFÓNICO",'BASE LIQUIDACION'!$B$10,IF(Y157="TIPO I",'BASE LIQUIDACION'!$C$3,IF(Y157="TIPO II",'BASE LIQUIDACION'!$C$4,IF(Y157="TIPO III",'BASE LIQUIDACION'!$C$5,'BASE LIQUIDACION'!$C$7))))</f>
        <v>65960.473639999997</v>
      </c>
      <c r="AG157" s="72">
        <f>IF(W157="SOPORTE_TELEFÓNICO",'BASE LIQUIDACION'!$B$10,(AB157*AF157+AC157*'BASE LIQUIDACION'!$B$12+AD157*'BASE LIQUIDACION'!$B$11+INCIDENTES!AE157*'BASE LIQUIDACION'!$B$13))</f>
        <v>65960.473639999997</v>
      </c>
    </row>
    <row r="158" spans="1:33" s="4" customFormat="1">
      <c r="A158" s="61" t="s">
        <v>256</v>
      </c>
      <c r="B158" s="56" t="str">
        <f>VLOOKUP(A158,'CENTRO DE COSTOS'!A:D,4,FALSE)</f>
        <v>MIGUEL JULIÁN HERNÁNDEZ GUARÍN</v>
      </c>
      <c r="C158" s="56" t="str">
        <f>VLOOKUP(A158,'CENTRO DE COSTOS'!A:D,2,FALSE)</f>
        <v>0004-0008</v>
      </c>
      <c r="D158" s="61">
        <v>68001</v>
      </c>
      <c r="E158" s="61">
        <v>2487118</v>
      </c>
      <c r="F158" s="61">
        <v>33743</v>
      </c>
      <c r="G158" s="56" t="s">
        <v>1586</v>
      </c>
      <c r="H158" s="61" t="s">
        <v>258</v>
      </c>
      <c r="I158" s="61" t="s">
        <v>256</v>
      </c>
      <c r="J158" s="61" t="s">
        <v>2205</v>
      </c>
      <c r="K158" s="56" t="s">
        <v>107</v>
      </c>
      <c r="L158" s="61" t="s">
        <v>2206</v>
      </c>
      <c r="M158" s="119">
        <v>45861.333333333336</v>
      </c>
      <c r="N158" s="119">
        <v>45861.646527777775</v>
      </c>
      <c r="O158" s="84" t="s">
        <v>1589</v>
      </c>
      <c r="P158" s="74" t="s">
        <v>1590</v>
      </c>
      <c r="Q158" s="74" t="s">
        <v>1650</v>
      </c>
      <c r="R158" s="74" t="s">
        <v>1651</v>
      </c>
      <c r="S158" s="61" t="s">
        <v>1593</v>
      </c>
      <c r="T158" s="56"/>
      <c r="U158" s="61" t="s">
        <v>1594</v>
      </c>
      <c r="V158" s="121" t="s">
        <v>2207</v>
      </c>
      <c r="W158" s="61" t="s">
        <v>1596</v>
      </c>
      <c r="X158" s="68" t="s">
        <v>2208</v>
      </c>
      <c r="Y158" s="61" t="s">
        <v>150</v>
      </c>
      <c r="Z158" s="61" t="s">
        <v>115</v>
      </c>
      <c r="AA158" s="68" t="s">
        <v>2209</v>
      </c>
      <c r="AB158" s="61">
        <v>1</v>
      </c>
      <c r="AC158" s="61">
        <v>0</v>
      </c>
      <c r="AD158" s="61">
        <v>0</v>
      </c>
      <c r="AE158" s="61">
        <v>0</v>
      </c>
      <c r="AF158" s="71">
        <f>IF(W158="SOPORTE_TELEFÓNICO",'BASE LIQUIDACION'!$B$10,IF(Y158="TIPO I",'BASE LIQUIDACION'!$C$3,IF(Y158="TIPO II",'BASE LIQUIDACION'!$C$4,IF(Y158="TIPO III",'BASE LIQUIDACION'!$C$5,'BASE LIQUIDACION'!$C$7))))</f>
        <v>65960.473639999997</v>
      </c>
      <c r="AG158" s="72">
        <f>IF(W158="SOPORTE_TELEFÓNICO",'BASE LIQUIDACION'!$B$10,(AB158*AF158+AC158*'BASE LIQUIDACION'!$B$12+AD158*'BASE LIQUIDACION'!$B$11+INCIDENTES!AE158*'BASE LIQUIDACION'!$B$13))</f>
        <v>65960.473639999997</v>
      </c>
    </row>
    <row r="159" spans="1:33" s="4" customFormat="1">
      <c r="A159" s="61" t="s">
        <v>100</v>
      </c>
      <c r="B159" s="56" t="str">
        <f>VLOOKUP(A159,'CENTRO DE COSTOS'!A:D,4,FALSE)</f>
        <v>JUAN SEBASTIÁN RÍOS CASTRILLÓN</v>
      </c>
      <c r="C159" s="56" t="str">
        <f>VLOOKUP(A159,'CENTRO DE COSTOS'!A:D,2,FALSE)</f>
        <v>0004-0005</v>
      </c>
      <c r="D159" s="61">
        <v>5001</v>
      </c>
      <c r="E159" s="61">
        <v>2488486</v>
      </c>
      <c r="F159" s="61">
        <v>16357</v>
      </c>
      <c r="G159" s="56" t="s">
        <v>1586</v>
      </c>
      <c r="H159" s="61" t="s">
        <v>104</v>
      </c>
      <c r="I159" s="61" t="s">
        <v>100</v>
      </c>
      <c r="J159" s="61" t="s">
        <v>2051</v>
      </c>
      <c r="K159" s="56" t="s">
        <v>107</v>
      </c>
      <c r="L159" s="61" t="s">
        <v>2210</v>
      </c>
      <c r="M159" s="119">
        <v>45861.365972222222</v>
      </c>
      <c r="N159" s="119">
        <v>45861.675000000003</v>
      </c>
      <c r="O159" s="84" t="s">
        <v>1589</v>
      </c>
      <c r="P159" s="74" t="s">
        <v>1590</v>
      </c>
      <c r="Q159" s="74" t="s">
        <v>1591</v>
      </c>
      <c r="R159" s="74" t="s">
        <v>1592</v>
      </c>
      <c r="S159" s="61" t="s">
        <v>145</v>
      </c>
      <c r="T159" s="56"/>
      <c r="U159" s="61" t="s">
        <v>1594</v>
      </c>
      <c r="V159" s="121" t="s">
        <v>2211</v>
      </c>
      <c r="W159" s="61" t="s">
        <v>1596</v>
      </c>
      <c r="X159" s="68" t="s">
        <v>2054</v>
      </c>
      <c r="Y159" s="61" t="s">
        <v>150</v>
      </c>
      <c r="Z159" s="61" t="s">
        <v>115</v>
      </c>
      <c r="AA159" s="68" t="s">
        <v>116</v>
      </c>
      <c r="AB159" s="61">
        <v>1</v>
      </c>
      <c r="AC159" s="61">
        <v>0</v>
      </c>
      <c r="AD159" s="61">
        <v>0</v>
      </c>
      <c r="AE159" s="61">
        <v>0</v>
      </c>
      <c r="AF159" s="71">
        <f>IF(W159="SOPORTE_TELEFÓNICO",'BASE LIQUIDACION'!$B$10,IF(Y159="TIPO I",'BASE LIQUIDACION'!$C$3,IF(Y159="TIPO II",'BASE LIQUIDACION'!$C$4,IF(Y159="TIPO III",'BASE LIQUIDACION'!$C$5,'BASE LIQUIDACION'!$C$7))))</f>
        <v>65960.473639999997</v>
      </c>
      <c r="AG159" s="72">
        <f>IF(W159="SOPORTE_TELEFÓNICO",'BASE LIQUIDACION'!$B$10,(AB159*AF159+AC159*'BASE LIQUIDACION'!$B$12+AD159*'BASE LIQUIDACION'!$B$11+INCIDENTES!AE159*'BASE LIQUIDACION'!$B$13))</f>
        <v>65960.473639999997</v>
      </c>
    </row>
    <row r="160" spans="1:33" s="4" customFormat="1">
      <c r="A160" s="61" t="s">
        <v>161</v>
      </c>
      <c r="B160" s="56" t="str">
        <f>VLOOKUP(A160,'CENTRO DE COSTOS'!A:D,4,FALSE)</f>
        <v>DIEGO FERNANDO HENAO CARDONA</v>
      </c>
      <c r="C160" s="56" t="str">
        <f>VLOOKUP(A160,'CENTRO DE COSTOS'!A:D,2,FALSE)</f>
        <v>0004-0003</v>
      </c>
      <c r="D160" s="61">
        <v>76001</v>
      </c>
      <c r="E160" s="61">
        <v>2490588</v>
      </c>
      <c r="F160" s="61">
        <v>76112</v>
      </c>
      <c r="G160" s="56" t="s">
        <v>1586</v>
      </c>
      <c r="H160" s="61" t="s">
        <v>208</v>
      </c>
      <c r="I160" s="61" t="s">
        <v>161</v>
      </c>
      <c r="J160" s="61" t="s">
        <v>2212</v>
      </c>
      <c r="K160" s="56" t="s">
        <v>107</v>
      </c>
      <c r="L160" s="61" t="s">
        <v>2213</v>
      </c>
      <c r="M160" s="119">
        <v>45861.459722222222</v>
      </c>
      <c r="N160" s="119">
        <v>45861.679166666669</v>
      </c>
      <c r="O160" s="84" t="s">
        <v>1589</v>
      </c>
      <c r="P160" s="74" t="s">
        <v>1668</v>
      </c>
      <c r="Q160" s="74" t="s">
        <v>1669</v>
      </c>
      <c r="R160" s="74" t="s">
        <v>1736</v>
      </c>
      <c r="S160" s="61" t="s">
        <v>1593</v>
      </c>
      <c r="T160" s="56"/>
      <c r="U160" s="61" t="s">
        <v>1594</v>
      </c>
      <c r="V160" s="121" t="s">
        <v>2214</v>
      </c>
      <c r="W160" s="61" t="s">
        <v>1596</v>
      </c>
      <c r="X160" s="68" t="s">
        <v>2215</v>
      </c>
      <c r="Y160" s="61" t="s">
        <v>150</v>
      </c>
      <c r="Z160" s="61" t="s">
        <v>115</v>
      </c>
      <c r="AA160" s="68" t="s">
        <v>2216</v>
      </c>
      <c r="AB160" s="61">
        <v>1</v>
      </c>
      <c r="AC160" s="61">
        <v>0</v>
      </c>
      <c r="AD160" s="61">
        <v>0</v>
      </c>
      <c r="AE160" s="61">
        <v>0</v>
      </c>
      <c r="AF160" s="71">
        <f>IF(W160="SOPORTE_TELEFÓNICO",'BASE LIQUIDACION'!$B$10,IF(Y160="TIPO I",'BASE LIQUIDACION'!$C$3,IF(Y160="TIPO II",'BASE LIQUIDACION'!$C$4,IF(Y160="TIPO III",'BASE LIQUIDACION'!$C$5,'BASE LIQUIDACION'!$C$7))))</f>
        <v>65960.473639999997</v>
      </c>
      <c r="AG160" s="72">
        <f>IF(W160="SOPORTE_TELEFÓNICO",'BASE LIQUIDACION'!$B$10,(AB160*AF160+AC160*'BASE LIQUIDACION'!$B$12+AD160*'BASE LIQUIDACION'!$B$11+INCIDENTES!AE160*'BASE LIQUIDACION'!$B$13))</f>
        <v>65960.473639999997</v>
      </c>
    </row>
    <row r="161" spans="1:33" s="4" customFormat="1">
      <c r="A161" s="61" t="s">
        <v>100</v>
      </c>
      <c r="B161" s="56" t="str">
        <f>VLOOKUP(A161,'CENTRO DE COSTOS'!A:D,4,FALSE)</f>
        <v>JUAN SEBASTIÁN RÍOS CASTRILLÓN</v>
      </c>
      <c r="C161" s="56" t="str">
        <f>VLOOKUP(A161,'CENTRO DE COSTOS'!A:D,2,FALSE)</f>
        <v>0004-0005</v>
      </c>
      <c r="D161" s="61">
        <v>5101</v>
      </c>
      <c r="E161" s="61">
        <v>2479037</v>
      </c>
      <c r="F161" s="61">
        <v>10518</v>
      </c>
      <c r="G161" s="56" t="s">
        <v>1586</v>
      </c>
      <c r="H161" s="61" t="s">
        <v>104</v>
      </c>
      <c r="I161" s="61" t="s">
        <v>641</v>
      </c>
      <c r="J161" s="61" t="s">
        <v>2217</v>
      </c>
      <c r="K161" s="56" t="s">
        <v>107</v>
      </c>
      <c r="L161" s="61" t="s">
        <v>2218</v>
      </c>
      <c r="M161" s="119">
        <v>45860.333333333336</v>
      </c>
      <c r="N161" s="119">
        <v>45861.685416666667</v>
      </c>
      <c r="O161" s="84"/>
      <c r="P161" s="74" t="s">
        <v>1590</v>
      </c>
      <c r="Q161" s="74" t="s">
        <v>1601</v>
      </c>
      <c r="R161" s="74" t="s">
        <v>1619</v>
      </c>
      <c r="S161" s="61" t="s">
        <v>1593</v>
      </c>
      <c r="T161" s="56"/>
      <c r="U161" s="61" t="s">
        <v>1594</v>
      </c>
      <c r="V161" s="121" t="s">
        <v>2219</v>
      </c>
      <c r="W161" s="61" t="s">
        <v>1615</v>
      </c>
      <c r="X161" s="68">
        <v>0</v>
      </c>
      <c r="Y161" s="61" t="s">
        <v>139</v>
      </c>
      <c r="Z161" s="61" t="s">
        <v>115</v>
      </c>
      <c r="AA161" s="68" t="s">
        <v>1631</v>
      </c>
      <c r="AB161" s="61">
        <v>0</v>
      </c>
      <c r="AC161" s="61">
        <v>0</v>
      </c>
      <c r="AD161" s="61">
        <v>0</v>
      </c>
      <c r="AE161" s="61">
        <v>0</v>
      </c>
      <c r="AF161" s="71">
        <f>IF(W161="SOPORTE_TELEFÓNICO",'BASE LIQUIDACION'!$B$10,IF(Y161="TIPO I",'BASE LIQUIDACION'!$C$3,IF(Y161="TIPO II",'BASE LIQUIDACION'!$C$4,IF(Y161="TIPO III",'BASE LIQUIDACION'!$C$5,'BASE LIQUIDACION'!$C$7))))</f>
        <v>37904.65408</v>
      </c>
      <c r="AG161" s="72">
        <f>IF(W161="SOPORTE_TELEFÓNICO",'BASE LIQUIDACION'!$B$10,(AB161*AF161+AC161*'BASE LIQUIDACION'!$B$12+AD161*'BASE LIQUIDACION'!$B$11+INCIDENTES!AE161*'BASE LIQUIDACION'!$B$13))</f>
        <v>37904.65408</v>
      </c>
    </row>
    <row r="162" spans="1:33" s="4" customFormat="1">
      <c r="A162" s="61" t="s">
        <v>179</v>
      </c>
      <c r="B162" s="56" t="str">
        <f>VLOOKUP(A162,'CENTRO DE COSTOS'!A:D,4,FALSE)</f>
        <v>KEVIN ALEXIS CORZO BUSTOS</v>
      </c>
      <c r="C162" s="56" t="str">
        <f>VLOOKUP(A162,'CENTRO DE COSTOS'!A:D,2,FALSE)</f>
        <v>0004-0007</v>
      </c>
      <c r="D162" s="61">
        <v>41001</v>
      </c>
      <c r="E162" s="61">
        <v>2489339</v>
      </c>
      <c r="F162" s="61">
        <v>72583</v>
      </c>
      <c r="G162" s="56" t="s">
        <v>1586</v>
      </c>
      <c r="H162" s="61" t="s">
        <v>190</v>
      </c>
      <c r="I162" s="61" t="s">
        <v>179</v>
      </c>
      <c r="J162" s="61" t="s">
        <v>2220</v>
      </c>
      <c r="K162" s="56" t="s">
        <v>107</v>
      </c>
      <c r="L162" s="61" t="s">
        <v>2221</v>
      </c>
      <c r="M162" s="119">
        <v>45861.40902777778</v>
      </c>
      <c r="N162" s="119">
        <v>45861.728472222225</v>
      </c>
      <c r="O162" s="84" t="s">
        <v>1589</v>
      </c>
      <c r="P162" s="74" t="s">
        <v>1590</v>
      </c>
      <c r="Q162" s="74" t="s">
        <v>1696</v>
      </c>
      <c r="R162" s="74" t="s">
        <v>1697</v>
      </c>
      <c r="S162" s="61" t="s">
        <v>1593</v>
      </c>
      <c r="T162" s="56"/>
      <c r="U162" s="61" t="s">
        <v>1594</v>
      </c>
      <c r="V162" s="121" t="s">
        <v>2222</v>
      </c>
      <c r="W162" s="61" t="s">
        <v>1596</v>
      </c>
      <c r="X162" s="68" t="s">
        <v>2223</v>
      </c>
      <c r="Y162" s="61" t="s">
        <v>150</v>
      </c>
      <c r="Z162" s="61" t="s">
        <v>115</v>
      </c>
      <c r="AA162" s="68" t="s">
        <v>1820</v>
      </c>
      <c r="AB162" s="61">
        <v>1</v>
      </c>
      <c r="AC162" s="61">
        <v>0</v>
      </c>
      <c r="AD162" s="61">
        <v>0</v>
      </c>
      <c r="AE162" s="61">
        <v>0</v>
      </c>
      <c r="AF162" s="71">
        <f>IF(W162="SOPORTE_TELEFÓNICO",'BASE LIQUIDACION'!$B$10,IF(Y162="TIPO I",'BASE LIQUIDACION'!$C$3,IF(Y162="TIPO II",'BASE LIQUIDACION'!$C$4,IF(Y162="TIPO III",'BASE LIQUIDACION'!$C$5,'BASE LIQUIDACION'!$C$7))))</f>
        <v>65960.473639999997</v>
      </c>
      <c r="AG162" s="72">
        <f>IF(W162="SOPORTE_TELEFÓNICO",'BASE LIQUIDACION'!$B$10,(AB162*AF162+AC162*'BASE LIQUIDACION'!$B$12+AD162*'BASE LIQUIDACION'!$B$11+INCIDENTES!AE162*'BASE LIQUIDACION'!$B$13))</f>
        <v>65960.473639999997</v>
      </c>
    </row>
    <row r="163" spans="1:33" s="4" customFormat="1">
      <c r="A163" s="61" t="s">
        <v>899</v>
      </c>
      <c r="B163" s="56" t="str">
        <f>VLOOKUP(A163,'CENTRO DE COSTOS'!A:D,4,FALSE)</f>
        <v>DIEGO FERNANDO HENAO CARDONA</v>
      </c>
      <c r="C163" s="56" t="str">
        <f>VLOOKUP(A163,'CENTRO DE COSTOS'!A:D,2,FALSE)</f>
        <v>0004-0002</v>
      </c>
      <c r="D163" s="61">
        <v>17001</v>
      </c>
      <c r="E163" s="61">
        <v>2489199</v>
      </c>
      <c r="F163" s="61">
        <v>61417</v>
      </c>
      <c r="G163" s="56" t="s">
        <v>1586</v>
      </c>
      <c r="H163" s="61" t="s">
        <v>600</v>
      </c>
      <c r="I163" s="61" t="s">
        <v>899</v>
      </c>
      <c r="J163" s="61" t="s">
        <v>2224</v>
      </c>
      <c r="K163" s="56" t="s">
        <v>107</v>
      </c>
      <c r="L163" s="61" t="s">
        <v>2225</v>
      </c>
      <c r="M163" s="119">
        <v>45861.410416666666</v>
      </c>
      <c r="N163" s="119">
        <v>45862.386805555558</v>
      </c>
      <c r="O163" s="84" t="s">
        <v>1589</v>
      </c>
      <c r="P163" s="74" t="s">
        <v>1590</v>
      </c>
      <c r="Q163" s="74" t="s">
        <v>1643</v>
      </c>
      <c r="R163" s="74" t="s">
        <v>1644</v>
      </c>
      <c r="S163" s="61" t="s">
        <v>1593</v>
      </c>
      <c r="T163" s="56"/>
      <c r="U163" s="61" t="s">
        <v>1594</v>
      </c>
      <c r="V163" s="121" t="s">
        <v>2226</v>
      </c>
      <c r="W163" s="61" t="s">
        <v>1596</v>
      </c>
      <c r="X163" s="68" t="s">
        <v>2227</v>
      </c>
      <c r="Y163" s="61" t="s">
        <v>150</v>
      </c>
      <c r="Z163" s="61" t="s">
        <v>115</v>
      </c>
      <c r="AA163" s="68" t="s">
        <v>140</v>
      </c>
      <c r="AB163" s="61">
        <v>1</v>
      </c>
      <c r="AC163" s="61">
        <v>0</v>
      </c>
      <c r="AD163" s="61">
        <v>0</v>
      </c>
      <c r="AE163" s="61">
        <v>0</v>
      </c>
      <c r="AF163" s="71">
        <f>IF(W163="SOPORTE_TELEFÓNICO",'BASE LIQUIDACION'!$B$10,IF(Y163="TIPO I",'BASE LIQUIDACION'!$C$3,IF(Y163="TIPO II",'BASE LIQUIDACION'!$C$4,IF(Y163="TIPO III",'BASE LIQUIDACION'!$C$5,'BASE LIQUIDACION'!$C$7))))</f>
        <v>65960.473639999997</v>
      </c>
      <c r="AG163" s="72">
        <f>IF(W163="SOPORTE_TELEFÓNICO",'BASE LIQUIDACION'!$B$10,(AB163*AF163+AC163*'BASE LIQUIDACION'!$B$12+AD163*'BASE LIQUIDACION'!$B$11+INCIDENTES!AE163*'BASE LIQUIDACION'!$B$13))</f>
        <v>65960.473639999997</v>
      </c>
    </row>
    <row r="164" spans="1:33" s="4" customFormat="1">
      <c r="A164" s="61" t="s">
        <v>341</v>
      </c>
      <c r="B164" s="56" t="str">
        <f>VLOOKUP(A164,'CENTRO DE COSTOS'!A:D,4,FALSE)</f>
        <v>JOSE MAURICIO HERNANDEZ ROJAS</v>
      </c>
      <c r="C164" s="56" t="str">
        <f>VLOOKUP(A164,'CENTRO DE COSTOS'!A:D,2,FALSE)</f>
        <v>0004-0001</v>
      </c>
      <c r="D164" s="61">
        <v>13001</v>
      </c>
      <c r="E164" s="61">
        <v>2482598</v>
      </c>
      <c r="F164" s="61">
        <v>24749</v>
      </c>
      <c r="G164" s="56" t="s">
        <v>1586</v>
      </c>
      <c r="H164" s="61" t="s">
        <v>343</v>
      </c>
      <c r="I164" s="61" t="s">
        <v>341</v>
      </c>
      <c r="J164" s="61" t="s">
        <v>2228</v>
      </c>
      <c r="K164" s="56" t="s">
        <v>107</v>
      </c>
      <c r="L164" s="61" t="s">
        <v>2229</v>
      </c>
      <c r="M164" s="119">
        <v>45860.415277777778</v>
      </c>
      <c r="N164" s="119">
        <v>45862.413194444445</v>
      </c>
      <c r="O164" s="84" t="s">
        <v>1589</v>
      </c>
      <c r="P164" s="74" t="s">
        <v>1590</v>
      </c>
      <c r="Q164" s="74" t="s">
        <v>1643</v>
      </c>
      <c r="R164" s="74" t="s">
        <v>1644</v>
      </c>
      <c r="S164" s="61" t="s">
        <v>1593</v>
      </c>
      <c r="T164" s="56"/>
      <c r="U164" s="61" t="s">
        <v>1594</v>
      </c>
      <c r="V164" s="121" t="s">
        <v>2230</v>
      </c>
      <c r="W164" s="61" t="s">
        <v>1596</v>
      </c>
      <c r="X164" s="68" t="s">
        <v>2231</v>
      </c>
      <c r="Y164" s="61" t="s">
        <v>150</v>
      </c>
      <c r="Z164" s="61" t="s">
        <v>115</v>
      </c>
      <c r="AA164" s="68" t="s">
        <v>1798</v>
      </c>
      <c r="AB164" s="61">
        <v>1</v>
      </c>
      <c r="AC164" s="61">
        <v>0</v>
      </c>
      <c r="AD164" s="61">
        <v>0</v>
      </c>
      <c r="AE164" s="61">
        <v>0</v>
      </c>
      <c r="AF164" s="71">
        <f>IF(W164="SOPORTE_TELEFÓNICO",'BASE LIQUIDACION'!$B$10,IF(Y164="TIPO I",'BASE LIQUIDACION'!$C$3,IF(Y164="TIPO II",'BASE LIQUIDACION'!$C$4,IF(Y164="TIPO III",'BASE LIQUIDACION'!$C$5,'BASE LIQUIDACION'!$C$7))))</f>
        <v>65960.473639999997</v>
      </c>
      <c r="AG164" s="72">
        <f>IF(W164="SOPORTE_TELEFÓNICO",'BASE LIQUIDACION'!$B$10,(AB164*AF164+AC164*'BASE LIQUIDACION'!$B$12+AD164*'BASE LIQUIDACION'!$B$11+INCIDENTES!AE164*'BASE LIQUIDACION'!$B$13))</f>
        <v>65960.473639999997</v>
      </c>
    </row>
    <row r="165" spans="1:33" s="4" customFormat="1">
      <c r="A165" s="61" t="s">
        <v>170</v>
      </c>
      <c r="B165" s="56" t="str">
        <f>VLOOKUP(A165,'CENTRO DE COSTOS'!A:D,4,FALSE)</f>
        <v>WILLIAM ASDRUBAL ROZO ROZO</v>
      </c>
      <c r="C165" s="56" t="str">
        <f>VLOOKUP(A165,'CENTRO DE COSTOS'!A:D,2,FALSE)</f>
        <v>0004-0004</v>
      </c>
      <c r="D165" s="61">
        <v>11001</v>
      </c>
      <c r="E165" s="61">
        <v>2495988</v>
      </c>
      <c r="F165" s="61">
        <v>30708</v>
      </c>
      <c r="G165" s="56" t="s">
        <v>1586</v>
      </c>
      <c r="H165" s="61" t="s">
        <v>172</v>
      </c>
      <c r="I165" s="61" t="s">
        <v>170</v>
      </c>
      <c r="J165" s="61" t="s">
        <v>2232</v>
      </c>
      <c r="K165" s="56" t="s">
        <v>107</v>
      </c>
      <c r="L165" s="61" t="s">
        <v>2233</v>
      </c>
      <c r="M165" s="119">
        <v>45862.380555555559</v>
      </c>
      <c r="N165" s="119">
        <v>45862.538194444445</v>
      </c>
      <c r="O165" s="84" t="s">
        <v>1589</v>
      </c>
      <c r="P165" s="74" t="s">
        <v>1590</v>
      </c>
      <c r="Q165" s="74" t="s">
        <v>1601</v>
      </c>
      <c r="R165" s="74" t="s">
        <v>1602</v>
      </c>
      <c r="S165" s="61" t="s">
        <v>145</v>
      </c>
      <c r="T165" s="56"/>
      <c r="U165" s="61" t="s">
        <v>1594</v>
      </c>
      <c r="V165" s="121" t="s">
        <v>2234</v>
      </c>
      <c r="W165" s="61" t="s">
        <v>1596</v>
      </c>
      <c r="X165" s="68" t="s">
        <v>2235</v>
      </c>
      <c r="Y165" s="61" t="s">
        <v>150</v>
      </c>
      <c r="Z165" s="61" t="s">
        <v>115</v>
      </c>
      <c r="AA165" s="68" t="s">
        <v>2236</v>
      </c>
      <c r="AB165" s="61">
        <v>1</v>
      </c>
      <c r="AC165" s="61">
        <v>0</v>
      </c>
      <c r="AD165" s="61">
        <v>0</v>
      </c>
      <c r="AE165" s="61">
        <v>0</v>
      </c>
      <c r="AF165" s="71">
        <f>IF(W165="SOPORTE_TELEFÓNICO",'BASE LIQUIDACION'!$B$10,IF(Y165="TIPO I",'BASE LIQUIDACION'!$C$3,IF(Y165="TIPO II",'BASE LIQUIDACION'!$C$4,IF(Y165="TIPO III",'BASE LIQUIDACION'!$C$5,'BASE LIQUIDACION'!$C$7))))</f>
        <v>65960.473639999997</v>
      </c>
      <c r="AG165" s="72">
        <f>IF(W165="SOPORTE_TELEFÓNICO",'BASE LIQUIDACION'!$B$10,(AB165*AF165+AC165*'BASE LIQUIDACION'!$B$12+AD165*'BASE LIQUIDACION'!$B$11+INCIDENTES!AE165*'BASE LIQUIDACION'!$B$13))</f>
        <v>65960.473639999997</v>
      </c>
    </row>
    <row r="166" spans="1:33" s="4" customFormat="1">
      <c r="A166" s="61" t="s">
        <v>100</v>
      </c>
      <c r="B166" s="56" t="str">
        <f>VLOOKUP(A166,'CENTRO DE COSTOS'!A:D,4,FALSE)</f>
        <v>JUAN SEBASTIÁN RÍOS CASTRILLÓN</v>
      </c>
      <c r="C166" s="56" t="str">
        <f>VLOOKUP(A166,'CENTRO DE COSTOS'!A:D,2,FALSE)</f>
        <v>0004-0005</v>
      </c>
      <c r="D166" s="61">
        <v>5656</v>
      </c>
      <c r="E166" s="61">
        <v>2496353</v>
      </c>
      <c r="F166" s="61">
        <v>29388</v>
      </c>
      <c r="G166" s="56" t="s">
        <v>1586</v>
      </c>
      <c r="H166" s="61" t="s">
        <v>104</v>
      </c>
      <c r="I166" s="61" t="s">
        <v>687</v>
      </c>
      <c r="J166" s="61" t="s">
        <v>2237</v>
      </c>
      <c r="K166" s="56" t="s">
        <v>107</v>
      </c>
      <c r="L166" s="61" t="s">
        <v>2238</v>
      </c>
      <c r="M166" s="119">
        <v>45862.393055555556</v>
      </c>
      <c r="N166" s="119">
        <v>45862.590277777781</v>
      </c>
      <c r="O166" s="84" t="s">
        <v>1589</v>
      </c>
      <c r="P166" s="74" t="s">
        <v>1590</v>
      </c>
      <c r="Q166" s="74" t="s">
        <v>1591</v>
      </c>
      <c r="R166" s="74" t="s">
        <v>1592</v>
      </c>
      <c r="S166" s="61" t="s">
        <v>145</v>
      </c>
      <c r="T166" s="56"/>
      <c r="U166" s="61" t="s">
        <v>1594</v>
      </c>
      <c r="V166" s="121" t="s">
        <v>2239</v>
      </c>
      <c r="W166" s="61" t="s">
        <v>1596</v>
      </c>
      <c r="X166" s="68" t="s">
        <v>2240</v>
      </c>
      <c r="Y166" s="61" t="s">
        <v>139</v>
      </c>
      <c r="Z166" s="61" t="s">
        <v>115</v>
      </c>
      <c r="AA166" s="68" t="s">
        <v>1631</v>
      </c>
      <c r="AB166" s="61">
        <v>1</v>
      </c>
      <c r="AC166" s="61">
        <v>0</v>
      </c>
      <c r="AD166" s="61">
        <v>0</v>
      </c>
      <c r="AE166" s="61">
        <v>0</v>
      </c>
      <c r="AF166" s="71">
        <f>IF(W166="SOPORTE_TELEFÓNICO",'BASE LIQUIDACION'!$B$10,IF(Y166="TIPO I",'BASE LIQUIDACION'!$C$3,IF(Y166="TIPO II",'BASE LIQUIDACION'!$C$4,IF(Y166="TIPO III",'BASE LIQUIDACION'!$C$5,'BASE LIQUIDACION'!$C$7))))</f>
        <v>163813.55812</v>
      </c>
      <c r="AG166" s="72">
        <f>IF(W166="SOPORTE_TELEFÓNICO",'BASE LIQUIDACION'!$B$10,(AB166*AF166+AC166*'BASE LIQUIDACION'!$B$12+AD166*'BASE LIQUIDACION'!$B$11+INCIDENTES!AE166*'BASE LIQUIDACION'!$B$13))</f>
        <v>163813.55812</v>
      </c>
    </row>
    <row r="167" spans="1:33" s="4" customFormat="1">
      <c r="A167" s="61" t="s">
        <v>100</v>
      </c>
      <c r="B167" s="56" t="str">
        <f>VLOOKUP(A167,'CENTRO DE COSTOS'!A:D,4,FALSE)</f>
        <v>JUAN SEBASTIÁN RÍOS CASTRILLÓN</v>
      </c>
      <c r="C167" s="56" t="str">
        <f>VLOOKUP(A167,'CENTRO DE COSTOS'!A:D,2,FALSE)</f>
        <v>0004-0005</v>
      </c>
      <c r="D167" s="61">
        <v>5001</v>
      </c>
      <c r="E167" s="61">
        <v>2493083</v>
      </c>
      <c r="F167" s="61">
        <v>29481</v>
      </c>
      <c r="G167" s="56" t="s">
        <v>1586</v>
      </c>
      <c r="H167" s="61" t="s">
        <v>104</v>
      </c>
      <c r="I167" s="61" t="s">
        <v>100</v>
      </c>
      <c r="J167" s="61" t="s">
        <v>2241</v>
      </c>
      <c r="K167" s="56" t="s">
        <v>107</v>
      </c>
      <c r="L167" s="61" t="s">
        <v>2242</v>
      </c>
      <c r="M167" s="119">
        <v>45861.65347222222</v>
      </c>
      <c r="N167" s="119">
        <v>45862.602083333331</v>
      </c>
      <c r="O167" s="84" t="s">
        <v>1589</v>
      </c>
      <c r="P167" s="74" t="s">
        <v>1590</v>
      </c>
      <c r="Q167" s="74" t="s">
        <v>1643</v>
      </c>
      <c r="R167" s="74" t="s">
        <v>1644</v>
      </c>
      <c r="S167" s="61" t="s">
        <v>1593</v>
      </c>
      <c r="T167" s="56"/>
      <c r="U167" s="61" t="s">
        <v>1594</v>
      </c>
      <c r="V167" s="121" t="s">
        <v>2243</v>
      </c>
      <c r="W167" s="61" t="s">
        <v>1596</v>
      </c>
      <c r="X167" s="68" t="s">
        <v>2244</v>
      </c>
      <c r="Y167" s="61" t="s">
        <v>150</v>
      </c>
      <c r="Z167" s="61" t="s">
        <v>115</v>
      </c>
      <c r="AA167" s="68" t="s">
        <v>276</v>
      </c>
      <c r="AB167" s="61">
        <v>1</v>
      </c>
      <c r="AC167" s="61">
        <v>0</v>
      </c>
      <c r="AD167" s="61">
        <v>0</v>
      </c>
      <c r="AE167" s="61">
        <v>0</v>
      </c>
      <c r="AF167" s="71">
        <f>IF(W167="SOPORTE_TELEFÓNICO",'BASE LIQUIDACION'!$B$10,IF(Y167="TIPO I",'BASE LIQUIDACION'!$C$3,IF(Y167="TIPO II",'BASE LIQUIDACION'!$C$4,IF(Y167="TIPO III",'BASE LIQUIDACION'!$C$5,'BASE LIQUIDACION'!$C$7))))</f>
        <v>65960.473639999997</v>
      </c>
      <c r="AG167" s="72">
        <f>IF(W167="SOPORTE_TELEFÓNICO",'BASE LIQUIDACION'!$B$10,(AB167*AF167+AC167*'BASE LIQUIDACION'!$B$12+AD167*'BASE LIQUIDACION'!$B$11+INCIDENTES!AE167*'BASE LIQUIDACION'!$B$13))</f>
        <v>65960.473639999997</v>
      </c>
    </row>
    <row r="168" spans="1:33" s="4" customFormat="1">
      <c r="A168" s="61" t="s">
        <v>100</v>
      </c>
      <c r="B168" s="56" t="str">
        <f>VLOOKUP(A168,'CENTRO DE COSTOS'!A:D,4,FALSE)</f>
        <v>JUAN SEBASTIÁN RÍOS CASTRILLÓN</v>
      </c>
      <c r="C168" s="56" t="str">
        <f>VLOOKUP(A168,'CENTRO DE COSTOS'!A:D,2,FALSE)</f>
        <v>0004-0005</v>
      </c>
      <c r="D168" s="61">
        <v>5001</v>
      </c>
      <c r="E168" s="61">
        <v>2497680</v>
      </c>
      <c r="F168" s="61">
        <v>27468</v>
      </c>
      <c r="G168" s="56" t="s">
        <v>1586</v>
      </c>
      <c r="H168" s="61" t="s">
        <v>104</v>
      </c>
      <c r="I168" s="61" t="s">
        <v>100</v>
      </c>
      <c r="J168" s="61" t="s">
        <v>2245</v>
      </c>
      <c r="K168" s="56" t="s">
        <v>107</v>
      </c>
      <c r="L168" s="61" t="s">
        <v>2246</v>
      </c>
      <c r="M168" s="119">
        <v>45862.465277777781</v>
      </c>
      <c r="N168" s="119">
        <v>45862.604861111111</v>
      </c>
      <c r="O168" s="84" t="s">
        <v>1589</v>
      </c>
      <c r="P168" s="74" t="s">
        <v>1590</v>
      </c>
      <c r="Q168" s="74" t="s">
        <v>1696</v>
      </c>
      <c r="R168" s="74" t="s">
        <v>1697</v>
      </c>
      <c r="S168" s="61" t="s">
        <v>124</v>
      </c>
      <c r="T168" s="56"/>
      <c r="U168" s="61" t="s">
        <v>1594</v>
      </c>
      <c r="V168" s="121" t="s">
        <v>2247</v>
      </c>
      <c r="W168" s="61" t="s">
        <v>1596</v>
      </c>
      <c r="X168" s="68" t="s">
        <v>2248</v>
      </c>
      <c r="Y168" s="61" t="s">
        <v>150</v>
      </c>
      <c r="Z168" s="61" t="s">
        <v>115</v>
      </c>
      <c r="AA168" s="68" t="s">
        <v>1611</v>
      </c>
      <c r="AB168" s="61">
        <v>1</v>
      </c>
      <c r="AC168" s="61">
        <v>0</v>
      </c>
      <c r="AD168" s="61">
        <v>0</v>
      </c>
      <c r="AE168" s="61">
        <v>0</v>
      </c>
      <c r="AF168" s="71">
        <f>IF(W168="SOPORTE_TELEFÓNICO",'BASE LIQUIDACION'!$B$10,IF(Y168="TIPO I",'BASE LIQUIDACION'!$C$3,IF(Y168="TIPO II",'BASE LIQUIDACION'!$C$4,IF(Y168="TIPO III",'BASE LIQUIDACION'!$C$5,'BASE LIQUIDACION'!$C$7))))</f>
        <v>65960.473639999997</v>
      </c>
      <c r="AG168" s="72">
        <f>IF(W168="SOPORTE_TELEFÓNICO",'BASE LIQUIDACION'!$B$10,(AB168*AF168+AC168*'BASE LIQUIDACION'!$B$12+AD168*'BASE LIQUIDACION'!$B$11+INCIDENTES!AE168*'BASE LIQUIDACION'!$B$13))</f>
        <v>65960.473639999997</v>
      </c>
    </row>
    <row r="169" spans="1:33" s="4" customFormat="1">
      <c r="A169" s="61" t="s">
        <v>100</v>
      </c>
      <c r="B169" s="56" t="str">
        <f>VLOOKUP(A169,'CENTRO DE COSTOS'!A:D,4,FALSE)</f>
        <v>JUAN SEBASTIÁN RÍOS CASTRILLÓN</v>
      </c>
      <c r="C169" s="56" t="str">
        <f>VLOOKUP(A169,'CENTRO DE COSTOS'!A:D,2,FALSE)</f>
        <v>0004-0005</v>
      </c>
      <c r="D169" s="61">
        <v>5308</v>
      </c>
      <c r="E169" s="61">
        <v>2497205</v>
      </c>
      <c r="F169" s="61">
        <v>27317</v>
      </c>
      <c r="G169" s="56" t="s">
        <v>1586</v>
      </c>
      <c r="H169" s="61" t="s">
        <v>104</v>
      </c>
      <c r="I169" s="61" t="s">
        <v>655</v>
      </c>
      <c r="J169" s="61" t="s">
        <v>2249</v>
      </c>
      <c r="K169" s="56" t="s">
        <v>107</v>
      </c>
      <c r="L169" s="61" t="s">
        <v>2250</v>
      </c>
      <c r="M169" s="119">
        <v>45862.432638888888</v>
      </c>
      <c r="N169" s="119">
        <v>45862.629861111112</v>
      </c>
      <c r="O169" s="84" t="s">
        <v>1589</v>
      </c>
      <c r="P169" s="74" t="s">
        <v>1590</v>
      </c>
      <c r="Q169" s="74" t="s">
        <v>1591</v>
      </c>
      <c r="R169" s="74" t="s">
        <v>1592</v>
      </c>
      <c r="S169" s="61" t="s">
        <v>145</v>
      </c>
      <c r="T169" s="56"/>
      <c r="U169" s="61" t="s">
        <v>1594</v>
      </c>
      <c r="V169" s="121" t="s">
        <v>2251</v>
      </c>
      <c r="W169" s="61" t="s">
        <v>1596</v>
      </c>
      <c r="X169" s="68" t="s">
        <v>2252</v>
      </c>
      <c r="Y169" s="61" t="s">
        <v>150</v>
      </c>
      <c r="Z169" s="61" t="s">
        <v>115</v>
      </c>
      <c r="AA169" s="68" t="s">
        <v>1721</v>
      </c>
      <c r="AB169" s="61">
        <v>1</v>
      </c>
      <c r="AC169" s="61">
        <v>0</v>
      </c>
      <c r="AD169" s="61">
        <v>0</v>
      </c>
      <c r="AE169" s="61">
        <v>0</v>
      </c>
      <c r="AF169" s="71">
        <f>IF(W169="SOPORTE_TELEFÓNICO",'BASE LIQUIDACION'!$B$10,IF(Y169="TIPO I",'BASE LIQUIDACION'!$C$3,IF(Y169="TIPO II",'BASE LIQUIDACION'!$C$4,IF(Y169="TIPO III",'BASE LIQUIDACION'!$C$5,'BASE LIQUIDACION'!$C$7))))</f>
        <v>65960.473639999997</v>
      </c>
      <c r="AG169" s="72">
        <f>IF(W169="SOPORTE_TELEFÓNICO",'BASE LIQUIDACION'!$B$10,(AB169*AF169+AC169*'BASE LIQUIDACION'!$B$12+AD169*'BASE LIQUIDACION'!$B$11+INCIDENTES!AE169*'BASE LIQUIDACION'!$B$13))</f>
        <v>65960.473639999997</v>
      </c>
    </row>
    <row r="170" spans="1:33" s="4" customFormat="1">
      <c r="A170" s="61" t="s">
        <v>399</v>
      </c>
      <c r="B170" s="56" t="str">
        <f>VLOOKUP(A170,'CENTRO DE COSTOS'!A:D,4,FALSE)</f>
        <v>MIGUEL JULIÁN HERNÁNDEZ GUARÍN</v>
      </c>
      <c r="C170" s="56" t="str">
        <f>VLOOKUP(A170,'CENTRO DE COSTOS'!A:D,2,FALSE)</f>
        <v>0004-0008</v>
      </c>
      <c r="D170" s="61">
        <v>15001</v>
      </c>
      <c r="E170" s="61">
        <v>2493481</v>
      </c>
      <c r="F170" s="61">
        <v>67888</v>
      </c>
      <c r="G170" s="56" t="s">
        <v>1586</v>
      </c>
      <c r="H170" s="61" t="s">
        <v>401</v>
      </c>
      <c r="I170" s="61" t="s">
        <v>399</v>
      </c>
      <c r="J170" s="61" t="s">
        <v>2253</v>
      </c>
      <c r="K170" s="56" t="s">
        <v>107</v>
      </c>
      <c r="L170" s="61" t="s">
        <v>2254</v>
      </c>
      <c r="M170" s="119">
        <v>45861.671527777777</v>
      </c>
      <c r="N170" s="119">
        <v>45862.632638888892</v>
      </c>
      <c r="O170" s="84" t="s">
        <v>1589</v>
      </c>
      <c r="P170" s="74" t="s">
        <v>1590</v>
      </c>
      <c r="Q170" s="74" t="s">
        <v>1650</v>
      </c>
      <c r="R170" s="74" t="s">
        <v>1651</v>
      </c>
      <c r="S170" s="61" t="s">
        <v>1593</v>
      </c>
      <c r="T170" s="56"/>
      <c r="U170" s="61" t="s">
        <v>1594</v>
      </c>
      <c r="V170" s="121" t="s">
        <v>2255</v>
      </c>
      <c r="W170" s="61" t="s">
        <v>1596</v>
      </c>
      <c r="X170" s="68" t="s">
        <v>2256</v>
      </c>
      <c r="Y170" s="61" t="s">
        <v>150</v>
      </c>
      <c r="Z170" s="61" t="s">
        <v>115</v>
      </c>
      <c r="AA170" s="68" t="s">
        <v>407</v>
      </c>
      <c r="AB170" s="61">
        <v>1</v>
      </c>
      <c r="AC170" s="61">
        <v>0</v>
      </c>
      <c r="AD170" s="61">
        <v>0</v>
      </c>
      <c r="AE170" s="61">
        <v>0</v>
      </c>
      <c r="AF170" s="71">
        <f>IF(W170="SOPORTE_TELEFÓNICO",'BASE LIQUIDACION'!$B$10,IF(Y170="TIPO I",'BASE LIQUIDACION'!$C$3,IF(Y170="TIPO II",'BASE LIQUIDACION'!$C$4,IF(Y170="TIPO III",'BASE LIQUIDACION'!$C$5,'BASE LIQUIDACION'!$C$7))))</f>
        <v>65960.473639999997</v>
      </c>
      <c r="AG170" s="72">
        <f>IF(W170="SOPORTE_TELEFÓNICO",'BASE LIQUIDACION'!$B$10,(AB170*AF170+AC170*'BASE LIQUIDACION'!$B$12+AD170*'BASE LIQUIDACION'!$B$11+INCIDENTES!AE170*'BASE LIQUIDACION'!$B$13))</f>
        <v>65960.473639999997</v>
      </c>
    </row>
    <row r="171" spans="1:33" s="4" customFormat="1">
      <c r="A171" s="61" t="s">
        <v>399</v>
      </c>
      <c r="B171" s="56" t="str">
        <f>VLOOKUP(A171,'CENTRO DE COSTOS'!A:D,4,FALSE)</f>
        <v>MIGUEL JULIÁN HERNÁNDEZ GUARÍN</v>
      </c>
      <c r="C171" s="56" t="str">
        <f>VLOOKUP(A171,'CENTRO DE COSTOS'!A:D,2,FALSE)</f>
        <v>0004-0008</v>
      </c>
      <c r="D171" s="61">
        <v>15759</v>
      </c>
      <c r="E171" s="61">
        <v>2495618</v>
      </c>
      <c r="F171" s="61">
        <v>76920</v>
      </c>
      <c r="G171" s="56" t="s">
        <v>1586</v>
      </c>
      <c r="H171" s="61" t="s">
        <v>401</v>
      </c>
      <c r="I171" s="61" t="s">
        <v>873</v>
      </c>
      <c r="J171" s="61" t="s">
        <v>2257</v>
      </c>
      <c r="K171" s="56" t="s">
        <v>107</v>
      </c>
      <c r="L171" s="61" t="s">
        <v>2258</v>
      </c>
      <c r="M171" s="119">
        <v>45862.351388888892</v>
      </c>
      <c r="N171" s="119">
        <v>45862.665277777778</v>
      </c>
      <c r="O171" s="84"/>
      <c r="P171" s="74" t="s">
        <v>1590</v>
      </c>
      <c r="Q171" s="74" t="s">
        <v>1643</v>
      </c>
      <c r="R171" s="74" t="s">
        <v>1635</v>
      </c>
      <c r="S171" s="61" t="s">
        <v>124</v>
      </c>
      <c r="T171" s="56"/>
      <c r="U171" s="61" t="s">
        <v>1594</v>
      </c>
      <c r="V171" s="121" t="s">
        <v>2259</v>
      </c>
      <c r="W171" s="61" t="s">
        <v>1615</v>
      </c>
      <c r="X171" s="68">
        <v>0</v>
      </c>
      <c r="Y171" s="61" t="s">
        <v>139</v>
      </c>
      <c r="Z171" s="61" t="s">
        <v>115</v>
      </c>
      <c r="AA171" s="68" t="s">
        <v>407</v>
      </c>
      <c r="AB171" s="61">
        <v>0</v>
      </c>
      <c r="AC171" s="61">
        <v>0</v>
      </c>
      <c r="AD171" s="61">
        <v>0</v>
      </c>
      <c r="AE171" s="61">
        <v>0</v>
      </c>
      <c r="AF171" s="71">
        <f>IF(W171="SOPORTE_TELEFÓNICO",'BASE LIQUIDACION'!$B$10,IF(Y171="TIPO I",'BASE LIQUIDACION'!$C$3,IF(Y171="TIPO II",'BASE LIQUIDACION'!$C$4,IF(Y171="TIPO III",'BASE LIQUIDACION'!$C$5,'BASE LIQUIDACION'!$C$7))))</f>
        <v>37904.65408</v>
      </c>
      <c r="AG171" s="72">
        <f>IF(W171="SOPORTE_TELEFÓNICO",'BASE LIQUIDACION'!$B$10,(AB171*AF171+AC171*'BASE LIQUIDACION'!$B$12+AD171*'BASE LIQUIDACION'!$B$11+INCIDENTES!AE171*'BASE LIQUIDACION'!$B$13))</f>
        <v>37904.65408</v>
      </c>
    </row>
    <row r="172" spans="1:33" s="4" customFormat="1">
      <c r="A172" s="61" t="s">
        <v>130</v>
      </c>
      <c r="B172" s="56" t="str">
        <f>VLOOKUP(A172,'CENTRO DE COSTOS'!A:D,4,FALSE)</f>
        <v>DIEGO FERNANDO HENAO CARDONA</v>
      </c>
      <c r="C172" s="56" t="str">
        <f>VLOOKUP(A172,'CENTRO DE COSTOS'!A:D,2,FALSE)</f>
        <v>0004-0002</v>
      </c>
      <c r="D172" s="61">
        <v>76020</v>
      </c>
      <c r="E172" s="61">
        <v>2495708</v>
      </c>
      <c r="F172" s="61">
        <v>11696</v>
      </c>
      <c r="G172" s="56" t="s">
        <v>1586</v>
      </c>
      <c r="H172" s="61" t="s">
        <v>208</v>
      </c>
      <c r="I172" s="61" t="s">
        <v>1529</v>
      </c>
      <c r="J172" s="61" t="s">
        <v>2260</v>
      </c>
      <c r="K172" s="56" t="s">
        <v>107</v>
      </c>
      <c r="L172" s="61" t="s">
        <v>2261</v>
      </c>
      <c r="M172" s="119">
        <v>45862.355555555558</v>
      </c>
      <c r="N172" s="119">
        <v>45862.669444444444</v>
      </c>
      <c r="O172" s="84" t="s">
        <v>1589</v>
      </c>
      <c r="P172" s="74" t="s">
        <v>1590</v>
      </c>
      <c r="Q172" s="74" t="s">
        <v>1643</v>
      </c>
      <c r="R172" s="74" t="s">
        <v>1635</v>
      </c>
      <c r="S172" s="61" t="s">
        <v>1593</v>
      </c>
      <c r="T172" s="56"/>
      <c r="U172" s="61" t="s">
        <v>1594</v>
      </c>
      <c r="V172" s="121" t="s">
        <v>2262</v>
      </c>
      <c r="W172" s="61" t="s">
        <v>1596</v>
      </c>
      <c r="X172" s="68">
        <v>11115886</v>
      </c>
      <c r="Y172" s="61" t="s">
        <v>139</v>
      </c>
      <c r="Z172" s="61" t="s">
        <v>115</v>
      </c>
      <c r="AA172" s="68" t="s">
        <v>151</v>
      </c>
      <c r="AB172" s="61">
        <v>1</v>
      </c>
      <c r="AC172" s="61">
        <v>0</v>
      </c>
      <c r="AD172" s="61">
        <v>0</v>
      </c>
      <c r="AE172" s="61">
        <v>0</v>
      </c>
      <c r="AF172" s="71">
        <f>IF(W172="SOPORTE_TELEFÓNICO",'BASE LIQUIDACION'!$B$10,IF(Y172="TIPO I",'BASE LIQUIDACION'!$C$3,IF(Y172="TIPO II",'BASE LIQUIDACION'!$C$4,IF(Y172="TIPO III",'BASE LIQUIDACION'!$C$5,'BASE LIQUIDACION'!$C$7))))</f>
        <v>163813.55812</v>
      </c>
      <c r="AG172" s="72">
        <f>IF(W172="SOPORTE_TELEFÓNICO",'BASE LIQUIDACION'!$B$10,(AB172*AF172+AC172*'BASE LIQUIDACION'!$B$12+AD172*'BASE LIQUIDACION'!$B$11+INCIDENTES!AE172*'BASE LIQUIDACION'!$B$13))</f>
        <v>163813.55812</v>
      </c>
    </row>
    <row r="173" spans="1:33" s="4" customFormat="1">
      <c r="A173" s="61" t="s">
        <v>222</v>
      </c>
      <c r="B173" s="56" t="str">
        <f>VLOOKUP(A173,'CENTRO DE COSTOS'!A:D,4,FALSE)</f>
        <v>MIGUEL JULIÁN HERNÁNDEZ GUARÍN</v>
      </c>
      <c r="C173" s="56" t="str">
        <f>VLOOKUP(A173,'CENTRO DE COSTOS'!A:D,2,FALSE)</f>
        <v>0004-0008</v>
      </c>
      <c r="D173" s="61">
        <v>54001</v>
      </c>
      <c r="E173" s="61">
        <v>2498561</v>
      </c>
      <c r="F173" s="61">
        <v>77661</v>
      </c>
      <c r="G173" s="56" t="s">
        <v>1586</v>
      </c>
      <c r="H173" s="61" t="s">
        <v>224</v>
      </c>
      <c r="I173" s="61" t="s">
        <v>222</v>
      </c>
      <c r="J173" s="61" t="s">
        <v>2263</v>
      </c>
      <c r="K173" s="56" t="s">
        <v>107</v>
      </c>
      <c r="L173" s="61" t="s">
        <v>2264</v>
      </c>
      <c r="M173" s="119">
        <v>45862.522222222222</v>
      </c>
      <c r="N173" s="119">
        <v>45863.427083333336</v>
      </c>
      <c r="O173" s="84" t="s">
        <v>1589</v>
      </c>
      <c r="P173" s="74" t="s">
        <v>1590</v>
      </c>
      <c r="Q173" s="74" t="s">
        <v>1591</v>
      </c>
      <c r="R173" s="74" t="s">
        <v>1592</v>
      </c>
      <c r="S173" s="61" t="s">
        <v>1593</v>
      </c>
      <c r="T173" s="56"/>
      <c r="U173" s="61" t="s">
        <v>1594</v>
      </c>
      <c r="V173" s="121" t="s">
        <v>2265</v>
      </c>
      <c r="W173" s="61" t="s">
        <v>1596</v>
      </c>
      <c r="X173" s="68" t="s">
        <v>2266</v>
      </c>
      <c r="Y173" s="61" t="s">
        <v>150</v>
      </c>
      <c r="Z173" s="61" t="s">
        <v>115</v>
      </c>
      <c r="AA173" s="68" t="s">
        <v>1598</v>
      </c>
      <c r="AB173" s="61">
        <v>1</v>
      </c>
      <c r="AC173" s="61">
        <v>0</v>
      </c>
      <c r="AD173" s="61">
        <v>0</v>
      </c>
      <c r="AE173" s="61">
        <v>0</v>
      </c>
      <c r="AF173" s="71">
        <f>IF(W173="SOPORTE_TELEFÓNICO",'BASE LIQUIDACION'!$B$10,IF(Y173="TIPO I",'BASE LIQUIDACION'!$C$3,IF(Y173="TIPO II",'BASE LIQUIDACION'!$C$4,IF(Y173="TIPO III",'BASE LIQUIDACION'!$C$5,'BASE LIQUIDACION'!$C$7))))</f>
        <v>65960.473639999997</v>
      </c>
      <c r="AG173" s="72">
        <f>IF(W173="SOPORTE_TELEFÓNICO",'BASE LIQUIDACION'!$B$10,(AB173*AF173+AC173*'BASE LIQUIDACION'!$B$12+AD173*'BASE LIQUIDACION'!$B$11+INCIDENTES!AE173*'BASE LIQUIDACION'!$B$13))</f>
        <v>65960.473639999997</v>
      </c>
    </row>
    <row r="174" spans="1:33" s="4" customFormat="1">
      <c r="A174" s="61" t="s">
        <v>100</v>
      </c>
      <c r="B174" s="56" t="str">
        <f>VLOOKUP(A174,'CENTRO DE COSTOS'!A:D,4,FALSE)</f>
        <v>JUAN SEBASTIÁN RÍOS CASTRILLÓN</v>
      </c>
      <c r="C174" s="56" t="str">
        <f>VLOOKUP(A174,'CENTRO DE COSTOS'!A:D,2,FALSE)</f>
        <v>0004-0005</v>
      </c>
      <c r="D174" s="61">
        <v>5308</v>
      </c>
      <c r="E174" s="61">
        <v>2499418</v>
      </c>
      <c r="F174" s="61">
        <v>39090</v>
      </c>
      <c r="G174" s="56" t="s">
        <v>1586</v>
      </c>
      <c r="H174" s="61" t="s">
        <v>104</v>
      </c>
      <c r="I174" s="61" t="s">
        <v>655</v>
      </c>
      <c r="J174" s="61" t="s">
        <v>2267</v>
      </c>
      <c r="K174" s="56" t="s">
        <v>107</v>
      </c>
      <c r="L174" s="61" t="s">
        <v>2268</v>
      </c>
      <c r="M174" s="119">
        <v>45862.611805555556</v>
      </c>
      <c r="N174" s="119">
        <v>45863.481249999997</v>
      </c>
      <c r="O174" s="84" t="s">
        <v>1589</v>
      </c>
      <c r="P174" s="74" t="s">
        <v>1590</v>
      </c>
      <c r="Q174" s="74" t="s">
        <v>1696</v>
      </c>
      <c r="R174" s="74" t="s">
        <v>1697</v>
      </c>
      <c r="S174" s="61" t="s">
        <v>1593</v>
      </c>
      <c r="T174" s="56"/>
      <c r="U174" s="61" t="s">
        <v>1594</v>
      </c>
      <c r="V174" s="121" t="s">
        <v>2269</v>
      </c>
      <c r="W174" s="61" t="s">
        <v>1596</v>
      </c>
      <c r="X174" s="68" t="s">
        <v>2270</v>
      </c>
      <c r="Y174" s="61" t="s">
        <v>150</v>
      </c>
      <c r="Z174" s="61" t="s">
        <v>115</v>
      </c>
      <c r="AA174" s="68" t="s">
        <v>1611</v>
      </c>
      <c r="AB174" s="61">
        <v>1</v>
      </c>
      <c r="AC174" s="61">
        <v>0</v>
      </c>
      <c r="AD174" s="61">
        <v>0</v>
      </c>
      <c r="AE174" s="61">
        <v>0</v>
      </c>
      <c r="AF174" s="71">
        <f>IF(W174="SOPORTE_TELEFÓNICO",'BASE LIQUIDACION'!$B$10,IF(Y174="TIPO I",'BASE LIQUIDACION'!$C$3,IF(Y174="TIPO II",'BASE LIQUIDACION'!$C$4,IF(Y174="TIPO III",'BASE LIQUIDACION'!$C$5,'BASE LIQUIDACION'!$C$7))))</f>
        <v>65960.473639999997</v>
      </c>
      <c r="AG174" s="72">
        <f>IF(W174="SOPORTE_TELEFÓNICO",'BASE LIQUIDACION'!$B$10,(AB174*AF174+AC174*'BASE LIQUIDACION'!$B$12+AD174*'BASE LIQUIDACION'!$B$11+INCIDENTES!AE174*'BASE LIQUIDACION'!$B$13))</f>
        <v>65960.473639999997</v>
      </c>
    </row>
    <row r="175" spans="1:33" s="4" customFormat="1">
      <c r="A175" s="61" t="s">
        <v>432</v>
      </c>
      <c r="B175" s="56" t="str">
        <f>VLOOKUP(A175,'CENTRO DE COSTOS'!A:D,4,FALSE)</f>
        <v>KEVIN ALEXIS CORZO BUSTOS</v>
      </c>
      <c r="C175" s="56" t="str">
        <f>VLOOKUP(A175,'CENTRO DE COSTOS'!A:D,2,FALSE)</f>
        <v>0004-0007</v>
      </c>
      <c r="D175" s="61">
        <v>85001</v>
      </c>
      <c r="E175" s="61">
        <v>2499989</v>
      </c>
      <c r="F175" s="61">
        <v>49976</v>
      </c>
      <c r="G175" s="56" t="s">
        <v>1586</v>
      </c>
      <c r="H175" s="61" t="s">
        <v>434</v>
      </c>
      <c r="I175" s="61" t="s">
        <v>432</v>
      </c>
      <c r="J175" s="61" t="s">
        <v>2271</v>
      </c>
      <c r="K175" s="56" t="s">
        <v>107</v>
      </c>
      <c r="L175" s="61" t="s">
        <v>2272</v>
      </c>
      <c r="M175" s="119">
        <v>45862.654861111114</v>
      </c>
      <c r="N175" s="119">
        <v>45863.484027777777</v>
      </c>
      <c r="O175" s="84"/>
      <c r="P175" s="74" t="s">
        <v>1590</v>
      </c>
      <c r="Q175" s="74" t="s">
        <v>1643</v>
      </c>
      <c r="R175" s="74" t="s">
        <v>1635</v>
      </c>
      <c r="S175" s="61" t="s">
        <v>1593</v>
      </c>
      <c r="T175" s="56"/>
      <c r="U175" s="61" t="s">
        <v>1594</v>
      </c>
      <c r="V175" s="121" t="s">
        <v>2273</v>
      </c>
      <c r="W175" s="61" t="s">
        <v>1615</v>
      </c>
      <c r="X175" s="68">
        <v>0</v>
      </c>
      <c r="Y175" s="61" t="s">
        <v>150</v>
      </c>
      <c r="Z175" s="61" t="s">
        <v>115</v>
      </c>
      <c r="AA175" s="68" t="s">
        <v>440</v>
      </c>
      <c r="AB175" s="61">
        <v>0</v>
      </c>
      <c r="AC175" s="61">
        <v>0</v>
      </c>
      <c r="AD175" s="61">
        <v>0</v>
      </c>
      <c r="AE175" s="61">
        <v>0</v>
      </c>
      <c r="AF175" s="71">
        <f>IF(W175="SOPORTE_TELEFÓNICO",'BASE LIQUIDACION'!$B$10,IF(Y175="TIPO I",'BASE LIQUIDACION'!$C$3,IF(Y175="TIPO II",'BASE LIQUIDACION'!$C$4,IF(Y175="TIPO III",'BASE LIQUIDACION'!$C$5,'BASE LIQUIDACION'!$C$7))))</f>
        <v>37904.65408</v>
      </c>
      <c r="AG175" s="72">
        <f>IF(W175="SOPORTE_TELEFÓNICO",'BASE LIQUIDACION'!$B$10,(AB175*AF175+AC175*'BASE LIQUIDACION'!$B$12+AD175*'BASE LIQUIDACION'!$B$11+INCIDENTES!AE175*'BASE LIQUIDACION'!$B$13))</f>
        <v>37904.65408</v>
      </c>
    </row>
    <row r="176" spans="1:33" s="4" customFormat="1">
      <c r="A176" s="61" t="s">
        <v>170</v>
      </c>
      <c r="B176" s="56" t="str">
        <f>VLOOKUP(A176,'CENTRO DE COSTOS'!A:D,4,FALSE)</f>
        <v>WILLIAM ASDRUBAL ROZO ROZO</v>
      </c>
      <c r="C176" s="56" t="str">
        <f>VLOOKUP(A176,'CENTRO DE COSTOS'!A:D,2,FALSE)</f>
        <v>0004-0004</v>
      </c>
      <c r="D176" s="61">
        <v>25290</v>
      </c>
      <c r="E176" s="61">
        <v>2497662</v>
      </c>
      <c r="F176" s="61">
        <v>76800</v>
      </c>
      <c r="G176" s="56" t="s">
        <v>1586</v>
      </c>
      <c r="H176" s="61" t="s">
        <v>172</v>
      </c>
      <c r="I176" s="61" t="s">
        <v>471</v>
      </c>
      <c r="J176" s="61" t="s">
        <v>2274</v>
      </c>
      <c r="K176" s="56" t="s">
        <v>107</v>
      </c>
      <c r="L176" s="61" t="s">
        <v>2275</v>
      </c>
      <c r="M176" s="119">
        <v>45862.461111111108</v>
      </c>
      <c r="N176" s="119">
        <v>45863.493750000001</v>
      </c>
      <c r="O176" s="84" t="s">
        <v>1589</v>
      </c>
      <c r="P176" s="74" t="s">
        <v>1668</v>
      </c>
      <c r="Q176" s="74" t="s">
        <v>1669</v>
      </c>
      <c r="R176" s="74" t="s">
        <v>1736</v>
      </c>
      <c r="S176" s="61" t="s">
        <v>1593</v>
      </c>
      <c r="T176" s="56"/>
      <c r="U176" s="61" t="s">
        <v>1594</v>
      </c>
      <c r="V176" s="121" t="s">
        <v>2276</v>
      </c>
      <c r="W176" s="61" t="s">
        <v>1596</v>
      </c>
      <c r="X176" s="68" t="s">
        <v>2277</v>
      </c>
      <c r="Y176" s="61" t="s">
        <v>139</v>
      </c>
      <c r="Z176" s="61" t="s">
        <v>115</v>
      </c>
      <c r="AA176" s="68" t="s">
        <v>509</v>
      </c>
      <c r="AB176" s="61">
        <v>1</v>
      </c>
      <c r="AC176" s="61">
        <v>0</v>
      </c>
      <c r="AD176" s="61">
        <v>0</v>
      </c>
      <c r="AE176" s="61">
        <v>0</v>
      </c>
      <c r="AF176" s="71">
        <f>IF(W176="SOPORTE_TELEFÓNICO",'BASE LIQUIDACION'!$B$10,IF(Y176="TIPO I",'BASE LIQUIDACION'!$C$3,IF(Y176="TIPO II",'BASE LIQUIDACION'!$C$4,IF(Y176="TIPO III",'BASE LIQUIDACION'!$C$5,'BASE LIQUIDACION'!$C$7))))</f>
        <v>163813.55812</v>
      </c>
      <c r="AG176" s="72">
        <f>IF(W176="SOPORTE_TELEFÓNICO",'BASE LIQUIDACION'!$B$10,(AB176*AF176+AC176*'BASE LIQUIDACION'!$B$12+AD176*'BASE LIQUIDACION'!$B$11+INCIDENTES!AE176*'BASE LIQUIDACION'!$B$13))</f>
        <v>163813.55812</v>
      </c>
    </row>
    <row r="177" spans="1:33" s="4" customFormat="1">
      <c r="A177" s="61" t="s">
        <v>100</v>
      </c>
      <c r="B177" s="56" t="str">
        <f>VLOOKUP(A177,'CENTRO DE COSTOS'!A:D,4,FALSE)</f>
        <v>JUAN SEBASTIÁN RÍOS CASTRILLÓN</v>
      </c>
      <c r="C177" s="56" t="str">
        <f>VLOOKUP(A177,'CENTRO DE COSTOS'!A:D,2,FALSE)</f>
        <v>0004-0005</v>
      </c>
      <c r="D177" s="61">
        <v>5631</v>
      </c>
      <c r="E177" s="61">
        <v>2500846</v>
      </c>
      <c r="F177" s="61">
        <v>80318</v>
      </c>
      <c r="G177" s="56" t="s">
        <v>1586</v>
      </c>
      <c r="H177" s="61" t="s">
        <v>104</v>
      </c>
      <c r="I177" s="61" t="s">
        <v>684</v>
      </c>
      <c r="J177" s="61" t="s">
        <v>2278</v>
      </c>
      <c r="K177" s="56" t="s">
        <v>107</v>
      </c>
      <c r="L177" s="61" t="s">
        <v>2279</v>
      </c>
      <c r="M177" s="119">
        <v>45862.696527777778</v>
      </c>
      <c r="N177" s="119">
        <v>45863.603472222225</v>
      </c>
      <c r="O177" s="84"/>
      <c r="P177" s="74" t="s">
        <v>1590</v>
      </c>
      <c r="Q177" s="74" t="s">
        <v>1591</v>
      </c>
      <c r="R177" s="74" t="s">
        <v>1592</v>
      </c>
      <c r="S177" s="61" t="s">
        <v>1593</v>
      </c>
      <c r="T177" s="56"/>
      <c r="U177" s="61" t="s">
        <v>1594</v>
      </c>
      <c r="V177" s="121" t="s">
        <v>2280</v>
      </c>
      <c r="W177" s="61" t="s">
        <v>1615</v>
      </c>
      <c r="X177" s="68">
        <v>0</v>
      </c>
      <c r="Y177" s="61" t="s">
        <v>150</v>
      </c>
      <c r="Z177" s="61" t="s">
        <v>115</v>
      </c>
      <c r="AA177" s="68" t="s">
        <v>1631</v>
      </c>
      <c r="AB177" s="61">
        <v>0</v>
      </c>
      <c r="AC177" s="61">
        <v>0</v>
      </c>
      <c r="AD177" s="61">
        <v>0</v>
      </c>
      <c r="AE177" s="61">
        <v>0</v>
      </c>
      <c r="AF177" s="71">
        <f>IF(W177="SOPORTE_TELEFÓNICO",'BASE LIQUIDACION'!$B$10,IF(Y177="TIPO I",'BASE LIQUIDACION'!$C$3,IF(Y177="TIPO II",'BASE LIQUIDACION'!$C$4,IF(Y177="TIPO III",'BASE LIQUIDACION'!$C$5,'BASE LIQUIDACION'!$C$7))))</f>
        <v>37904.65408</v>
      </c>
      <c r="AG177" s="72">
        <f>IF(W177="SOPORTE_TELEFÓNICO",'BASE LIQUIDACION'!$B$10,(AB177*AF177+AC177*'BASE LIQUIDACION'!$B$12+AD177*'BASE LIQUIDACION'!$B$11+INCIDENTES!AE177*'BASE LIQUIDACION'!$B$13))</f>
        <v>37904.65408</v>
      </c>
    </row>
    <row r="178" spans="1:33" s="4" customFormat="1">
      <c r="A178" s="61" t="s">
        <v>100</v>
      </c>
      <c r="B178" s="56" t="str">
        <f>VLOOKUP(A178,'CENTRO DE COSTOS'!A:D,4,FALSE)</f>
        <v>JUAN SEBASTIÁN RÍOS CASTRILLÓN</v>
      </c>
      <c r="C178" s="56" t="str">
        <f>VLOOKUP(A178,'CENTRO DE COSTOS'!A:D,2,FALSE)</f>
        <v>0004-0005</v>
      </c>
      <c r="D178" s="61">
        <v>5001</v>
      </c>
      <c r="E178" s="61">
        <v>2501315</v>
      </c>
      <c r="F178" s="61">
        <v>40134</v>
      </c>
      <c r="G178" s="56" t="s">
        <v>1586</v>
      </c>
      <c r="H178" s="61" t="s">
        <v>104</v>
      </c>
      <c r="I178" s="61" t="s">
        <v>100</v>
      </c>
      <c r="J178" s="61" t="s">
        <v>2281</v>
      </c>
      <c r="K178" s="56" t="s">
        <v>107</v>
      </c>
      <c r="L178" s="61" t="s">
        <v>2282</v>
      </c>
      <c r="M178" s="119">
        <v>45863.333333333336</v>
      </c>
      <c r="N178" s="119">
        <v>45863.742361111108</v>
      </c>
      <c r="O178" s="84" t="s">
        <v>1589</v>
      </c>
      <c r="P178" s="74" t="s">
        <v>1590</v>
      </c>
      <c r="Q178" s="74" t="s">
        <v>1591</v>
      </c>
      <c r="R178" s="74" t="s">
        <v>1592</v>
      </c>
      <c r="S178" s="61" t="s">
        <v>1593</v>
      </c>
      <c r="T178" s="56"/>
      <c r="U178" s="61" t="s">
        <v>1594</v>
      </c>
      <c r="V178" s="121" t="s">
        <v>2283</v>
      </c>
      <c r="W178" s="61" t="s">
        <v>1596</v>
      </c>
      <c r="X178" s="68" t="s">
        <v>2284</v>
      </c>
      <c r="Y178" s="61" t="s">
        <v>150</v>
      </c>
      <c r="Z178" s="61" t="s">
        <v>115</v>
      </c>
      <c r="AA178" s="68" t="s">
        <v>1721</v>
      </c>
      <c r="AB178" s="61">
        <v>1</v>
      </c>
      <c r="AC178" s="61">
        <v>0</v>
      </c>
      <c r="AD178" s="61">
        <v>0</v>
      </c>
      <c r="AE178" s="61">
        <v>0</v>
      </c>
      <c r="AF178" s="71">
        <f>IF(W178="SOPORTE_TELEFÓNICO",'BASE LIQUIDACION'!$B$10,IF(Y178="TIPO I",'BASE LIQUIDACION'!$C$3,IF(Y178="TIPO II",'BASE LIQUIDACION'!$C$4,IF(Y178="TIPO III",'BASE LIQUIDACION'!$C$5,'BASE LIQUIDACION'!$C$7))))</f>
        <v>65960.473639999997</v>
      </c>
      <c r="AG178" s="72">
        <f>IF(W178="SOPORTE_TELEFÓNICO",'BASE LIQUIDACION'!$B$10,(AB178*AF178+AC178*'BASE LIQUIDACION'!$B$12+AD178*'BASE LIQUIDACION'!$B$11+INCIDENTES!AE178*'BASE LIQUIDACION'!$B$13))</f>
        <v>65960.473639999997</v>
      </c>
    </row>
    <row r="179" spans="1:33" s="4" customFormat="1">
      <c r="A179" s="61" t="s">
        <v>100</v>
      </c>
      <c r="B179" s="56" t="str">
        <f>VLOOKUP(A179,'CENTRO DE COSTOS'!A:D,4,FALSE)</f>
        <v>JUAN SEBASTIÁN RÍOS CASTRILLÓN</v>
      </c>
      <c r="C179" s="56" t="str">
        <f>VLOOKUP(A179,'CENTRO DE COSTOS'!A:D,2,FALSE)</f>
        <v>0004-0005</v>
      </c>
      <c r="D179" s="61">
        <v>5197</v>
      </c>
      <c r="E179" s="61">
        <v>2502090</v>
      </c>
      <c r="F179" s="61">
        <v>68663</v>
      </c>
      <c r="G179" s="56" t="s">
        <v>1586</v>
      </c>
      <c r="H179" s="61" t="s">
        <v>104</v>
      </c>
      <c r="I179" s="61" t="s">
        <v>642</v>
      </c>
      <c r="J179" s="61" t="s">
        <v>2285</v>
      </c>
      <c r="K179" s="56" t="s">
        <v>107</v>
      </c>
      <c r="L179" s="61" t="s">
        <v>2286</v>
      </c>
      <c r="M179" s="119">
        <v>45863.336111111108</v>
      </c>
      <c r="N179" s="119">
        <v>45864.427777777775</v>
      </c>
      <c r="O179" s="84" t="s">
        <v>1589</v>
      </c>
      <c r="P179" s="74" t="s">
        <v>1590</v>
      </c>
      <c r="Q179" s="74" t="s">
        <v>1607</v>
      </c>
      <c r="R179" s="74" t="s">
        <v>1608</v>
      </c>
      <c r="S179" s="61" t="s">
        <v>1593</v>
      </c>
      <c r="T179" s="56"/>
      <c r="U179" s="61" t="s">
        <v>1594</v>
      </c>
      <c r="V179" s="121" t="s">
        <v>2287</v>
      </c>
      <c r="W179" s="61" t="s">
        <v>1596</v>
      </c>
      <c r="X179" s="68" t="s">
        <v>2288</v>
      </c>
      <c r="Y179" s="61" t="s">
        <v>139</v>
      </c>
      <c r="Z179" s="61" t="s">
        <v>115</v>
      </c>
      <c r="AA179" s="68" t="s">
        <v>1611</v>
      </c>
      <c r="AB179" s="61">
        <v>1</v>
      </c>
      <c r="AC179" s="61">
        <v>0</v>
      </c>
      <c r="AD179" s="61">
        <v>0</v>
      </c>
      <c r="AE179" s="61">
        <v>0</v>
      </c>
      <c r="AF179" s="71">
        <f>IF(W179="SOPORTE_TELEFÓNICO",'BASE LIQUIDACION'!$B$10,IF(Y179="TIPO I",'BASE LIQUIDACION'!$C$3,IF(Y179="TIPO II",'BASE LIQUIDACION'!$C$4,IF(Y179="TIPO III",'BASE LIQUIDACION'!$C$5,'BASE LIQUIDACION'!$C$7))))</f>
        <v>163813.55812</v>
      </c>
      <c r="AG179" s="72">
        <f>IF(W179="SOPORTE_TELEFÓNICO",'BASE LIQUIDACION'!$B$10,(AB179*AF179+AC179*'BASE LIQUIDACION'!$B$12+AD179*'BASE LIQUIDACION'!$B$11+INCIDENTES!AE179*'BASE LIQUIDACION'!$B$13))</f>
        <v>163813.55812</v>
      </c>
    </row>
    <row r="180" spans="1:33" s="4" customFormat="1">
      <c r="A180" s="61" t="s">
        <v>170</v>
      </c>
      <c r="B180" s="56" t="str">
        <f>VLOOKUP(A180,'CENTRO DE COSTOS'!A:D,4,FALSE)</f>
        <v>WILLIAM ASDRUBAL ROZO ROZO</v>
      </c>
      <c r="C180" s="56" t="str">
        <f>VLOOKUP(A180,'CENTRO DE COSTOS'!A:D,2,FALSE)</f>
        <v>0004-0004</v>
      </c>
      <c r="D180" s="61">
        <v>11001</v>
      </c>
      <c r="E180" s="61">
        <v>2507069</v>
      </c>
      <c r="F180" s="61">
        <v>46879</v>
      </c>
      <c r="G180" s="56" t="s">
        <v>1586</v>
      </c>
      <c r="H180" s="61" t="s">
        <v>172</v>
      </c>
      <c r="I180" s="61" t="s">
        <v>170</v>
      </c>
      <c r="J180" s="61" t="s">
        <v>2289</v>
      </c>
      <c r="K180" s="56" t="s">
        <v>107</v>
      </c>
      <c r="L180" s="61" t="s">
        <v>2290</v>
      </c>
      <c r="M180" s="119">
        <v>45864.333333333336</v>
      </c>
      <c r="N180" s="119">
        <v>45864.634722222225</v>
      </c>
      <c r="O180" s="84" t="s">
        <v>1589</v>
      </c>
      <c r="P180" s="74" t="s">
        <v>1590</v>
      </c>
      <c r="Q180" s="74" t="s">
        <v>1643</v>
      </c>
      <c r="R180" s="74" t="s">
        <v>1635</v>
      </c>
      <c r="S180" s="61" t="s">
        <v>1593</v>
      </c>
      <c r="T180" s="56"/>
      <c r="U180" s="61" t="s">
        <v>1594</v>
      </c>
      <c r="V180" s="121" t="s">
        <v>2291</v>
      </c>
      <c r="W180" s="61" t="s">
        <v>1596</v>
      </c>
      <c r="X180" s="68" t="s">
        <v>2292</v>
      </c>
      <c r="Y180" s="61" t="s">
        <v>150</v>
      </c>
      <c r="Z180" s="61" t="s">
        <v>115</v>
      </c>
      <c r="AA180" s="68" t="s">
        <v>2293</v>
      </c>
      <c r="AB180" s="61">
        <v>1</v>
      </c>
      <c r="AC180" s="61">
        <v>0</v>
      </c>
      <c r="AD180" s="61">
        <v>0</v>
      </c>
      <c r="AE180" s="61">
        <v>0</v>
      </c>
      <c r="AF180" s="71">
        <f>IF(W180="SOPORTE_TELEFÓNICO",'BASE LIQUIDACION'!$B$10,IF(Y180="TIPO I",'BASE LIQUIDACION'!$C$3,IF(Y180="TIPO II",'BASE LIQUIDACION'!$C$4,IF(Y180="TIPO III",'BASE LIQUIDACION'!$C$5,'BASE LIQUIDACION'!$C$7))))</f>
        <v>65960.473639999997</v>
      </c>
      <c r="AG180" s="72">
        <f>IF(W180="SOPORTE_TELEFÓNICO",'BASE LIQUIDACION'!$B$10,(AB180*AF180+AC180*'BASE LIQUIDACION'!$B$12+AD180*'BASE LIQUIDACION'!$B$11+INCIDENTES!AE180*'BASE LIQUIDACION'!$B$13))</f>
        <v>65960.473639999997</v>
      </c>
    </row>
    <row r="181" spans="1:33" s="4" customFormat="1">
      <c r="A181" s="61" t="s">
        <v>152</v>
      </c>
      <c r="B181" s="56" t="str">
        <f>VLOOKUP(A181,'CENTRO DE COSTOS'!A:D,4,FALSE)</f>
        <v>JOSE MAURICIO HERNANDEZ ROJAS</v>
      </c>
      <c r="C181" s="56" t="str">
        <f>VLOOKUP(A181,'CENTRO DE COSTOS'!A:D,2,FALSE)</f>
        <v>0004-0001</v>
      </c>
      <c r="D181" s="61">
        <v>70823</v>
      </c>
      <c r="E181" s="61">
        <v>2502517</v>
      </c>
      <c r="F181" s="61">
        <v>34643</v>
      </c>
      <c r="G181" s="56" t="s">
        <v>1586</v>
      </c>
      <c r="H181" s="61" t="s">
        <v>154</v>
      </c>
      <c r="I181" s="61" t="s">
        <v>1484</v>
      </c>
      <c r="J181" s="61" t="s">
        <v>2294</v>
      </c>
      <c r="K181" s="56" t="s">
        <v>107</v>
      </c>
      <c r="L181" s="61" t="s">
        <v>2295</v>
      </c>
      <c r="M181" s="119">
        <v>45863.363888888889</v>
      </c>
      <c r="N181" s="119">
        <v>45865.386111111111</v>
      </c>
      <c r="O181" s="84" t="s">
        <v>1589</v>
      </c>
      <c r="P181" s="74" t="s">
        <v>1590</v>
      </c>
      <c r="Q181" s="74" t="s">
        <v>1591</v>
      </c>
      <c r="R181" s="74" t="s">
        <v>1592</v>
      </c>
      <c r="S181" s="61" t="s">
        <v>124</v>
      </c>
      <c r="T181" s="56"/>
      <c r="U181" s="61" t="s">
        <v>1594</v>
      </c>
      <c r="V181" s="121" t="s">
        <v>2296</v>
      </c>
      <c r="W181" s="61" t="s">
        <v>1596</v>
      </c>
      <c r="X181" s="68" t="s">
        <v>2297</v>
      </c>
      <c r="Y181" s="61" t="s">
        <v>139</v>
      </c>
      <c r="Z181" s="61" t="s">
        <v>115</v>
      </c>
      <c r="AA181" s="68" t="s">
        <v>160</v>
      </c>
      <c r="AB181" s="61">
        <v>1</v>
      </c>
      <c r="AC181" s="61">
        <v>0</v>
      </c>
      <c r="AD181" s="61">
        <v>0</v>
      </c>
      <c r="AE181" s="61">
        <v>0</v>
      </c>
      <c r="AF181" s="71">
        <f>IF(W181="SOPORTE_TELEFÓNICO",'BASE LIQUIDACION'!$B$10,IF(Y181="TIPO I",'BASE LIQUIDACION'!$C$3,IF(Y181="TIPO II",'BASE LIQUIDACION'!$C$4,IF(Y181="TIPO III",'BASE LIQUIDACION'!$C$5,'BASE LIQUIDACION'!$C$7))))</f>
        <v>163813.55812</v>
      </c>
      <c r="AG181" s="72">
        <f>IF(W181="SOPORTE_TELEFÓNICO",'BASE LIQUIDACION'!$B$10,(AB181*AF181+AC181*'BASE LIQUIDACION'!$B$12+AD181*'BASE LIQUIDACION'!$B$11+INCIDENTES!AE181*'BASE LIQUIDACION'!$B$13))</f>
        <v>163813.55812</v>
      </c>
    </row>
    <row r="182" spans="1:33" s="4" customFormat="1">
      <c r="A182" s="61" t="s">
        <v>222</v>
      </c>
      <c r="B182" s="56" t="str">
        <f>VLOOKUP(A182,'CENTRO DE COSTOS'!A:D,4,FALSE)</f>
        <v>MIGUEL JULIÁN HERNÁNDEZ GUARÍN</v>
      </c>
      <c r="C182" s="56" t="str">
        <f>VLOOKUP(A182,'CENTRO DE COSTOS'!A:D,2,FALSE)</f>
        <v>0004-0008</v>
      </c>
      <c r="D182" s="61">
        <v>54172</v>
      </c>
      <c r="E182" s="61">
        <v>2508002</v>
      </c>
      <c r="F182" s="61">
        <v>45891</v>
      </c>
      <c r="G182" s="56" t="s">
        <v>1586</v>
      </c>
      <c r="H182" s="61" t="s">
        <v>224</v>
      </c>
      <c r="I182" s="61" t="s">
        <v>1337</v>
      </c>
      <c r="J182" s="61" t="s">
        <v>2298</v>
      </c>
      <c r="K182" s="56" t="s">
        <v>107</v>
      </c>
      <c r="L182" s="61" t="s">
        <v>2299</v>
      </c>
      <c r="M182" s="119">
        <v>45864.468055555553</v>
      </c>
      <c r="N182" s="119">
        <v>45866.451388888891</v>
      </c>
      <c r="O182" s="84" t="s">
        <v>1589</v>
      </c>
      <c r="P182" s="74" t="s">
        <v>1590</v>
      </c>
      <c r="Q182" s="74" t="s">
        <v>1643</v>
      </c>
      <c r="R182" s="74" t="s">
        <v>1644</v>
      </c>
      <c r="S182" s="61" t="s">
        <v>1593</v>
      </c>
      <c r="T182" s="56"/>
      <c r="U182" s="61" t="s">
        <v>1594</v>
      </c>
      <c r="V182" s="121" t="s">
        <v>2300</v>
      </c>
      <c r="W182" s="61" t="s">
        <v>1596</v>
      </c>
      <c r="X182" s="68" t="s">
        <v>2301</v>
      </c>
      <c r="Y182" s="61" t="s">
        <v>139</v>
      </c>
      <c r="Z182" s="61" t="s">
        <v>115</v>
      </c>
      <c r="AA182" s="68" t="s">
        <v>229</v>
      </c>
      <c r="AB182" s="61">
        <v>1</v>
      </c>
      <c r="AC182" s="61">
        <v>0</v>
      </c>
      <c r="AD182" s="61">
        <v>0</v>
      </c>
      <c r="AE182" s="61">
        <v>0</v>
      </c>
      <c r="AF182" s="71">
        <f>IF(W182="SOPORTE_TELEFÓNICO",'BASE LIQUIDACION'!$B$10,IF(Y182="TIPO I",'BASE LIQUIDACION'!$C$3,IF(Y182="TIPO II",'BASE LIQUIDACION'!$C$4,IF(Y182="TIPO III",'BASE LIQUIDACION'!$C$5,'BASE LIQUIDACION'!$C$7))))</f>
        <v>163813.55812</v>
      </c>
      <c r="AG182" s="72">
        <f>IF(W182="SOPORTE_TELEFÓNICO",'BASE LIQUIDACION'!$B$10,(AB182*AF182+AC182*'BASE LIQUIDACION'!$B$12+AD182*'BASE LIQUIDACION'!$B$11+INCIDENTES!AE182*'BASE LIQUIDACION'!$B$13))</f>
        <v>163813.55812</v>
      </c>
    </row>
    <row r="183" spans="1:33" s="4" customFormat="1">
      <c r="A183" s="61" t="s">
        <v>360</v>
      </c>
      <c r="B183" s="56" t="str">
        <f>VLOOKUP(A183,'CENTRO DE COSTOS'!A:D,4,FALSE)</f>
        <v>KEVIN ALEXIS CORZO BUSTOS</v>
      </c>
      <c r="C183" s="56" t="str">
        <f>VLOOKUP(A183,'CENTRO DE COSTOS'!A:D,2,FALSE)</f>
        <v>0004-0007</v>
      </c>
      <c r="D183" s="61">
        <v>73585</v>
      </c>
      <c r="E183" s="61">
        <v>2508037</v>
      </c>
      <c r="F183" s="61">
        <v>47760</v>
      </c>
      <c r="G183" s="56" t="s">
        <v>1586</v>
      </c>
      <c r="H183" s="61" t="s">
        <v>362</v>
      </c>
      <c r="I183" s="61" t="s">
        <v>1518</v>
      </c>
      <c r="J183" s="61" t="s">
        <v>2302</v>
      </c>
      <c r="K183" s="56" t="s">
        <v>107</v>
      </c>
      <c r="L183" s="61" t="s">
        <v>2303</v>
      </c>
      <c r="M183" s="119">
        <v>45864.525000000001</v>
      </c>
      <c r="N183" s="119">
        <v>45866.506944444445</v>
      </c>
      <c r="O183" s="84" t="s">
        <v>1589</v>
      </c>
      <c r="P183" s="74" t="s">
        <v>1590</v>
      </c>
      <c r="Q183" s="74" t="s">
        <v>1591</v>
      </c>
      <c r="R183" s="74" t="s">
        <v>1592</v>
      </c>
      <c r="S183" s="61" t="s">
        <v>1593</v>
      </c>
      <c r="T183" s="56"/>
      <c r="U183" s="61" t="s">
        <v>1594</v>
      </c>
      <c r="V183" s="121" t="s">
        <v>2304</v>
      </c>
      <c r="W183" s="61" t="s">
        <v>1596</v>
      </c>
      <c r="X183" s="68" t="s">
        <v>2305</v>
      </c>
      <c r="Y183" s="61" t="s">
        <v>139</v>
      </c>
      <c r="Z183" s="61" t="s">
        <v>115</v>
      </c>
      <c r="AA183" s="68" t="s">
        <v>1828</v>
      </c>
      <c r="AB183" s="61">
        <v>1</v>
      </c>
      <c r="AC183" s="61">
        <v>0</v>
      </c>
      <c r="AD183" s="61">
        <v>0</v>
      </c>
      <c r="AE183" s="61">
        <v>0</v>
      </c>
      <c r="AF183" s="71">
        <f>IF(W183="SOPORTE_TELEFÓNICO",'BASE LIQUIDACION'!$B$10,IF(Y183="TIPO I",'BASE LIQUIDACION'!$C$3,IF(Y183="TIPO II",'BASE LIQUIDACION'!$C$4,IF(Y183="TIPO III",'BASE LIQUIDACION'!$C$5,'BASE LIQUIDACION'!$C$7))))</f>
        <v>163813.55812</v>
      </c>
      <c r="AG183" s="72">
        <f>IF(W183="SOPORTE_TELEFÓNICO",'BASE LIQUIDACION'!$B$10,(AB183*AF183+AC183*'BASE LIQUIDACION'!$B$12+AD183*'BASE LIQUIDACION'!$B$11+INCIDENTES!AE183*'BASE LIQUIDACION'!$B$13))</f>
        <v>163813.55812</v>
      </c>
    </row>
    <row r="184" spans="1:33" s="4" customFormat="1">
      <c r="A184" s="61" t="s">
        <v>100</v>
      </c>
      <c r="B184" s="56" t="str">
        <f>VLOOKUP(A184,'CENTRO DE COSTOS'!A:D,4,FALSE)</f>
        <v>JUAN SEBASTIÁN RÍOS CASTRILLÓN</v>
      </c>
      <c r="C184" s="56" t="str">
        <f>VLOOKUP(A184,'CENTRO DE COSTOS'!A:D,2,FALSE)</f>
        <v>0004-0005</v>
      </c>
      <c r="D184" s="61">
        <v>5088</v>
      </c>
      <c r="E184" s="61">
        <v>2510976</v>
      </c>
      <c r="F184" s="61">
        <v>77832</v>
      </c>
      <c r="G184" s="56" t="s">
        <v>1586</v>
      </c>
      <c r="H184" s="61" t="s">
        <v>104</v>
      </c>
      <c r="I184" s="61" t="s">
        <v>628</v>
      </c>
      <c r="J184" s="61" t="s">
        <v>2306</v>
      </c>
      <c r="K184" s="56" t="s">
        <v>107</v>
      </c>
      <c r="L184" s="61" t="s">
        <v>2307</v>
      </c>
      <c r="M184" s="119">
        <v>45866.393055555556</v>
      </c>
      <c r="N184" s="119">
        <v>45866.609722222223</v>
      </c>
      <c r="O184" s="84" t="s">
        <v>1589</v>
      </c>
      <c r="P184" s="74" t="s">
        <v>1590</v>
      </c>
      <c r="Q184" s="74" t="s">
        <v>1591</v>
      </c>
      <c r="R184" s="74" t="s">
        <v>1592</v>
      </c>
      <c r="S184" s="61" t="s">
        <v>1593</v>
      </c>
      <c r="T184" s="56"/>
      <c r="U184" s="61" t="s">
        <v>1594</v>
      </c>
      <c r="V184" s="121" t="s">
        <v>2308</v>
      </c>
      <c r="W184" s="61" t="s">
        <v>1596</v>
      </c>
      <c r="X184" s="68" t="s">
        <v>2309</v>
      </c>
      <c r="Y184" s="61" t="s">
        <v>150</v>
      </c>
      <c r="Z184" s="61" t="s">
        <v>115</v>
      </c>
      <c r="AA184" s="68" t="s">
        <v>1721</v>
      </c>
      <c r="AB184" s="61">
        <v>1</v>
      </c>
      <c r="AC184" s="61">
        <v>0</v>
      </c>
      <c r="AD184" s="61">
        <v>0</v>
      </c>
      <c r="AE184" s="61">
        <v>0</v>
      </c>
      <c r="AF184" s="71">
        <f>IF(W184="SOPORTE_TELEFÓNICO",'BASE LIQUIDACION'!$B$10,IF(Y184="TIPO I",'BASE LIQUIDACION'!$C$3,IF(Y184="TIPO II",'BASE LIQUIDACION'!$C$4,IF(Y184="TIPO III",'BASE LIQUIDACION'!$C$5,'BASE LIQUIDACION'!$C$7))))</f>
        <v>65960.473639999997</v>
      </c>
      <c r="AG184" s="72">
        <f>IF(W184="SOPORTE_TELEFÓNICO",'BASE LIQUIDACION'!$B$10,(AB184*AF184+AC184*'BASE LIQUIDACION'!$B$12+AD184*'BASE LIQUIDACION'!$B$11+INCIDENTES!AE184*'BASE LIQUIDACION'!$B$13))</f>
        <v>65960.473639999997</v>
      </c>
    </row>
    <row r="185" spans="1:33" s="4" customFormat="1">
      <c r="A185" s="61" t="s">
        <v>100</v>
      </c>
      <c r="B185" s="56" t="str">
        <f>VLOOKUP(A185,'CENTRO DE COSTOS'!A:D,4,FALSE)</f>
        <v>JUAN SEBASTIÁN RÍOS CASTRILLÓN</v>
      </c>
      <c r="C185" s="56" t="str">
        <f>VLOOKUP(A185,'CENTRO DE COSTOS'!A:D,2,FALSE)</f>
        <v>0004-0005</v>
      </c>
      <c r="D185" s="61">
        <v>5001</v>
      </c>
      <c r="E185" s="61">
        <v>2510714</v>
      </c>
      <c r="F185" s="61">
        <v>17638</v>
      </c>
      <c r="G185" s="56" t="s">
        <v>1586</v>
      </c>
      <c r="H185" s="61" t="s">
        <v>104</v>
      </c>
      <c r="I185" s="61" t="s">
        <v>100</v>
      </c>
      <c r="J185" s="61" t="s">
        <v>2310</v>
      </c>
      <c r="K185" s="56" t="s">
        <v>107</v>
      </c>
      <c r="L185" s="61" t="s">
        <v>2311</v>
      </c>
      <c r="M185" s="119">
        <v>45866.380555555559</v>
      </c>
      <c r="N185" s="119">
        <v>45866.642361111109</v>
      </c>
      <c r="O185" s="84" t="s">
        <v>1589</v>
      </c>
      <c r="P185" s="74" t="s">
        <v>1590</v>
      </c>
      <c r="Q185" s="74" t="s">
        <v>1643</v>
      </c>
      <c r="R185" s="74" t="s">
        <v>1635</v>
      </c>
      <c r="S185" s="61" t="s">
        <v>1593</v>
      </c>
      <c r="T185" s="56"/>
      <c r="U185" s="61" t="s">
        <v>1594</v>
      </c>
      <c r="V185" s="121" t="s">
        <v>2312</v>
      </c>
      <c r="W185" s="61" t="s">
        <v>1596</v>
      </c>
      <c r="X185" s="68" t="s">
        <v>2313</v>
      </c>
      <c r="Y185" s="61" t="s">
        <v>150</v>
      </c>
      <c r="Z185" s="61" t="s">
        <v>115</v>
      </c>
      <c r="AA185" s="68" t="s">
        <v>373</v>
      </c>
      <c r="AB185" s="61">
        <v>1</v>
      </c>
      <c r="AC185" s="61">
        <v>0</v>
      </c>
      <c r="AD185" s="61">
        <v>0</v>
      </c>
      <c r="AE185" s="61">
        <v>0</v>
      </c>
      <c r="AF185" s="71">
        <f>IF(W185="SOPORTE_TELEFÓNICO",'BASE LIQUIDACION'!$B$10,IF(Y185="TIPO I",'BASE LIQUIDACION'!$C$3,IF(Y185="TIPO II",'BASE LIQUIDACION'!$C$4,IF(Y185="TIPO III",'BASE LIQUIDACION'!$C$5,'BASE LIQUIDACION'!$C$7))))</f>
        <v>65960.473639999997</v>
      </c>
      <c r="AG185" s="72">
        <f>IF(W185="SOPORTE_TELEFÓNICO",'BASE LIQUIDACION'!$B$10,(AB185*AF185+AC185*'BASE LIQUIDACION'!$B$12+AD185*'BASE LIQUIDACION'!$B$11+INCIDENTES!AE185*'BASE LIQUIDACION'!$B$13))</f>
        <v>65960.473639999997</v>
      </c>
    </row>
    <row r="186" spans="1:33" s="4" customFormat="1">
      <c r="A186" s="61" t="s">
        <v>170</v>
      </c>
      <c r="B186" s="56" t="str">
        <f>VLOOKUP(A186,'CENTRO DE COSTOS'!A:D,4,FALSE)</f>
        <v>WILLIAM ASDRUBAL ROZO ROZO</v>
      </c>
      <c r="C186" s="56" t="str">
        <f>VLOOKUP(A186,'CENTRO DE COSTOS'!A:D,2,FALSE)</f>
        <v>0004-0004</v>
      </c>
      <c r="D186" s="61">
        <v>25592</v>
      </c>
      <c r="E186" s="61">
        <v>2502070</v>
      </c>
      <c r="F186" s="61">
        <v>35845</v>
      </c>
      <c r="G186" s="56" t="s">
        <v>1586</v>
      </c>
      <c r="H186" s="61" t="s">
        <v>172</v>
      </c>
      <c r="I186" s="61" t="s">
        <v>1136</v>
      </c>
      <c r="J186" s="61" t="s">
        <v>2314</v>
      </c>
      <c r="K186" s="56" t="s">
        <v>107</v>
      </c>
      <c r="L186" s="61" t="s">
        <v>2315</v>
      </c>
      <c r="M186" s="119">
        <v>45863.333333333336</v>
      </c>
      <c r="N186" s="119">
        <v>45866.671527777777</v>
      </c>
      <c r="O186" s="84" t="s">
        <v>1589</v>
      </c>
      <c r="P186" s="74" t="s">
        <v>1590</v>
      </c>
      <c r="Q186" s="74" t="s">
        <v>1650</v>
      </c>
      <c r="R186" s="74" t="s">
        <v>1651</v>
      </c>
      <c r="S186" s="61" t="s">
        <v>1593</v>
      </c>
      <c r="T186" s="56"/>
      <c r="U186" s="61" t="s">
        <v>1594</v>
      </c>
      <c r="V186" s="121" t="s">
        <v>2316</v>
      </c>
      <c r="W186" s="61" t="s">
        <v>1596</v>
      </c>
      <c r="X186" s="68" t="s">
        <v>2317</v>
      </c>
      <c r="Y186" s="61" t="s">
        <v>114</v>
      </c>
      <c r="Z186" s="61" t="s">
        <v>115</v>
      </c>
      <c r="AA186" s="68" t="s">
        <v>2236</v>
      </c>
      <c r="AB186" s="61">
        <v>1</v>
      </c>
      <c r="AC186" s="61">
        <v>0</v>
      </c>
      <c r="AD186" s="61">
        <v>0</v>
      </c>
      <c r="AE186" s="61">
        <v>0</v>
      </c>
      <c r="AF186" s="71">
        <f>IF(W186="SOPORTE_TELEFÓNICO",'BASE LIQUIDACION'!$B$10,IF(Y186="TIPO I",'BASE LIQUIDACION'!$C$3,IF(Y186="TIPO II",'BASE LIQUIDACION'!$C$4,IF(Y186="TIPO III",'BASE LIQUIDACION'!$C$5,'BASE LIQUIDACION'!$C$7))))</f>
        <v>275728.37943999999</v>
      </c>
      <c r="AG186" s="72">
        <f>IF(W186="SOPORTE_TELEFÓNICO",'BASE LIQUIDACION'!$B$10,(AB186*AF186+AC186*'BASE LIQUIDACION'!$B$12+AD186*'BASE LIQUIDACION'!$B$11+INCIDENTES!AE186*'BASE LIQUIDACION'!$B$13))</f>
        <v>275728.37943999999</v>
      </c>
    </row>
    <row r="187" spans="1:33" s="4" customFormat="1">
      <c r="A187" s="61" t="s">
        <v>222</v>
      </c>
      <c r="B187" s="56" t="str">
        <f>VLOOKUP(A187,'CENTRO DE COSTOS'!A:D,4,FALSE)</f>
        <v>MIGUEL JULIÁN HERNÁNDEZ GUARÍN</v>
      </c>
      <c r="C187" s="56" t="str">
        <f>VLOOKUP(A187,'CENTRO DE COSTOS'!A:D,2,FALSE)</f>
        <v>0004-0008</v>
      </c>
      <c r="D187" s="61">
        <v>54001</v>
      </c>
      <c r="E187" s="61">
        <v>2511675</v>
      </c>
      <c r="F187" s="61">
        <v>67710</v>
      </c>
      <c r="G187" s="56" t="s">
        <v>1586</v>
      </c>
      <c r="H187" s="61" t="s">
        <v>224</v>
      </c>
      <c r="I187" s="61" t="s">
        <v>222</v>
      </c>
      <c r="J187" s="61" t="s">
        <v>2318</v>
      </c>
      <c r="K187" s="56" t="s">
        <v>107</v>
      </c>
      <c r="L187" s="61" t="s">
        <v>2319</v>
      </c>
      <c r="M187" s="119">
        <v>45866.428472222222</v>
      </c>
      <c r="N187" s="119">
        <v>45866.714583333334</v>
      </c>
      <c r="O187" s="84" t="s">
        <v>1589</v>
      </c>
      <c r="P187" s="74" t="s">
        <v>1590</v>
      </c>
      <c r="Q187" s="74" t="s">
        <v>1643</v>
      </c>
      <c r="R187" s="74" t="s">
        <v>1635</v>
      </c>
      <c r="S187" s="61" t="s">
        <v>124</v>
      </c>
      <c r="T187" s="56"/>
      <c r="U187" s="61" t="s">
        <v>1594</v>
      </c>
      <c r="V187" s="121" t="s">
        <v>2320</v>
      </c>
      <c r="W187" s="61" t="s">
        <v>1596</v>
      </c>
      <c r="X187" s="68" t="s">
        <v>2321</v>
      </c>
      <c r="Y187" s="61" t="s">
        <v>150</v>
      </c>
      <c r="Z187" s="61" t="s">
        <v>115</v>
      </c>
      <c r="AA187" s="68" t="s">
        <v>2322</v>
      </c>
      <c r="AB187" s="61">
        <v>1</v>
      </c>
      <c r="AC187" s="61">
        <v>0</v>
      </c>
      <c r="AD187" s="61">
        <v>0</v>
      </c>
      <c r="AE187" s="61">
        <v>0</v>
      </c>
      <c r="AF187" s="71">
        <f>IF(W187="SOPORTE_TELEFÓNICO",'BASE LIQUIDACION'!$B$10,IF(Y187="TIPO I",'BASE LIQUIDACION'!$C$3,IF(Y187="TIPO II",'BASE LIQUIDACION'!$C$4,IF(Y187="TIPO III",'BASE LIQUIDACION'!$C$5,'BASE LIQUIDACION'!$C$7))))</f>
        <v>65960.473639999997</v>
      </c>
      <c r="AG187" s="72">
        <f>IF(W187="SOPORTE_TELEFÓNICO",'BASE LIQUIDACION'!$B$10,(AB187*AF187+AC187*'BASE LIQUIDACION'!$B$12+AD187*'BASE LIQUIDACION'!$B$11+INCIDENTES!AE187*'BASE LIQUIDACION'!$B$13))</f>
        <v>65960.473639999997</v>
      </c>
    </row>
    <row r="188" spans="1:33" s="4" customFormat="1">
      <c r="A188" s="61" t="s">
        <v>100</v>
      </c>
      <c r="B188" s="56" t="str">
        <f>VLOOKUP(A188,'CENTRO DE COSTOS'!A:D,4,FALSE)</f>
        <v>JUAN SEBASTIÁN RÍOS CASTRILLÓN</v>
      </c>
      <c r="C188" s="56" t="str">
        <f>VLOOKUP(A188,'CENTRO DE COSTOS'!A:D,2,FALSE)</f>
        <v>0004-0005</v>
      </c>
      <c r="D188" s="61">
        <v>5360</v>
      </c>
      <c r="E188" s="61">
        <v>2518638</v>
      </c>
      <c r="F188" s="61">
        <v>22222</v>
      </c>
      <c r="G188" s="56" t="s">
        <v>1586</v>
      </c>
      <c r="H188" s="61" t="s">
        <v>104</v>
      </c>
      <c r="I188" s="61" t="s">
        <v>661</v>
      </c>
      <c r="J188" s="61" t="s">
        <v>2323</v>
      </c>
      <c r="K188" s="56" t="s">
        <v>107</v>
      </c>
      <c r="L188" s="61" t="s">
        <v>2324</v>
      </c>
      <c r="M188" s="119">
        <v>45867.395833333336</v>
      </c>
      <c r="N188" s="119">
        <v>45867.436111111114</v>
      </c>
      <c r="O188" s="84"/>
      <c r="P188" s="74" t="s">
        <v>1590</v>
      </c>
      <c r="Q188" s="74" t="s">
        <v>1591</v>
      </c>
      <c r="R188" s="74" t="s">
        <v>1592</v>
      </c>
      <c r="S188" s="61" t="s">
        <v>2325</v>
      </c>
      <c r="T188" s="56"/>
      <c r="U188" s="61" t="s">
        <v>1594</v>
      </c>
      <c r="V188" s="121" t="s">
        <v>2326</v>
      </c>
      <c r="W188" s="61" t="s">
        <v>1615</v>
      </c>
      <c r="X188" s="68">
        <v>0</v>
      </c>
      <c r="Y188" s="61" t="s">
        <v>150</v>
      </c>
      <c r="Z188" s="61" t="s">
        <v>115</v>
      </c>
      <c r="AA188" s="68" t="s">
        <v>2327</v>
      </c>
      <c r="AB188" s="61">
        <v>0</v>
      </c>
      <c r="AC188" s="61">
        <v>0</v>
      </c>
      <c r="AD188" s="61">
        <v>0</v>
      </c>
      <c r="AE188" s="61">
        <v>0</v>
      </c>
      <c r="AF188" s="71">
        <f>IF(W188="SOPORTE_TELEFÓNICO",'BASE LIQUIDACION'!$B$10,IF(Y188="TIPO I",'BASE LIQUIDACION'!$C$3,IF(Y188="TIPO II",'BASE LIQUIDACION'!$C$4,IF(Y188="TIPO III",'BASE LIQUIDACION'!$C$5,'BASE LIQUIDACION'!$C$7))))</f>
        <v>37904.65408</v>
      </c>
      <c r="AG188" s="72">
        <f>IF(W188="SOPORTE_TELEFÓNICO",'BASE LIQUIDACION'!$B$10,(AB188*AF188+AC188*'BASE LIQUIDACION'!$B$12+AD188*'BASE LIQUIDACION'!$B$11+INCIDENTES!AE188*'BASE LIQUIDACION'!$B$13))</f>
        <v>37904.65408</v>
      </c>
    </row>
    <row r="189" spans="1:33" s="4" customFormat="1">
      <c r="A189" s="61" t="s">
        <v>100</v>
      </c>
      <c r="B189" s="56" t="str">
        <f>VLOOKUP(A189,'CENTRO DE COSTOS'!A:D,4,FALSE)</f>
        <v>JUAN SEBASTIÁN RÍOS CASTRILLÓN</v>
      </c>
      <c r="C189" s="56" t="str">
        <f>VLOOKUP(A189,'CENTRO DE COSTOS'!A:D,2,FALSE)</f>
        <v>0004-0005</v>
      </c>
      <c r="D189" s="61">
        <v>5001</v>
      </c>
      <c r="E189" s="61">
        <v>2513880</v>
      </c>
      <c r="F189" s="61">
        <v>63959</v>
      </c>
      <c r="G189" s="56" t="s">
        <v>1586</v>
      </c>
      <c r="H189" s="61" t="s">
        <v>104</v>
      </c>
      <c r="I189" s="61" t="s">
        <v>100</v>
      </c>
      <c r="J189" s="61" t="s">
        <v>2328</v>
      </c>
      <c r="K189" s="56" t="s">
        <v>107</v>
      </c>
      <c r="L189" s="61" t="s">
        <v>2329</v>
      </c>
      <c r="M189" s="119">
        <v>45866.55</v>
      </c>
      <c r="N189" s="119">
        <v>45867.445833333331</v>
      </c>
      <c r="O189" s="84"/>
      <c r="P189" s="74" t="s">
        <v>1590</v>
      </c>
      <c r="Q189" s="74" t="s">
        <v>1591</v>
      </c>
      <c r="R189" s="74" t="s">
        <v>1592</v>
      </c>
      <c r="S189" s="61" t="s">
        <v>124</v>
      </c>
      <c r="T189" s="56"/>
      <c r="U189" s="61" t="s">
        <v>1594</v>
      </c>
      <c r="V189" s="121" t="s">
        <v>2330</v>
      </c>
      <c r="W189" s="61" t="s">
        <v>1615</v>
      </c>
      <c r="X189" s="68">
        <v>0</v>
      </c>
      <c r="Y189" s="61" t="s">
        <v>150</v>
      </c>
      <c r="Z189" s="61" t="s">
        <v>115</v>
      </c>
      <c r="AA189" s="68" t="s">
        <v>1721</v>
      </c>
      <c r="AB189" s="61">
        <v>0</v>
      </c>
      <c r="AC189" s="61">
        <v>0</v>
      </c>
      <c r="AD189" s="61">
        <v>0</v>
      </c>
      <c r="AE189" s="61">
        <v>0</v>
      </c>
      <c r="AF189" s="71">
        <f>IF(W189="SOPORTE_TELEFÓNICO",'BASE LIQUIDACION'!$B$10,IF(Y189="TIPO I",'BASE LIQUIDACION'!$C$3,IF(Y189="TIPO II",'BASE LIQUIDACION'!$C$4,IF(Y189="TIPO III",'BASE LIQUIDACION'!$C$5,'BASE LIQUIDACION'!$C$7))))</f>
        <v>37904.65408</v>
      </c>
      <c r="AG189" s="72">
        <f>IF(W189="SOPORTE_TELEFÓNICO",'BASE LIQUIDACION'!$B$10,(AB189*AF189+AC189*'BASE LIQUIDACION'!$B$12+AD189*'BASE LIQUIDACION'!$B$11+INCIDENTES!AE189*'BASE LIQUIDACION'!$B$13))</f>
        <v>37904.65408</v>
      </c>
    </row>
    <row r="190" spans="1:33" s="4" customFormat="1">
      <c r="A190" s="61" t="s">
        <v>161</v>
      </c>
      <c r="B190" s="56" t="str">
        <f>VLOOKUP(A190,'CENTRO DE COSTOS'!A:D,4,FALSE)</f>
        <v>DIEGO FERNANDO HENAO CARDONA</v>
      </c>
      <c r="C190" s="56" t="str">
        <f>VLOOKUP(A190,'CENTRO DE COSTOS'!A:D,2,FALSE)</f>
        <v>0004-0003</v>
      </c>
      <c r="D190" s="61">
        <v>76520</v>
      </c>
      <c r="E190" s="61">
        <v>2513157</v>
      </c>
      <c r="F190" s="61">
        <v>11785</v>
      </c>
      <c r="G190" s="56" t="s">
        <v>1586</v>
      </c>
      <c r="H190" s="61" t="s">
        <v>208</v>
      </c>
      <c r="I190" s="61" t="s">
        <v>231</v>
      </c>
      <c r="J190" s="61" t="s">
        <v>2331</v>
      </c>
      <c r="K190" s="56" t="s">
        <v>107</v>
      </c>
      <c r="L190" s="61" t="s">
        <v>2332</v>
      </c>
      <c r="M190" s="119">
        <v>45866.489583333336</v>
      </c>
      <c r="N190" s="119">
        <v>45867.48541666667</v>
      </c>
      <c r="O190" s="84" t="s">
        <v>1589</v>
      </c>
      <c r="P190" s="74" t="s">
        <v>1590</v>
      </c>
      <c r="Q190" s="74" t="s">
        <v>1643</v>
      </c>
      <c r="R190" s="74" t="s">
        <v>1644</v>
      </c>
      <c r="S190" s="61" t="s">
        <v>145</v>
      </c>
      <c r="T190" s="56"/>
      <c r="U190" s="61" t="s">
        <v>1594</v>
      </c>
      <c r="V190" s="121" t="s">
        <v>2333</v>
      </c>
      <c r="W190" s="61" t="s">
        <v>1596</v>
      </c>
      <c r="X190" s="68" t="s">
        <v>2334</v>
      </c>
      <c r="Y190" s="61" t="s">
        <v>150</v>
      </c>
      <c r="Z190" s="61" t="s">
        <v>115</v>
      </c>
      <c r="AA190" s="68" t="s">
        <v>457</v>
      </c>
      <c r="AB190" s="61">
        <v>1</v>
      </c>
      <c r="AC190" s="61">
        <v>0</v>
      </c>
      <c r="AD190" s="61">
        <v>0</v>
      </c>
      <c r="AE190" s="61">
        <v>0</v>
      </c>
      <c r="AF190" s="71">
        <f>IF(W190="SOPORTE_TELEFÓNICO",'BASE LIQUIDACION'!$B$10,IF(Y190="TIPO I",'BASE LIQUIDACION'!$C$3,IF(Y190="TIPO II",'BASE LIQUIDACION'!$C$4,IF(Y190="TIPO III",'BASE LIQUIDACION'!$C$5,'BASE LIQUIDACION'!$C$7))))</f>
        <v>65960.473639999997</v>
      </c>
      <c r="AG190" s="72">
        <f>IF(W190="SOPORTE_TELEFÓNICO",'BASE LIQUIDACION'!$B$10,(AB190*AF190+AC190*'BASE LIQUIDACION'!$B$12+AD190*'BASE LIQUIDACION'!$B$11+INCIDENTES!AE190*'BASE LIQUIDACION'!$B$13))</f>
        <v>65960.473639999997</v>
      </c>
    </row>
    <row r="191" spans="1:33" s="4" customFormat="1">
      <c r="A191" s="61" t="s">
        <v>100</v>
      </c>
      <c r="B191" s="56" t="str">
        <f>VLOOKUP(A191,'CENTRO DE COSTOS'!A:D,4,FALSE)</f>
        <v>JUAN SEBASTIÁN RÍOS CASTRILLÓN</v>
      </c>
      <c r="C191" s="56" t="str">
        <f>VLOOKUP(A191,'CENTRO DE COSTOS'!A:D,2,FALSE)</f>
        <v>0004-0005</v>
      </c>
      <c r="D191" s="61">
        <v>5001</v>
      </c>
      <c r="E191" s="61">
        <v>2513973</v>
      </c>
      <c r="F191" s="61">
        <v>75147</v>
      </c>
      <c r="G191" s="56" t="s">
        <v>1586</v>
      </c>
      <c r="H191" s="61" t="s">
        <v>104</v>
      </c>
      <c r="I191" s="61" t="s">
        <v>100</v>
      </c>
      <c r="J191" s="61" t="s">
        <v>2335</v>
      </c>
      <c r="K191" s="56" t="s">
        <v>107</v>
      </c>
      <c r="L191" s="61" t="s">
        <v>2336</v>
      </c>
      <c r="M191" s="119">
        <v>45866.567361111112</v>
      </c>
      <c r="N191" s="119">
        <v>45867.495138888888</v>
      </c>
      <c r="O191" s="84" t="s">
        <v>1589</v>
      </c>
      <c r="P191" s="74" t="s">
        <v>1590</v>
      </c>
      <c r="Q191" s="74" t="s">
        <v>1601</v>
      </c>
      <c r="R191" s="74" t="s">
        <v>2144</v>
      </c>
      <c r="S191" s="61" t="s">
        <v>1593</v>
      </c>
      <c r="T191" s="56"/>
      <c r="U191" s="61" t="s">
        <v>1594</v>
      </c>
      <c r="V191" s="121" t="s">
        <v>2337</v>
      </c>
      <c r="W191" s="61" t="s">
        <v>1596</v>
      </c>
      <c r="X191" s="68" t="s">
        <v>2338</v>
      </c>
      <c r="Y191" s="61" t="s">
        <v>150</v>
      </c>
      <c r="Z191" s="61" t="s">
        <v>115</v>
      </c>
      <c r="AA191" s="68" t="s">
        <v>1611</v>
      </c>
      <c r="AB191" s="61">
        <v>1</v>
      </c>
      <c r="AC191" s="61">
        <v>0</v>
      </c>
      <c r="AD191" s="61">
        <v>0</v>
      </c>
      <c r="AE191" s="61">
        <v>0</v>
      </c>
      <c r="AF191" s="71">
        <f>IF(W191="SOPORTE_TELEFÓNICO",'BASE LIQUIDACION'!$B$10,IF(Y191="TIPO I",'BASE LIQUIDACION'!$C$3,IF(Y191="TIPO II",'BASE LIQUIDACION'!$C$4,IF(Y191="TIPO III",'BASE LIQUIDACION'!$C$5,'BASE LIQUIDACION'!$C$7))))</f>
        <v>65960.473639999997</v>
      </c>
      <c r="AG191" s="72">
        <f>IF(W191="SOPORTE_TELEFÓNICO",'BASE LIQUIDACION'!$B$10,(AB191*AF191+AC191*'BASE LIQUIDACION'!$B$12+AD191*'BASE LIQUIDACION'!$B$11+INCIDENTES!AE191*'BASE LIQUIDACION'!$B$13))</f>
        <v>65960.473639999997</v>
      </c>
    </row>
    <row r="192" spans="1:33" s="4" customFormat="1">
      <c r="A192" s="61" t="s">
        <v>899</v>
      </c>
      <c r="B192" s="56" t="str">
        <f>VLOOKUP(A192,'CENTRO DE COSTOS'!A:D,4,FALSE)</f>
        <v>DIEGO FERNANDO HENAO CARDONA</v>
      </c>
      <c r="C192" s="56" t="str">
        <f>VLOOKUP(A192,'CENTRO DE COSTOS'!A:D,2,FALSE)</f>
        <v>0004-0002</v>
      </c>
      <c r="D192" s="61">
        <v>17541</v>
      </c>
      <c r="E192" s="61">
        <v>2516592</v>
      </c>
      <c r="F192" s="61">
        <v>53593</v>
      </c>
      <c r="G192" s="56" t="s">
        <v>1586</v>
      </c>
      <c r="H192" s="61" t="s">
        <v>600</v>
      </c>
      <c r="I192" s="61" t="s">
        <v>917</v>
      </c>
      <c r="J192" s="61" t="s">
        <v>2339</v>
      </c>
      <c r="K192" s="56" t="s">
        <v>107</v>
      </c>
      <c r="L192" s="61" t="s">
        <v>2340</v>
      </c>
      <c r="M192" s="119">
        <v>45866.734027777777</v>
      </c>
      <c r="N192" s="119">
        <v>45867.509722222225</v>
      </c>
      <c r="O192" s="84"/>
      <c r="P192" s="74" t="s">
        <v>1590</v>
      </c>
      <c r="Q192" s="74" t="s">
        <v>1634</v>
      </c>
      <c r="R192" s="74" t="s">
        <v>1635</v>
      </c>
      <c r="S192" s="61" t="s">
        <v>124</v>
      </c>
      <c r="T192" s="56"/>
      <c r="U192" s="61" t="s">
        <v>1594</v>
      </c>
      <c r="V192" s="121" t="s">
        <v>2341</v>
      </c>
      <c r="W192" s="61" t="s">
        <v>1615</v>
      </c>
      <c r="X192" s="68">
        <v>0</v>
      </c>
      <c r="Y192" s="61" t="s">
        <v>114</v>
      </c>
      <c r="Z192" s="61" t="s">
        <v>115</v>
      </c>
      <c r="AA192" s="68" t="s">
        <v>1815</v>
      </c>
      <c r="AB192" s="61">
        <v>0</v>
      </c>
      <c r="AC192" s="61">
        <v>0</v>
      </c>
      <c r="AD192" s="61">
        <v>0</v>
      </c>
      <c r="AE192" s="61">
        <v>0</v>
      </c>
      <c r="AF192" s="71">
        <f>IF(W192="SOPORTE_TELEFÓNICO",'BASE LIQUIDACION'!$B$10,IF(Y192="TIPO I",'BASE LIQUIDACION'!$C$3,IF(Y192="TIPO II",'BASE LIQUIDACION'!$C$4,IF(Y192="TIPO III",'BASE LIQUIDACION'!$C$5,'BASE LIQUIDACION'!$C$7))))</f>
        <v>37904.65408</v>
      </c>
      <c r="AG192" s="72">
        <f>IF(W192="SOPORTE_TELEFÓNICO",'BASE LIQUIDACION'!$B$10,(AB192*AF192+AC192*'BASE LIQUIDACION'!$B$12+AD192*'BASE LIQUIDACION'!$B$11+INCIDENTES!AE192*'BASE LIQUIDACION'!$B$13))</f>
        <v>37904.65408</v>
      </c>
    </row>
    <row r="193" spans="1:33" s="4" customFormat="1">
      <c r="A193" s="61" t="s">
        <v>100</v>
      </c>
      <c r="B193" s="56" t="str">
        <f>VLOOKUP(A193,'CENTRO DE COSTOS'!A:D,4,FALSE)</f>
        <v>JUAN SEBASTIÁN RÍOS CASTRILLÓN</v>
      </c>
      <c r="C193" s="56" t="str">
        <f>VLOOKUP(A193,'CENTRO DE COSTOS'!A:D,2,FALSE)</f>
        <v>0004-0005</v>
      </c>
      <c r="D193" s="61">
        <v>5674</v>
      </c>
      <c r="E193" s="61">
        <v>2509760</v>
      </c>
      <c r="F193" s="61">
        <v>49600</v>
      </c>
      <c r="G193" s="56" t="s">
        <v>1586</v>
      </c>
      <c r="H193" s="61" t="s">
        <v>104</v>
      </c>
      <c r="I193" s="61" t="s">
        <v>693</v>
      </c>
      <c r="J193" s="61" t="s">
        <v>2342</v>
      </c>
      <c r="K193" s="56" t="s">
        <v>107</v>
      </c>
      <c r="L193" s="61" t="s">
        <v>2343</v>
      </c>
      <c r="M193" s="119">
        <v>45866.34375</v>
      </c>
      <c r="N193" s="119">
        <v>45867.557638888888</v>
      </c>
      <c r="O193" s="84" t="s">
        <v>1589</v>
      </c>
      <c r="P193" s="74" t="s">
        <v>1590</v>
      </c>
      <c r="Q193" s="74" t="s">
        <v>1643</v>
      </c>
      <c r="R193" s="74" t="s">
        <v>1644</v>
      </c>
      <c r="S193" s="61" t="s">
        <v>124</v>
      </c>
      <c r="T193" s="56"/>
      <c r="U193" s="61" t="s">
        <v>1594</v>
      </c>
      <c r="V193" s="121" t="s">
        <v>2344</v>
      </c>
      <c r="W193" s="61" t="s">
        <v>1596</v>
      </c>
      <c r="X193" s="68" t="s">
        <v>2345</v>
      </c>
      <c r="Y193" s="61" t="s">
        <v>139</v>
      </c>
      <c r="Z193" s="61" t="s">
        <v>115</v>
      </c>
      <c r="AA193" s="68" t="s">
        <v>276</v>
      </c>
      <c r="AB193" s="61">
        <v>1</v>
      </c>
      <c r="AC193" s="61">
        <v>0</v>
      </c>
      <c r="AD193" s="61">
        <v>0</v>
      </c>
      <c r="AE193" s="61">
        <v>0</v>
      </c>
      <c r="AF193" s="71">
        <f>IF(W193="SOPORTE_TELEFÓNICO",'BASE LIQUIDACION'!$B$10,IF(Y193="TIPO I",'BASE LIQUIDACION'!$C$3,IF(Y193="TIPO II",'BASE LIQUIDACION'!$C$4,IF(Y193="TIPO III",'BASE LIQUIDACION'!$C$5,'BASE LIQUIDACION'!$C$7))))</f>
        <v>163813.55812</v>
      </c>
      <c r="AG193" s="72">
        <f>IF(W193="SOPORTE_TELEFÓNICO",'BASE LIQUIDACION'!$B$10,(AB193*AF193+AC193*'BASE LIQUIDACION'!$B$12+AD193*'BASE LIQUIDACION'!$B$11+INCIDENTES!AE193*'BASE LIQUIDACION'!$B$13))</f>
        <v>163813.55812</v>
      </c>
    </row>
    <row r="194" spans="1:33" s="4" customFormat="1">
      <c r="A194" s="61" t="s">
        <v>170</v>
      </c>
      <c r="B194" s="56" t="str">
        <f>VLOOKUP(A194,'CENTRO DE COSTOS'!A:D,4,FALSE)</f>
        <v>WILLIAM ASDRUBAL ROZO ROZO</v>
      </c>
      <c r="C194" s="56" t="str">
        <f>VLOOKUP(A194,'CENTRO DE COSTOS'!A:D,2,FALSE)</f>
        <v>0004-0004</v>
      </c>
      <c r="D194" s="61">
        <v>11001</v>
      </c>
      <c r="E194" s="61">
        <v>2520628</v>
      </c>
      <c r="F194" s="61">
        <v>79527</v>
      </c>
      <c r="G194" s="56" t="s">
        <v>1586</v>
      </c>
      <c r="H194" s="61" t="s">
        <v>172</v>
      </c>
      <c r="I194" s="61" t="s">
        <v>170</v>
      </c>
      <c r="J194" s="61" t="s">
        <v>2346</v>
      </c>
      <c r="K194" s="56" t="s">
        <v>107</v>
      </c>
      <c r="L194" s="61" t="s">
        <v>2347</v>
      </c>
      <c r="M194" s="119">
        <v>45867.487500000003</v>
      </c>
      <c r="N194" s="119">
        <v>45867.636111111111</v>
      </c>
      <c r="O194" s="84" t="s">
        <v>1589</v>
      </c>
      <c r="P194" s="74" t="s">
        <v>1590</v>
      </c>
      <c r="Q194" s="74" t="s">
        <v>1643</v>
      </c>
      <c r="R194" s="74" t="s">
        <v>1635</v>
      </c>
      <c r="S194" s="61" t="s">
        <v>1593</v>
      </c>
      <c r="T194" s="56"/>
      <c r="U194" s="61" t="s">
        <v>1594</v>
      </c>
      <c r="V194" s="121" t="s">
        <v>2348</v>
      </c>
      <c r="W194" s="61" t="s">
        <v>1596</v>
      </c>
      <c r="X194" s="68" t="s">
        <v>2349</v>
      </c>
      <c r="Y194" s="61" t="s">
        <v>150</v>
      </c>
      <c r="Z194" s="61" t="s">
        <v>115</v>
      </c>
      <c r="AA194" s="68" t="s">
        <v>241</v>
      </c>
      <c r="AB194" s="61">
        <v>1</v>
      </c>
      <c r="AC194" s="61">
        <v>0</v>
      </c>
      <c r="AD194" s="61">
        <v>0</v>
      </c>
      <c r="AE194" s="61">
        <v>0</v>
      </c>
      <c r="AF194" s="71">
        <f>IF(W194="SOPORTE_TELEFÓNICO",'BASE LIQUIDACION'!$B$10,IF(Y194="TIPO I",'BASE LIQUIDACION'!$C$3,IF(Y194="TIPO II",'BASE LIQUIDACION'!$C$4,IF(Y194="TIPO III",'BASE LIQUIDACION'!$C$5,'BASE LIQUIDACION'!$C$7))))</f>
        <v>65960.473639999997</v>
      </c>
      <c r="AG194" s="72">
        <f>IF(W194="SOPORTE_TELEFÓNICO",'BASE LIQUIDACION'!$B$10,(AB194*AF194+AC194*'BASE LIQUIDACION'!$B$12+AD194*'BASE LIQUIDACION'!$B$11+INCIDENTES!AE194*'BASE LIQUIDACION'!$B$13))</f>
        <v>65960.473639999997</v>
      </c>
    </row>
    <row r="195" spans="1:33" s="4" customFormat="1">
      <c r="A195" s="61" t="s">
        <v>222</v>
      </c>
      <c r="B195" s="56" t="str">
        <f>VLOOKUP(A195,'CENTRO DE COSTOS'!A:D,4,FALSE)</f>
        <v>MIGUEL JULIÁN HERNÁNDEZ GUARÍN</v>
      </c>
      <c r="C195" s="56" t="str">
        <f>VLOOKUP(A195,'CENTRO DE COSTOS'!A:D,2,FALSE)</f>
        <v>0004-0008</v>
      </c>
      <c r="D195" s="61">
        <v>54874</v>
      </c>
      <c r="E195" s="61">
        <v>2518847</v>
      </c>
      <c r="F195" s="61">
        <v>49274</v>
      </c>
      <c r="G195" s="56" t="s">
        <v>1586</v>
      </c>
      <c r="H195" s="61" t="s">
        <v>224</v>
      </c>
      <c r="I195" s="61" t="s">
        <v>1365</v>
      </c>
      <c r="J195" s="61" t="s">
        <v>2350</v>
      </c>
      <c r="K195" s="56" t="s">
        <v>107</v>
      </c>
      <c r="L195" s="61" t="s">
        <v>2351</v>
      </c>
      <c r="M195" s="119">
        <v>45867.399305555555</v>
      </c>
      <c r="N195" s="119">
        <v>45867.722222222219</v>
      </c>
      <c r="O195" s="84" t="s">
        <v>1589</v>
      </c>
      <c r="P195" s="74" t="s">
        <v>1590</v>
      </c>
      <c r="Q195" s="74" t="s">
        <v>1591</v>
      </c>
      <c r="R195" s="74" t="s">
        <v>1592</v>
      </c>
      <c r="S195" s="61" t="s">
        <v>124</v>
      </c>
      <c r="T195" s="56"/>
      <c r="U195" s="61" t="s">
        <v>1594</v>
      </c>
      <c r="V195" s="121" t="s">
        <v>2352</v>
      </c>
      <c r="W195" s="61" t="s">
        <v>1596</v>
      </c>
      <c r="X195" s="68" t="s">
        <v>2353</v>
      </c>
      <c r="Y195" s="61" t="s">
        <v>150</v>
      </c>
      <c r="Z195" s="61" t="s">
        <v>115</v>
      </c>
      <c r="AA195" s="68" t="s">
        <v>2354</v>
      </c>
      <c r="AB195" s="61">
        <v>1</v>
      </c>
      <c r="AC195" s="61">
        <v>0</v>
      </c>
      <c r="AD195" s="61">
        <v>0</v>
      </c>
      <c r="AE195" s="61">
        <v>0</v>
      </c>
      <c r="AF195" s="71">
        <f>IF(W195="SOPORTE_TELEFÓNICO",'BASE LIQUIDACION'!$B$10,IF(Y195="TIPO I",'BASE LIQUIDACION'!$C$3,IF(Y195="TIPO II",'BASE LIQUIDACION'!$C$4,IF(Y195="TIPO III",'BASE LIQUIDACION'!$C$5,'BASE LIQUIDACION'!$C$7))))</f>
        <v>65960.473639999997</v>
      </c>
      <c r="AG195" s="72">
        <f>IF(W195="SOPORTE_TELEFÓNICO",'BASE LIQUIDACION'!$B$10,(AB195*AF195+AC195*'BASE LIQUIDACION'!$B$12+AD195*'BASE LIQUIDACION'!$B$11+INCIDENTES!AE195*'BASE LIQUIDACION'!$B$13))</f>
        <v>65960.473639999997</v>
      </c>
    </row>
    <row r="196" spans="1:33" s="4" customFormat="1">
      <c r="A196" s="61" t="s">
        <v>256</v>
      </c>
      <c r="B196" s="56" t="str">
        <f>VLOOKUP(A196,'CENTRO DE COSTOS'!A:D,4,FALSE)</f>
        <v>MIGUEL JULIÁN HERNÁNDEZ GUARÍN</v>
      </c>
      <c r="C196" s="56" t="str">
        <f>VLOOKUP(A196,'CENTRO DE COSTOS'!A:D,2,FALSE)</f>
        <v>0004-0008</v>
      </c>
      <c r="D196" s="61">
        <v>68001</v>
      </c>
      <c r="E196" s="61">
        <v>2521027</v>
      </c>
      <c r="F196" s="61">
        <v>80246</v>
      </c>
      <c r="G196" s="56" t="s">
        <v>1586</v>
      </c>
      <c r="H196" s="61" t="s">
        <v>258</v>
      </c>
      <c r="I196" s="61" t="s">
        <v>256</v>
      </c>
      <c r="J196" s="61" t="s">
        <v>421</v>
      </c>
      <c r="K196" s="56" t="s">
        <v>107</v>
      </c>
      <c r="L196" s="61" t="s">
        <v>2355</v>
      </c>
      <c r="M196" s="119">
        <v>45867.522916666669</v>
      </c>
      <c r="N196" s="119">
        <v>45868.443749999999</v>
      </c>
      <c r="O196" s="84" t="s">
        <v>1589</v>
      </c>
      <c r="P196" s="74" t="s">
        <v>1590</v>
      </c>
      <c r="Q196" s="74" t="s">
        <v>1643</v>
      </c>
      <c r="R196" s="74" t="s">
        <v>1635</v>
      </c>
      <c r="S196" s="61" t="s">
        <v>1593</v>
      </c>
      <c r="T196" s="56"/>
      <c r="U196" s="61" t="s">
        <v>1594</v>
      </c>
      <c r="V196" s="121" t="s">
        <v>2356</v>
      </c>
      <c r="W196" s="61" t="s">
        <v>1596</v>
      </c>
      <c r="X196" s="68" t="s">
        <v>424</v>
      </c>
      <c r="Y196" s="61" t="s">
        <v>150</v>
      </c>
      <c r="Z196" s="61" t="s">
        <v>115</v>
      </c>
      <c r="AA196" s="68" t="s">
        <v>2357</v>
      </c>
      <c r="AB196" s="61">
        <v>1</v>
      </c>
      <c r="AC196" s="61">
        <v>0</v>
      </c>
      <c r="AD196" s="61">
        <v>0</v>
      </c>
      <c r="AE196" s="61">
        <v>0</v>
      </c>
      <c r="AF196" s="71">
        <f>IF(W196="SOPORTE_TELEFÓNICO",'BASE LIQUIDACION'!$B$10,IF(Y196="TIPO I",'BASE LIQUIDACION'!$C$3,IF(Y196="TIPO II",'BASE LIQUIDACION'!$C$4,IF(Y196="TIPO III",'BASE LIQUIDACION'!$C$5,'BASE LIQUIDACION'!$C$7))))</f>
        <v>65960.473639999997</v>
      </c>
      <c r="AG196" s="72">
        <f>IF(W196="SOPORTE_TELEFÓNICO",'BASE LIQUIDACION'!$B$10,(AB196*AF196+AC196*'BASE LIQUIDACION'!$B$12+AD196*'BASE LIQUIDACION'!$B$11+INCIDENTES!AE196*'BASE LIQUIDACION'!$B$13))</f>
        <v>65960.473639999997</v>
      </c>
    </row>
    <row r="197" spans="1:33" s="4" customFormat="1">
      <c r="A197" s="61" t="s">
        <v>100</v>
      </c>
      <c r="B197" s="56" t="str">
        <f>VLOOKUP(A197,'CENTRO DE COSTOS'!A:D,4,FALSE)</f>
        <v>JUAN SEBASTIÁN RÍOS CASTRILLÓN</v>
      </c>
      <c r="C197" s="56" t="str">
        <f>VLOOKUP(A197,'CENTRO DE COSTOS'!A:D,2,FALSE)</f>
        <v>0004-0005</v>
      </c>
      <c r="D197" s="61">
        <v>5088</v>
      </c>
      <c r="E197" s="61">
        <v>2521028</v>
      </c>
      <c r="F197" s="61">
        <v>66013</v>
      </c>
      <c r="G197" s="56" t="s">
        <v>1586</v>
      </c>
      <c r="H197" s="61" t="s">
        <v>104</v>
      </c>
      <c r="I197" s="61" t="s">
        <v>628</v>
      </c>
      <c r="J197" s="61" t="s">
        <v>1658</v>
      </c>
      <c r="K197" s="56" t="s">
        <v>107</v>
      </c>
      <c r="L197" s="61" t="s">
        <v>2358</v>
      </c>
      <c r="M197" s="119">
        <v>45867.524305555555</v>
      </c>
      <c r="N197" s="119">
        <v>45868.46597222222</v>
      </c>
      <c r="O197" s="84" t="s">
        <v>1589</v>
      </c>
      <c r="P197" s="74" t="s">
        <v>1590</v>
      </c>
      <c r="Q197" s="74" t="s">
        <v>1634</v>
      </c>
      <c r="R197" s="74" t="s">
        <v>1635</v>
      </c>
      <c r="S197" s="61" t="s">
        <v>1593</v>
      </c>
      <c r="T197" s="56"/>
      <c r="U197" s="61" t="s">
        <v>1594</v>
      </c>
      <c r="V197" s="121" t="s">
        <v>2359</v>
      </c>
      <c r="W197" s="61" t="s">
        <v>1596</v>
      </c>
      <c r="X197" s="68" t="s">
        <v>1661</v>
      </c>
      <c r="Y197" s="61" t="s">
        <v>150</v>
      </c>
      <c r="Z197" s="61" t="s">
        <v>115</v>
      </c>
      <c r="AA197" s="68" t="s">
        <v>276</v>
      </c>
      <c r="AB197" s="61">
        <v>1</v>
      </c>
      <c r="AC197" s="61">
        <v>0</v>
      </c>
      <c r="AD197" s="61">
        <v>0</v>
      </c>
      <c r="AE197" s="61">
        <v>0</v>
      </c>
      <c r="AF197" s="71">
        <f>IF(W197="SOPORTE_TELEFÓNICO",'BASE LIQUIDACION'!$B$10,IF(Y197="TIPO I",'BASE LIQUIDACION'!$C$3,IF(Y197="TIPO II",'BASE LIQUIDACION'!$C$4,IF(Y197="TIPO III",'BASE LIQUIDACION'!$C$5,'BASE LIQUIDACION'!$C$7))))</f>
        <v>65960.473639999997</v>
      </c>
      <c r="AG197" s="72">
        <f>IF(W197="SOPORTE_TELEFÓNICO",'BASE LIQUIDACION'!$B$10,(AB197*AF197+AC197*'BASE LIQUIDACION'!$B$12+AD197*'BASE LIQUIDACION'!$B$11+INCIDENTES!AE197*'BASE LIQUIDACION'!$B$13))</f>
        <v>65960.473639999997</v>
      </c>
    </row>
    <row r="198" spans="1:33" s="4" customFormat="1">
      <c r="A198" s="61" t="s">
        <v>100</v>
      </c>
      <c r="B198" s="56" t="str">
        <f>VLOOKUP(A198,'CENTRO DE COSTOS'!A:D,4,FALSE)</f>
        <v>JUAN SEBASTIÁN RÍOS CASTRILLÓN</v>
      </c>
      <c r="C198" s="56" t="str">
        <f>VLOOKUP(A198,'CENTRO DE COSTOS'!A:D,2,FALSE)</f>
        <v>0004-0005</v>
      </c>
      <c r="D198" s="61">
        <v>5001</v>
      </c>
      <c r="E198" s="61">
        <v>2523702</v>
      </c>
      <c r="F198" s="61">
        <v>64398</v>
      </c>
      <c r="G198" s="56" t="s">
        <v>1586</v>
      </c>
      <c r="H198" s="61" t="s">
        <v>104</v>
      </c>
      <c r="I198" s="61" t="s">
        <v>100</v>
      </c>
      <c r="J198" s="61" t="s">
        <v>2360</v>
      </c>
      <c r="K198" s="56" t="s">
        <v>107</v>
      </c>
      <c r="L198" s="61" t="s">
        <v>2361</v>
      </c>
      <c r="M198" s="119">
        <v>45868.333333333336</v>
      </c>
      <c r="N198" s="119">
        <v>45868.489583333336</v>
      </c>
      <c r="O198" s="84" t="s">
        <v>1589</v>
      </c>
      <c r="P198" s="74" t="s">
        <v>1590</v>
      </c>
      <c r="Q198" s="74" t="s">
        <v>1591</v>
      </c>
      <c r="R198" s="74" t="s">
        <v>1592</v>
      </c>
      <c r="S198" s="61" t="s">
        <v>1593</v>
      </c>
      <c r="T198" s="56"/>
      <c r="U198" s="61" t="s">
        <v>1594</v>
      </c>
      <c r="V198" s="121" t="s">
        <v>2362</v>
      </c>
      <c r="W198" s="61" t="s">
        <v>1596</v>
      </c>
      <c r="X198" s="68" t="s">
        <v>2363</v>
      </c>
      <c r="Y198" s="61" t="s">
        <v>150</v>
      </c>
      <c r="Z198" s="61" t="s">
        <v>115</v>
      </c>
      <c r="AA198" s="68" t="s">
        <v>1721</v>
      </c>
      <c r="AB198" s="61">
        <v>1</v>
      </c>
      <c r="AC198" s="61">
        <v>0</v>
      </c>
      <c r="AD198" s="61">
        <v>0</v>
      </c>
      <c r="AE198" s="61">
        <v>0</v>
      </c>
      <c r="AF198" s="71">
        <f>IF(W198="SOPORTE_TELEFÓNICO",'BASE LIQUIDACION'!$B$10,IF(Y198="TIPO I",'BASE LIQUIDACION'!$C$3,IF(Y198="TIPO II",'BASE LIQUIDACION'!$C$4,IF(Y198="TIPO III",'BASE LIQUIDACION'!$C$5,'BASE LIQUIDACION'!$C$7))))</f>
        <v>65960.473639999997</v>
      </c>
      <c r="AG198" s="72">
        <f>IF(W198="SOPORTE_TELEFÓNICO",'BASE LIQUIDACION'!$B$10,(AB198*AF198+AC198*'BASE LIQUIDACION'!$B$12+AD198*'BASE LIQUIDACION'!$B$11+INCIDENTES!AE198*'BASE LIQUIDACION'!$B$13))</f>
        <v>65960.473639999997</v>
      </c>
    </row>
    <row r="199" spans="1:33" s="4" customFormat="1">
      <c r="A199" s="61" t="s">
        <v>100</v>
      </c>
      <c r="B199" s="56" t="str">
        <f>VLOOKUP(A199,'CENTRO DE COSTOS'!A:D,4,FALSE)</f>
        <v>JUAN SEBASTIÁN RÍOS CASTRILLÓN</v>
      </c>
      <c r="C199" s="56" t="str">
        <f>VLOOKUP(A199,'CENTRO DE COSTOS'!A:D,2,FALSE)</f>
        <v>0004-0005</v>
      </c>
      <c r="D199" s="61">
        <v>5001</v>
      </c>
      <c r="E199" s="61">
        <v>2525560</v>
      </c>
      <c r="F199" s="61">
        <v>62822</v>
      </c>
      <c r="G199" s="56" t="s">
        <v>1586</v>
      </c>
      <c r="H199" s="61" t="s">
        <v>104</v>
      </c>
      <c r="I199" s="61" t="s">
        <v>100</v>
      </c>
      <c r="J199" s="61" t="s">
        <v>2364</v>
      </c>
      <c r="K199" s="56" t="s">
        <v>107</v>
      </c>
      <c r="L199" s="61" t="s">
        <v>2365</v>
      </c>
      <c r="M199" s="119">
        <v>45868.414583333331</v>
      </c>
      <c r="N199" s="119">
        <v>45868.518055555556</v>
      </c>
      <c r="O199" s="84" t="s">
        <v>1589</v>
      </c>
      <c r="P199" s="74" t="s">
        <v>1590</v>
      </c>
      <c r="Q199" s="74" t="s">
        <v>1591</v>
      </c>
      <c r="R199" s="74" t="s">
        <v>1592</v>
      </c>
      <c r="S199" s="61" t="s">
        <v>1593</v>
      </c>
      <c r="T199" s="56"/>
      <c r="U199" s="61" t="s">
        <v>1594</v>
      </c>
      <c r="V199" s="121" t="s">
        <v>2362</v>
      </c>
      <c r="W199" s="61" t="s">
        <v>1596</v>
      </c>
      <c r="X199" s="68" t="s">
        <v>2366</v>
      </c>
      <c r="Y199" s="61" t="s">
        <v>150</v>
      </c>
      <c r="Z199" s="61" t="s">
        <v>115</v>
      </c>
      <c r="AA199" s="68" t="s">
        <v>1721</v>
      </c>
      <c r="AB199" s="61">
        <v>1</v>
      </c>
      <c r="AC199" s="61">
        <v>0</v>
      </c>
      <c r="AD199" s="61">
        <v>0</v>
      </c>
      <c r="AE199" s="61">
        <v>0</v>
      </c>
      <c r="AF199" s="71">
        <f>IF(W199="SOPORTE_TELEFÓNICO",'BASE LIQUIDACION'!$B$10,IF(Y199="TIPO I",'BASE LIQUIDACION'!$C$3,IF(Y199="TIPO II",'BASE LIQUIDACION'!$C$4,IF(Y199="TIPO III",'BASE LIQUIDACION'!$C$5,'BASE LIQUIDACION'!$C$7))))</f>
        <v>65960.473639999997</v>
      </c>
      <c r="AG199" s="72">
        <f>IF(W199="SOPORTE_TELEFÓNICO",'BASE LIQUIDACION'!$B$10,(AB199*AF199+AC199*'BASE LIQUIDACION'!$B$12+AD199*'BASE LIQUIDACION'!$B$11+INCIDENTES!AE199*'BASE LIQUIDACION'!$B$13))</f>
        <v>65960.473639999997</v>
      </c>
    </row>
    <row r="200" spans="1:33" s="4" customFormat="1">
      <c r="A200" s="61" t="s">
        <v>341</v>
      </c>
      <c r="B200" s="56" t="str">
        <f>VLOOKUP(A200,'CENTRO DE COSTOS'!A:D,4,FALSE)</f>
        <v>JOSE MAURICIO HERNANDEZ ROJAS</v>
      </c>
      <c r="C200" s="56" t="str">
        <f>VLOOKUP(A200,'CENTRO DE COSTOS'!A:D,2,FALSE)</f>
        <v>0004-0001</v>
      </c>
      <c r="D200" s="61">
        <v>13001</v>
      </c>
      <c r="E200" s="61">
        <v>2523038</v>
      </c>
      <c r="F200" s="61">
        <v>30332</v>
      </c>
      <c r="G200" s="56" t="s">
        <v>1586</v>
      </c>
      <c r="H200" s="61" t="s">
        <v>343</v>
      </c>
      <c r="I200" s="61" t="s">
        <v>341</v>
      </c>
      <c r="J200" s="61" t="s">
        <v>2367</v>
      </c>
      <c r="K200" s="56" t="s">
        <v>107</v>
      </c>
      <c r="L200" s="61" t="s">
        <v>2368</v>
      </c>
      <c r="M200" s="119">
        <v>45867.675000000003</v>
      </c>
      <c r="N200" s="119">
        <v>45868.65902777778</v>
      </c>
      <c r="O200" s="84" t="s">
        <v>1589</v>
      </c>
      <c r="P200" s="74" t="s">
        <v>1590</v>
      </c>
      <c r="Q200" s="74" t="s">
        <v>1591</v>
      </c>
      <c r="R200" s="74" t="s">
        <v>1592</v>
      </c>
      <c r="S200" s="61" t="s">
        <v>1593</v>
      </c>
      <c r="T200" s="56"/>
      <c r="U200" s="61" t="s">
        <v>1594</v>
      </c>
      <c r="V200" s="121" t="s">
        <v>2369</v>
      </c>
      <c r="W200" s="61" t="s">
        <v>1596</v>
      </c>
      <c r="X200" s="68" t="s">
        <v>2370</v>
      </c>
      <c r="Y200" s="61" t="s">
        <v>150</v>
      </c>
      <c r="Z200" s="61" t="s">
        <v>115</v>
      </c>
      <c r="AA200" s="68" t="s">
        <v>469</v>
      </c>
      <c r="AB200" s="61">
        <v>1</v>
      </c>
      <c r="AC200" s="61">
        <v>0</v>
      </c>
      <c r="AD200" s="61">
        <v>0</v>
      </c>
      <c r="AE200" s="61">
        <v>0</v>
      </c>
      <c r="AF200" s="71">
        <f>IF(W200="SOPORTE_TELEFÓNICO",'BASE LIQUIDACION'!$B$10,IF(Y200="TIPO I",'BASE LIQUIDACION'!$C$3,IF(Y200="TIPO II",'BASE LIQUIDACION'!$C$4,IF(Y200="TIPO III",'BASE LIQUIDACION'!$C$5,'BASE LIQUIDACION'!$C$7))))</f>
        <v>65960.473639999997</v>
      </c>
      <c r="AG200" s="72">
        <f>IF(W200="SOPORTE_TELEFÓNICO",'BASE LIQUIDACION'!$B$10,(AB200*AF200+AC200*'BASE LIQUIDACION'!$B$12+AD200*'BASE LIQUIDACION'!$B$11+INCIDENTES!AE200*'BASE LIQUIDACION'!$B$13))</f>
        <v>65960.473639999997</v>
      </c>
    </row>
    <row r="201" spans="1:33" s="4" customFormat="1">
      <c r="A201" s="61" t="s">
        <v>100</v>
      </c>
      <c r="B201" s="56" t="str">
        <f>VLOOKUP(A201,'CENTRO DE COSTOS'!A:D,4,FALSE)</f>
        <v>JUAN SEBASTIÁN RÍOS CASTRILLÓN</v>
      </c>
      <c r="C201" s="56" t="str">
        <f>VLOOKUP(A201,'CENTRO DE COSTOS'!A:D,2,FALSE)</f>
        <v>0004-0005</v>
      </c>
      <c r="D201" s="61">
        <v>5001</v>
      </c>
      <c r="E201" s="61">
        <v>2525060</v>
      </c>
      <c r="F201" s="61">
        <v>54118</v>
      </c>
      <c r="G201" s="56" t="s">
        <v>1586</v>
      </c>
      <c r="H201" s="61" t="s">
        <v>104</v>
      </c>
      <c r="I201" s="61" t="s">
        <v>100</v>
      </c>
      <c r="J201" s="61" t="s">
        <v>1821</v>
      </c>
      <c r="K201" s="56" t="s">
        <v>107</v>
      </c>
      <c r="L201" s="61" t="s">
        <v>2371</v>
      </c>
      <c r="M201" s="119">
        <v>45868.380555555559</v>
      </c>
      <c r="N201" s="119">
        <v>45868.667361111111</v>
      </c>
      <c r="O201" s="84" t="s">
        <v>1589</v>
      </c>
      <c r="P201" s="74" t="s">
        <v>1590</v>
      </c>
      <c r="Q201" s="74" t="s">
        <v>1591</v>
      </c>
      <c r="R201" s="74" t="s">
        <v>1592</v>
      </c>
      <c r="S201" s="61" t="s">
        <v>124</v>
      </c>
      <c r="T201" s="56"/>
      <c r="U201" s="61" t="s">
        <v>1594</v>
      </c>
      <c r="V201" s="121" t="s">
        <v>2362</v>
      </c>
      <c r="W201" s="61" t="s">
        <v>1596</v>
      </c>
      <c r="X201" s="68" t="s">
        <v>2372</v>
      </c>
      <c r="Y201" s="61" t="s">
        <v>150</v>
      </c>
      <c r="Z201" s="61" t="s">
        <v>115</v>
      </c>
      <c r="AA201" s="68" t="s">
        <v>1721</v>
      </c>
      <c r="AB201" s="61">
        <v>1</v>
      </c>
      <c r="AC201" s="61">
        <v>0</v>
      </c>
      <c r="AD201" s="61">
        <v>0</v>
      </c>
      <c r="AE201" s="61">
        <v>0</v>
      </c>
      <c r="AF201" s="71">
        <f>IF(W201="SOPORTE_TELEFÓNICO",'BASE LIQUIDACION'!$B$10,IF(Y201="TIPO I",'BASE LIQUIDACION'!$C$3,IF(Y201="TIPO II",'BASE LIQUIDACION'!$C$4,IF(Y201="TIPO III",'BASE LIQUIDACION'!$C$5,'BASE LIQUIDACION'!$C$7))))</f>
        <v>65960.473639999997</v>
      </c>
      <c r="AG201" s="72">
        <f>IF(W201="SOPORTE_TELEFÓNICO",'BASE LIQUIDACION'!$B$10,(AB201*AF201+AC201*'BASE LIQUIDACION'!$B$12+AD201*'BASE LIQUIDACION'!$B$11+INCIDENTES!AE201*'BASE LIQUIDACION'!$B$13))</f>
        <v>65960.473639999997</v>
      </c>
    </row>
    <row r="202" spans="1:33" s="4" customFormat="1">
      <c r="A202" s="61" t="s">
        <v>341</v>
      </c>
      <c r="B202" s="56" t="str">
        <f>VLOOKUP(A202,'CENTRO DE COSTOS'!A:D,4,FALSE)</f>
        <v>JOSE MAURICIO HERNANDEZ ROJAS</v>
      </c>
      <c r="C202" s="56" t="str">
        <f>VLOOKUP(A202,'CENTRO DE COSTOS'!A:D,2,FALSE)</f>
        <v>0004-0001</v>
      </c>
      <c r="D202" s="61">
        <v>13430</v>
      </c>
      <c r="E202" s="61">
        <v>2513765</v>
      </c>
      <c r="F202" s="61">
        <v>16325</v>
      </c>
      <c r="G202" s="56" t="s">
        <v>1586</v>
      </c>
      <c r="H202" s="61" t="s">
        <v>343</v>
      </c>
      <c r="I202" s="61" t="s">
        <v>344</v>
      </c>
      <c r="J202" s="61" t="s">
        <v>2373</v>
      </c>
      <c r="K202" s="56" t="s">
        <v>107</v>
      </c>
      <c r="L202" s="61" t="s">
        <v>2374</v>
      </c>
      <c r="M202" s="119">
        <v>45866.531944444447</v>
      </c>
      <c r="N202" s="119">
        <v>45868.686111111114</v>
      </c>
      <c r="O202" s="84" t="s">
        <v>1589</v>
      </c>
      <c r="P202" s="74" t="s">
        <v>1590</v>
      </c>
      <c r="Q202" s="74" t="s">
        <v>1696</v>
      </c>
      <c r="R202" s="74" t="s">
        <v>1697</v>
      </c>
      <c r="S202" s="61" t="s">
        <v>1593</v>
      </c>
      <c r="T202" s="56"/>
      <c r="U202" s="61" t="s">
        <v>1594</v>
      </c>
      <c r="V202" s="121" t="s">
        <v>2375</v>
      </c>
      <c r="W202" s="61" t="s">
        <v>1596</v>
      </c>
      <c r="X202" s="68" t="s">
        <v>2376</v>
      </c>
      <c r="Y202" s="61" t="s">
        <v>128</v>
      </c>
      <c r="Z202" s="61" t="s">
        <v>115</v>
      </c>
      <c r="AA202" s="68" t="s">
        <v>160</v>
      </c>
      <c r="AB202" s="61">
        <v>1</v>
      </c>
      <c r="AC202" s="61">
        <v>0</v>
      </c>
      <c r="AD202" s="61">
        <v>0</v>
      </c>
      <c r="AE202" s="61">
        <v>0</v>
      </c>
      <c r="AF202" s="71">
        <f>IF(W202="SOPORTE_TELEFÓNICO",'BASE LIQUIDACION'!$B$10,IF(Y202="TIPO I",'BASE LIQUIDACION'!$C$3,IF(Y202="TIPO II",'BASE LIQUIDACION'!$C$4,IF(Y202="TIPO III",'BASE LIQUIDACION'!$C$5,'BASE LIQUIDACION'!$C$7))))</f>
        <v>479589.73656000005</v>
      </c>
      <c r="AG202" s="72">
        <f>IF(W202="SOPORTE_TELEFÓNICO",'BASE LIQUIDACION'!$B$10,(AB202*AF202+AC202*'BASE LIQUIDACION'!$B$12+AD202*'BASE LIQUIDACION'!$B$11+INCIDENTES!AE202*'BASE LIQUIDACION'!$B$13))</f>
        <v>479589.73656000005</v>
      </c>
    </row>
    <row r="203" spans="1:33" s="4" customFormat="1">
      <c r="A203" s="61" t="s">
        <v>130</v>
      </c>
      <c r="B203" s="56" t="str">
        <f>VLOOKUP(A203,'CENTRO DE COSTOS'!A:D,4,FALSE)</f>
        <v>DIEGO FERNANDO HENAO CARDONA</v>
      </c>
      <c r="C203" s="56" t="str">
        <f>VLOOKUP(A203,'CENTRO DE COSTOS'!A:D,2,FALSE)</f>
        <v>0004-0002</v>
      </c>
      <c r="D203" s="61">
        <v>66170</v>
      </c>
      <c r="E203" s="61">
        <v>2529656</v>
      </c>
      <c r="F203" s="61">
        <v>65900</v>
      </c>
      <c r="G203" s="56" t="s">
        <v>1586</v>
      </c>
      <c r="H203" s="61" t="s">
        <v>133</v>
      </c>
      <c r="I203" s="61" t="s">
        <v>518</v>
      </c>
      <c r="J203" s="61" t="s">
        <v>2377</v>
      </c>
      <c r="K203" s="56" t="s">
        <v>107</v>
      </c>
      <c r="L203" s="61" t="s">
        <v>2378</v>
      </c>
      <c r="M203" s="119">
        <v>45868.696527777778</v>
      </c>
      <c r="N203" s="119">
        <v>45869.415277777778</v>
      </c>
      <c r="O203" s="84"/>
      <c r="P203" s="74" t="s">
        <v>1590</v>
      </c>
      <c r="Q203" s="74" t="s">
        <v>1643</v>
      </c>
      <c r="R203" s="74" t="s">
        <v>1644</v>
      </c>
      <c r="S203" s="61" t="s">
        <v>1593</v>
      </c>
      <c r="T203" s="56"/>
      <c r="U203" s="61" t="s">
        <v>1594</v>
      </c>
      <c r="V203" s="121" t="s">
        <v>2379</v>
      </c>
      <c r="W203" s="61" t="s">
        <v>1615</v>
      </c>
      <c r="X203" s="68">
        <v>0</v>
      </c>
      <c r="Y203" s="61" t="s">
        <v>150</v>
      </c>
      <c r="Z203" s="61" t="s">
        <v>115</v>
      </c>
      <c r="AA203" s="68" t="s">
        <v>151</v>
      </c>
      <c r="AB203" s="61">
        <v>0</v>
      </c>
      <c r="AC203" s="61">
        <v>0</v>
      </c>
      <c r="AD203" s="61">
        <v>0</v>
      </c>
      <c r="AE203" s="61">
        <v>0</v>
      </c>
      <c r="AF203" s="71">
        <f>IF(W203="SOPORTE_TELEFÓNICO",'BASE LIQUIDACION'!$B$10,IF(Y203="TIPO I",'BASE LIQUIDACION'!$C$3,IF(Y203="TIPO II",'BASE LIQUIDACION'!$C$4,IF(Y203="TIPO III",'BASE LIQUIDACION'!$C$5,'BASE LIQUIDACION'!$C$7))))</f>
        <v>37904.65408</v>
      </c>
      <c r="AG203" s="72">
        <f>IF(W203="SOPORTE_TELEFÓNICO",'BASE LIQUIDACION'!$B$10,(AB203*AF203+AC203*'BASE LIQUIDACION'!$B$12+AD203*'BASE LIQUIDACION'!$B$11+INCIDENTES!AE203*'BASE LIQUIDACION'!$B$13))</f>
        <v>37904.65408</v>
      </c>
    </row>
    <row r="204" spans="1:33" s="4" customFormat="1">
      <c r="A204" s="61" t="s">
        <v>170</v>
      </c>
      <c r="B204" s="56" t="str">
        <f>VLOOKUP(A204,'CENTRO DE COSTOS'!A:D,4,FALSE)</f>
        <v>WILLIAM ASDRUBAL ROZO ROZO</v>
      </c>
      <c r="C204" s="56" t="str">
        <f>VLOOKUP(A204,'CENTRO DE COSTOS'!A:D,2,FALSE)</f>
        <v>0004-0004</v>
      </c>
      <c r="D204" s="61">
        <v>11001</v>
      </c>
      <c r="E204" s="61">
        <v>2526703</v>
      </c>
      <c r="F204" s="61">
        <v>76497</v>
      </c>
      <c r="G204" s="56" t="s">
        <v>1586</v>
      </c>
      <c r="H204" s="61" t="s">
        <v>172</v>
      </c>
      <c r="I204" s="61" t="s">
        <v>170</v>
      </c>
      <c r="J204" s="61" t="s">
        <v>2380</v>
      </c>
      <c r="K204" s="56" t="s">
        <v>107</v>
      </c>
      <c r="L204" s="61" t="s">
        <v>2381</v>
      </c>
      <c r="M204" s="119">
        <v>45868.464583333334</v>
      </c>
      <c r="N204" s="119">
        <v>45869.442361111112</v>
      </c>
      <c r="O204" s="84" t="s">
        <v>1589</v>
      </c>
      <c r="P204" s="74" t="s">
        <v>1590</v>
      </c>
      <c r="Q204" s="74" t="s">
        <v>1643</v>
      </c>
      <c r="R204" s="74" t="s">
        <v>1635</v>
      </c>
      <c r="S204" s="61" t="s">
        <v>1593</v>
      </c>
      <c r="T204" s="56"/>
      <c r="U204" s="61" t="s">
        <v>1594</v>
      </c>
      <c r="V204" s="121" t="s">
        <v>2382</v>
      </c>
      <c r="W204" s="61" t="s">
        <v>1596</v>
      </c>
      <c r="X204" s="68" t="s">
        <v>2383</v>
      </c>
      <c r="Y204" s="61" t="s">
        <v>150</v>
      </c>
      <c r="Z204" s="61" t="s">
        <v>115</v>
      </c>
      <c r="AA204" s="68" t="s">
        <v>241</v>
      </c>
      <c r="AB204" s="61">
        <v>1</v>
      </c>
      <c r="AC204" s="61">
        <v>0</v>
      </c>
      <c r="AD204" s="61">
        <v>0</v>
      </c>
      <c r="AE204" s="61">
        <v>0</v>
      </c>
      <c r="AF204" s="71">
        <f>IF(W204="SOPORTE_TELEFÓNICO",'BASE LIQUIDACION'!$B$10,IF(Y204="TIPO I",'BASE LIQUIDACION'!$C$3,IF(Y204="TIPO II",'BASE LIQUIDACION'!$C$4,IF(Y204="TIPO III",'BASE LIQUIDACION'!$C$5,'BASE LIQUIDACION'!$C$7))))</f>
        <v>65960.473639999997</v>
      </c>
      <c r="AG204" s="72">
        <f>IF(W204="SOPORTE_TELEFÓNICO",'BASE LIQUIDACION'!$B$10,(AB204*AF204+AC204*'BASE LIQUIDACION'!$B$12+AD204*'BASE LIQUIDACION'!$B$11+INCIDENTES!AE204*'BASE LIQUIDACION'!$B$13))</f>
        <v>65960.473639999997</v>
      </c>
    </row>
    <row r="205" spans="1:33" s="4" customFormat="1">
      <c r="A205" s="61" t="s">
        <v>100</v>
      </c>
      <c r="B205" s="56" t="str">
        <f>VLOOKUP(A205,'CENTRO DE COSTOS'!A:D,4,FALSE)</f>
        <v>JUAN SEBASTIÁN RÍOS CASTRILLÓN</v>
      </c>
      <c r="C205" s="56" t="str">
        <f>VLOOKUP(A205,'CENTRO DE COSTOS'!A:D,2,FALSE)</f>
        <v>0004-0005</v>
      </c>
      <c r="D205" s="61">
        <v>5266</v>
      </c>
      <c r="E205" s="61">
        <v>2527936</v>
      </c>
      <c r="F205" s="61">
        <v>23668</v>
      </c>
      <c r="G205" s="56" t="s">
        <v>1586</v>
      </c>
      <c r="H205" s="61" t="s">
        <v>104</v>
      </c>
      <c r="I205" s="61" t="s">
        <v>651</v>
      </c>
      <c r="J205" s="61" t="s">
        <v>2384</v>
      </c>
      <c r="K205" s="56" t="s">
        <v>107</v>
      </c>
      <c r="L205" s="61" t="s">
        <v>2385</v>
      </c>
      <c r="M205" s="119">
        <v>45868.585416666669</v>
      </c>
      <c r="N205" s="119">
        <v>45869.456944444442</v>
      </c>
      <c r="O205" s="84" t="s">
        <v>1589</v>
      </c>
      <c r="P205" s="74" t="s">
        <v>1590</v>
      </c>
      <c r="Q205" s="74" t="s">
        <v>1591</v>
      </c>
      <c r="R205" s="74" t="s">
        <v>1592</v>
      </c>
      <c r="S205" s="61" t="s">
        <v>1593</v>
      </c>
      <c r="T205" s="56"/>
      <c r="U205" s="61" t="s">
        <v>1594</v>
      </c>
      <c r="V205" s="121" t="s">
        <v>2386</v>
      </c>
      <c r="W205" s="61" t="s">
        <v>1596</v>
      </c>
      <c r="X205" s="68" t="s">
        <v>2387</v>
      </c>
      <c r="Y205" s="61" t="s">
        <v>150</v>
      </c>
      <c r="Z205" s="61" t="s">
        <v>115</v>
      </c>
      <c r="AA205" s="68" t="s">
        <v>1721</v>
      </c>
      <c r="AB205" s="61">
        <v>1</v>
      </c>
      <c r="AC205" s="61">
        <v>0</v>
      </c>
      <c r="AD205" s="61">
        <v>0</v>
      </c>
      <c r="AE205" s="61">
        <v>0</v>
      </c>
      <c r="AF205" s="71">
        <f>IF(W205="SOPORTE_TELEFÓNICO",'BASE LIQUIDACION'!$B$10,IF(Y205="TIPO I",'BASE LIQUIDACION'!$C$3,IF(Y205="TIPO II",'BASE LIQUIDACION'!$C$4,IF(Y205="TIPO III",'BASE LIQUIDACION'!$C$5,'BASE LIQUIDACION'!$C$7))))</f>
        <v>65960.473639999997</v>
      </c>
      <c r="AG205" s="72">
        <f>IF(W205="SOPORTE_TELEFÓNICO",'BASE LIQUIDACION'!$B$10,(AB205*AF205+AC205*'BASE LIQUIDACION'!$B$12+AD205*'BASE LIQUIDACION'!$B$11+INCIDENTES!AE205*'BASE LIQUIDACION'!$B$13))</f>
        <v>65960.473639999997</v>
      </c>
    </row>
    <row r="206" spans="1:33" s="4" customFormat="1">
      <c r="A206" s="61" t="s">
        <v>100</v>
      </c>
      <c r="B206" s="56" t="str">
        <f>VLOOKUP(A206,'CENTRO DE COSTOS'!A:D,4,FALSE)</f>
        <v>JUAN SEBASTIÁN RÍOS CASTRILLÓN</v>
      </c>
      <c r="C206" s="56" t="str">
        <f>VLOOKUP(A206,'CENTRO DE COSTOS'!A:D,2,FALSE)</f>
        <v>0004-0005</v>
      </c>
      <c r="D206" s="61">
        <v>5001</v>
      </c>
      <c r="E206" s="61">
        <v>2532533</v>
      </c>
      <c r="F206" s="61">
        <v>16180</v>
      </c>
      <c r="G206" s="56" t="s">
        <v>1586</v>
      </c>
      <c r="H206" s="61" t="s">
        <v>104</v>
      </c>
      <c r="I206" s="61" t="s">
        <v>100</v>
      </c>
      <c r="J206" s="61" t="s">
        <v>2388</v>
      </c>
      <c r="K206" s="56" t="s">
        <v>107</v>
      </c>
      <c r="L206" s="61" t="s">
        <v>2389</v>
      </c>
      <c r="M206" s="119">
        <v>45869.436111111114</v>
      </c>
      <c r="N206" s="119">
        <v>45869.513194444444</v>
      </c>
      <c r="O206" s="84" t="s">
        <v>1589</v>
      </c>
      <c r="P206" s="74" t="s">
        <v>1590</v>
      </c>
      <c r="Q206" s="74" t="s">
        <v>1607</v>
      </c>
      <c r="R206" s="74" t="s">
        <v>1608</v>
      </c>
      <c r="S206" s="61" t="s">
        <v>1593</v>
      </c>
      <c r="T206" s="56"/>
      <c r="U206" s="61" t="s">
        <v>1594</v>
      </c>
      <c r="V206" s="121" t="s">
        <v>2390</v>
      </c>
      <c r="W206" s="61" t="s">
        <v>1596</v>
      </c>
      <c r="X206" s="68" t="s">
        <v>2391</v>
      </c>
      <c r="Y206" s="61" t="s">
        <v>150</v>
      </c>
      <c r="Z206" s="61" t="s">
        <v>115</v>
      </c>
      <c r="AA206" s="68" t="s">
        <v>1611</v>
      </c>
      <c r="AB206" s="61">
        <v>1</v>
      </c>
      <c r="AC206" s="61">
        <v>0</v>
      </c>
      <c r="AD206" s="61">
        <v>0</v>
      </c>
      <c r="AE206" s="61">
        <v>0</v>
      </c>
      <c r="AF206" s="71">
        <f>IF(W206="SOPORTE_TELEFÓNICO",'BASE LIQUIDACION'!$B$10,IF(Y206="TIPO I",'BASE LIQUIDACION'!$C$3,IF(Y206="TIPO II",'BASE LIQUIDACION'!$C$4,IF(Y206="TIPO III",'BASE LIQUIDACION'!$C$5,'BASE LIQUIDACION'!$C$7))))</f>
        <v>65960.473639999997</v>
      </c>
      <c r="AG206" s="72">
        <f>IF(W206="SOPORTE_TELEFÓNICO",'BASE LIQUIDACION'!$B$10,(AB206*AF206+AC206*'BASE LIQUIDACION'!$B$12+AD206*'BASE LIQUIDACION'!$B$11+INCIDENTES!AE206*'BASE LIQUIDACION'!$B$13))</f>
        <v>65960.473639999997</v>
      </c>
    </row>
    <row r="207" spans="1:33" s="4" customFormat="1">
      <c r="A207" s="61" t="s">
        <v>100</v>
      </c>
      <c r="B207" s="56" t="str">
        <f>VLOOKUP(A207,'CENTRO DE COSTOS'!A:D,4,FALSE)</f>
        <v>JUAN SEBASTIÁN RÍOS CASTRILLÓN</v>
      </c>
      <c r="C207" s="56" t="str">
        <f>VLOOKUP(A207,'CENTRO DE COSTOS'!A:D,2,FALSE)</f>
        <v>0004-0005</v>
      </c>
      <c r="D207" s="61">
        <v>5001</v>
      </c>
      <c r="E207" s="61">
        <v>2529640</v>
      </c>
      <c r="F207" s="61">
        <v>28075</v>
      </c>
      <c r="G207" s="56" t="s">
        <v>1586</v>
      </c>
      <c r="H207" s="61" t="s">
        <v>104</v>
      </c>
      <c r="I207" s="61" t="s">
        <v>100</v>
      </c>
      <c r="J207" s="61" t="s">
        <v>2392</v>
      </c>
      <c r="K207" s="56" t="s">
        <v>107</v>
      </c>
      <c r="L207" s="61" t="s">
        <v>2393</v>
      </c>
      <c r="M207" s="119">
        <v>45868.693055555559</v>
      </c>
      <c r="N207" s="119">
        <v>45869.565972222219</v>
      </c>
      <c r="O207" s="84"/>
      <c r="P207" s="74" t="s">
        <v>1590</v>
      </c>
      <c r="Q207" s="74" t="s">
        <v>1591</v>
      </c>
      <c r="R207" s="74" t="s">
        <v>1592</v>
      </c>
      <c r="S207" s="61" t="s">
        <v>124</v>
      </c>
      <c r="T207" s="56"/>
      <c r="U207" s="61" t="s">
        <v>1594</v>
      </c>
      <c r="V207" s="121" t="s">
        <v>2394</v>
      </c>
      <c r="W207" s="61" t="s">
        <v>1615</v>
      </c>
      <c r="X207" s="68">
        <v>0</v>
      </c>
      <c r="Y207" s="61" t="s">
        <v>150</v>
      </c>
      <c r="Z207" s="61" t="s">
        <v>115</v>
      </c>
      <c r="AA207" s="68" t="s">
        <v>1721</v>
      </c>
      <c r="AB207" s="61">
        <v>0</v>
      </c>
      <c r="AC207" s="61">
        <v>0</v>
      </c>
      <c r="AD207" s="61">
        <v>0</v>
      </c>
      <c r="AE207" s="61">
        <v>0</v>
      </c>
      <c r="AF207" s="71">
        <f>IF(W207="SOPORTE_TELEFÓNICO",'BASE LIQUIDACION'!$B$10,IF(Y207="TIPO I",'BASE LIQUIDACION'!$C$3,IF(Y207="TIPO II",'BASE LIQUIDACION'!$C$4,IF(Y207="TIPO III",'BASE LIQUIDACION'!$C$5,'BASE LIQUIDACION'!$C$7))))</f>
        <v>37904.65408</v>
      </c>
      <c r="AG207" s="72">
        <f>IF(W207="SOPORTE_TELEFÓNICO",'BASE LIQUIDACION'!$B$10,(AB207*AF207+AC207*'BASE LIQUIDACION'!$B$12+AD207*'BASE LIQUIDACION'!$B$11+INCIDENTES!AE207*'BASE LIQUIDACION'!$B$13))</f>
        <v>37904.65408</v>
      </c>
    </row>
    <row r="208" spans="1:33" s="4" customFormat="1">
      <c r="A208" s="61" t="s">
        <v>100</v>
      </c>
      <c r="B208" s="56" t="str">
        <f>VLOOKUP(A208,'CENTRO DE COSTOS'!A:D,4,FALSE)</f>
        <v>JUAN SEBASTIÁN RÍOS CASTRILLÓN</v>
      </c>
      <c r="C208" s="56" t="str">
        <f>VLOOKUP(A208,'CENTRO DE COSTOS'!A:D,2,FALSE)</f>
        <v>0004-0005</v>
      </c>
      <c r="D208" s="61">
        <v>5088</v>
      </c>
      <c r="E208" s="61">
        <v>2530020</v>
      </c>
      <c r="F208" s="61">
        <v>46913</v>
      </c>
      <c r="G208" s="56" t="s">
        <v>1586</v>
      </c>
      <c r="H208" s="61" t="s">
        <v>104</v>
      </c>
      <c r="I208" s="61" t="s">
        <v>628</v>
      </c>
      <c r="J208" s="61" t="s">
        <v>2395</v>
      </c>
      <c r="K208" s="56" t="s">
        <v>107</v>
      </c>
      <c r="L208" s="61" t="s">
        <v>2396</v>
      </c>
      <c r="M208" s="119">
        <v>45868.743750000001</v>
      </c>
      <c r="N208" s="119">
        <v>45869.568749999999</v>
      </c>
      <c r="O208" s="84" t="s">
        <v>1589</v>
      </c>
      <c r="P208" s="74" t="s">
        <v>1590</v>
      </c>
      <c r="Q208" s="74" t="s">
        <v>1643</v>
      </c>
      <c r="R208" s="74" t="s">
        <v>1644</v>
      </c>
      <c r="S208" s="61" t="s">
        <v>124</v>
      </c>
      <c r="T208" s="56"/>
      <c r="U208" s="61" t="s">
        <v>1594</v>
      </c>
      <c r="V208" s="121" t="s">
        <v>2397</v>
      </c>
      <c r="W208" s="61" t="s">
        <v>1596</v>
      </c>
      <c r="X208" s="68" t="s">
        <v>2398</v>
      </c>
      <c r="Y208" s="61" t="s">
        <v>150</v>
      </c>
      <c r="Z208" s="61" t="s">
        <v>115</v>
      </c>
      <c r="AA208" s="68" t="s">
        <v>276</v>
      </c>
      <c r="AB208" s="61">
        <v>1</v>
      </c>
      <c r="AC208" s="61">
        <v>0</v>
      </c>
      <c r="AD208" s="61">
        <v>0</v>
      </c>
      <c r="AE208" s="61">
        <v>0</v>
      </c>
      <c r="AF208" s="71">
        <f>IF(W208="SOPORTE_TELEFÓNICO",'BASE LIQUIDACION'!$B$10,IF(Y208="TIPO I",'BASE LIQUIDACION'!$C$3,IF(Y208="TIPO II",'BASE LIQUIDACION'!$C$4,IF(Y208="TIPO III",'BASE LIQUIDACION'!$C$5,'BASE LIQUIDACION'!$C$7))))</f>
        <v>65960.473639999997</v>
      </c>
      <c r="AG208" s="72">
        <f>IF(W208="SOPORTE_TELEFÓNICO",'BASE LIQUIDACION'!$B$10,(AB208*AF208+AC208*'BASE LIQUIDACION'!$B$12+AD208*'BASE LIQUIDACION'!$B$11+INCIDENTES!AE208*'BASE LIQUIDACION'!$B$13))</f>
        <v>65960.473639999997</v>
      </c>
    </row>
    <row r="209" spans="1:33" s="4" customFormat="1">
      <c r="A209" s="61" t="s">
        <v>161</v>
      </c>
      <c r="B209" s="56" t="str">
        <f>VLOOKUP(A209,'CENTRO DE COSTOS'!A:D,4,FALSE)</f>
        <v>DIEGO FERNANDO HENAO CARDONA</v>
      </c>
      <c r="C209" s="56" t="str">
        <f>VLOOKUP(A209,'CENTRO DE COSTOS'!A:D,2,FALSE)</f>
        <v>0004-0003</v>
      </c>
      <c r="D209" s="61">
        <v>76001</v>
      </c>
      <c r="E209" s="61">
        <v>2533244</v>
      </c>
      <c r="F209" s="61">
        <v>45452</v>
      </c>
      <c r="G209" s="56" t="s">
        <v>1586</v>
      </c>
      <c r="H209" s="61" t="s">
        <v>208</v>
      </c>
      <c r="I209" s="61" t="s">
        <v>161</v>
      </c>
      <c r="J209" s="61" t="s">
        <v>2399</v>
      </c>
      <c r="K209" s="56" t="s">
        <v>107</v>
      </c>
      <c r="L209" s="61" t="s">
        <v>2400</v>
      </c>
      <c r="M209" s="119">
        <v>45869.477777777778</v>
      </c>
      <c r="N209" s="119">
        <v>45869.572916666664</v>
      </c>
      <c r="O209" s="84" t="s">
        <v>1589</v>
      </c>
      <c r="P209" s="74" t="s">
        <v>1590</v>
      </c>
      <c r="Q209" s="74" t="s">
        <v>1643</v>
      </c>
      <c r="R209" s="74" t="s">
        <v>1635</v>
      </c>
      <c r="S209" s="61" t="s">
        <v>124</v>
      </c>
      <c r="T209" s="56"/>
      <c r="U209" s="61" t="s">
        <v>1594</v>
      </c>
      <c r="V209" s="121" t="s">
        <v>2401</v>
      </c>
      <c r="W209" s="61" t="s">
        <v>1596</v>
      </c>
      <c r="X209" s="68" t="s">
        <v>2402</v>
      </c>
      <c r="Y209" s="61" t="s">
        <v>150</v>
      </c>
      <c r="Z209" s="61" t="s">
        <v>115</v>
      </c>
      <c r="AA209" s="68" t="s">
        <v>2216</v>
      </c>
      <c r="AB209" s="61">
        <v>1</v>
      </c>
      <c r="AC209" s="61">
        <v>0</v>
      </c>
      <c r="AD209" s="61">
        <v>0</v>
      </c>
      <c r="AE209" s="61">
        <v>0</v>
      </c>
      <c r="AF209" s="71">
        <f>IF(W209="SOPORTE_TELEFÓNICO",'BASE LIQUIDACION'!$B$10,IF(Y209="TIPO I",'BASE LIQUIDACION'!$C$3,IF(Y209="TIPO II",'BASE LIQUIDACION'!$C$4,IF(Y209="TIPO III",'BASE LIQUIDACION'!$C$5,'BASE LIQUIDACION'!$C$7))))</f>
        <v>65960.473639999997</v>
      </c>
      <c r="AG209" s="72">
        <f>IF(W209="SOPORTE_TELEFÓNICO",'BASE LIQUIDACION'!$B$10,(AB209*AF209+AC209*'BASE LIQUIDACION'!$B$12+AD209*'BASE LIQUIDACION'!$B$11+INCIDENTES!AE209*'BASE LIQUIDACION'!$B$13))</f>
        <v>65960.473639999997</v>
      </c>
    </row>
    <row r="210" spans="1:33">
      <c r="AG210" s="81">
        <f>SUM(AG2:AG209)</f>
        <v>18322377.741759989</v>
      </c>
    </row>
  </sheetData>
  <protectedRanges>
    <protectedRange algorithmName="SHA-512" hashValue="CbntCM56YWgXHu4+OOrTghpH39pBZb4D6eBjK7U1usiFrpeJYUrWINoAXH/F78Kbl2TTiZ0gVzAwB/pZlIomZg==" saltValue="Rtsq70621ICfRzd7gOQdgg==" spinCount="100000" sqref="V2" name="Rango2_5_1"/>
    <protectedRange algorithmName="SHA-512" hashValue="CbntCM56YWgXHu4+OOrTghpH39pBZb4D6eBjK7U1usiFrpeJYUrWINoAXH/F78Kbl2TTiZ0gVzAwB/pZlIomZg==" saltValue="Rtsq70621ICfRzd7gOQdgg==" spinCount="100000" sqref="V3" name="Rango2_5_1_1"/>
    <protectedRange algorithmName="SHA-512" hashValue="CbntCM56YWgXHu4+OOrTghpH39pBZb4D6eBjK7U1usiFrpeJYUrWINoAXH/F78Kbl2TTiZ0gVzAwB/pZlIomZg==" saltValue="Rtsq70621ICfRzd7gOQdgg==" spinCount="100000" sqref="V4" name="Rango2_5_1_2"/>
    <protectedRange algorithmName="SHA-512" hashValue="CbntCM56YWgXHu4+OOrTghpH39pBZb4D6eBjK7U1usiFrpeJYUrWINoAXH/F78Kbl2TTiZ0gVzAwB/pZlIomZg==" saltValue="Rtsq70621ICfRzd7gOQdgg==" spinCount="100000" sqref="V5" name="Rango2_5_1_3"/>
    <protectedRange algorithmName="SHA-512" hashValue="CbntCM56YWgXHu4+OOrTghpH39pBZb4D6eBjK7U1usiFrpeJYUrWINoAXH/F78Kbl2TTiZ0gVzAwB/pZlIomZg==" saltValue="Rtsq70621ICfRzd7gOQdgg==" spinCount="100000" sqref="V6" name="Rango2_5_1_1_1"/>
    <protectedRange algorithmName="SHA-512" hashValue="CbntCM56YWgXHu4+OOrTghpH39pBZb4D6eBjK7U1usiFrpeJYUrWINoAXH/F78Kbl2TTiZ0gVzAwB/pZlIomZg==" saltValue="Rtsq70621ICfRzd7gOQdgg==" spinCount="100000" sqref="V7:V8" name="Rango2_5_1_1_2"/>
    <protectedRange algorithmName="SHA-512" hashValue="CbntCM56YWgXHu4+OOrTghpH39pBZb4D6eBjK7U1usiFrpeJYUrWINoAXH/F78Kbl2TTiZ0gVzAwB/pZlIomZg==" saltValue="Rtsq70621ICfRzd7gOQdgg==" spinCount="100000" sqref="V9" name="Rango2_5_1_1_4"/>
    <protectedRange algorithmName="SHA-512" hashValue="CbntCM56YWgXHu4+OOrTghpH39pBZb4D6eBjK7U1usiFrpeJYUrWINoAXH/F78Kbl2TTiZ0gVzAwB/pZlIomZg==" saltValue="Rtsq70621ICfRzd7gOQdgg==" spinCount="100000" sqref="V10:V11" name="Rango2_5_1_1_5"/>
    <protectedRange algorithmName="SHA-512" hashValue="CbntCM56YWgXHu4+OOrTghpH39pBZb4D6eBjK7U1usiFrpeJYUrWINoAXH/F78Kbl2TTiZ0gVzAwB/pZlIomZg==" saltValue="Rtsq70621ICfRzd7gOQdgg==" spinCount="100000" sqref="V12:V14" name="Rango2_5_1_1_6"/>
    <protectedRange algorithmName="SHA-512" hashValue="CbntCM56YWgXHu4+OOrTghpH39pBZb4D6eBjK7U1usiFrpeJYUrWINoAXH/F78Kbl2TTiZ0gVzAwB/pZlIomZg==" saltValue="Rtsq70621ICfRzd7gOQdgg==" spinCount="100000" sqref="V15" name="Rango2_5_1_1_7"/>
    <protectedRange algorithmName="SHA-512" hashValue="CbntCM56YWgXHu4+OOrTghpH39pBZb4D6eBjK7U1usiFrpeJYUrWINoAXH/F78Kbl2TTiZ0gVzAwB/pZlIomZg==" saltValue="Rtsq70621ICfRzd7gOQdgg==" spinCount="100000" sqref="V16" name="Rango2_5_1_1_8"/>
    <protectedRange algorithmName="SHA-512" hashValue="CbntCM56YWgXHu4+OOrTghpH39pBZb4D6eBjK7U1usiFrpeJYUrWINoAXH/F78Kbl2TTiZ0gVzAwB/pZlIomZg==" saltValue="Rtsq70621ICfRzd7gOQdgg==" spinCount="100000" sqref="V33" name="Rango2_5_1_3_1"/>
    <protectedRange algorithmName="SHA-512" hashValue="CbntCM56YWgXHu4+OOrTghpH39pBZb4D6eBjK7U1usiFrpeJYUrWINoAXH/F78Kbl2TTiZ0gVzAwB/pZlIomZg==" saltValue="Rtsq70621ICfRzd7gOQdgg==" spinCount="100000" sqref="V34" name="Rango2_5_1_3_2"/>
    <protectedRange algorithmName="SHA-512" hashValue="CbntCM56YWgXHu4+OOrTghpH39pBZb4D6eBjK7U1usiFrpeJYUrWINoAXH/F78Kbl2TTiZ0gVzAwB/pZlIomZg==" saltValue="Rtsq70621ICfRzd7gOQdgg==" spinCount="100000" sqref="V35:V36" name="Rango2_5_1_3_3"/>
    <protectedRange algorithmName="SHA-512" hashValue="CbntCM56YWgXHu4+OOrTghpH39pBZb4D6eBjK7U1usiFrpeJYUrWINoAXH/F78Kbl2TTiZ0gVzAwB/pZlIomZg==" saltValue="Rtsq70621ICfRzd7gOQdgg==" spinCount="100000" sqref="V37" name="Rango2_5_1_5"/>
    <protectedRange algorithmName="SHA-512" hashValue="CbntCM56YWgXHu4+OOrTghpH39pBZb4D6eBjK7U1usiFrpeJYUrWINoAXH/F78Kbl2TTiZ0gVzAwB/pZlIomZg==" saltValue="Rtsq70621ICfRzd7gOQdgg==" spinCount="100000" sqref="V38" name="Rango2_5_1_5_1"/>
    <protectedRange algorithmName="SHA-512" hashValue="CbntCM56YWgXHu4+OOrTghpH39pBZb4D6eBjK7U1usiFrpeJYUrWINoAXH/F78Kbl2TTiZ0gVzAwB/pZlIomZg==" saltValue="Rtsq70621ICfRzd7gOQdgg==" spinCount="100000" sqref="V39:V40" name="Rango2_5_1_5_2"/>
    <protectedRange algorithmName="SHA-512" hashValue="CbntCM56YWgXHu4+OOrTghpH39pBZb4D6eBjK7U1usiFrpeJYUrWINoAXH/F78Kbl2TTiZ0gVzAwB/pZlIomZg==" saltValue="Rtsq70621ICfRzd7gOQdgg==" spinCount="100000" sqref="V41" name="Rango2_5_1_5_3"/>
    <protectedRange algorithmName="SHA-512" hashValue="CbntCM56YWgXHu4+OOrTghpH39pBZb4D6eBjK7U1usiFrpeJYUrWINoAXH/F78Kbl2TTiZ0gVzAwB/pZlIomZg==" saltValue="Rtsq70621ICfRzd7gOQdgg==" spinCount="100000" sqref="V42:V43" name="Rango2_5_1_5_4"/>
    <protectedRange algorithmName="SHA-512" hashValue="CbntCM56YWgXHu4+OOrTghpH39pBZb4D6eBjK7U1usiFrpeJYUrWINoAXH/F78Kbl2TTiZ0gVzAwB/pZlIomZg==" saltValue="Rtsq70621ICfRzd7gOQdgg==" spinCount="100000" sqref="V44" name="Rango2_5_1_5_5"/>
    <protectedRange algorithmName="SHA-512" hashValue="CbntCM56YWgXHu4+OOrTghpH39pBZb4D6eBjK7U1usiFrpeJYUrWINoAXH/F78Kbl2TTiZ0gVzAwB/pZlIomZg==" saltValue="Rtsq70621ICfRzd7gOQdgg==" spinCount="100000" sqref="V45" name="Rango2_5_1_5_6"/>
    <protectedRange algorithmName="SHA-512" hashValue="CbntCM56YWgXHu4+OOrTghpH39pBZb4D6eBjK7U1usiFrpeJYUrWINoAXH/F78Kbl2TTiZ0gVzAwB/pZlIomZg==" saltValue="Rtsq70621ICfRzd7gOQdgg==" spinCount="100000" sqref="V46" name="Rango2_5_1_5_7"/>
    <protectedRange algorithmName="SHA-512" hashValue="CbntCM56YWgXHu4+OOrTghpH39pBZb4D6eBjK7U1usiFrpeJYUrWINoAXH/F78Kbl2TTiZ0gVzAwB/pZlIomZg==" saltValue="Rtsq70621ICfRzd7gOQdgg==" spinCount="100000" sqref="V47" name="Rango2_5_1_5_8"/>
    <protectedRange algorithmName="SHA-512" hashValue="CbntCM56YWgXHu4+OOrTghpH39pBZb4D6eBjK7U1usiFrpeJYUrWINoAXH/F78Kbl2TTiZ0gVzAwB/pZlIomZg==" saltValue="Rtsq70621ICfRzd7gOQdgg==" spinCount="100000" sqref="V48" name="Rango2_5_1_5_9"/>
    <protectedRange algorithmName="SHA-512" hashValue="CbntCM56YWgXHu4+OOrTghpH39pBZb4D6eBjK7U1usiFrpeJYUrWINoAXH/F78Kbl2TTiZ0gVzAwB/pZlIomZg==" saltValue="Rtsq70621ICfRzd7gOQdgg==" spinCount="100000" sqref="V49" name="Rango2_5_1_6"/>
    <protectedRange algorithmName="SHA-512" hashValue="CbntCM56YWgXHu4+OOrTghpH39pBZb4D6eBjK7U1usiFrpeJYUrWINoAXH/F78Kbl2TTiZ0gVzAwB/pZlIomZg==" saltValue="Rtsq70621ICfRzd7gOQdgg==" spinCount="100000" sqref="V50" name="Rango2_5_1_6_1"/>
    <protectedRange algorithmName="SHA-512" hashValue="CbntCM56YWgXHu4+OOrTghpH39pBZb4D6eBjK7U1usiFrpeJYUrWINoAXH/F78Kbl2TTiZ0gVzAwB/pZlIomZg==" saltValue="Rtsq70621ICfRzd7gOQdgg==" spinCount="100000" sqref="V51" name="Rango2_5_1_6_2"/>
    <protectedRange algorithmName="SHA-512" hashValue="CbntCM56YWgXHu4+OOrTghpH39pBZb4D6eBjK7U1usiFrpeJYUrWINoAXH/F78Kbl2TTiZ0gVzAwB/pZlIomZg==" saltValue="Rtsq70621ICfRzd7gOQdgg==" spinCount="100000" sqref="V52" name="Rango2_5_1_6_3"/>
    <protectedRange algorithmName="SHA-512" hashValue="CbntCM56YWgXHu4+OOrTghpH39pBZb4D6eBjK7U1usiFrpeJYUrWINoAXH/F78Kbl2TTiZ0gVzAwB/pZlIomZg==" saltValue="Rtsq70621ICfRzd7gOQdgg==" spinCount="100000" sqref="V53" name="Rango2_5_1_7"/>
    <protectedRange algorithmName="SHA-512" hashValue="CbntCM56YWgXHu4+OOrTghpH39pBZb4D6eBjK7U1usiFrpeJYUrWINoAXH/F78Kbl2TTiZ0gVzAwB/pZlIomZg==" saltValue="Rtsq70621ICfRzd7gOQdgg==" spinCount="100000" sqref="V54:V55" name="Rango2_5_1_7_1"/>
    <protectedRange algorithmName="SHA-512" hashValue="CbntCM56YWgXHu4+OOrTghpH39pBZb4D6eBjK7U1usiFrpeJYUrWINoAXH/F78Kbl2TTiZ0gVzAwB/pZlIomZg==" saltValue="Rtsq70621ICfRzd7gOQdgg==" spinCount="100000" sqref="V56" name="Rango2_5_1_7_2"/>
    <protectedRange algorithmName="SHA-512" hashValue="CbntCM56YWgXHu4+OOrTghpH39pBZb4D6eBjK7U1usiFrpeJYUrWINoAXH/F78Kbl2TTiZ0gVzAwB/pZlIomZg==" saltValue="Rtsq70621ICfRzd7gOQdgg==" spinCount="100000" sqref="V57" name="Rango2_5_1_7_3"/>
    <protectedRange algorithmName="SHA-512" hashValue="CbntCM56YWgXHu4+OOrTghpH39pBZb4D6eBjK7U1usiFrpeJYUrWINoAXH/F78Kbl2TTiZ0gVzAwB/pZlIomZg==" saltValue="Rtsq70621ICfRzd7gOQdgg==" spinCount="100000" sqref="V58" name="Rango2_5_1_7_4"/>
    <protectedRange algorithmName="SHA-512" hashValue="CbntCM56YWgXHu4+OOrTghpH39pBZb4D6eBjK7U1usiFrpeJYUrWINoAXH/F78Kbl2TTiZ0gVzAwB/pZlIomZg==" saltValue="Rtsq70621ICfRzd7gOQdgg==" spinCount="100000" sqref="V59" name="Rango2_5_1_7_5"/>
    <protectedRange algorithmName="SHA-512" hashValue="CbntCM56YWgXHu4+OOrTghpH39pBZb4D6eBjK7U1usiFrpeJYUrWINoAXH/F78Kbl2TTiZ0gVzAwB/pZlIomZg==" saltValue="Rtsq70621ICfRzd7gOQdgg==" spinCount="100000" sqref="V60" name="Rango2_5_1_7_6"/>
    <protectedRange algorithmName="SHA-512" hashValue="CbntCM56YWgXHu4+OOrTghpH39pBZb4D6eBjK7U1usiFrpeJYUrWINoAXH/F78Kbl2TTiZ0gVzAwB/pZlIomZg==" saltValue="Rtsq70621ICfRzd7gOQdgg==" spinCount="100000" sqref="V61" name="Rango2_5_1_7_7"/>
    <protectedRange algorithmName="SHA-512" hashValue="CbntCM56YWgXHu4+OOrTghpH39pBZb4D6eBjK7U1usiFrpeJYUrWINoAXH/F78Kbl2TTiZ0gVzAwB/pZlIomZg==" saltValue="Rtsq70621ICfRzd7gOQdgg==" spinCount="100000" sqref="V62" name="Rango2_5_1_7_8"/>
    <protectedRange algorithmName="SHA-512" hashValue="CbntCM56YWgXHu4+OOrTghpH39pBZb4D6eBjK7U1usiFrpeJYUrWINoAXH/F78Kbl2TTiZ0gVzAwB/pZlIomZg==" saltValue="Rtsq70621ICfRzd7gOQdgg==" spinCount="100000" sqref="V63" name="Rango2_5_1_7_9"/>
    <protectedRange algorithmName="SHA-512" hashValue="CbntCM56YWgXHu4+OOrTghpH39pBZb4D6eBjK7U1usiFrpeJYUrWINoAXH/F78Kbl2TTiZ0gVzAwB/pZlIomZg==" saltValue="Rtsq70621ICfRzd7gOQdgg==" spinCount="100000" sqref="V64:V65" name="Rango2_5_1_8"/>
    <protectedRange algorithmName="SHA-512" hashValue="CbntCM56YWgXHu4+OOrTghpH39pBZb4D6eBjK7U1usiFrpeJYUrWINoAXH/F78Kbl2TTiZ0gVzAwB/pZlIomZg==" saltValue="Rtsq70621ICfRzd7gOQdgg==" spinCount="100000" sqref="V66:V67" name="Rango2_5_1_8_1"/>
    <protectedRange algorithmName="SHA-512" hashValue="CbntCM56YWgXHu4+OOrTghpH39pBZb4D6eBjK7U1usiFrpeJYUrWINoAXH/F78Kbl2TTiZ0gVzAwB/pZlIomZg==" saltValue="Rtsq70621ICfRzd7gOQdgg==" spinCount="100000" sqref="V68" name="Rango2_5_1_8_2"/>
    <protectedRange algorithmName="SHA-512" hashValue="CbntCM56YWgXHu4+OOrTghpH39pBZb4D6eBjK7U1usiFrpeJYUrWINoAXH/F78Kbl2TTiZ0gVzAwB/pZlIomZg==" saltValue="Rtsq70621ICfRzd7gOQdgg==" spinCount="100000" sqref="V69:V70" name="Rango2_5_1_8_3"/>
    <protectedRange algorithmName="SHA-512" hashValue="CbntCM56YWgXHu4+OOrTghpH39pBZb4D6eBjK7U1usiFrpeJYUrWINoAXH/F78Kbl2TTiZ0gVzAwB/pZlIomZg==" saltValue="Rtsq70621ICfRzd7gOQdgg==" spinCount="100000" sqref="V71" name="Rango2_5_1_8_4"/>
    <protectedRange algorithmName="SHA-512" hashValue="CbntCM56YWgXHu4+OOrTghpH39pBZb4D6eBjK7U1usiFrpeJYUrWINoAXH/F78Kbl2TTiZ0gVzAwB/pZlIomZg==" saltValue="Rtsq70621ICfRzd7gOQdgg==" spinCount="100000" sqref="V72" name="Rango2_5_1_9"/>
    <protectedRange algorithmName="SHA-512" hashValue="CbntCM56YWgXHu4+OOrTghpH39pBZb4D6eBjK7U1usiFrpeJYUrWINoAXH/F78Kbl2TTiZ0gVzAwB/pZlIomZg==" saltValue="Rtsq70621ICfRzd7gOQdgg==" spinCount="100000" sqref="V73" name="Rango2_5_1_9_1"/>
    <protectedRange algorithmName="SHA-512" hashValue="CbntCM56YWgXHu4+OOrTghpH39pBZb4D6eBjK7U1usiFrpeJYUrWINoAXH/F78Kbl2TTiZ0gVzAwB/pZlIomZg==" saltValue="Rtsq70621ICfRzd7gOQdgg==" spinCount="100000" sqref="V74" name="Rango2_5_1_9_2"/>
    <protectedRange algorithmName="SHA-512" hashValue="CbntCM56YWgXHu4+OOrTghpH39pBZb4D6eBjK7U1usiFrpeJYUrWINoAXH/F78Kbl2TTiZ0gVzAwB/pZlIomZg==" saltValue="Rtsq70621ICfRzd7gOQdgg==" spinCount="100000" sqref="V75" name="Rango2_5_1_9_3"/>
    <protectedRange algorithmName="SHA-512" hashValue="CbntCM56YWgXHu4+OOrTghpH39pBZb4D6eBjK7U1usiFrpeJYUrWINoAXH/F78Kbl2TTiZ0gVzAwB/pZlIomZg==" saltValue="Rtsq70621ICfRzd7gOQdgg==" spinCount="100000" sqref="V76" name="Rango2_5_1_9_4"/>
    <protectedRange algorithmName="SHA-512" hashValue="CbntCM56YWgXHu4+OOrTghpH39pBZb4D6eBjK7U1usiFrpeJYUrWINoAXH/F78Kbl2TTiZ0gVzAwB/pZlIomZg==" saltValue="Rtsq70621ICfRzd7gOQdgg==" spinCount="100000" sqref="V77" name="Rango2_5_1_9_5"/>
    <protectedRange algorithmName="SHA-512" hashValue="CbntCM56YWgXHu4+OOrTghpH39pBZb4D6eBjK7U1usiFrpeJYUrWINoAXH/F78Kbl2TTiZ0gVzAwB/pZlIomZg==" saltValue="Rtsq70621ICfRzd7gOQdgg==" spinCount="100000" sqref="V78" name="Rango2_5_1_9_6"/>
    <protectedRange algorithmName="SHA-512" hashValue="CbntCM56YWgXHu4+OOrTghpH39pBZb4D6eBjK7U1usiFrpeJYUrWINoAXH/F78Kbl2TTiZ0gVzAwB/pZlIomZg==" saltValue="Rtsq70621ICfRzd7gOQdgg==" spinCount="100000" sqref="V79" name="Rango2_5_1_9_7"/>
    <protectedRange algorithmName="SHA-512" hashValue="CbntCM56YWgXHu4+OOrTghpH39pBZb4D6eBjK7U1usiFrpeJYUrWINoAXH/F78Kbl2TTiZ0gVzAwB/pZlIomZg==" saltValue="Rtsq70621ICfRzd7gOQdgg==" spinCount="100000" sqref="V80" name="Rango2_5_1_9_8"/>
    <protectedRange algorithmName="SHA-512" hashValue="CbntCM56YWgXHu4+OOrTghpH39pBZb4D6eBjK7U1usiFrpeJYUrWINoAXH/F78Kbl2TTiZ0gVzAwB/pZlIomZg==" saltValue="Rtsq70621ICfRzd7gOQdgg==" spinCount="100000" sqref="V81:V82" name="Rango2_5_1_9_9"/>
    <protectedRange algorithmName="SHA-512" hashValue="CbntCM56YWgXHu4+OOrTghpH39pBZb4D6eBjK7U1usiFrpeJYUrWINoAXH/F78Kbl2TTiZ0gVzAwB/pZlIomZg==" saltValue="Rtsq70621ICfRzd7gOQdgg==" spinCount="100000" sqref="V83" name="Rango2_5_1_9_10"/>
    <protectedRange algorithmName="SHA-512" hashValue="CbntCM56YWgXHu4+OOrTghpH39pBZb4D6eBjK7U1usiFrpeJYUrWINoAXH/F78Kbl2TTiZ0gVzAwB/pZlIomZg==" saltValue="Rtsq70621ICfRzd7gOQdgg==" spinCount="100000" sqref="V84" name="Rango2_5_1_9_11"/>
    <protectedRange algorithmName="SHA-512" hashValue="CbntCM56YWgXHu4+OOrTghpH39pBZb4D6eBjK7U1usiFrpeJYUrWINoAXH/F78Kbl2TTiZ0gVzAwB/pZlIomZg==" saltValue="Rtsq70621ICfRzd7gOQdgg==" spinCount="100000" sqref="V93" name="Rango2_5_1_11"/>
    <protectedRange algorithmName="SHA-512" hashValue="CbntCM56YWgXHu4+OOrTghpH39pBZb4D6eBjK7U1usiFrpeJYUrWINoAXH/F78Kbl2TTiZ0gVzAwB/pZlIomZg==" saltValue="Rtsq70621ICfRzd7gOQdgg==" spinCount="100000" sqref="V129:V130" name="Rango2_5_1_12"/>
    <protectedRange algorithmName="SHA-512" hashValue="CbntCM56YWgXHu4+OOrTghpH39pBZb4D6eBjK7U1usiFrpeJYUrWINoAXH/F78Kbl2TTiZ0gVzAwB/pZlIomZg==" saltValue="Rtsq70621ICfRzd7gOQdgg==" spinCount="100000" sqref="V131" name="Rango2_5_1_12_1"/>
    <protectedRange algorithmName="SHA-512" hashValue="CbntCM56YWgXHu4+OOrTghpH39pBZb4D6eBjK7U1usiFrpeJYUrWINoAXH/F78Kbl2TTiZ0gVzAwB/pZlIomZg==" saltValue="Rtsq70621ICfRzd7gOQdgg==" spinCount="100000" sqref="V132" name="Rango2_5_1_12_2"/>
    <protectedRange algorithmName="SHA-512" hashValue="CbntCM56YWgXHu4+OOrTghpH39pBZb4D6eBjK7U1usiFrpeJYUrWINoAXH/F78Kbl2TTiZ0gVzAwB/pZlIomZg==" saltValue="Rtsq70621ICfRzd7gOQdgg==" spinCount="100000" sqref="V133" name="Rango2_5_1_12_3"/>
    <protectedRange algorithmName="SHA-512" hashValue="CbntCM56YWgXHu4+OOrTghpH39pBZb4D6eBjK7U1usiFrpeJYUrWINoAXH/F78Kbl2TTiZ0gVzAwB/pZlIomZg==" saltValue="Rtsq70621ICfRzd7gOQdgg==" spinCount="100000" sqref="V134" name="Rango2_5_1_12_4"/>
    <protectedRange algorithmName="SHA-512" hashValue="CbntCM56YWgXHu4+OOrTghpH39pBZb4D6eBjK7U1usiFrpeJYUrWINoAXH/F78Kbl2TTiZ0gVzAwB/pZlIomZg==" saltValue="Rtsq70621ICfRzd7gOQdgg==" spinCount="100000" sqref="V135" name="Rango2_5_1_12_5"/>
    <protectedRange algorithmName="SHA-512" hashValue="CbntCM56YWgXHu4+OOrTghpH39pBZb4D6eBjK7U1usiFrpeJYUrWINoAXH/F78Kbl2TTiZ0gVzAwB/pZlIomZg==" saltValue="Rtsq70621ICfRzd7gOQdgg==" spinCount="100000" sqref="V136" name="Rango2_5_1_13"/>
    <protectedRange algorithmName="SHA-512" hashValue="CbntCM56YWgXHu4+OOrTghpH39pBZb4D6eBjK7U1usiFrpeJYUrWINoAXH/F78Kbl2TTiZ0gVzAwB/pZlIomZg==" saltValue="Rtsq70621ICfRzd7gOQdgg==" spinCount="100000" sqref="V137" name="Rango2_5_1_14"/>
  </protectedRanges>
  <autoFilter ref="A1:AG210" xr:uid="{00000000-0001-0000-0300-000000000000}"/>
  <conditionalFormatting sqref="F210:F1048576">
    <cfRule type="duplicateValues" dxfId="6" priority="992"/>
    <cfRule type="duplicateValues" dxfId="5" priority="993"/>
  </conditionalFormatting>
  <conditionalFormatting sqref="E2:E209">
    <cfRule type="duplicateValues" dxfId="4" priority="2"/>
  </conditionalFormatting>
  <conditionalFormatting sqref="E2:E209">
    <cfRule type="duplicateValues" dxfId="3" priority="3"/>
    <cfRule type="duplicateValues" dxfId="2" priority="4"/>
  </conditionalFormatting>
  <conditionalFormatting sqref="L2:L209">
    <cfRule type="duplicateValues" dxfId="1" priority="1"/>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39997558519241921"/>
  </sheetPr>
  <dimension ref="A1:AG10"/>
  <sheetViews>
    <sheetView topLeftCell="M1" workbookViewId="0">
      <selection activeCell="X13" sqref="X13"/>
    </sheetView>
  </sheetViews>
  <sheetFormatPr defaultColWidth="11.42578125" defaultRowHeight="13.15"/>
  <cols>
    <col min="1" max="1" width="15.42578125" style="77" bestFit="1" customWidth="1"/>
    <col min="2" max="2" width="20.85546875" style="77" customWidth="1"/>
    <col min="3" max="3" width="13.7109375" style="77" customWidth="1"/>
    <col min="4" max="4" width="13.140625" style="77" customWidth="1"/>
    <col min="5" max="5" width="11.5703125" style="77" bestFit="1" customWidth="1"/>
    <col min="6" max="6" width="14.42578125" style="77" bestFit="1" customWidth="1"/>
    <col min="7" max="7" width="12.7109375" style="77" customWidth="1"/>
    <col min="8" max="8" width="14.42578125" style="77" customWidth="1"/>
    <col min="9" max="12" width="11.42578125" style="77"/>
    <col min="13" max="13" width="14.5703125" style="77" bestFit="1" customWidth="1"/>
    <col min="14" max="14" width="14" style="77" bestFit="1" customWidth="1"/>
    <col min="16" max="16" width="12.7109375" style="77" customWidth="1"/>
    <col min="17" max="17" width="12.7109375" style="77" bestFit="1" customWidth="1"/>
    <col min="18" max="19" width="11.42578125" style="77"/>
    <col min="20" max="20" width="12.7109375" style="77" bestFit="1" customWidth="1"/>
    <col min="21" max="21" width="12.7109375" style="77" customWidth="1"/>
    <col min="22" max="23" width="11.42578125" style="77"/>
    <col min="24" max="24" width="11.5703125" style="77" bestFit="1" customWidth="1"/>
    <col min="25" max="27" width="11.42578125" style="77"/>
    <col min="28" max="32" width="11.5703125" style="77" bestFit="1" customWidth="1"/>
    <col min="33" max="33" width="12" style="77" bestFit="1" customWidth="1"/>
    <col min="34" max="16384" width="11.42578125" style="77"/>
  </cols>
  <sheetData>
    <row r="1" spans="1:33" s="123" customFormat="1" ht="66">
      <c r="A1" s="91" t="s">
        <v>71</v>
      </c>
      <c r="B1" s="91" t="s">
        <v>43</v>
      </c>
      <c r="C1" s="91" t="s">
        <v>44</v>
      </c>
      <c r="D1" s="91" t="s">
        <v>72</v>
      </c>
      <c r="E1" s="91" t="s">
        <v>73</v>
      </c>
      <c r="F1" s="91" t="s">
        <v>74</v>
      </c>
      <c r="G1" s="57" t="s">
        <v>75</v>
      </c>
      <c r="H1" s="91" t="s">
        <v>77</v>
      </c>
      <c r="I1" s="91" t="s">
        <v>78</v>
      </c>
      <c r="J1" s="91" t="s">
        <v>79</v>
      </c>
      <c r="K1" s="91" t="s">
        <v>80</v>
      </c>
      <c r="L1" s="91" t="s">
        <v>81</v>
      </c>
      <c r="M1" s="91" t="s">
        <v>2403</v>
      </c>
      <c r="N1" s="91" t="s">
        <v>2404</v>
      </c>
      <c r="O1" s="116" t="s">
        <v>1576</v>
      </c>
      <c r="P1" s="91" t="s">
        <v>2405</v>
      </c>
      <c r="Q1" s="91" t="s">
        <v>2406</v>
      </c>
      <c r="R1" s="58" t="s">
        <v>84</v>
      </c>
      <c r="S1" s="58" t="s">
        <v>85</v>
      </c>
      <c r="T1" s="59" t="s">
        <v>86</v>
      </c>
      <c r="U1" s="91" t="s">
        <v>2407</v>
      </c>
      <c r="V1" s="91" t="s">
        <v>1580</v>
      </c>
      <c r="W1" s="91" t="s">
        <v>88</v>
      </c>
      <c r="X1" s="91" t="s">
        <v>2408</v>
      </c>
      <c r="Y1" s="91" t="s">
        <v>90</v>
      </c>
      <c r="Z1" s="91" t="s">
        <v>91</v>
      </c>
      <c r="AA1" s="59" t="s">
        <v>92</v>
      </c>
      <c r="AB1" s="91" t="s">
        <v>1582</v>
      </c>
      <c r="AC1" s="91" t="s">
        <v>95</v>
      </c>
      <c r="AD1" s="91" t="s">
        <v>1583</v>
      </c>
      <c r="AE1" s="91" t="s">
        <v>2409</v>
      </c>
      <c r="AF1" s="91" t="s">
        <v>2410</v>
      </c>
      <c r="AG1" s="91" t="s">
        <v>9</v>
      </c>
    </row>
    <row r="2" spans="1:33" s="4" customFormat="1">
      <c r="A2" s="124" t="s">
        <v>256</v>
      </c>
      <c r="B2" s="68" t="str">
        <f>VLOOKUP(A2,'CENTRO DE COSTOS'!A:D,4,FALSE)</f>
        <v>MIGUEL JULIÁN HERNÁNDEZ GUARÍN</v>
      </c>
      <c r="C2" s="56" t="str">
        <f>VLOOKUP(A2,'CENTRO DE COSTOS'!A:D,2,FALSE)</f>
        <v>0004-0008</v>
      </c>
      <c r="D2" s="73">
        <v>68745</v>
      </c>
      <c r="E2" s="125">
        <v>13657371</v>
      </c>
      <c r="F2" s="73">
        <v>39748</v>
      </c>
      <c r="G2" s="124" t="s">
        <v>2411</v>
      </c>
      <c r="H2" s="124" t="s">
        <v>258</v>
      </c>
      <c r="I2" s="124" t="s">
        <v>1458</v>
      </c>
      <c r="J2" s="124" t="s">
        <v>2412</v>
      </c>
      <c r="K2" s="73" t="s">
        <v>107</v>
      </c>
      <c r="L2" s="124" t="s">
        <v>2413</v>
      </c>
      <c r="M2" s="124">
        <v>45839.348611111112</v>
      </c>
      <c r="N2" s="124">
        <v>45845.677083333336</v>
      </c>
      <c r="P2" s="124" t="s">
        <v>2414</v>
      </c>
      <c r="Q2" s="124" t="s">
        <v>2415</v>
      </c>
      <c r="R2" s="73" t="s">
        <v>124</v>
      </c>
      <c r="S2" s="73" t="s">
        <v>199</v>
      </c>
      <c r="T2" s="124" t="s">
        <v>2416</v>
      </c>
      <c r="U2" s="124" t="s">
        <v>2417</v>
      </c>
      <c r="V2" s="124" t="s">
        <v>2418</v>
      </c>
      <c r="W2" s="74" t="s">
        <v>1615</v>
      </c>
      <c r="X2" s="73">
        <v>0</v>
      </c>
      <c r="Y2" s="73" t="s">
        <v>114</v>
      </c>
      <c r="Z2" s="73" t="s">
        <v>115</v>
      </c>
      <c r="AA2" s="124" t="s">
        <v>310</v>
      </c>
      <c r="AB2" s="73">
        <v>0</v>
      </c>
      <c r="AC2" s="74">
        <v>0</v>
      </c>
      <c r="AD2" s="74">
        <v>0</v>
      </c>
      <c r="AE2" s="74">
        <v>0</v>
      </c>
      <c r="AF2" s="69">
        <f>IF(W2="SOPORTE_TELEFÓNICO",'BASE LIQUIDACION'!$B$10,IF(Y2="TIPO I",'BASE LIQUIDACION'!$C$3,IF(Y2="TIPO II",'BASE LIQUIDACION'!$C$4,IF(Y2="TIPO III",'BASE LIQUIDACION'!$C$5,'BASE LIQUIDACION'!$C$7))))</f>
        <v>37904.65408</v>
      </c>
      <c r="AG2" s="70">
        <f>IF(W2="SOPORTE_TELEFÓNICO",'BASE LIQUIDACION'!$B$10,(AB2*AF2+AC2*'BASE LIQUIDACION'!$B$13+AD2*'BASE LIQUIDACION'!$B$12+AE2*'BASE LIQUIDACION'!$B$11))</f>
        <v>37904.65408</v>
      </c>
    </row>
    <row r="3" spans="1:33" s="4" customFormat="1">
      <c r="A3" s="124" t="s">
        <v>256</v>
      </c>
      <c r="B3" s="68" t="str">
        <f>VLOOKUP(A3,'CENTRO DE COSTOS'!A:D,4,FALSE)</f>
        <v>MIGUEL JULIÁN HERNÁNDEZ GUARÍN</v>
      </c>
      <c r="C3" s="56" t="str">
        <f>VLOOKUP(A3,'CENTRO DE COSTOS'!A:D,2,FALSE)</f>
        <v>0004-0008</v>
      </c>
      <c r="D3" s="73">
        <v>68547</v>
      </c>
      <c r="E3" s="125">
        <v>13550820</v>
      </c>
      <c r="F3" s="73">
        <v>67941</v>
      </c>
      <c r="G3" s="124" t="s">
        <v>2411</v>
      </c>
      <c r="H3" s="124" t="s">
        <v>258</v>
      </c>
      <c r="I3" s="124" t="s">
        <v>1447</v>
      </c>
      <c r="J3" s="124" t="s">
        <v>2419</v>
      </c>
      <c r="K3" s="73" t="s">
        <v>107</v>
      </c>
      <c r="L3" s="124" t="s">
        <v>2420</v>
      </c>
      <c r="M3" s="124">
        <v>45846.401388888888</v>
      </c>
      <c r="N3" s="124">
        <v>45847.486805555556</v>
      </c>
      <c r="P3" s="124" t="s">
        <v>2414</v>
      </c>
      <c r="Q3" s="124" t="s">
        <v>2415</v>
      </c>
      <c r="R3" s="73" t="s">
        <v>124</v>
      </c>
      <c r="S3" s="73" t="s">
        <v>199</v>
      </c>
      <c r="T3" s="124" t="s">
        <v>2421</v>
      </c>
      <c r="U3" s="124" t="s">
        <v>2422</v>
      </c>
      <c r="V3" s="124" t="s">
        <v>2423</v>
      </c>
      <c r="W3" s="74" t="s">
        <v>1615</v>
      </c>
      <c r="X3" s="73">
        <v>0</v>
      </c>
      <c r="Y3" s="73" t="s">
        <v>139</v>
      </c>
      <c r="Z3" s="73" t="s">
        <v>115</v>
      </c>
      <c r="AA3" s="124" t="s">
        <v>2424</v>
      </c>
      <c r="AB3" s="73">
        <v>0</v>
      </c>
      <c r="AC3" s="74">
        <v>0</v>
      </c>
      <c r="AD3" s="74">
        <v>0</v>
      </c>
      <c r="AE3" s="74">
        <v>0</v>
      </c>
      <c r="AF3" s="69">
        <f>IF(W3="SOPORTE_TELEFÓNICO",'BASE LIQUIDACION'!$B$10,IF(Y3="TIPO I",'BASE LIQUIDACION'!$C$3,IF(Y3="TIPO II",'BASE LIQUIDACION'!$C$4,IF(Y3="TIPO III",'BASE LIQUIDACION'!$C$5,'BASE LIQUIDACION'!$C$7))))</f>
        <v>37904.65408</v>
      </c>
      <c r="AG3" s="70">
        <f>IF(W3="SOPORTE_TELEFÓNICO",'BASE LIQUIDACION'!$B$10,(AB3*AF3+AC3*'BASE LIQUIDACION'!$B$13+AD3*'BASE LIQUIDACION'!$B$12+AE3*'BASE LIQUIDACION'!$B$11))</f>
        <v>37904.65408</v>
      </c>
    </row>
    <row r="4" spans="1:33" s="4" customFormat="1">
      <c r="A4" s="124" t="s">
        <v>170</v>
      </c>
      <c r="B4" s="68" t="str">
        <f>VLOOKUP(A4,'CENTRO DE COSTOS'!A:D,4,FALSE)</f>
        <v>WILLIAM ASDRUBAL ROZO ROZO</v>
      </c>
      <c r="C4" s="56" t="str">
        <f>VLOOKUP(A4,'CENTRO DE COSTOS'!A:D,2,FALSE)</f>
        <v>0004-0004</v>
      </c>
      <c r="D4" s="73">
        <v>25899</v>
      </c>
      <c r="E4" s="125">
        <v>13677662</v>
      </c>
      <c r="F4" s="73">
        <v>43058</v>
      </c>
      <c r="G4" s="124" t="s">
        <v>2411</v>
      </c>
      <c r="H4" s="124" t="s">
        <v>172</v>
      </c>
      <c r="I4" s="124" t="s">
        <v>1174</v>
      </c>
      <c r="J4" s="124" t="s">
        <v>2425</v>
      </c>
      <c r="K4" s="73" t="s">
        <v>107</v>
      </c>
      <c r="L4" s="124" t="s">
        <v>2426</v>
      </c>
      <c r="M4" s="124">
        <v>45845.40625</v>
      </c>
      <c r="N4" s="124">
        <v>45847.588194444441</v>
      </c>
      <c r="P4" s="124" t="s">
        <v>2414</v>
      </c>
      <c r="Q4" s="124" t="s">
        <v>2415</v>
      </c>
      <c r="R4" s="73" t="s">
        <v>1593</v>
      </c>
      <c r="S4" s="73" t="s">
        <v>1593</v>
      </c>
      <c r="T4" s="124" t="s">
        <v>2421</v>
      </c>
      <c r="U4" s="124" t="s">
        <v>2422</v>
      </c>
      <c r="V4" s="124" t="s">
        <v>2427</v>
      </c>
      <c r="W4" s="74" t="s">
        <v>1615</v>
      </c>
      <c r="X4" s="73">
        <v>0</v>
      </c>
      <c r="Y4" s="73" t="s">
        <v>139</v>
      </c>
      <c r="Z4" s="73" t="s">
        <v>115</v>
      </c>
      <c r="AA4" s="124" t="s">
        <v>1647</v>
      </c>
      <c r="AB4" s="73">
        <v>0</v>
      </c>
      <c r="AC4" s="74">
        <v>0</v>
      </c>
      <c r="AD4" s="74">
        <v>0</v>
      </c>
      <c r="AE4" s="74">
        <v>0</v>
      </c>
      <c r="AF4" s="69">
        <f>IF(W4="SOPORTE_TELEFÓNICO",'BASE LIQUIDACION'!$B$10,IF(Y4="TIPO I",'BASE LIQUIDACION'!$C$3,IF(Y4="TIPO II",'BASE LIQUIDACION'!$C$4,IF(Y4="TIPO III",'BASE LIQUIDACION'!$C$5,'BASE LIQUIDACION'!$C$7))))</f>
        <v>37904.65408</v>
      </c>
      <c r="AG4" s="70">
        <f>IF(W4="SOPORTE_TELEFÓNICO",'BASE LIQUIDACION'!$B$10,(AB4*AF4+AC4*'BASE LIQUIDACION'!$B$13+AD4*'BASE LIQUIDACION'!$B$12+AE4*'BASE LIQUIDACION'!$B$11))</f>
        <v>37904.65408</v>
      </c>
    </row>
    <row r="5" spans="1:33" s="4" customFormat="1">
      <c r="A5" s="124" t="s">
        <v>222</v>
      </c>
      <c r="B5" s="68" t="str">
        <f>VLOOKUP(A5,'CENTRO DE COSTOS'!A:D,4,FALSE)</f>
        <v>MIGUEL JULIÁN HERNÁNDEZ GUARÍN</v>
      </c>
      <c r="C5" s="56" t="str">
        <f>VLOOKUP(A5,'CENTRO DE COSTOS'!A:D,2,FALSE)</f>
        <v>0004-0008</v>
      </c>
      <c r="D5" s="73">
        <v>54498</v>
      </c>
      <c r="E5" s="125">
        <v>13588666</v>
      </c>
      <c r="F5" s="73">
        <v>60894</v>
      </c>
      <c r="G5" s="124" t="s">
        <v>2411</v>
      </c>
      <c r="H5" s="124" t="s">
        <v>224</v>
      </c>
      <c r="I5" s="124" t="s">
        <v>1354</v>
      </c>
      <c r="J5" s="124" t="s">
        <v>1829</v>
      </c>
      <c r="K5" s="73" t="s">
        <v>107</v>
      </c>
      <c r="L5" s="124" t="s">
        <v>2428</v>
      </c>
      <c r="M5" s="124">
        <v>45846.401388888888</v>
      </c>
      <c r="N5" s="124">
        <v>45847.62777777778</v>
      </c>
      <c r="P5" s="124" t="s">
        <v>2414</v>
      </c>
      <c r="Q5" s="124" t="s">
        <v>2415</v>
      </c>
      <c r="R5" s="73" t="s">
        <v>124</v>
      </c>
      <c r="S5" s="73" t="s">
        <v>199</v>
      </c>
      <c r="T5" s="124" t="s">
        <v>2429</v>
      </c>
      <c r="U5" s="124" t="s">
        <v>2430</v>
      </c>
      <c r="V5" s="124" t="s">
        <v>2431</v>
      </c>
      <c r="W5" s="74" t="s">
        <v>1596</v>
      </c>
      <c r="X5" s="73" t="s">
        <v>2432</v>
      </c>
      <c r="Y5" s="73" t="s">
        <v>128</v>
      </c>
      <c r="Z5" s="73" t="s">
        <v>115</v>
      </c>
      <c r="AA5" s="124" t="s">
        <v>1598</v>
      </c>
      <c r="AB5" s="73">
        <v>1</v>
      </c>
      <c r="AC5" s="74">
        <v>0</v>
      </c>
      <c r="AD5" s="74">
        <v>0</v>
      </c>
      <c r="AE5" s="74">
        <v>0</v>
      </c>
      <c r="AF5" s="69">
        <f>IF(W5="SOPORTE_TELEFÓNICO",'BASE LIQUIDACION'!$B$10,IF(Y5="TIPO I",'BASE LIQUIDACION'!$C$3,IF(Y5="TIPO II",'BASE LIQUIDACION'!$C$4,IF(Y5="TIPO III",'BASE LIQUIDACION'!$C$5,'BASE LIQUIDACION'!$C$7))))</f>
        <v>479589.73656000005</v>
      </c>
      <c r="AG5" s="70">
        <f>IF(W5="SOPORTE_TELEFÓNICO",'BASE LIQUIDACION'!$B$10,(AB5*AF5+AC5*'BASE LIQUIDACION'!$B$13+AD5*'BASE LIQUIDACION'!$B$12+AE5*'BASE LIQUIDACION'!$B$11))</f>
        <v>479589.73656000005</v>
      </c>
    </row>
    <row r="6" spans="1:33" s="4" customFormat="1">
      <c r="A6" s="124" t="s">
        <v>341</v>
      </c>
      <c r="B6" s="68" t="str">
        <f>VLOOKUP(A6,'CENTRO DE COSTOS'!A:D,4,FALSE)</f>
        <v>JOSE MAURICIO HERNANDEZ ROJAS</v>
      </c>
      <c r="C6" s="56" t="str">
        <f>VLOOKUP(A6,'CENTRO DE COSTOS'!A:D,2,FALSE)</f>
        <v>0004-0001</v>
      </c>
      <c r="D6" s="73">
        <v>13001</v>
      </c>
      <c r="E6" s="125">
        <v>13461670</v>
      </c>
      <c r="F6" s="73">
        <v>69446</v>
      </c>
      <c r="G6" s="124" t="s">
        <v>2411</v>
      </c>
      <c r="H6" s="124" t="s">
        <v>343</v>
      </c>
      <c r="I6" s="124" t="s">
        <v>341</v>
      </c>
      <c r="J6" s="124" t="s">
        <v>2433</v>
      </c>
      <c r="K6" s="73" t="s">
        <v>107</v>
      </c>
      <c r="L6" s="124" t="s">
        <v>2434</v>
      </c>
      <c r="M6" s="124">
        <v>45846.401388888888</v>
      </c>
      <c r="N6" s="124">
        <v>45848.323611111111</v>
      </c>
      <c r="P6" s="124" t="s">
        <v>2414</v>
      </c>
      <c r="Q6" s="124" t="s">
        <v>2415</v>
      </c>
      <c r="R6" s="73" t="s">
        <v>124</v>
      </c>
      <c r="S6" s="73" t="s">
        <v>199</v>
      </c>
      <c r="T6" s="124" t="s">
        <v>2421</v>
      </c>
      <c r="U6" s="124" t="s">
        <v>2422</v>
      </c>
      <c r="V6" s="124" t="s">
        <v>2435</v>
      </c>
      <c r="W6" s="74" t="s">
        <v>1615</v>
      </c>
      <c r="X6" s="73">
        <v>0</v>
      </c>
      <c r="Y6" s="73" t="s">
        <v>150</v>
      </c>
      <c r="Z6" s="73" t="s">
        <v>115</v>
      </c>
      <c r="AA6" s="124" t="s">
        <v>1798</v>
      </c>
      <c r="AB6" s="73">
        <v>0</v>
      </c>
      <c r="AC6" s="74">
        <v>0</v>
      </c>
      <c r="AD6" s="74">
        <v>0</v>
      </c>
      <c r="AE6" s="74">
        <v>0</v>
      </c>
      <c r="AF6" s="69">
        <f>IF(W6="SOPORTE_TELEFÓNICO",'BASE LIQUIDACION'!$B$10,IF(Y6="TIPO I",'BASE LIQUIDACION'!$C$3,IF(Y6="TIPO II",'BASE LIQUIDACION'!$C$4,IF(Y6="TIPO III",'BASE LIQUIDACION'!$C$5,'BASE LIQUIDACION'!$C$7))))</f>
        <v>37904.65408</v>
      </c>
      <c r="AG6" s="70">
        <f>IF(W6="SOPORTE_TELEFÓNICO",'BASE LIQUIDACION'!$B$10,(AB6*AF6+AC6*'BASE LIQUIDACION'!$B$13+AD6*'BASE LIQUIDACION'!$B$12+AE6*'BASE LIQUIDACION'!$B$11))</f>
        <v>37904.65408</v>
      </c>
    </row>
    <row r="7" spans="1:33" s="4" customFormat="1">
      <c r="A7" s="124" t="s">
        <v>130</v>
      </c>
      <c r="B7" s="68" t="str">
        <f>VLOOKUP(A7,'CENTRO DE COSTOS'!A:D,4,FALSE)</f>
        <v>DIEGO FERNANDO HENAO CARDONA</v>
      </c>
      <c r="C7" s="56" t="str">
        <f>VLOOKUP(A7,'CENTRO DE COSTOS'!A:D,2,FALSE)</f>
        <v>0004-0002</v>
      </c>
      <c r="D7" s="73">
        <v>66001</v>
      </c>
      <c r="E7" s="125">
        <v>13365127</v>
      </c>
      <c r="F7" s="73">
        <v>71933</v>
      </c>
      <c r="G7" s="124" t="s">
        <v>2411</v>
      </c>
      <c r="H7" s="124" t="s">
        <v>133</v>
      </c>
      <c r="I7" s="124" t="s">
        <v>130</v>
      </c>
      <c r="J7" s="124" t="s">
        <v>2436</v>
      </c>
      <c r="K7" s="73" t="s">
        <v>107</v>
      </c>
      <c r="L7" s="124" t="s">
        <v>2437</v>
      </c>
      <c r="M7" s="124">
        <v>45848.45416666667</v>
      </c>
      <c r="N7" s="124">
        <v>45849.479861111111</v>
      </c>
      <c r="P7" s="124" t="s">
        <v>2414</v>
      </c>
      <c r="Q7" s="124" t="s">
        <v>2415</v>
      </c>
      <c r="R7" s="73" t="s">
        <v>124</v>
      </c>
      <c r="S7" s="73" t="s">
        <v>125</v>
      </c>
      <c r="T7" s="124" t="s">
        <v>2416</v>
      </c>
      <c r="U7" s="124" t="s">
        <v>2417</v>
      </c>
      <c r="V7" s="124" t="s">
        <v>2438</v>
      </c>
      <c r="W7" s="74" t="s">
        <v>1596</v>
      </c>
      <c r="X7" s="73">
        <v>0</v>
      </c>
      <c r="Y7" s="73" t="s">
        <v>150</v>
      </c>
      <c r="Z7" s="73" t="s">
        <v>115</v>
      </c>
      <c r="AA7" s="124" t="s">
        <v>140</v>
      </c>
      <c r="AB7" s="73">
        <v>1</v>
      </c>
      <c r="AC7" s="74">
        <v>0</v>
      </c>
      <c r="AD7" s="74">
        <v>0</v>
      </c>
      <c r="AE7" s="74">
        <v>0</v>
      </c>
      <c r="AF7" s="69">
        <f>IF(W7="SOPORTE_TELEFÓNICO",'BASE LIQUIDACION'!$B$10,IF(Y7="TIPO I",'BASE LIQUIDACION'!$C$3,IF(Y7="TIPO II",'BASE LIQUIDACION'!$C$4,IF(Y7="TIPO III",'BASE LIQUIDACION'!$C$5,'BASE LIQUIDACION'!$C$7))))</f>
        <v>65960.473639999997</v>
      </c>
      <c r="AG7" s="70">
        <f>IF(W7="SOPORTE_TELEFÓNICO",'BASE LIQUIDACION'!$B$10,(AB7*AF7+AC7*'BASE LIQUIDACION'!$B$13+AD7*'BASE LIQUIDACION'!$B$12+AE7*'BASE LIQUIDACION'!$B$11))</f>
        <v>65960.473639999997</v>
      </c>
    </row>
    <row r="8" spans="1:33" s="4" customFormat="1">
      <c r="A8" s="124" t="s">
        <v>100</v>
      </c>
      <c r="B8" s="68" t="str">
        <f>VLOOKUP(A8,'CENTRO DE COSTOS'!A:D,4,FALSE)</f>
        <v>JUAN SEBASTIÁN RÍOS CASTRILLÓN</v>
      </c>
      <c r="C8" s="56" t="str">
        <f>VLOOKUP(A8,'CENTRO DE COSTOS'!A:D,2,FALSE)</f>
        <v>0004-0005</v>
      </c>
      <c r="D8" s="73">
        <v>5736</v>
      </c>
      <c r="E8" s="125">
        <v>13408567</v>
      </c>
      <c r="F8" s="73">
        <v>77365</v>
      </c>
      <c r="G8" s="124" t="s">
        <v>2411</v>
      </c>
      <c r="H8" s="124" t="s">
        <v>104</v>
      </c>
      <c r="I8" s="124" t="s">
        <v>697</v>
      </c>
      <c r="J8" s="124" t="s">
        <v>2439</v>
      </c>
      <c r="K8" s="73" t="s">
        <v>107</v>
      </c>
      <c r="L8" s="124" t="s">
        <v>2440</v>
      </c>
      <c r="M8" s="124">
        <v>45826.354166666664</v>
      </c>
      <c r="N8" s="126">
        <v>45852.635416666664</v>
      </c>
      <c r="P8" s="124" t="s">
        <v>2414</v>
      </c>
      <c r="Q8" s="124" t="s">
        <v>2415</v>
      </c>
      <c r="R8" s="73" t="s">
        <v>124</v>
      </c>
      <c r="S8" s="73" t="s">
        <v>125</v>
      </c>
      <c r="T8" s="124" t="s">
        <v>2421</v>
      </c>
      <c r="U8" s="124" t="s">
        <v>2441</v>
      </c>
      <c r="V8" s="124" t="s">
        <v>2442</v>
      </c>
      <c r="W8" s="74" t="s">
        <v>1615</v>
      </c>
      <c r="X8" s="73">
        <v>0</v>
      </c>
      <c r="Y8" s="73" t="s">
        <v>128</v>
      </c>
      <c r="Z8" s="73" t="s">
        <v>115</v>
      </c>
      <c r="AA8" s="124" t="s">
        <v>1721</v>
      </c>
      <c r="AB8" s="73">
        <v>0</v>
      </c>
      <c r="AC8" s="74">
        <v>0</v>
      </c>
      <c r="AD8" s="74">
        <v>0</v>
      </c>
      <c r="AE8" s="74">
        <v>0</v>
      </c>
      <c r="AF8" s="69">
        <f>IF(W8="SOPORTE_TELEFÓNICO",'BASE LIQUIDACION'!$B$10,IF(Y8="TIPO I",'BASE LIQUIDACION'!$C$3,IF(Y8="TIPO II",'BASE LIQUIDACION'!$C$4,IF(Y8="TIPO III",'BASE LIQUIDACION'!$C$5,'BASE LIQUIDACION'!$C$7))))</f>
        <v>37904.65408</v>
      </c>
      <c r="AG8" s="70">
        <f>IF(W8="SOPORTE_TELEFÓNICO",'BASE LIQUIDACION'!$B$10,(AB8*AF8+AC8*'BASE LIQUIDACION'!$B$13+AD8*'BASE LIQUIDACION'!$B$12+AE8*'BASE LIQUIDACION'!$B$11))</f>
        <v>37904.65408</v>
      </c>
    </row>
    <row r="9" spans="1:33" s="4" customFormat="1">
      <c r="A9" s="124" t="s">
        <v>161</v>
      </c>
      <c r="B9" s="68" t="str">
        <f>VLOOKUP(A9,'CENTRO DE COSTOS'!A:D,4,FALSE)</f>
        <v>DIEGO FERNANDO HENAO CARDONA</v>
      </c>
      <c r="C9" s="56" t="str">
        <f>VLOOKUP(A9,'CENTRO DE COSTOS'!A:D,2,FALSE)</f>
        <v>0004-0003</v>
      </c>
      <c r="D9" s="73">
        <v>19001</v>
      </c>
      <c r="E9" s="125">
        <v>13727668</v>
      </c>
      <c r="F9" s="73">
        <v>78387</v>
      </c>
      <c r="G9" s="124" t="s">
        <v>2411</v>
      </c>
      <c r="H9" s="124" t="s">
        <v>163</v>
      </c>
      <c r="I9" s="124" t="s">
        <v>164</v>
      </c>
      <c r="J9" s="124" t="s">
        <v>2443</v>
      </c>
      <c r="K9" s="73" t="s">
        <v>107</v>
      </c>
      <c r="L9" s="124" t="s">
        <v>2444</v>
      </c>
      <c r="M9" s="124">
        <v>45855.722916666666</v>
      </c>
      <c r="N9" s="124">
        <v>45861.368148148147</v>
      </c>
      <c r="P9" s="124" t="s">
        <v>2414</v>
      </c>
      <c r="Q9" s="124" t="s">
        <v>2415</v>
      </c>
      <c r="R9" s="73" t="s">
        <v>1593</v>
      </c>
      <c r="S9" s="73" t="s">
        <v>1593</v>
      </c>
      <c r="T9" s="124" t="s">
        <v>2416</v>
      </c>
      <c r="U9" s="124" t="s">
        <v>2445</v>
      </c>
      <c r="V9" s="124" t="s">
        <v>2446</v>
      </c>
      <c r="W9" s="74" t="s">
        <v>1596</v>
      </c>
      <c r="X9" s="73">
        <v>0</v>
      </c>
      <c r="Y9" s="73" t="s">
        <v>114</v>
      </c>
      <c r="Z9" s="73" t="s">
        <v>115</v>
      </c>
      <c r="AA9" s="124" t="s">
        <v>169</v>
      </c>
      <c r="AB9" s="73">
        <v>1</v>
      </c>
      <c r="AC9" s="74">
        <v>0</v>
      </c>
      <c r="AD9" s="74">
        <v>0</v>
      </c>
      <c r="AE9" s="74">
        <v>0</v>
      </c>
      <c r="AF9" s="69">
        <f>IF(W9="SOPORTE_TELEFÓNICO",'BASE LIQUIDACION'!$B$10,IF(Y9="TIPO I",'BASE LIQUIDACION'!$C$3,IF(Y9="TIPO II",'BASE LIQUIDACION'!$C$4,IF(Y9="TIPO III",'BASE LIQUIDACION'!$C$5,'BASE LIQUIDACION'!$C$7))))</f>
        <v>275728.37943999999</v>
      </c>
      <c r="AG9" s="70">
        <f>IF(W9="SOPORTE_TELEFÓNICO",'BASE LIQUIDACION'!$B$10,(AB9*AF9+AC9*'BASE LIQUIDACION'!$B$13+AD9*'BASE LIQUIDACION'!$B$12+AE9*'BASE LIQUIDACION'!$B$11))</f>
        <v>275728.37943999999</v>
      </c>
    </row>
    <row r="10" spans="1:33">
      <c r="AG10" s="83">
        <f>SUM(AG2:AG9)</f>
        <v>1010801.8600399999</v>
      </c>
    </row>
  </sheetData>
  <conditionalFormatting sqref="E2:E9">
    <cfRule type="duplicateValues" dxfId="0" priority="1"/>
  </conditionalFormatting>
  <dataValidations count="1">
    <dataValidation type="list" allowBlank="1" showInputMessage="1" showErrorMessage="1" sqref="U2:U9 Q2:Q9" xr:uid="{BAF00D13-8563-4176-A3BC-AD1FFAE7B604}">
      <formula1>INDIRECT(P2)</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7EC8A-9E29-4BF4-A0D7-5C2D955FB8B2}">
  <dimension ref="A1:D23"/>
  <sheetViews>
    <sheetView workbookViewId="0">
      <selection activeCell="A2" sqref="A2:D23"/>
    </sheetView>
  </sheetViews>
  <sheetFormatPr defaultColWidth="11.42578125" defaultRowHeight="14.45"/>
  <cols>
    <col min="1" max="1" width="15.28515625" style="21" bestFit="1" customWidth="1"/>
    <col min="2" max="2" width="18.28515625" style="21" bestFit="1" customWidth="1"/>
    <col min="3" max="4" width="30.28515625" style="21" bestFit="1" customWidth="1"/>
    <col min="5" max="16384" width="11.42578125" style="21"/>
  </cols>
  <sheetData>
    <row r="1" spans="1:4">
      <c r="A1" s="20" t="s">
        <v>78</v>
      </c>
      <c r="B1" s="20" t="s">
        <v>2447</v>
      </c>
      <c r="C1" s="20" t="s">
        <v>2448</v>
      </c>
      <c r="D1" s="20" t="s">
        <v>43</v>
      </c>
    </row>
    <row r="2" spans="1:4">
      <c r="A2" s="40" t="s">
        <v>316</v>
      </c>
      <c r="B2" s="41" t="s">
        <v>58</v>
      </c>
      <c r="C2" s="41" t="s">
        <v>56</v>
      </c>
      <c r="D2" s="41" t="s">
        <v>57</v>
      </c>
    </row>
    <row r="3" spans="1:4">
      <c r="A3" s="42" t="s">
        <v>722</v>
      </c>
      <c r="B3" s="43" t="s">
        <v>55</v>
      </c>
      <c r="C3" s="43" t="s">
        <v>51</v>
      </c>
      <c r="D3" s="43" t="s">
        <v>54</v>
      </c>
    </row>
    <row r="4" spans="1:4">
      <c r="A4" s="42" t="s">
        <v>170</v>
      </c>
      <c r="B4" s="43" t="s">
        <v>67</v>
      </c>
      <c r="C4" s="43" t="s">
        <v>48</v>
      </c>
      <c r="D4" s="43" t="s">
        <v>66</v>
      </c>
    </row>
    <row r="5" spans="1:4">
      <c r="A5" s="42" t="s">
        <v>256</v>
      </c>
      <c r="B5" s="43" t="s">
        <v>64</v>
      </c>
      <c r="C5" s="43" t="s">
        <v>62</v>
      </c>
      <c r="D5" s="43" t="s">
        <v>63</v>
      </c>
    </row>
    <row r="6" spans="1:4">
      <c r="A6" s="42" t="s">
        <v>161</v>
      </c>
      <c r="B6" s="43" t="s">
        <v>52</v>
      </c>
      <c r="C6" s="43" t="s">
        <v>65</v>
      </c>
      <c r="D6" s="43" t="s">
        <v>49</v>
      </c>
    </row>
    <row r="7" spans="1:4">
      <c r="A7" s="42" t="s">
        <v>341</v>
      </c>
      <c r="B7" s="43" t="s">
        <v>55</v>
      </c>
      <c r="C7" s="43" t="s">
        <v>51</v>
      </c>
      <c r="D7" s="43" t="s">
        <v>54</v>
      </c>
    </row>
    <row r="8" spans="1:4">
      <c r="A8" s="42" t="s">
        <v>222</v>
      </c>
      <c r="B8" s="43" t="s">
        <v>64</v>
      </c>
      <c r="C8" s="43" t="s">
        <v>62</v>
      </c>
      <c r="D8" s="43" t="s">
        <v>63</v>
      </c>
    </row>
    <row r="9" spans="1:4">
      <c r="A9" s="42" t="s">
        <v>182</v>
      </c>
      <c r="B9" s="43" t="s">
        <v>61</v>
      </c>
      <c r="C9" s="43" t="s">
        <v>59</v>
      </c>
      <c r="D9" s="43" t="s">
        <v>60</v>
      </c>
    </row>
    <row r="10" spans="1:4">
      <c r="A10" s="42" t="s">
        <v>360</v>
      </c>
      <c r="B10" s="43" t="s">
        <v>61</v>
      </c>
      <c r="C10" s="43" t="s">
        <v>59</v>
      </c>
      <c r="D10" s="43" t="s">
        <v>60</v>
      </c>
    </row>
    <row r="11" spans="1:4">
      <c r="A11" s="42" t="s">
        <v>899</v>
      </c>
      <c r="B11" s="43" t="s">
        <v>50</v>
      </c>
      <c r="C11" s="43" t="s">
        <v>53</v>
      </c>
      <c r="D11" s="43" t="s">
        <v>49</v>
      </c>
    </row>
    <row r="12" spans="1:4">
      <c r="A12" s="42" t="s">
        <v>100</v>
      </c>
      <c r="B12" s="43" t="s">
        <v>58</v>
      </c>
      <c r="C12" s="43" t="s">
        <v>56</v>
      </c>
      <c r="D12" s="43" t="s">
        <v>57</v>
      </c>
    </row>
    <row r="13" spans="1:4">
      <c r="A13" s="42" t="s">
        <v>290</v>
      </c>
      <c r="B13" s="43" t="s">
        <v>55</v>
      </c>
      <c r="C13" s="43" t="s">
        <v>51</v>
      </c>
      <c r="D13" s="43" t="s">
        <v>54</v>
      </c>
    </row>
    <row r="14" spans="1:4">
      <c r="A14" s="42" t="s">
        <v>179</v>
      </c>
      <c r="B14" s="43" t="s">
        <v>61</v>
      </c>
      <c r="C14" s="43" t="s">
        <v>59</v>
      </c>
      <c r="D14" s="43" t="s">
        <v>60</v>
      </c>
    </row>
    <row r="15" spans="1:4">
      <c r="A15" s="42" t="s">
        <v>975</v>
      </c>
      <c r="B15" s="43" t="s">
        <v>52</v>
      </c>
      <c r="C15" s="43" t="s">
        <v>65</v>
      </c>
      <c r="D15" s="43" t="s">
        <v>49</v>
      </c>
    </row>
    <row r="16" spans="1:4">
      <c r="A16" s="42" t="s">
        <v>130</v>
      </c>
      <c r="B16" s="43" t="s">
        <v>50</v>
      </c>
      <c r="C16" s="43" t="s">
        <v>53</v>
      </c>
      <c r="D16" s="43" t="s">
        <v>49</v>
      </c>
    </row>
    <row r="17" spans="1:4">
      <c r="A17" s="42" t="s">
        <v>164</v>
      </c>
      <c r="B17" s="43" t="s">
        <v>52</v>
      </c>
      <c r="C17" s="43" t="s">
        <v>65</v>
      </c>
      <c r="D17" s="43" t="s">
        <v>49</v>
      </c>
    </row>
    <row r="18" spans="1:4">
      <c r="A18" s="42" t="s">
        <v>117</v>
      </c>
      <c r="B18" s="43" t="s">
        <v>55</v>
      </c>
      <c r="C18" s="43" t="s">
        <v>51</v>
      </c>
      <c r="D18" s="43" t="s">
        <v>54</v>
      </c>
    </row>
    <row r="19" spans="1:4">
      <c r="A19" s="42" t="s">
        <v>152</v>
      </c>
      <c r="B19" s="43" t="s">
        <v>55</v>
      </c>
      <c r="C19" s="43" t="s">
        <v>51</v>
      </c>
      <c r="D19" s="43" t="s">
        <v>54</v>
      </c>
    </row>
    <row r="20" spans="1:4">
      <c r="A20" s="42" t="s">
        <v>399</v>
      </c>
      <c r="B20" s="43" t="s">
        <v>64</v>
      </c>
      <c r="C20" s="43" t="s">
        <v>62</v>
      </c>
      <c r="D20" s="43" t="s">
        <v>63</v>
      </c>
    </row>
    <row r="21" spans="1:4">
      <c r="A21" s="42" t="s">
        <v>282</v>
      </c>
      <c r="B21" s="43" t="s">
        <v>55</v>
      </c>
      <c r="C21" s="43" t="s">
        <v>51</v>
      </c>
      <c r="D21" s="43" t="s">
        <v>54</v>
      </c>
    </row>
    <row r="22" spans="1:4">
      <c r="A22" s="42" t="s">
        <v>248</v>
      </c>
      <c r="B22" s="43" t="s">
        <v>61</v>
      </c>
      <c r="C22" s="43" t="s">
        <v>59</v>
      </c>
      <c r="D22" s="43" t="s">
        <v>60</v>
      </c>
    </row>
    <row r="23" spans="1:4">
      <c r="A23" s="42" t="s">
        <v>432</v>
      </c>
      <c r="B23" s="43" t="s">
        <v>61</v>
      </c>
      <c r="C23" s="43" t="s">
        <v>59</v>
      </c>
      <c r="D23" s="43" t="s">
        <v>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1af35ee29490cb16462bfe4830e440c0">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41995a57b18272937ca9dd89fffb3d1b"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Props1.xml><?xml version="1.0" encoding="utf-8"?>
<ds:datastoreItem xmlns:ds="http://schemas.openxmlformats.org/officeDocument/2006/customXml" ds:itemID="{0FF070C4-57E3-4812-8FEA-D6675C740816}"/>
</file>

<file path=customXml/itemProps2.xml><?xml version="1.0" encoding="utf-8"?>
<ds:datastoreItem xmlns:ds="http://schemas.openxmlformats.org/officeDocument/2006/customXml" ds:itemID="{11B9DF70-142A-4942-BF56-8725B125536A}"/>
</file>

<file path=customXml/itemProps3.xml><?xml version="1.0" encoding="utf-8"?>
<ds:datastoreItem xmlns:ds="http://schemas.openxmlformats.org/officeDocument/2006/customXml" ds:itemID="{1D18F971-F33C-4527-A37B-7E3C0C33E2F6}"/>
</file>

<file path=docProps/app.xml><?xml version="1.0" encoding="utf-8"?>
<Properties xmlns="http://schemas.openxmlformats.org/officeDocument/2006/extended-properties" xmlns:vt="http://schemas.openxmlformats.org/officeDocument/2006/docPropsVTypes">
  <Application>Microsoft Excel Online</Application>
  <Manager/>
  <Company>SURAMERICANA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Suramericana</dc:creator>
  <cp:keywords/>
  <dc:description/>
  <cp:lastModifiedBy>Lini Jhojana Hernandez Mora</cp:lastModifiedBy>
  <cp:revision/>
  <dcterms:created xsi:type="dcterms:W3CDTF">2010-11-30T07:07:28Z</dcterms:created>
  <dcterms:modified xsi:type="dcterms:W3CDTF">2025-08-06T03:32:08Z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