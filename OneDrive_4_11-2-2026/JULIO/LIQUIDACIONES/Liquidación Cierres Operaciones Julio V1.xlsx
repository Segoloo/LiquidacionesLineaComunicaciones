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8"/>
  <workbookPr defaultThemeVersion="124226"/>
  <mc:AlternateContent xmlns:mc="http://schemas.openxmlformats.org/markup-compatibility/2006">
    <mc:Choice Requires="x15">
      <x15ac:absPath xmlns:x15ac="http://schemas.microsoft.com/office/spreadsheetml/2010/11/ac" url="https://lineacomunicacionesco.sharepoint.com/sites/OperacinBanca/Shared Documents/GERENCIA DE OPERACIONES REDEBAN/FACTURACION/2025/JULIO/"/>
    </mc:Choice>
  </mc:AlternateContent>
  <xr:revisionPtr revIDLastSave="588" documentId="13_ncr:1_{155C5C84-4AFD-48B4-90DE-8C02CB79D3F7}" xr6:coauthVersionLast="47" xr6:coauthVersionMax="47" xr10:uidLastSave="{CE3D839E-0C39-4FAF-97BA-FDA681B1AEB9}"/>
  <bookViews>
    <workbookView xWindow="28680" yWindow="-120" windowWidth="29040" windowHeight="15720" tabRatio="866" firstSheet="3" xr2:uid="{00000000-000D-0000-FFFF-FFFF00000000}"/>
  </bookViews>
  <sheets>
    <sheet name="RESUMEN" sheetId="3" r:id="rId1"/>
    <sheet name="BASE DE LIQUIDACION 2025" sheetId="7" state="hidden" r:id="rId2"/>
    <sheet name="Tabla Dinámica" sheetId="55" state="hidden" r:id="rId3"/>
    <sheet name="CIERRES" sheetId="52" r:id="rId4"/>
    <sheet name="TIPOLOGIAS" sheetId="54" state="hidden" r:id="rId5"/>
    <sheet name="CENTRO DE COSTOS" sheetId="53" state="hidden" r:id="rId6"/>
  </sheets>
  <externalReferences>
    <externalReference r:id="rId7"/>
    <externalReference r:id="rId8"/>
    <externalReference r:id="rId9"/>
    <externalReference r:id="rId10"/>
    <externalReference r:id="rId11"/>
  </externalReferences>
  <definedNames>
    <definedName name="_xlnm._FilterDatabase" localSheetId="5" hidden="1">'CENTRO DE COSTOS'!$A$1:$D$23</definedName>
    <definedName name="_xlnm._FilterDatabase" localSheetId="3" hidden="1">CIERRES!$A$1:$AD$164</definedName>
    <definedName name="ACTIVIDAD">[1]Hoja2!$P$2:$P$30</definedName>
    <definedName name="Clientes">[2]Clientes!$A$2:$A$100</definedName>
    <definedName name="COORDINADOR">[1]Hoja2!$D$2:$D$30</definedName>
    <definedName name="Coordinadores">[3]Coordinadores!$A$2:$A$1000</definedName>
    <definedName name="DOCUMENTADOR">[1]Hoja2!$A$2:$A$30</definedName>
    <definedName name="ES">[1]Hoja2!$K$2:$K$30</definedName>
    <definedName name="ESS">[1]Hoja2!$K$2:$K$30</definedName>
    <definedName name="Estado">[2]Formulas!$K$2:$K$5000</definedName>
    <definedName name="ESTADOACTIVIDAD">[1]Hoja2!$M$2:$M$30</definedName>
    <definedName name="ESTADOSCIERRES">'[4]lista desplegable'!$CX$1:$DA$1</definedName>
    <definedName name="Facturacion">'[5]Listas desplegables'!$AO$1:$AR$1</definedName>
    <definedName name="solicitudes">'[5]Listas desplegables'!$U$1:$AF$1</definedName>
    <definedName name="Tecnicos">[2]Tecnicos!$A$2:$A$1000</definedName>
  </definedNames>
  <calcPr calcId="191028"/>
  <pivotCaches>
    <pivotCache cacheId="1201"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2" i="52" l="1"/>
  <c r="C92" i="52"/>
  <c r="B93" i="52"/>
  <c r="C93" i="52"/>
  <c r="B94" i="52"/>
  <c r="C94" i="52"/>
  <c r="B95" i="52"/>
  <c r="C95" i="52"/>
  <c r="B96" i="52"/>
  <c r="C96" i="52"/>
  <c r="B97" i="52"/>
  <c r="C97" i="52"/>
  <c r="B98" i="52"/>
  <c r="C98" i="52"/>
  <c r="B99" i="52"/>
  <c r="C99" i="52"/>
  <c r="B100" i="52"/>
  <c r="C100" i="52"/>
  <c r="B101" i="52"/>
  <c r="C101" i="52"/>
  <c r="B102" i="52"/>
  <c r="C102" i="52"/>
  <c r="B103" i="52"/>
  <c r="C103" i="52"/>
  <c r="B104" i="52"/>
  <c r="C104" i="52"/>
  <c r="B105" i="52"/>
  <c r="C105" i="52"/>
  <c r="B106" i="52"/>
  <c r="C106" i="52"/>
  <c r="B107" i="52"/>
  <c r="C107" i="52"/>
  <c r="B108" i="52"/>
  <c r="C108" i="52"/>
  <c r="B109" i="52"/>
  <c r="C109" i="52"/>
  <c r="B110" i="52"/>
  <c r="C110" i="52"/>
  <c r="B111" i="52"/>
  <c r="C111" i="52"/>
  <c r="B112" i="52"/>
  <c r="C112" i="52"/>
  <c r="B113" i="52"/>
  <c r="C113" i="52"/>
  <c r="B114" i="52"/>
  <c r="C114" i="52"/>
  <c r="B115" i="52"/>
  <c r="C115" i="52"/>
  <c r="B116" i="52"/>
  <c r="C116" i="52"/>
  <c r="B117" i="52"/>
  <c r="C117" i="52"/>
  <c r="B118" i="52"/>
  <c r="C118" i="52"/>
  <c r="B119" i="52"/>
  <c r="C119" i="52"/>
  <c r="B120" i="52"/>
  <c r="C120" i="52"/>
  <c r="B121" i="52"/>
  <c r="C121" i="52"/>
  <c r="B122" i="52"/>
  <c r="C122" i="52"/>
  <c r="B123" i="52"/>
  <c r="C123" i="52"/>
  <c r="B124" i="52"/>
  <c r="C124" i="52"/>
  <c r="B125" i="52"/>
  <c r="C125" i="52"/>
  <c r="B126" i="52"/>
  <c r="C126" i="52"/>
  <c r="B127" i="52"/>
  <c r="C127" i="52"/>
  <c r="B128" i="52"/>
  <c r="C128" i="52"/>
  <c r="B129" i="52"/>
  <c r="C129" i="52"/>
  <c r="B130" i="52"/>
  <c r="C130" i="52"/>
  <c r="B131" i="52"/>
  <c r="C131" i="52"/>
  <c r="B132" i="52"/>
  <c r="C132" i="52"/>
  <c r="B133" i="52"/>
  <c r="C133" i="52"/>
  <c r="B134" i="52"/>
  <c r="C134" i="52"/>
  <c r="B135" i="52"/>
  <c r="C135" i="52"/>
  <c r="B136" i="52"/>
  <c r="C136" i="52"/>
  <c r="B137" i="52"/>
  <c r="C137" i="52"/>
  <c r="B138" i="52"/>
  <c r="C138" i="52"/>
  <c r="B139" i="52"/>
  <c r="C139" i="52"/>
  <c r="B140" i="52"/>
  <c r="C140" i="52"/>
  <c r="B141" i="52"/>
  <c r="C141" i="52"/>
  <c r="B142" i="52"/>
  <c r="C142" i="52"/>
  <c r="B143" i="52"/>
  <c r="C143" i="52"/>
  <c r="B144" i="52"/>
  <c r="C144" i="52"/>
  <c r="B145" i="52"/>
  <c r="C145" i="52"/>
  <c r="B146" i="52"/>
  <c r="C146" i="52"/>
  <c r="B147" i="52"/>
  <c r="C147" i="52"/>
  <c r="B148" i="52"/>
  <c r="C148" i="52"/>
  <c r="B149" i="52"/>
  <c r="C149" i="52"/>
  <c r="B150" i="52"/>
  <c r="C150" i="52"/>
  <c r="B151" i="52"/>
  <c r="C151" i="52"/>
  <c r="B152" i="52"/>
  <c r="C152" i="52"/>
  <c r="B153" i="52"/>
  <c r="C153" i="52"/>
  <c r="B154" i="52"/>
  <c r="C154" i="52"/>
  <c r="B155" i="52"/>
  <c r="C155" i="52"/>
  <c r="B156" i="52"/>
  <c r="C156" i="52"/>
  <c r="B157" i="52"/>
  <c r="C157" i="52"/>
  <c r="B158" i="52"/>
  <c r="C158" i="52"/>
  <c r="B159" i="52"/>
  <c r="C159" i="52"/>
  <c r="B160" i="52"/>
  <c r="C160" i="52"/>
  <c r="B161" i="52"/>
  <c r="C161" i="52"/>
  <c r="B162" i="52"/>
  <c r="C162" i="52"/>
  <c r="B163" i="52"/>
  <c r="C163" i="52"/>
  <c r="B7" i="52"/>
  <c r="C7" i="52"/>
  <c r="B8" i="52"/>
  <c r="C8" i="52"/>
  <c r="B9" i="52"/>
  <c r="C9" i="52"/>
  <c r="B10" i="52"/>
  <c r="C10" i="52"/>
  <c r="B11" i="52"/>
  <c r="C11" i="52"/>
  <c r="B12" i="52"/>
  <c r="C12" i="52"/>
  <c r="B13" i="52"/>
  <c r="C13" i="52"/>
  <c r="B14" i="52"/>
  <c r="C14" i="52"/>
  <c r="B15" i="52"/>
  <c r="C15" i="52"/>
  <c r="B16" i="52"/>
  <c r="C16" i="52"/>
  <c r="B17" i="52"/>
  <c r="C17" i="52"/>
  <c r="B18" i="52"/>
  <c r="C18" i="52"/>
  <c r="B19" i="52"/>
  <c r="C19" i="52"/>
  <c r="B20" i="52"/>
  <c r="C20" i="52"/>
  <c r="B21" i="52"/>
  <c r="C21" i="52"/>
  <c r="B22" i="52"/>
  <c r="C22" i="52"/>
  <c r="B23" i="52"/>
  <c r="C23" i="52"/>
  <c r="B24" i="52"/>
  <c r="C24" i="52"/>
  <c r="B25" i="52"/>
  <c r="C25" i="52"/>
  <c r="B26" i="52"/>
  <c r="C26" i="52"/>
  <c r="B27" i="52"/>
  <c r="C27" i="52"/>
  <c r="B28" i="52"/>
  <c r="C28" i="52"/>
  <c r="B29" i="52"/>
  <c r="C29" i="52"/>
  <c r="B30" i="52"/>
  <c r="C30" i="52"/>
  <c r="B31" i="52"/>
  <c r="C31" i="52"/>
  <c r="B32" i="52"/>
  <c r="C32" i="52"/>
  <c r="B33" i="52"/>
  <c r="C33" i="52"/>
  <c r="B34" i="52"/>
  <c r="C34" i="52"/>
  <c r="B35" i="52"/>
  <c r="C35" i="52"/>
  <c r="B36" i="52"/>
  <c r="C36" i="52"/>
  <c r="B37" i="52"/>
  <c r="C37" i="52"/>
  <c r="B38" i="52"/>
  <c r="C38" i="52"/>
  <c r="B39" i="52"/>
  <c r="C39" i="52"/>
  <c r="B40" i="52"/>
  <c r="C40" i="52"/>
  <c r="B41" i="52"/>
  <c r="C41" i="52"/>
  <c r="B42" i="52"/>
  <c r="C42" i="52"/>
  <c r="B43" i="52"/>
  <c r="C43" i="52"/>
  <c r="B44" i="52"/>
  <c r="C44" i="52"/>
  <c r="B45" i="52"/>
  <c r="C45" i="52"/>
  <c r="B46" i="52"/>
  <c r="C46" i="52"/>
  <c r="B47" i="52"/>
  <c r="C47" i="52"/>
  <c r="B48" i="52"/>
  <c r="C48" i="52"/>
  <c r="B49" i="52"/>
  <c r="C49" i="52"/>
  <c r="B50" i="52"/>
  <c r="C50" i="52"/>
  <c r="B51" i="52"/>
  <c r="C51" i="52"/>
  <c r="B52" i="52"/>
  <c r="C52" i="52"/>
  <c r="B53" i="52"/>
  <c r="C53" i="52"/>
  <c r="B54" i="52"/>
  <c r="C54" i="52"/>
  <c r="B55" i="52"/>
  <c r="C55" i="52"/>
  <c r="B56" i="52"/>
  <c r="C56" i="52"/>
  <c r="B57" i="52"/>
  <c r="C57" i="52"/>
  <c r="B58" i="52"/>
  <c r="C58" i="52"/>
  <c r="B59" i="52"/>
  <c r="C59" i="52"/>
  <c r="B60" i="52"/>
  <c r="C60" i="52"/>
  <c r="B61" i="52"/>
  <c r="C61" i="52"/>
  <c r="B62" i="52"/>
  <c r="C62" i="52"/>
  <c r="B63" i="52"/>
  <c r="C63" i="52"/>
  <c r="B64" i="52"/>
  <c r="C64" i="52"/>
  <c r="B65" i="52"/>
  <c r="C65" i="52"/>
  <c r="B66" i="52"/>
  <c r="C66" i="52"/>
  <c r="B67" i="52"/>
  <c r="C67" i="52"/>
  <c r="B68" i="52"/>
  <c r="C68" i="52"/>
  <c r="B69" i="52"/>
  <c r="C69" i="52"/>
  <c r="B70" i="52"/>
  <c r="C70" i="52"/>
  <c r="B71" i="52"/>
  <c r="C71" i="52"/>
  <c r="B72" i="52"/>
  <c r="C72" i="52"/>
  <c r="B73" i="52"/>
  <c r="C73" i="52"/>
  <c r="B74" i="52"/>
  <c r="C74" i="52"/>
  <c r="B75" i="52"/>
  <c r="C75" i="52"/>
  <c r="B76" i="52"/>
  <c r="C76" i="52"/>
  <c r="B77" i="52"/>
  <c r="C77" i="52"/>
  <c r="B78" i="52"/>
  <c r="C78" i="52"/>
  <c r="B79" i="52"/>
  <c r="C79" i="52"/>
  <c r="B80" i="52"/>
  <c r="C80" i="52"/>
  <c r="B81" i="52"/>
  <c r="C81" i="52"/>
  <c r="B82" i="52"/>
  <c r="C82" i="52"/>
  <c r="B83" i="52"/>
  <c r="C83" i="52"/>
  <c r="B84" i="52"/>
  <c r="C84" i="52"/>
  <c r="B85" i="52"/>
  <c r="C85" i="52"/>
  <c r="B86" i="52"/>
  <c r="C86" i="52"/>
  <c r="B87" i="52"/>
  <c r="C87" i="52"/>
  <c r="B88" i="52"/>
  <c r="C88" i="52"/>
  <c r="B89" i="52"/>
  <c r="C89" i="52"/>
  <c r="B90" i="52"/>
  <c r="C90" i="52"/>
  <c r="B91" i="52"/>
  <c r="C91" i="52"/>
  <c r="B3" i="52"/>
  <c r="C3" i="52"/>
  <c r="B4" i="52"/>
  <c r="C4" i="52"/>
  <c r="B5" i="52"/>
  <c r="C5" i="52"/>
  <c r="B6" i="52"/>
  <c r="C6" i="52"/>
  <c r="H10" i="3"/>
  <c r="B9" i="7"/>
  <c r="C6" i="7"/>
  <c r="C5" i="7"/>
  <c r="C4" i="7"/>
  <c r="C3" i="7"/>
  <c r="E5" i="55"/>
  <c r="E6" i="55"/>
  <c r="E7" i="55"/>
  <c r="E8" i="55"/>
  <c r="E9" i="55"/>
  <c r="E10" i="55"/>
  <c r="E4" i="55"/>
  <c r="AC98" i="52" l="1"/>
  <c r="AD98" i="52" s="1"/>
  <c r="AC102" i="52"/>
  <c r="AD102" i="52" s="1"/>
  <c r="AC107" i="52"/>
  <c r="AD107" i="52" s="1"/>
  <c r="AC110" i="52"/>
  <c r="AD110" i="52" s="1"/>
  <c r="AC111" i="52"/>
  <c r="AD111" i="52" s="1"/>
  <c r="AC112" i="52"/>
  <c r="AD112" i="52" s="1"/>
  <c r="AC114" i="52"/>
  <c r="AD114" i="52" s="1"/>
  <c r="AC115" i="52"/>
  <c r="AD115" i="52" s="1"/>
  <c r="AC118" i="52"/>
  <c r="AD118" i="52" s="1"/>
  <c r="AC122" i="52"/>
  <c r="AD122" i="52" s="1"/>
  <c r="AC124" i="52"/>
  <c r="AD124" i="52" s="1"/>
  <c r="AC125" i="52"/>
  <c r="AD125" i="52" s="1"/>
  <c r="AC126" i="52"/>
  <c r="AD126" i="52" s="1"/>
  <c r="AC127" i="52"/>
  <c r="AD127" i="52" s="1"/>
  <c r="AC128" i="52"/>
  <c r="AD128" i="52" s="1"/>
  <c r="AC131" i="52"/>
  <c r="AD131" i="52" s="1"/>
  <c r="AC134" i="52"/>
  <c r="AD134" i="52" s="1"/>
  <c r="AC136" i="52"/>
  <c r="AD136" i="52" s="1"/>
  <c r="AC137" i="52"/>
  <c r="AD137" i="52" s="1"/>
  <c r="AC139" i="52"/>
  <c r="AD139" i="52" s="1"/>
  <c r="AC140" i="52"/>
  <c r="AD140" i="52" s="1"/>
  <c r="AC141" i="52"/>
  <c r="AD141" i="52" s="1"/>
  <c r="AC142" i="52"/>
  <c r="AD142" i="52" s="1"/>
  <c r="AC143" i="52"/>
  <c r="AD143" i="52" s="1"/>
  <c r="AC144" i="52"/>
  <c r="AD144" i="52" s="1"/>
  <c r="AC145" i="52"/>
  <c r="AD145" i="52" s="1"/>
  <c r="AC146" i="52"/>
  <c r="AD146" i="52" s="1"/>
  <c r="AC147" i="52"/>
  <c r="AD147" i="52" s="1"/>
  <c r="AC149" i="52"/>
  <c r="AD149" i="52" s="1"/>
  <c r="AC151" i="52"/>
  <c r="AD151" i="52" s="1"/>
  <c r="AC152" i="52"/>
  <c r="AD152" i="52" s="1"/>
  <c r="AC155" i="52"/>
  <c r="AD155" i="52" s="1"/>
  <c r="AC156" i="52"/>
  <c r="AD156" i="52" s="1"/>
  <c r="AC157" i="52"/>
  <c r="AD157" i="52" s="1"/>
  <c r="AC158" i="52"/>
  <c r="AD158" i="52" s="1"/>
  <c r="AC160" i="52"/>
  <c r="AD160" i="52" s="1"/>
  <c r="AC161" i="52"/>
  <c r="AD161" i="52" s="1"/>
  <c r="AC162" i="52"/>
  <c r="AD162" i="52" s="1"/>
  <c r="AC163" i="52"/>
  <c r="AD163" i="52" s="1"/>
  <c r="AC92" i="52"/>
  <c r="AD92" i="52" s="1"/>
  <c r="AC99" i="52"/>
  <c r="AD99" i="52" s="1"/>
  <c r="AC100" i="52"/>
  <c r="AD100" i="52" s="1"/>
  <c r="AC103" i="52"/>
  <c r="AD103" i="52" s="1"/>
  <c r="AC119" i="52"/>
  <c r="AD119" i="52" s="1"/>
  <c r="AC130" i="52"/>
  <c r="AD130" i="52" s="1"/>
  <c r="AC135" i="52"/>
  <c r="AD135" i="52" s="1"/>
  <c r="AC154" i="52"/>
  <c r="AD154" i="52" s="1"/>
  <c r="AC101" i="52"/>
  <c r="AD101" i="52" s="1"/>
  <c r="AC104" i="52"/>
  <c r="AD104" i="52" s="1"/>
  <c r="AC108" i="52"/>
  <c r="AD108" i="52" s="1"/>
  <c r="AC113" i="52"/>
  <c r="AD113" i="52" s="1"/>
  <c r="AC117" i="52"/>
  <c r="AD117" i="52" s="1"/>
  <c r="AC133" i="52"/>
  <c r="AD133" i="52" s="1"/>
  <c r="AC123" i="52"/>
  <c r="AD123" i="52" s="1"/>
  <c r="AC129" i="52"/>
  <c r="AD129" i="52" s="1"/>
  <c r="AC132" i="52"/>
  <c r="AD132" i="52" s="1"/>
  <c r="AC150" i="52"/>
  <c r="AD150" i="52" s="1"/>
  <c r="AC93" i="52"/>
  <c r="AD93" i="52" s="1"/>
  <c r="AC94" i="52"/>
  <c r="AD94" i="52" s="1"/>
  <c r="AC95" i="52"/>
  <c r="AD95" i="52" s="1"/>
  <c r="AC96" i="52"/>
  <c r="AD96" i="52" s="1"/>
  <c r="AC97" i="52"/>
  <c r="AD97" i="52" s="1"/>
  <c r="AC105" i="52"/>
  <c r="AD105" i="52" s="1"/>
  <c r="AC106" i="52"/>
  <c r="AD106" i="52" s="1"/>
  <c r="AC109" i="52"/>
  <c r="AD109" i="52" s="1"/>
  <c r="AC116" i="52"/>
  <c r="AD116" i="52" s="1"/>
  <c r="AC120" i="52"/>
  <c r="AD120" i="52" s="1"/>
  <c r="AC121" i="52"/>
  <c r="AD121" i="52" s="1"/>
  <c r="AC138" i="52"/>
  <c r="AD138" i="52" s="1"/>
  <c r="AC148" i="52"/>
  <c r="AD148" i="52" s="1"/>
  <c r="AC153" i="52"/>
  <c r="AD153" i="52" s="1"/>
  <c r="AC159" i="52"/>
  <c r="AD159" i="52" s="1"/>
  <c r="AC30" i="52"/>
  <c r="AD30" i="52" s="1"/>
  <c r="AC3" i="52"/>
  <c r="AD3" i="52" s="1"/>
  <c r="AC6" i="52"/>
  <c r="AD6" i="52" s="1"/>
  <c r="AC7" i="52"/>
  <c r="AD7" i="52" s="1"/>
  <c r="AC8" i="52"/>
  <c r="AD8" i="52" s="1"/>
  <c r="AC9" i="52"/>
  <c r="AD9" i="52" s="1"/>
  <c r="AC11" i="52"/>
  <c r="AD11" i="52" s="1"/>
  <c r="AC12" i="52"/>
  <c r="AD12" i="52" s="1"/>
  <c r="AC14" i="52"/>
  <c r="AD14" i="52" s="1"/>
  <c r="AC15" i="52"/>
  <c r="AD15" i="52" s="1"/>
  <c r="AC16" i="52"/>
  <c r="AD16" i="52" s="1"/>
  <c r="AC18" i="52"/>
  <c r="AD18" i="52" s="1"/>
  <c r="AC21" i="52"/>
  <c r="AD21" i="52" s="1"/>
  <c r="AC22" i="52"/>
  <c r="AD22" i="52" s="1"/>
  <c r="AC23" i="52"/>
  <c r="AD23" i="52" s="1"/>
  <c r="AC25" i="52"/>
  <c r="AD25" i="52" s="1"/>
  <c r="AC27" i="52"/>
  <c r="AD27" i="52" s="1"/>
  <c r="AC28" i="52"/>
  <c r="AD28" i="52" s="1"/>
  <c r="AC29" i="52"/>
  <c r="AD29" i="52" s="1"/>
  <c r="AC31" i="52"/>
  <c r="AD31" i="52" s="1"/>
  <c r="AC35" i="52"/>
  <c r="AD35" i="52" s="1"/>
  <c r="AC37" i="52"/>
  <c r="AD37" i="52" s="1"/>
  <c r="AC40" i="52"/>
  <c r="AD40" i="52" s="1"/>
  <c r="AC41" i="52"/>
  <c r="AD41" i="52" s="1"/>
  <c r="AC42" i="52"/>
  <c r="AD42" i="52" s="1"/>
  <c r="AC46" i="52"/>
  <c r="AD46" i="52" s="1"/>
  <c r="AC48" i="52"/>
  <c r="AD48" i="52" s="1"/>
  <c r="AC49" i="52"/>
  <c r="AD49" i="52" s="1"/>
  <c r="AC50" i="52"/>
  <c r="AD50" i="52" s="1"/>
  <c r="AC51" i="52"/>
  <c r="AD51" i="52" s="1"/>
  <c r="AC52" i="52"/>
  <c r="AD52" i="52" s="1"/>
  <c r="AC54" i="52"/>
  <c r="AD54" i="52" s="1"/>
  <c r="AC55" i="52"/>
  <c r="AD55" i="52" s="1"/>
  <c r="AC56" i="52"/>
  <c r="AD56" i="52" s="1"/>
  <c r="AC59" i="52"/>
  <c r="AD59" i="52" s="1"/>
  <c r="AC60" i="52"/>
  <c r="AD60" i="52" s="1"/>
  <c r="AC62" i="52"/>
  <c r="AD62" i="52" s="1"/>
  <c r="AC63" i="52"/>
  <c r="AD63" i="52" s="1"/>
  <c r="AC65" i="52"/>
  <c r="AD65" i="52" s="1"/>
  <c r="AC66" i="52"/>
  <c r="AD66" i="52" s="1"/>
  <c r="AC67" i="52"/>
  <c r="AD67" i="52" s="1"/>
  <c r="AC69" i="52"/>
  <c r="AD69" i="52" s="1"/>
  <c r="AC71" i="52"/>
  <c r="AD71" i="52" s="1"/>
  <c r="AC73" i="52"/>
  <c r="AD73" i="52" s="1"/>
  <c r="AC76" i="52"/>
  <c r="AD76" i="52" s="1"/>
  <c r="AC78" i="52"/>
  <c r="AD78" i="52" s="1"/>
  <c r="AC79" i="52"/>
  <c r="AD79" i="52" s="1"/>
  <c r="AC86" i="52"/>
  <c r="AD86" i="52" s="1"/>
  <c r="AC87" i="52"/>
  <c r="AD87" i="52" s="1"/>
  <c r="AC88" i="52"/>
  <c r="AD88" i="52" s="1"/>
  <c r="AC91" i="52"/>
  <c r="AD91" i="52" s="1"/>
  <c r="AC5" i="52"/>
  <c r="AD5" i="52" s="1"/>
  <c r="AC10" i="52"/>
  <c r="AD10" i="52" s="1"/>
  <c r="AC13" i="52"/>
  <c r="AD13" i="52" s="1"/>
  <c r="AC32" i="52"/>
  <c r="AD32" i="52" s="1"/>
  <c r="AC36" i="52"/>
  <c r="AD36" i="52" s="1"/>
  <c r="AC39" i="52"/>
  <c r="AD39" i="52" s="1"/>
  <c r="AC43" i="52"/>
  <c r="AD43" i="52" s="1"/>
  <c r="AC44" i="52"/>
  <c r="AD44" i="52" s="1"/>
  <c r="AC70" i="52"/>
  <c r="AD70" i="52" s="1"/>
  <c r="AC74" i="52"/>
  <c r="AD74" i="52" s="1"/>
  <c r="AC77" i="52"/>
  <c r="AD77" i="52" s="1"/>
  <c r="AC81" i="52"/>
  <c r="AD81" i="52" s="1"/>
  <c r="AC82" i="52"/>
  <c r="AD82" i="52" s="1"/>
  <c r="AC83" i="52"/>
  <c r="AD83" i="52" s="1"/>
  <c r="AC89" i="52"/>
  <c r="AD89" i="52" s="1"/>
  <c r="AC26" i="52"/>
  <c r="AD26" i="52" s="1"/>
  <c r="AC33" i="52"/>
  <c r="AD33" i="52" s="1"/>
  <c r="AC19" i="52"/>
  <c r="AD19" i="52" s="1"/>
  <c r="AC34" i="52"/>
  <c r="AD34" i="52" s="1"/>
  <c r="AC75" i="52"/>
  <c r="AD75" i="52" s="1"/>
  <c r="AC90" i="52"/>
  <c r="AD90" i="52" s="1"/>
  <c r="AC4" i="52"/>
  <c r="AD4" i="52" s="1"/>
  <c r="AC17" i="52"/>
  <c r="AD17" i="52" s="1"/>
  <c r="AC20" i="52"/>
  <c r="AD20" i="52" s="1"/>
  <c r="AC24" i="52"/>
  <c r="AD24" i="52" s="1"/>
  <c r="AC38" i="52"/>
  <c r="AD38" i="52" s="1"/>
  <c r="AC45" i="52"/>
  <c r="AD45" i="52" s="1"/>
  <c r="AC47" i="52"/>
  <c r="AD47" i="52" s="1"/>
  <c r="AC53" i="52"/>
  <c r="AD53" i="52" s="1"/>
  <c r="AC57" i="52"/>
  <c r="AD57" i="52" s="1"/>
  <c r="AC58" i="52"/>
  <c r="AD58" i="52" s="1"/>
  <c r="AC61" i="52"/>
  <c r="AD61" i="52" s="1"/>
  <c r="AC64" i="52"/>
  <c r="AD64" i="52" s="1"/>
  <c r="AC68" i="52"/>
  <c r="AD68" i="52" s="1"/>
  <c r="AC72" i="52"/>
  <c r="AD72" i="52" s="1"/>
  <c r="AC80" i="52"/>
  <c r="AD80" i="52" s="1"/>
  <c r="AC84" i="52"/>
  <c r="AD84" i="52" s="1"/>
  <c r="AC85" i="52"/>
  <c r="AD85" i="52" s="1"/>
  <c r="AC2" i="52"/>
  <c r="AD2" i="52" s="1"/>
  <c r="AD164" i="52" l="1"/>
  <c r="D6" i="3" s="1"/>
  <c r="A6" i="3"/>
  <c r="C2" i="52" l="1"/>
  <c r="B2" i="52"/>
  <c r="I6" i="3" l="1"/>
  <c r="J6" i="3" s="1"/>
  <c r="I7" i="3"/>
  <c r="J7" i="3" s="1"/>
  <c r="F2" i="3" l="1"/>
  <c r="I5" i="3" l="1"/>
  <c r="I10" i="3" s="1"/>
  <c r="J5" i="3" l="1"/>
  <c r="B6" i="3"/>
  <c r="J10" i="3" l="1"/>
  <c r="D7" i="3" s="1"/>
  <c r="D8" i="3" l="1"/>
  <c r="D9" i="3" s="1"/>
  <c r="D10"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Natacha Gutierrez Tamayo</author>
  </authors>
  <commentList>
    <comment ref="C7" authorId="0" shapeId="0" xr:uid="{00000000-0006-0000-0100-000001000000}">
      <text>
        <r>
          <rPr>
            <b/>
            <sz val="9"/>
            <color indexed="81"/>
            <rFont val="Tahoma"/>
            <family val="2"/>
          </rPr>
          <t>Zoom</t>
        </r>
      </text>
    </comment>
  </commentList>
</comments>
</file>

<file path=xl/sharedStrings.xml><?xml version="1.0" encoding="utf-8"?>
<sst xmlns="http://schemas.openxmlformats.org/spreadsheetml/2006/main" count="8951" uniqueCount="1972">
  <si>
    <t>LÍNEA COMUNICACIONES S.A.S</t>
  </si>
  <si>
    <t>FACTURACIÓN CORRESPONSALES BANCARIOS TIQUIETES AÉREOS</t>
  </si>
  <si>
    <t>FACTURACIÓN VISITAS FALLIDAS CORRESPONSALES BANCARIOS</t>
  </si>
  <si>
    <t>JULIO 2025</t>
  </si>
  <si>
    <t>CONCEPTOS</t>
  </si>
  <si>
    <t>TRAYECTOS</t>
  </si>
  <si>
    <t>TOTAL</t>
  </si>
  <si>
    <t>% ADMINISTRACIÓN</t>
  </si>
  <si>
    <t>CANT</t>
  </si>
  <si>
    <t>ORDEN DE CAMBIO CB 72634</t>
  </si>
  <si>
    <t>SINCELEJO-MAJAGUAL-SINCELEJO</t>
  </si>
  <si>
    <t>TIQUETES</t>
  </si>
  <si>
    <t>SUBTOTAL</t>
  </si>
  <si>
    <t>IVA</t>
  </si>
  <si>
    <t>CIERRE CB - VISITAS FALLIDAS O CIERRES NO EXITOSOS TARIFAS 2024</t>
  </si>
  <si>
    <t>Incremento 2025</t>
  </si>
  <si>
    <t xml:space="preserve">Tipificación </t>
  </si>
  <si>
    <t>Descripción</t>
  </si>
  <si>
    <t xml:space="preserve">Tarifa </t>
  </si>
  <si>
    <t>Tipo I</t>
  </si>
  <si>
    <t>Metropolitano</t>
  </si>
  <si>
    <t>Tipo II</t>
  </si>
  <si>
    <t>Hasta 3 horas</t>
  </si>
  <si>
    <t>Tipo III</t>
  </si>
  <si>
    <t>De 3 a 5 horas</t>
  </si>
  <si>
    <t>Tipo IV</t>
  </si>
  <si>
    <t>Más de 5 horas</t>
  </si>
  <si>
    <t>Trayecto Especial</t>
  </si>
  <si>
    <t>No incluye valor del Tiquete</t>
  </si>
  <si>
    <t>Valor de actividad Tipo IV + Valor tiquete aéreo (o fluvial) + 12% administración)</t>
  </si>
  <si>
    <t>Gestión telefonica</t>
  </si>
  <si>
    <t>COORDINADOR</t>
  </si>
  <si>
    <t>CENTRO DE COSTOS LÍNEACOM</t>
  </si>
  <si>
    <t>%</t>
  </si>
  <si>
    <t>Suma de VALOR TOTAL2</t>
  </si>
  <si>
    <t>NOMBRE CC</t>
  </si>
  <si>
    <t>DIEGO FERNANDO HENAO CARDONA</t>
  </si>
  <si>
    <t>0004-0002</t>
  </si>
  <si>
    <t>0004-0003</t>
  </si>
  <si>
    <t>JOSE MAURICIO HERNANDEZ ROJAS</t>
  </si>
  <si>
    <t>0004-0001</t>
  </si>
  <si>
    <t>JUAN SEBASTIÁN RÍOS CASTRILLÓN</t>
  </si>
  <si>
    <t>0004-0005</t>
  </si>
  <si>
    <t>KEVIN ALEXIS CORZO BUSTOS</t>
  </si>
  <si>
    <t>0004-0007</t>
  </si>
  <si>
    <t>MIGUEL JULIÁN HERNÁNDEZ GUARÍN</t>
  </si>
  <si>
    <t>0004-0008</t>
  </si>
  <si>
    <t>WILLIAM ASDRUBAL ROZO ROZO</t>
  </si>
  <si>
    <t>0004-0004</t>
  </si>
  <si>
    <t>Total general</t>
  </si>
  <si>
    <t>CIUDAD SEDE</t>
  </si>
  <si>
    <t>CÓDIGO DANE</t>
  </si>
  <si>
    <t>TA/CODIGO ACTIVIDAD</t>
  </si>
  <si>
    <t>CODIGO CB</t>
  </si>
  <si>
    <t>ACTIVIDAD</t>
  </si>
  <si>
    <t>DEPARTAMENTO</t>
  </si>
  <si>
    <t>CIUDAD</t>
  </si>
  <si>
    <t xml:space="preserve">NOMBRE  DEL CB </t>
  </si>
  <si>
    <t>RED</t>
  </si>
  <si>
    <t>FO</t>
  </si>
  <si>
    <t>FECHA ASIGNACION A LINEA COMUNICACIONES</t>
  </si>
  <si>
    <t>FECHA DEL CIERRE DEL TICKET (DD/MM/AAAA)</t>
  </si>
  <si>
    <t>ACOMETIDA</t>
  </si>
  <si>
    <t>SOLICITUD</t>
  </si>
  <si>
    <t>DESCRIPCIÓN</t>
  </si>
  <si>
    <t>FORMATO</t>
  </si>
  <si>
    <t>CADENA</t>
  </si>
  <si>
    <t>ESTADO</t>
  </si>
  <si>
    <t>CAUSAL ESTADO</t>
  </si>
  <si>
    <t>OBSERVACION</t>
  </si>
  <si>
    <t>FORMA DE ATENCIÓN</t>
  </si>
  <si>
    <t xml:space="preserve">TERMINAL </t>
  </si>
  <si>
    <t>TIPIFICACION</t>
  </si>
  <si>
    <t>TIPO DE TRAYECTO</t>
  </si>
  <si>
    <t xml:space="preserve">NOMBRE DEL TECNICO </t>
  </si>
  <si>
    <t>DIAS DE VISITA</t>
  </si>
  <si>
    <t>VALOR ACTIVIDAD</t>
  </si>
  <si>
    <t>VALOR TOTAL</t>
  </si>
  <si>
    <t>BOGOTA</t>
  </si>
  <si>
    <t>TA-25-809615</t>
  </si>
  <si>
    <t>ORDEN DE CAMBIO</t>
  </si>
  <si>
    <t>CUNDINAMARCA</t>
  </si>
  <si>
    <t>SESQUILE</t>
  </si>
  <si>
    <t>BARRIO CENTRO SESQUILE SESQUIL</t>
  </si>
  <si>
    <t>REDEBAN</t>
  </si>
  <si>
    <t>FO-25-1148318</t>
  </si>
  <si>
    <t>CIERRE</t>
  </si>
  <si>
    <t>RECUPERACION DE EQUIPOS</t>
  </si>
  <si>
    <t>CB UNO A UNO</t>
  </si>
  <si>
    <t>ILOCALIZADO</t>
  </si>
  <si>
    <t>CB CERRADO - DESOCUPADO</t>
  </si>
  <si>
    <t>01-07-2025 SE REALIZA DESPLAZAMIENTO A DIRECCIÓN DE COMERCIO, SE ENCUENTRA COMERCIO CERRADO, NO SE TIENE RESPUESTA A NÚMERO DE CONTACTO, SE REALIZA VALIDACIÓN CON COMERCIO UBICADO EN EL MISMO INMUEBLE Y NO CONOCEN A LA CLIENTE.</t>
  </si>
  <si>
    <t>VISITA_TÉCNICA</t>
  </si>
  <si>
    <t>TIPO II</t>
  </si>
  <si>
    <t>TERRESTRE</t>
  </si>
  <si>
    <t>MURCIA HERNANDEZ HARVEY IGNACIO</t>
  </si>
  <si>
    <t>PASTO</t>
  </si>
  <si>
    <t>TA-25-809579</t>
  </si>
  <si>
    <t>NARIÑO</t>
  </si>
  <si>
    <t>BARRIO CENTRO PASTO 36</t>
  </si>
  <si>
    <t>FO-25-1148186</t>
  </si>
  <si>
    <t>01-07-2025 SE LLEGÓ AL COMERCIO PERO ESTÁ CERRADO EL LOCAL, SE INTENTÓ COMUNICACIÓN TELEFÓNICA, PERO EL TELÉFONO ESTÁ ERRADO, HAY OTRO NÚMERO DE CELULAR PERO ESTÁ FUERA DE SERVICIO.</t>
  </si>
  <si>
    <t>TIPO I</t>
  </si>
  <si>
    <t>GUERRERO RAMIREZ OSCAR DARIO</t>
  </si>
  <si>
    <t>CALI</t>
  </si>
  <si>
    <t>TA-25-809571</t>
  </si>
  <si>
    <t>CAUCA</t>
  </si>
  <si>
    <t>SANTANDER DE QUILICHAO</t>
  </si>
  <si>
    <t>BARRIO GENERAL SANTANDER SANTA</t>
  </si>
  <si>
    <t>FO-25-1148154</t>
  </si>
  <si>
    <t>SIN CONTACTO CON EL CB</t>
  </si>
  <si>
    <t xml:space="preserve">01-07-2025 SE LLEGO AL SITIO Y NO SE ENCONTRÓ EL CB, SE INDAGO EN EL SECTOR E IMFORMARON QUE LA CLIENTE SE FUE PARA ESPAÑA Y QUE ENTREGARON EL LOCAL, EL NÚMERO DE CONTACTO SE VA A BUZON, NO CONTESTA LOS MENSAJES SE WHATSAPP </t>
  </si>
  <si>
    <t>PAREDES CASTILLO DIEGO</t>
  </si>
  <si>
    <t>MONTERIA</t>
  </si>
  <si>
    <t>TA-25-809568</t>
  </si>
  <si>
    <t>CORDOBA</t>
  </si>
  <si>
    <t>BARRIO PANAMA MONTERIA 1</t>
  </si>
  <si>
    <t>FO-25-1148140</t>
  </si>
  <si>
    <t>NO_EXITOSO</t>
  </si>
  <si>
    <t>CB NO ENTREGA EQUIPO</t>
  </si>
  <si>
    <t>01-07-2025 SE LLEGÓ A LA DIRECCIÓN Y SE ENCUENTRA EL LOCAL CERRADO, SE HACE VALIDACIÓN CON LOS VECINOS Y NO DAN RAZÓN DEL CLIENTE, SE INTENTÓ COMUNICACIÓN VÍA TELEFÓNICA Y EL CLIENTE INFORMA QUE NO SE ENCUENTRA EN EL LOCAL PORQUE HACE MUCHO TIEMPO LO ENTREGÓ QUE TIENE LOS EQUIPOS EN LA CASA DE UNA PRIMA PERO EN EL MOMENTO SE ENCUENTRA CERRADA Y NO HAY QUIÉN ENTREGUE LOS EQUIPOS, SE LE INDICA QUE DEBE LLAMAR A LA LÍNEA DE ATENCIÓN CUÁNDO TENGA LA DISPONIBILIDAD Y LOS EQUIPOS PARA PODER REALIZAR EL CIERRE DE CB.</t>
  </si>
  <si>
    <t>CALDERA SALCEDO CARLOS JULIO</t>
  </si>
  <si>
    <t>SANTA MARTA</t>
  </si>
  <si>
    <t>TA-25-809559</t>
  </si>
  <si>
    <t>MAGDALENA</t>
  </si>
  <si>
    <t>SANTA ANA</t>
  </si>
  <si>
    <t>SANTA ANA   MAGDALENA</t>
  </si>
  <si>
    <t>FO-25-1148107</t>
  </si>
  <si>
    <t xml:space="preserve">01-07-2025 SE REALIZA VISITA POR RECUPERACIÓN DE  EQUIPO ATIENDE EL SR LUIS GABRIEL YEPES INDICANDO QUE NO ENTREGARA LOS EQUIPOS YA QUE EL BANCO LE ADEUDA LAS COMISIONES DE LOS MESES  MARZO ,ABRIL Y MAYO , SE COMUNICA CON EL BANCO Y LE INDICAN QUE LAS COMISIONES SE LAS CONSIGNARON A UNA CUENTA DEL BANCO AGRARIO Y EL CLIENTE INDICA QUE EL NO TIENE CUENTA CON ESE BANCO POR TAL MOTIVO SE NIEGA A ENTREGAR EQUIPOS HASTA QUE EL BANCO LE PAGE LOS MESES DE COMISIONES </t>
  </si>
  <si>
    <t>TIPO IV</t>
  </si>
  <si>
    <t>MAESTRE MENGUAL EDGAR ENRIQUE</t>
  </si>
  <si>
    <t>VILLAVICENCIO</t>
  </si>
  <si>
    <t>TA-25-809563</t>
  </si>
  <si>
    <t>GUAVIARE</t>
  </si>
  <si>
    <t>CALAMAR</t>
  </si>
  <si>
    <t>BARRIO LA PAZ CALAMAR</t>
  </si>
  <si>
    <t>FO-25-1148127</t>
  </si>
  <si>
    <t xml:space="preserve">01-07-2025 SE REALIZA CONTACTO TELEFONICO CON EL CLIENTE EL CUAL INDICA QUE NO SE ENCUENTRA EN EL PAÍS Y QUE VA COMUNICARSE CON EL BANCO PARA CONOCIMIENTO DEL CIERRE </t>
  </si>
  <si>
    <t>SOPORTE_TELEFÓNICO</t>
  </si>
  <si>
    <t>TIPO IV ESPECIAL</t>
  </si>
  <si>
    <t>AEREO</t>
  </si>
  <si>
    <t>PEDREROS CONTRERAS MICHAEL STEVENS</t>
  </si>
  <si>
    <t>PEREIRA</t>
  </si>
  <si>
    <t>TA-25-799609</t>
  </si>
  <si>
    <t>VALLE DEL CAUCA</t>
  </si>
  <si>
    <t>CARTAGO</t>
  </si>
  <si>
    <t>DISTRICOL DROG. SALUD Y VIDA</t>
  </si>
  <si>
    <t>FO-25-1130568</t>
  </si>
  <si>
    <t>AGREGADOR</t>
  </si>
  <si>
    <t>DISTRICOL</t>
  </si>
  <si>
    <t xml:space="preserve">02-07-2025 EN COMUNICACIÓN CON ASESOR DE DISTRICOL INFORMA QUE CLIENTE ENTREGO EQUIPOS DIRECTAMENTE EN OFICINAS DE DISTRICOL </t>
  </si>
  <si>
    <t>LOAIZA LOPEZ JHON FREDDY</t>
  </si>
  <si>
    <t>TA-25-809572</t>
  </si>
  <si>
    <t>LORICA</t>
  </si>
  <si>
    <t>CALLE CORREGIMIENTO LAS FLORES</t>
  </si>
  <si>
    <t>FO-25-1148159</t>
  </si>
  <si>
    <t>02-07-2025 NO SÉ REALIZA CIERRE, POR QUÉ CLIENTE INFORMA QUE ESTÁ EN PROCESO DE SOLICITUD DE TRASLADO PARA REACTIVAR EL SERVICIO, NO PERMITEN EL CIERRE</t>
  </si>
  <si>
    <t>6Z0HZ993</t>
  </si>
  <si>
    <t>COGOLLO ROSSO CAMILO ANDRES</t>
  </si>
  <si>
    <t>MEDELLIN</t>
  </si>
  <si>
    <t>TA-25-809614</t>
  </si>
  <si>
    <t>ANTIOQUIA</t>
  </si>
  <si>
    <t>PUERTO TRIUNFO</t>
  </si>
  <si>
    <t>BARRIO CORREGIMIENTO DORADAL PÚERTO TRIUNFO</t>
  </si>
  <si>
    <t>FO-25-1148316</t>
  </si>
  <si>
    <t>03-07-2025 SE LLEGA A LA DIRECCIÓN Y NO SE ENCONTRÓ CORRESPONSAL Y ADICIONAL ESTABA CERRADO, SE REALIZA GESTIÓN TELEFÓNICA Y PERSONA QUE ATIENDE INFORMA QUE LOS EQUIPOS NO ESTÁN EN DORADAL QUE AGENDEN OTRA VISITA PARA ACORDAR DIRECCIÓN DE RECOGIDA</t>
  </si>
  <si>
    <t>BARRIENTOS HERNANDEZ CRISTIAN HORACIO</t>
  </si>
  <si>
    <t>TA-25-809582</t>
  </si>
  <si>
    <t>YACOPI</t>
  </si>
  <si>
    <t>BARRIO CENTRO YACOPI  5</t>
  </si>
  <si>
    <t>FO-25-1148196</t>
  </si>
  <si>
    <t>04-07-2025 SE LLEGA A SITIO SE ENCUENTRA CERRADO EL PUNTO, SE LLAMA AL CLIENTE # DE CONTACTO MARIA PAULA BELTRAN COTRINA 3227475455, LO CUAL INDICA NO ENTREGAR EQUIPOS NI HACER PROCEDIMIENTO DE RETIRO  YA QUE LLEVA UN PROCESO VÍA TELEFÓNICA POR UN TEMA DE PAGO DE HONORARIOS CON LA PARTE COMERCIAL DEL COMERCIO.</t>
  </si>
  <si>
    <t>INFANTE SIERRA MANUEL FERNANDO</t>
  </si>
  <si>
    <t>TA-25-809608</t>
  </si>
  <si>
    <t>EL TAMBO</t>
  </si>
  <si>
    <t>BARRIO CENTRO EL TAMBO 1</t>
  </si>
  <si>
    <t>FO-25-1148287</t>
  </si>
  <si>
    <t>04-07-2025 SE REALIZA LLAMADA AL CLIENTE,  E INDICA QUE ESTA POR FUERA DE LA CIUDAD, PARA PODER RECOJER LOS EQUIPOS DEL CIERRE, POR VENCIMIENTO DE LA ACTIVIDAD , SE CIERRA Y SE LE INDICA AL CLIENTE UNA VEZ RETORNE LLAMAR A LA LINEA PARA PODER VOLVER A PROGRAMAR EL CIERRE,</t>
  </si>
  <si>
    <t>TIPO III</t>
  </si>
  <si>
    <t>HENAO CARDONA DIEGO FERNANDO</t>
  </si>
  <si>
    <t>TA-25-809576</t>
  </si>
  <si>
    <t>CAJICA</t>
  </si>
  <si>
    <t>CHUNTAME CAJICA 3</t>
  </si>
  <si>
    <t>FO-25-1182209</t>
  </si>
  <si>
    <t>04-07-2025 SE REALIZA VISITA AL COMERCIO PARA EJECUTAR CIERRE DE CB BANCOLOMBIA PERO AL LLEGAR AL PUNTO SE ENCUENTRA CERRADO, SE ESTABLECE COMUNICACIÓN CON LA CLIENTE QUIEN INFORMA QUE NO PUEDE ENTREGAR LOS EQUIPOS DEL CIERRE NO TIENE EL TIEMPO, QUE ELLA MUEVAMENTE SE CONTACTA CON BANCOLOMBIA PARA CUADRA VISTA NUEVAMENTE.</t>
  </si>
  <si>
    <t>CORTES VELANDIA MIGUEL ANGEL</t>
  </si>
  <si>
    <t>TUNJA</t>
  </si>
  <si>
    <t>TA-25-833858</t>
  </si>
  <si>
    <t>BOYACA</t>
  </si>
  <si>
    <t>DUITAMA</t>
  </si>
  <si>
    <t>BOYACA DUITAMA 2</t>
  </si>
  <si>
    <t>FO-25-1182463</t>
  </si>
  <si>
    <t>04-07-2025 EN COMUNICACIÓN CON LA LÍNEA 3212895583 EL SEÑOR HECTOR ALFONSO MONROY CUCUNUBA INFORMA QUE NO ENTREGARÁ EQUIPOS YA QUE NO FUE NOTIFICADO, INFORMA QUE SOLICITO UN TRASLADO DEL SERVICIO Y NO UNA SOLICITUD DE CIERRE, INFORMA QUE SE COMUNICARÁ CON ASESOR COMERCIAL Y CON EL BANCO PARA MAYOR EXPLICACIÓN Y PARA ACTIVACIÓN DEL SERVICIO. SE LE INFORMA TAMBIÉN QUE SE PUEDE COMUNICAR A LA LÍNEA 018000953344 PARA MAYOR INFORMACIÓN. SIN VOLUNTAD DE ENTREGA SE CIERRA ORDEN.</t>
  </si>
  <si>
    <t>HERRERA GARZON JEYSON STEVENT</t>
  </si>
  <si>
    <t>IBAGUE</t>
  </si>
  <si>
    <t>TA-25-833789</t>
  </si>
  <si>
    <t>TOLIMA</t>
  </si>
  <si>
    <t>DISTRICOL MIL SOLUTIONS</t>
  </si>
  <si>
    <t>FO-25-1182234</t>
  </si>
  <si>
    <t>04-07-2025 SE VISITA DIRECCIÓN INDICADA DE CB EVIDENCIA QUE YA NO ESTÁ , SE REALIZA CONSULTA CON VECINOS DESCONOCEN UBICACIÓN INTENTA CONTACTAR TELEFÓNICAMENTE # 3124979196-3203596257SIN RESPUESTA</t>
  </si>
  <si>
    <t>GUTIERREZ  CAMILO ANDRES</t>
  </si>
  <si>
    <t>TA-25-833849</t>
  </si>
  <si>
    <t>POPAYAN</t>
  </si>
  <si>
    <t>BARRIO CAMPO BELLO POPAYAN</t>
  </si>
  <si>
    <t>FO-25-1182431</t>
  </si>
  <si>
    <t>05-07-2025 SE HABLA CON LA SEÑORA LUZ QUIEN INDICA QUE ESTA EN ESPERA DE UNA INDICACION PARA VALIDAR SI SE CONTINUA CON EL SERVICIO, SOLICITA DAR UNA ESPERA Y YA CUANDO SE DEFINA TODO ELLA SE COMUNICA SI ES NECESARIO.</t>
  </si>
  <si>
    <t>TA-25-833860</t>
  </si>
  <si>
    <t>META</t>
  </si>
  <si>
    <t>BARRIO VILLA DEL RIO VILLAVICENCIO 1</t>
  </si>
  <si>
    <t>FO-25-1182468</t>
  </si>
  <si>
    <t>05-07-2025 SE REALIZA VISITA A CB COMERCIO CERRADO NO ES POSIBLE COMUNICACIÓN 3124822757</t>
  </si>
  <si>
    <t>CASTRILLON URREA LONDIER LEANDRO</t>
  </si>
  <si>
    <t>TA-25-809574</t>
  </si>
  <si>
    <t>RISARALDA</t>
  </si>
  <si>
    <t>VEREDA TRIBUNA</t>
  </si>
  <si>
    <t>FO-25-1148163</t>
  </si>
  <si>
    <t>05-07-2025 SE VISITA COMERCIO CLIENTE INFORMA QUE DESEA CONTINUAR CON CB SE ENCUENTRA PENDIENTE REAPERTURA DE COMERCIO POR REMODELACIÓN PENDIENTE COMUNICACIÓN CON LA ENTIDAD</t>
  </si>
  <si>
    <t>AALFZ736</t>
  </si>
  <si>
    <t>BARRANQUILLA</t>
  </si>
  <si>
    <t>TA-25-809577</t>
  </si>
  <si>
    <t>ATLANTICO</t>
  </si>
  <si>
    <t>SOLEDAD</t>
  </si>
  <si>
    <t>BARRIO ALMENDROS SOLEDAD  5</t>
  </si>
  <si>
    <t>FO-25-1148174</t>
  </si>
  <si>
    <t>06-07-2025 SE REALIZA VISITA AL COMERCIO PARA REALIZAR EL CIERRE DEL CORRESPONSAL BANCOLOMBIA PERO NO ES POSIBLE TRATO COMUNICACION CON EL NÚMERO DADO PERO NO CONTESTAN</t>
  </si>
  <si>
    <t>A30KZ086</t>
  </si>
  <si>
    <t>PEÑALOZA GUTIERREZ RAFAEL GUSTAVO</t>
  </si>
  <si>
    <t>TA-25-809567</t>
  </si>
  <si>
    <t>BARRIO SANTA ELENA POPAYAN 1</t>
  </si>
  <si>
    <t>FO-25-1148135</t>
  </si>
  <si>
    <t>06-07-2025 SE LLEGA AL COMERCIO SE ENCUENTRA CERRADO</t>
  </si>
  <si>
    <t>BA0O0050</t>
  </si>
  <si>
    <t>GIMBUEL LASSO LUIS GERMAN</t>
  </si>
  <si>
    <t>TA-25-835647</t>
  </si>
  <si>
    <t>BARRIO PORTALES DEL NORTE IBAG</t>
  </si>
  <si>
    <t>FO-25-1186228</t>
  </si>
  <si>
    <t>07-07-2025 SE LLEGA A LA DIRECCIÓN Y NO EXISTE CB CON ESE CU. SE LLAMA A LA SEÑORA DIANA REYES, AL NÚMERO 3185539461, PARA HACER CONTACTO, LAS PRIMERAS LLAMADAS SUENA EL TELÉFONO Y A LA CUARTA APAGAN EL NÚMERO. ME INDICAN QUE VIVE EN EL SEGUNDO PISO, GOLPEÓ LA PUERTA PERO NADIE RESPONDE.</t>
  </si>
  <si>
    <t>A103Z587</t>
  </si>
  <si>
    <t>VARGAS HERRERA JHON JAIRO</t>
  </si>
  <si>
    <t>TA-25-833864</t>
  </si>
  <si>
    <t>EXXON BARRIO UNICENTRO BOGOTÁ</t>
  </si>
  <si>
    <t>FO-25-1182484</t>
  </si>
  <si>
    <t>07-07-2025 SE REALIZA VISITA AL COMERCIO PARA EJECUTAR CIERRE DE CB BANCOLOMBIA PERO AL LLEGAR AL PUNTO YA NO EXITE EL CB INFORMA LA SRA. LINA AZA</t>
  </si>
  <si>
    <t>NEIVA</t>
  </si>
  <si>
    <t>TA-25-833859</t>
  </si>
  <si>
    <t>CAQUETA</t>
  </si>
  <si>
    <t>FLORENCIA</t>
  </si>
  <si>
    <t>BARRIO LA ESTRELLA FLORENCIA</t>
  </si>
  <si>
    <t>FO-25-1182466</t>
  </si>
  <si>
    <t>SOLICITUD_CANCELADA</t>
  </si>
  <si>
    <t>CANCELADO POR LA ENTIDAD</t>
  </si>
  <si>
    <t>07-07-2025 SE LLEGA AL COMERCIO Y CLIENTE MANIFIESTA QUE NO HA SOLICITADO EL CIERRE, INDICA QUE ESTUVO TRABAJANDO HASTA EL DÍA JUEVES Y QUE NO ENTIENDE POR SE LO ESTÁN ENVIANDO A CERRAR, MANIFIESTA LLAMAR A LA LÍNEA BANCOLOMBIA Y SOLICITAR LA ACTIVACIÓN NUEVAMENTE.</t>
  </si>
  <si>
    <t>V10ZZ346</t>
  </si>
  <si>
    <t>BERMUDEZ SANCHEZ JOSE NEYBER</t>
  </si>
  <si>
    <t>TA-25-833828</t>
  </si>
  <si>
    <t>AUTOSERVICIO BOSQUES DEL VIRRE</t>
  </si>
  <si>
    <t>FO-25-1182377</t>
  </si>
  <si>
    <t>RETAIL</t>
  </si>
  <si>
    <t>CONTIGO</t>
  </si>
  <si>
    <t>07-07-2025 SE REALIZA VISITA A DIRECCIÓN DE COMERCIO, SE ENCUENTRA COMERCIO CERRADO Y CON OTRA RAZÓN SOCIAL, NO SÉ TIENE RESPUESTA TELEFÓNICA EN NÚMERO DE CONTACTO RELACIONADO EN LA TA.</t>
  </si>
  <si>
    <t>TA-25-835642</t>
  </si>
  <si>
    <t>GRANADA</t>
  </si>
  <si>
    <t>BARRIO SECTOR LA ASUNCION GRAN</t>
  </si>
  <si>
    <t>FO-25-1186215</t>
  </si>
  <si>
    <t>07-07-2025 SE LLEGA A LA DIRECCIÓN SUMINISTRADA POR LA APLICACIÓN SYTEX Y NO SE ENCONTRÓ EL COMERCIO, SE REALIZA GESTIÓN TELEFÓNICA Y USUARIA INFORMA QUE NO SE ENCUENTRA EN LA DIRECCIÓN Y NO HAY NADIE QUE ATIENDA YA QUE NO SE LES NOTIFICO DE LA VISITA</t>
  </si>
  <si>
    <t>TA-25-835646</t>
  </si>
  <si>
    <t>BARRIO SAN LUIS CALI 1</t>
  </si>
  <si>
    <t>FO-25-1191209</t>
  </si>
  <si>
    <t>EJECUTADO_EXITOSO</t>
  </si>
  <si>
    <t>CIERRE EXITOSO</t>
  </si>
  <si>
    <t>07-07-2025 SE RECOGEN EQUIPOS DATÁFONO,LECTOR, PINPAD Y HUD EN DIRECCIÓN DIFERENTE CLIENTE NO FIRMA</t>
  </si>
  <si>
    <t>9A002807</t>
  </si>
  <si>
    <t>CUERO RUIZ JHONNY</t>
  </si>
  <si>
    <t>TA-25-833775</t>
  </si>
  <si>
    <t>CANDELARIA</t>
  </si>
  <si>
    <t>DISTRICOL KEYVIVAN</t>
  </si>
  <si>
    <t>FO-25-1182181</t>
  </si>
  <si>
    <t>10-07-2025 SE REALIZA LLAMADA AL CLIENTE, PERO EL SEÑOR ANDRES QUE NOS CONTESTA, INDICA QUE NO TIENE CONOCIMIENTO DE LOS EQUIPOS, YA QUE EL LOCAL FUE CERRADO, ALLA NO EXISTE EL PUNTO Y NO TIENE CONTACTO DE LA PERSONA QUE FIGURA COMO TITULAR, PIDE QUE VALIDEMOS POR QUE EL NO TIENE CONTACTO CON LA PERSONA</t>
  </si>
  <si>
    <t>TA-25-847309</t>
  </si>
  <si>
    <t>PUERTO GAITAN</t>
  </si>
  <si>
    <t>BARRIO PUERTO GAITAN BATEAS</t>
  </si>
  <si>
    <t>FO-25-1207487</t>
  </si>
  <si>
    <t>10-07-2025 SE REALIZA VISITA A COMERCI CB NO EXISTE NO ES POSIBLE COMUNICACIÓN CON TITULAR 3124206522- 3107724187 SE INDAGA EN EL SECTOR NO DAN INFORMACIÓN ILOCALIZABLE</t>
  </si>
  <si>
    <t>TA-25-846848</t>
  </si>
  <si>
    <t>PTM CALI FERRE INDUSTRIAS LU</t>
  </si>
  <si>
    <t>FO-25-1205694</t>
  </si>
  <si>
    <t>COMCARD - PTM</t>
  </si>
  <si>
    <t>10-07-2025 SE LLEGA AL COMERCIO PERO ESTABA CERRADO SE LLAMA AL CLIENTE PERO NO CONTESTA , SE VALIDA EN LA ZONA Y MANIFIESTAN QUE EL LOCAL SE ENCUENTRA CERRADO HACE VARIO TIEMPO, SE PUEDE VALIDAR QUE LA CORRESPONDENCIA EN EL SITIO LLEVA VARIO TIEMPO EN EL BUZON DEL LOCAL , HASTA ROLLOS ENTREGADOS POR INTERAPIDISIMO SE ENCUENTRA ALLI ABANDONADOS</t>
  </si>
  <si>
    <t>TUZZZ355</t>
  </si>
  <si>
    <t>TA-25-846836</t>
  </si>
  <si>
    <t>CALDAS</t>
  </si>
  <si>
    <t>LA DORADA</t>
  </si>
  <si>
    <t>DISTRICOL FUNERALES CASA SAGRA</t>
  </si>
  <si>
    <t>FO-25-1205632</t>
  </si>
  <si>
    <t>10-07-2025 SE HABLA CON LA SEÑORA CLAUDIA RODRÍGUEZ, AL NÚMERO DE TELÉFONO 3108301952, ME INDICA QUE LO EQUIPOS LOS ENVÍO A MEDELLÍN.</t>
  </si>
  <si>
    <t>TA-25-846839</t>
  </si>
  <si>
    <t>HUILA</t>
  </si>
  <si>
    <t>DISTRICOL SANCHEZ LUBRICANTES</t>
  </si>
  <si>
    <t>FO-25-1205647</t>
  </si>
  <si>
    <t>10-07-2025 SE LLEGA A SITIO, CLIENTE INDICA QUE YA REALIZÓ ENVÍO DE EQUIPOS A DISTRICOL EN MEDELLIN</t>
  </si>
  <si>
    <t>AC0MZ790</t>
  </si>
  <si>
    <t>DIAZ VARGAS JONATHAN MIGUEL</t>
  </si>
  <si>
    <t>BUCARAMANGA</t>
  </si>
  <si>
    <t>TA-25-847303</t>
  </si>
  <si>
    <t>SANTANDER</t>
  </si>
  <si>
    <t>SOCORRO</t>
  </si>
  <si>
    <t>BARRIO NARANJITO SOCORRO</t>
  </si>
  <si>
    <t>FO-25-1207453</t>
  </si>
  <si>
    <t>10-07-2025 ENTIDAD  SOLICITA  CERRAR LA ORDEN</t>
  </si>
  <si>
    <t>GELVEZ MOGOLLON JOSE ELISEO</t>
  </si>
  <si>
    <t>TA-25-846843</t>
  </si>
  <si>
    <t>PUERTO BOYACA</t>
  </si>
  <si>
    <t>DISTRICOL PAPELERIA Y MISCELAN</t>
  </si>
  <si>
    <t>FO-25-1205668</t>
  </si>
  <si>
    <t>10-07-2025 SE LLEGA A SITO Y USUARIO CONFIRMA QUE LOS EQUIPOS SE ENVIARON DISTRICOL MEDELLÍN SE DESMONTA PUBLICIDAD INSTALADA</t>
  </si>
  <si>
    <t>BA01Z147</t>
  </si>
  <si>
    <t>DIAZ ZABALA FRANCIS DUBAN</t>
  </si>
  <si>
    <t>YOPAL</t>
  </si>
  <si>
    <t>TA-25-835645</t>
  </si>
  <si>
    <t>CASANARE</t>
  </si>
  <si>
    <t>BARRIO  CIUDADELA COMFACASANARE YOPAL</t>
  </si>
  <si>
    <t>FO-25-1186224</t>
  </si>
  <si>
    <t>MIXTO UNO A UNO NO COBRAR</t>
  </si>
  <si>
    <t>11-07-2025 EN COMUNICACIÓN CON EL SEÑOR ENRIQUE CAMACHO, SE VISITA SITIO INDICADO. SE LLEGA AL SITO EN COMUNICACIÓN CON EL SEÑOR ENRIQUE INDICA QUE NO PUEDE ENTREGAR LOS EQUIPOS, EL NO SE ENCUENTRA EN MUNICIPIO Y LA PERSONA QUE VA HACER EL FAVOR DE ENTREGAR NO TIENE LAS LLAVES PARA ACCEDER AL COMERCIO.  SE LE INFORMA UNA VEZ SE ENCUENTRE A DISPOSICIÓN DE ENTREGA SE COMUNIQUE A LA LINEA DEL BANCO Y SOLICITE LA ENTREGA.</t>
  </si>
  <si>
    <t>NONE</t>
  </si>
  <si>
    <t>BERNAL ELAICA EDGAR ALEXIS</t>
  </si>
  <si>
    <t>TA-25-846840</t>
  </si>
  <si>
    <t>DISTRICOL VA EMMANUEL DORADAL</t>
  </si>
  <si>
    <t>FO-25-1205653</t>
  </si>
  <si>
    <t>11-07-2025 USUARIO MANIFISTA QUÉ YA LOS EQUIPOS FUERON ENVIADOS A DISTRICOL MEDELLÍN</t>
  </si>
  <si>
    <t>NA</t>
  </si>
  <si>
    <t>TA-25-839180</t>
  </si>
  <si>
    <t>TABIO</t>
  </si>
  <si>
    <t>CONTIGO_SUPERMARKET</t>
  </si>
  <si>
    <t>FO-25-1195929</t>
  </si>
  <si>
    <t>RETIRO VOLUNTARIO</t>
  </si>
  <si>
    <t>11-07-2025 SE REALIZA VISITA AL COMERCIO NOS ATIENDE LA SEÑORA DANIELA CASTRO LA CUAL NOS INDICA QUE YA FUE REALIZÓ LA ENTREGA DE LOS EQUIPOS</t>
  </si>
  <si>
    <t>HERNANDEZ NARANJO OSCAR EDUARDO</t>
  </si>
  <si>
    <t>TA-25-839276</t>
  </si>
  <si>
    <t>BUENAVISTA</t>
  </si>
  <si>
    <t>BARRIO BOGOTA BUENAVISTA 1</t>
  </si>
  <si>
    <t>FO-25-1196112</t>
  </si>
  <si>
    <t>11-07-2025 SE VISITA CB EN DIRECCIÓN DE RETIRO CRA 22 CLL 12F PERO NO SE ENCUENTRA QUIEN ENTREGUE EQUIPOS, LOCAL CERRADO. SE INTENTA COMUNICACIÓN AL NÚMERO 3145206981 PERO NO RESPONDE.SE CIERRA ACTIVIDAD COMO FALLIDA YA QUE NO SE LOGRA COMUNICACIÓN NI SE ENCUENTRA CB EN SITIO.</t>
  </si>
  <si>
    <t>NO SE INTERVIENE</t>
  </si>
  <si>
    <t>COGOLLO VERTEL EDER LUIS</t>
  </si>
  <si>
    <t>TA-25-839281</t>
  </si>
  <si>
    <t>BARRIO MANZANARES DUITAMA 4</t>
  </si>
  <si>
    <t>FO-25-1202695</t>
  </si>
  <si>
    <t>11-07-2025 SE EJECUTA CIERRE CORRESPONSAL BANCARIO BANCOLOMBIA RETIRANDO LOS EQUIPOS EXISTENTES COMERCIO SIN PUBLICIDAD SE RETIRAN EL LA CALLE 15#9A-02 PUBLICIDAD EXISTENTE EN LA FACHADA CORRESPONDE AL CB 59684 EXISTENTE EN LA DIRECCIÓN DE ENTREGA.</t>
  </si>
  <si>
    <t>1000R516</t>
  </si>
  <si>
    <t>RODRIGUEZ MURCIA YERSON IVAN</t>
  </si>
  <si>
    <t>TA-25-839293</t>
  </si>
  <si>
    <t>PTM CALI EXITORNILLOS</t>
  </si>
  <si>
    <t>FO-25-1208329</t>
  </si>
  <si>
    <t>11-07-2025 SE REALIZA RETIRO DE EQUIPOS Y ACCESORIOS DE CB BANCOLOMBIA MIXTO, SON ENTREGADOS EN BODEGA DE LINEA COMUNICACIONES, LOS EQUIPOS SON RECOGIDOS EN DIRECCIÓN DIFERENTE A LA DEL COMERCIO EL CLIENTE NO CUENTA CON PUBLICIDAD.</t>
  </si>
  <si>
    <t>AB0HZ963 - UV001666</t>
  </si>
  <si>
    <t>MONTERO MUESES GIAN CARLO</t>
  </si>
  <si>
    <t>CUCUTA</t>
  </si>
  <si>
    <t>TA-25-846847</t>
  </si>
  <si>
    <t>NORTE DE SANTANDER</t>
  </si>
  <si>
    <t>LOS PATIOS</t>
  </si>
  <si>
    <t>PTM PUNTOSERVIS LOS PATIOS 1 L</t>
  </si>
  <si>
    <t>FO-25-1205688</t>
  </si>
  <si>
    <t>11-07-2025 SE VISITA DIRECCIÓN DEL CB SE ENCUENTRA CERRADO, SE LLAMA AL CLIENTE SE VA BUZÓN DE VOZ, SE DEJA MENSAJE NO SE OBTIENE RESPUESTA.</t>
  </si>
  <si>
    <t>TORRES MANTILLA JOSE DANIEL</t>
  </si>
  <si>
    <t>TA-25-853123</t>
  </si>
  <si>
    <t>BARRIO MALDONADO TUNJA 4</t>
  </si>
  <si>
    <t>FO-25-1217992</t>
  </si>
  <si>
    <t>11-07-2025 SE VISITA COMERCIO ,INDICAN QUE NO ENTREGAN LOS EQUIPOS HASTA QUE NO CONFIRMEN CON LA  ENTIDAD TEMAS RELACIONADOS QUE SE HAN PRESENTADO CON EL CORRESPONSAL</t>
  </si>
  <si>
    <t>3A0CZ750</t>
  </si>
  <si>
    <t>ALVARADO MORENO CRISTHIAN</t>
  </si>
  <si>
    <t>TA-25-853178</t>
  </si>
  <si>
    <t>BARRIO MOTILONES CUCUTA 18</t>
  </si>
  <si>
    <t>FO-25-1218078</t>
  </si>
  <si>
    <t>11-07-2025 SE REALIZA VISITA,SE ENCUENTRA QUE EL COMERCIO YA NO EXISTE EN DIRECCIÓN LOS ENCARGADOS DEL NUEVO PUNTO NO TIENEN CONOCIMIENTO DE PARA DONDE SE TRASLADARON NO SE LOGRÓ COMUNICACIÓN CON EL CLIENTE PARA LA RECOLECCIÓN DE EQUIPOS</t>
  </si>
  <si>
    <t>DURAN ACOSTA FRANK YONNY</t>
  </si>
  <si>
    <t>TA-25-853234</t>
  </si>
  <si>
    <t>PTM BUCARAMANGA MULTIPAGOS RCK</t>
  </si>
  <si>
    <t>FO-25-1218179</t>
  </si>
  <si>
    <t>11-07-2025 SE HACE PRESENCIA EN COMERCIO PERSONAL ENCARGADO INFORMA QUE NO TIENE CONOCIMIENTO DEL CIERRE SE COMUNICA CON EL DUEÑO EL SEÑOR EDWIN QUIEN INFORMA QUE DESCONOCE EL POR QUÉ EL CIERRE DEL CORRESPONSAL SE LE INFORMA QUE SE COLOQUE EN CONTACTO CON EL ASESOR DE PTM Y VALIDE LA CAUSAL DEL CIERRE Y LUEGO SOLICITE LA RECOLECCIÓN DE LOS EQUIPOS CLIENTE PERSONAL ACARGO NO FIRMA NOTIFICA QUE NO TIENE AUTORIZACIÓN</t>
  </si>
  <si>
    <t>NO SE MANIPULAN EQUIPOS</t>
  </si>
  <si>
    <t>ORTEBARRERAGA MARLON STWAR</t>
  </si>
  <si>
    <t>TA-25-853220</t>
  </si>
  <si>
    <t>BARRIO CENTRO MEDELLIN 80</t>
  </si>
  <si>
    <t>FO-25-1218151</t>
  </si>
  <si>
    <t>12-07-2025 SE LLEGA AL SITIO Y EL COMERCIO SE ENCUENTRA CERRADO SE INVITA COMUNICAR CON EL USUARIO Y NO TUVE RESPUESTA. SE ESPERA 30 MINUTOS Y NI HUBO RESPUESTA</t>
  </si>
  <si>
    <t>9CQZZ891</t>
  </si>
  <si>
    <t>ZAPATA LOPEZ EDWARD ASDRUBAL</t>
  </si>
  <si>
    <t>TA-25-853171</t>
  </si>
  <si>
    <t>BARRIO VIZCAYA VILLAVICENCIO 2</t>
  </si>
  <si>
    <t>FO-25-1218062</t>
  </si>
  <si>
    <t>12-07-2025 SE REALIZA VISITA AL PUNTO Y COMERCIO DE ENCUENTRA CERRADO, SE INTENTA CONTACTO TELEFONICO Y NO ES POSIBLE</t>
  </si>
  <si>
    <t>TA-25-853173</t>
  </si>
  <si>
    <t>BARRIO VIZCAYA VILLAVICENCIO 5</t>
  </si>
  <si>
    <t>FO-25-1218066</t>
  </si>
  <si>
    <t>12-07-2025 SE REALIZA VISITA AL PUNTO Y PERSONA DE COMERCIO INFORMA QUE NO SABE ND DEL DATAFONO</t>
  </si>
  <si>
    <t>TA-25-853134</t>
  </si>
  <si>
    <t>BARRIO CENTRO FLORENCIA 36</t>
  </si>
  <si>
    <t>FO-25-1218011</t>
  </si>
  <si>
    <t>12-07-2025 SE REALIZA VISITA AL CB Y CLIENTE MANIFIESTA QUE NO PERMITE EL CIERRE YA QUE LA SOLICITUD QUE REALIZÓ FUE UN TRASLADO Y NO EL CIERRE, POR TAL MOTIVO NO PERMITE EL CIERRE Y MANIFIESTA QUE ESTÁ EN COMUNICACIÓN CON LA ENTIDAD PARA EL DESBLOQUEO Y NO PARA EL CIERRE, CIERRE FALLIDO.</t>
  </si>
  <si>
    <t>F1JZZ376</t>
  </si>
  <si>
    <t>TA-25-853181</t>
  </si>
  <si>
    <t>BARRIO SAN LUIS CUCUTA 24</t>
  </si>
  <si>
    <t>FO-25-1218083</t>
  </si>
  <si>
    <t>12-07-2025 SE REALIZÓ VISITA AL COMERCIO Y ADMINISTRADOR INDICA QUE SE ENCUENTRA EN CONCILIACIÓN CON EL ANTERIOR DUEÑO PARA QUE LE SEDA EL CORRESPONSAL, NO DESEA ENTREGAR EQUIPOS, SE LE MANIFIESTA QUE SE DEBE COMUNICAR CON EL BANCO AL 018000 LLEGADO EL CASO DESEA ENTREGAR LOS EQUIPOS.</t>
  </si>
  <si>
    <t>MORA VEGA JEAMPIER</t>
  </si>
  <si>
    <t>TA-25-853156</t>
  </si>
  <si>
    <t>BARRIO VILLA REGINA NEIVA  1</t>
  </si>
  <si>
    <t>FO-25-1218050</t>
  </si>
  <si>
    <t>12-07-2025 SE REALIZA VISITA AL PUNTO, SE ENVIDENCIA COMERCIO SE ENCUENTRA CERRADO SE INTENTA COMUNICACIÓN CON CLIENTE PERO NO HAY RESPUESTA SE VA A CORREO DE VOZ .</t>
  </si>
  <si>
    <t>DEVIA REINOSO JUAN CARLOS</t>
  </si>
  <si>
    <t>TA-25-846846</t>
  </si>
  <si>
    <t>QUINDIO</t>
  </si>
  <si>
    <t>ARMENIA</t>
  </si>
  <si>
    <t>DISTRICOL MAWI AXM</t>
  </si>
  <si>
    <t>FO-25-1205684</t>
  </si>
  <si>
    <t>12-07-2025 SE LLAMA AL SEÑOR  WILLIAM FERNANDO SALEJ ISAZA AL TELÉFONO 3203592999 INDICA QUE DISTRICOL LE SOLICITÓ QUE ENVIARÁ LOS EQUIPOS A LA OFICINA DE ELLOS UBICADA EN MEDELLÍN.</t>
  </si>
  <si>
    <t>SANCHEZ SOLORZANO JUAN SEBASTIAN</t>
  </si>
  <si>
    <t>TA-25-853111</t>
  </si>
  <si>
    <t>BARRIO PORTAL DE OTONO TUNJA</t>
  </si>
  <si>
    <t>FO-25-1217980</t>
  </si>
  <si>
    <t>12-07-2025 SE VISITA COMERCIO , COMERCIO CERRADO , SE INTENTA COMUNICACIÓN CON EL USUARIO AL NUNERO CELULAR 3208465893 SE LLAMA EN VARIAS OCASIONES Y NO ES POSIBLE LA COMUNICACIÓN, SE DEJA MENSAJE VÍA WHATSAPP Y TAMPOCO HAY RESPUESTA , SE COERRA ORDEN POS ILOCALIZABLE</t>
  </si>
  <si>
    <t>9A008539</t>
  </si>
  <si>
    <t>TA-25-853103</t>
  </si>
  <si>
    <t>BARRIO SOLEDAD 2000 SOLEDAD</t>
  </si>
  <si>
    <t>FO-25-1217960</t>
  </si>
  <si>
    <t>13-07-2025 SE REALIZA VISITA AL COMERCIO PARA REALIZAR EL CIERRE DEL CORRESPONSAL BANCOLOMBIA PERO NO ES POSIBLE ME COMUNICO CON EL NÚMERO DADO Y ME MANIFIESTA QUE NO SE ENCUENTRA EN LA CIUDAD LE COMUNICO QUE CUANDO ESTÉ EN LA CIUDAD SE COMUNIQUE CON LA LÍNEA DE SOPORTE PARA REAGENDAR LA VISITA</t>
  </si>
  <si>
    <t>9A003154</t>
  </si>
  <si>
    <t>TA-25-846841</t>
  </si>
  <si>
    <t>DOSQUEBRADAS</t>
  </si>
  <si>
    <t>DISTRICOL TECNOCOMPUTER JG</t>
  </si>
  <si>
    <t>FO-25-1205661</t>
  </si>
  <si>
    <t>14-07-2025 SE LLEGA AL PUNTO, EL ESTABLECIMIENTO ESTÁ SIN SERVICIO Y NO CONTESTAN LAS LLAMADAS.</t>
  </si>
  <si>
    <t>FRANCO CAÑAVERAL YAMID RAUL</t>
  </si>
  <si>
    <t>TA-25-839291</t>
  </si>
  <si>
    <t>TIBU</t>
  </si>
  <si>
    <t>PTM TIBU SUPERMERCADO DO#A GLA</t>
  </si>
  <si>
    <t>FO-25-1196162</t>
  </si>
  <si>
    <t>14-07-2025 SE COMUNICA CON LA CLIENTE SORAIDA VIA WHATSAP AL # 3112320878, NOS INFORMA QUE NO PUDO VIAJAR EL DIA DE HOY, DEBIDO  A LA SITUACION DE ORDEN PUBLICO PARA LA ENTREGA DE EQUIPOS, SE LE INFORMA QUE TAN PRONTO PUEDA SE COMUNIQUE CON LA ENTIDAD.</t>
  </si>
  <si>
    <t>NARANJO AFANADOR RUBEN JESUS</t>
  </si>
  <si>
    <t>TA-25-853184</t>
  </si>
  <si>
    <t>BARRIO  AGUAS CALIENTES CUCUTA</t>
  </si>
  <si>
    <t>FO-25-1222121</t>
  </si>
  <si>
    <t>14-07-2025 SE REALIZÓ VISITA AL COMERCIO Y SE REALIZA CIERRE DE CB, SE RECOJE DATAFONO, LECTORA CABLEADO, PUBLICIDAD FUE DESTRUIDA POR SU MAL ESTADO</t>
  </si>
  <si>
    <t>FAEZZ425</t>
  </si>
  <si>
    <t>HERNANDEZ GUARIN MIGUEL JULIAN</t>
  </si>
  <si>
    <t>TA-25-809607</t>
  </si>
  <si>
    <t>PUTUMAYO</t>
  </si>
  <si>
    <t>LEGUIZAMO</t>
  </si>
  <si>
    <t>BARRIO MUELLE ALTERNO PUERTO L</t>
  </si>
  <si>
    <t>FO-25-1148281</t>
  </si>
  <si>
    <t>15-07-2025 SE LOGRA ENTABLAR COMUNICACION CON EL SEÑOR GERARDO, QUIEN INDICA QUE ESTAN EN VALIDACIONES CON LA ENTIDAD PARA REVISAR MOTIVO DEL CIERRE, YA QUE NO LE HAN INFORMADO NADA, TAN PRONTO TENGA LA RESPUESTA, SE COMUNICARA PARA PODER VALIDAR SI SE REALIZA RETIRO DE EQUIPO O COMO REALIZARA LA ENTREGA DE LOS MISMO</t>
  </si>
  <si>
    <t>TA-25-853148</t>
  </si>
  <si>
    <t>GACHETA</t>
  </si>
  <si>
    <t>CENTRO GACHETA I CUNDINAMARCA</t>
  </si>
  <si>
    <t>FO-25-1218038</t>
  </si>
  <si>
    <t>14-07-2025 SE REALIZA CONTACTO CON CLIENTE PARA CONFIRMAR VISITA CLIENTE INFORMA QUE DÍAS ANTERIORES YA FUE VISITADO Y LE REALIZARON EL CIERRE</t>
  </si>
  <si>
    <t>GALINDO ROJAS LUIS FELIPE</t>
  </si>
  <si>
    <t>TA-25-853161</t>
  </si>
  <si>
    <t>PITALITO</t>
  </si>
  <si>
    <t>BARRIO CENTRO PITALITO 19</t>
  </si>
  <si>
    <t>FO-25-1218059</t>
  </si>
  <si>
    <t>15-07-2025 SE CANCELA CIERRE POR SOLICITUD DE LA ENTIDAD</t>
  </si>
  <si>
    <t>ANDRADE HERNANDEZ JUAN CARLOS</t>
  </si>
  <si>
    <t>TA-25-847305</t>
  </si>
  <si>
    <t>BARRIO CENTRO FLORENCIA 35</t>
  </si>
  <si>
    <t>FO-25-1221813</t>
  </si>
  <si>
    <t>15-07-2025 SE REALIZA RETIRO DE DATAFONO, LECTORA, BASE, FUENTE, AVISO EXTERIOR Y PUBLICIDAD, EL AVISO EXTERIOR Y LA PUBLICIDAD SE DESTRUYE, CIERRE EXITOSO.</t>
  </si>
  <si>
    <t>SX7ZZ202</t>
  </si>
  <si>
    <t>TA-25-846833</t>
  </si>
  <si>
    <t>GUATAPE</t>
  </si>
  <si>
    <t>DISTRICOL AUTOSERVICIO LA TRIB</t>
  </si>
  <si>
    <t>FO-25-1205621</t>
  </si>
  <si>
    <t>15-07-2025 CIERRE FALLIDO SE LLEGA LA PUNTO PERO CLIENTE INFORMA QUE HACE 8 DÍAS ENVÍO LOS EQUIPOS A DISTRICOL</t>
  </si>
  <si>
    <t>GA0LZ478</t>
  </si>
  <si>
    <t>ALVAREZ ARENAS VICTOR HUGO</t>
  </si>
  <si>
    <t>TA-25-853211</t>
  </si>
  <si>
    <t>BARRIO PIO XII BOGOTA 4</t>
  </si>
  <si>
    <t>FO-25-1229260</t>
  </si>
  <si>
    <t>15-07-2025 SE REALIZA VISITA AL COMERCIO PARA EJECUTAR CIERRE DE CB BANCOLOMBIA PERO AL LLEGAR AL PUNTO SE ENCUENTRA CERRADO, SE INTENTA CONTACTO CON EL CLIENTE AL NÚMERO 3104724202 Y NO HAY RESPUESTA. 2 VISITA SE CIERRA ACTIVIDAD.</t>
  </si>
  <si>
    <t>TA-25-858530</t>
  </si>
  <si>
    <t>DISTRICOL CENTROPAG</t>
  </si>
  <si>
    <t>FO-25-1231199</t>
  </si>
  <si>
    <t>16-07-2025 SE VISITA COMERCIO Y SE ENCUENTRA CERRADO SE LLAMA AL CLIENTE Y NO CONTESTA, SE DEJA MENSAJE POR WHATSAPP Y NO SE OBTIENE RESPUESTA.</t>
  </si>
  <si>
    <t>TA-25-853197</t>
  </si>
  <si>
    <t>BARRIO VALLE GRANDE - CALI</t>
  </si>
  <si>
    <t>FO-25-1218109</t>
  </si>
  <si>
    <t>12-07-2025 SE LLEGA A SITIO Y EL CB YA NO EXISTE EN EL PUNTO, SE REALIZA COMUNICACION AL NÙMERO 3016621547, EL CUÀL MANIFIESTAN QUE LO ENTREGAN EN OTRA DIRECCIÒN DESPUES DE LAS 12 DE LA TARDE.SE VUELVE Y SE ESCRIBE A LAS 12 PARA QUE BRINDEN LA DIRECCIÒN YNUMERO DE CONTACTO DE LA PERSONA ENCARGADA, PERO NO BRINDAN DICHA INFORMACIÒN.SE SOLICITA REPROGRAMACIÒN DE LA VISITA PARA EL DÌA LUNES.</t>
  </si>
  <si>
    <t>TORRES GARCIA JENDRY JOSE</t>
  </si>
  <si>
    <t>TA-25-853213</t>
  </si>
  <si>
    <t>BARRIO SANTA ANA BOGOTA  1</t>
  </si>
  <si>
    <t>FO-25-1237472</t>
  </si>
  <si>
    <t>16-07-2025 SE RETIRA DATÁFONO LECTORA Y SE DESTRUYE PUBLICIDAD EN SITIO</t>
  </si>
  <si>
    <t>FAMZZ298</t>
  </si>
  <si>
    <t>TA-25-858456</t>
  </si>
  <si>
    <t>TUQUERRES</t>
  </si>
  <si>
    <t>BARRIO PAILERIA TUQUERRES 1</t>
  </si>
  <si>
    <t>FO-25-1231053</t>
  </si>
  <si>
    <t>16-07-2025 SE VISITA CLIENTE EN OTRA DIRECCIÓN PARA RECOGIDA DE EQUIPOS POR CIERRE DE CB. SE LLEGA A LAS 2:15, CLIENTE INFORMA QUE SE ENCUENTRA HACIENDO DILIGENCIAS PERSONALES Y QUE LA ESPERE HASTA LAS 3 PM. SE ESPERA EN EL SITIO HASTA LAS 4 PM PERO CLIENTE NO LLEGA. SE ESCALA E INDICAN CERRAR LA ACTIVIDAD, SE DEJA LA RAZÓN QUE DEBE SOLICITAR EN LA LÍNEA LA VISITA TÉCNICA PARA RECOGER EQUIPOS. CIERRE FALLIDO</t>
  </si>
  <si>
    <t>CASTILLO HERRERA ALEX RICARDO</t>
  </si>
  <si>
    <t>TA-25-858581</t>
  </si>
  <si>
    <t>PTM  BOGOTA  JLB SOUND</t>
  </si>
  <si>
    <t>FO-25-1235916</t>
  </si>
  <si>
    <t>16-07-2025 SE REALIZA LA RECEPCIÓN DE EQUIPOS, DATAFONO LECTORA BASE FUENTE</t>
  </si>
  <si>
    <t>BA00Y369</t>
  </si>
  <si>
    <t>SOTO MUNAR DYLAN DAVID</t>
  </si>
  <si>
    <t>TA-25-853223</t>
  </si>
  <si>
    <t>BARRIO TOBERIN BOGOTA 9</t>
  </si>
  <si>
    <t>FO-25-1236167</t>
  </si>
  <si>
    <t>17-07-2025 SE LLEGA LA DIRECCIÓN INDICADA, GUARDA INTENTA COMUNICARSE CON EL NÚMERO DEL APARTAMENTO 327  PERO NO ES POSIBLE LA COMUNICACIÓN SE INTENTA COMUNICACIÓN VÍA TELEFÓNICA AL NÚMERO 3003796709 Y TAMPOCO ES POSIBLE</t>
  </si>
  <si>
    <t>GARCIA PASTRANA KEVIN FERNANDO</t>
  </si>
  <si>
    <t>TA-25-853150</t>
  </si>
  <si>
    <t>CHOCO</t>
  </si>
  <si>
    <t>QUIBDO</t>
  </si>
  <si>
    <t>BARRIO QUIBDO QUIBDO 5</t>
  </si>
  <si>
    <t>FO-25-1218042</t>
  </si>
  <si>
    <t>17-07-2025 SE REALIZA VISITA AL PUNTO PARA EL CIERRE DEL CB,  USUARIO NO SE ENCUENTRA EN SITIO, INFORMA EL SEÑOR QUE ESTÁ EN EL NEGOCIO QUE SE ENCUENTRA EN LA CIUDAD DE MEDELLIN,  SE GESTIONA LLAMADA PERO NO RESPONDE OK</t>
  </si>
  <si>
    <t>MARTINEZ TOVAR OSCAR DAVID</t>
  </si>
  <si>
    <t>TA-25-866217</t>
  </si>
  <si>
    <t>BARRIO CONDOMINIO EL VERGEL IB</t>
  </si>
  <si>
    <t>FO-25-1242999</t>
  </si>
  <si>
    <t>17-07-2025 SE LLEGA AL SITIO PARA VALIDAR ACTIVIDAD DE CIERRE, PERO EL COMERCIO SE ENCUENTRA CERRADO; SE VÁLIDA CONTACTO TELEFÓNICO AL NÚMERO 3183812523 SIN NINGÚN RESULTADO.</t>
  </si>
  <si>
    <t>BARRAGAN TAFUR EDWIN ESTEBAN</t>
  </si>
  <si>
    <t>TA-25-866221</t>
  </si>
  <si>
    <t>BARRIO OASIS DE CAMFANDI CALI</t>
  </si>
  <si>
    <t>FO-25-1243017</t>
  </si>
  <si>
    <t>17-07-2025 SE LLEGA AL COMERCIO PERO EL COMERCIO ESTÁ CERRADO SE LLAMA AL CLIENTE Y EL CLIENTE NO CONTESTA</t>
  </si>
  <si>
    <t>NN006465</t>
  </si>
  <si>
    <t>TA-25-853146</t>
  </si>
  <si>
    <t>BARRIO CANTA CLARO MONTERIA</t>
  </si>
  <si>
    <t>FO-25-1218035</t>
  </si>
  <si>
    <t>17-07-2025 SE VISITA SITIO, NO SE ENCUENTRA CB EN DIRECCIÓN, SE LLAMA A LOS NÚMEROS REGISTRADOS PERO NO RESPONDEN. SE CIERRA ORDEN CON FALLIDA YA QUE NO SE ENCUENTRA NI SE LOGRA COMUNICACIÓN CON CB.</t>
  </si>
  <si>
    <t>TA-25-858458</t>
  </si>
  <si>
    <t>FUNZA</t>
  </si>
  <si>
    <t>BARRIO VILLA ADRIANA FUNZA</t>
  </si>
  <si>
    <t>FO-25-1231058</t>
  </si>
  <si>
    <t>18-07-2025 DURANTE LA VISITA TECNICA A COMERCIO AL LLEGAR SE EVIDENCIA QUE COMERCIO SE ENCUENTRA CERRADO SE LLAMA AL CELULAR 3204098814 SIN TENER RESPUESTA O CUELGA LA LLAMADA SE DEJA SOPORTÉ FOTOGRÁFICO</t>
  </si>
  <si>
    <t>KA00M315</t>
  </si>
  <si>
    <t>GALEANO SORIANO JUAN DAVID</t>
  </si>
  <si>
    <t>TA-25-858484</t>
  </si>
  <si>
    <t>SAPUYES</t>
  </si>
  <si>
    <t>BARRIO GGT EL ESPINO SAPUYES</t>
  </si>
  <si>
    <t>FO-25-1231143</t>
  </si>
  <si>
    <t>18-07-2025 SE LLAMA AL CLIENTE PARA REALIZAR EL CIERRE INDICA QUE LOS EQUIPOS LOS DEJO EN OTRA DIRECCIÓN QUE ES LA BOMBA DEL CORREGIMIENTO EL ESPINO QUE LOS RECOJA EN ESE SITIO SE LLEGA AL LUGAR PERO INDICAN QUE ALLÍ NO HAY EQUIPOS SE LLAMA ALA CLIENTE PERO YA NO SE OBTIENE RESPUESTA POR PARTE DE ELLA POR LO CUAL SE CIERRA LA TA</t>
  </si>
  <si>
    <t>FA0GZ501</t>
  </si>
  <si>
    <t>PAZ MARTINEZ RICHARD HUMBERTO</t>
  </si>
  <si>
    <t>TA-25-869951</t>
  </si>
  <si>
    <t>CERETE</t>
  </si>
  <si>
    <t>BARRIO SANTA CLARA CERETE</t>
  </si>
  <si>
    <t>FO-25-1249401</t>
  </si>
  <si>
    <t>18-07-2025 SE REALIZA VISITA AL PUNTO PARA RETIRO DE EQUIPOS POR CIERRE DE CORRESPONSAL, CLIENTE INDICA QUE TIENE INCONVENIENTES CON LA FACTURACIÓN ELÉCTRICA Y CUENTA CON RADICADO NÚMERO 13661274  PARA DAR SOLUCIÓN Y REACTIVAR EL SERVICIO, POR TAL MOTIVOS NO ENTREGA LOS EQUIPOS A RETIRAR.</t>
  </si>
  <si>
    <t>GONZALEZ FERRER JESUS ALEXANDER</t>
  </si>
  <si>
    <t>TA-25-869797</t>
  </si>
  <si>
    <t>BARRIO LAS PARCELAS MOCARI MON</t>
  </si>
  <si>
    <t>FO-25-1248805</t>
  </si>
  <si>
    <t>18-07-2025 SE REALIZA VISITA AL PUNTO PARA RETIRAR EQUIPOS POR CIERRE DE CORRESPONSAL, SE LLEGA AL COMERCIO ENCONTRANDO EL LOCAL CERRADO, SE INTENTA COMUNICACIÓN CON EL CLIENTE NUMERO SALE APAGADO, COMERCIOS VECINOS INFMAN QUE LA FERRETERÍA DONDE SE INSTALO EL CORRESPONSAL CERRO SUS PUERTAS AL PÚBLICO HACE MESES, NO SE RETIRAN EQUIPOS.</t>
  </si>
  <si>
    <t>TA-25-869954</t>
  </si>
  <si>
    <t>PTM IBAGUE DROGUERIA EDISALUD</t>
  </si>
  <si>
    <t>FO-25-1249413</t>
  </si>
  <si>
    <t>18-07-2025 SE LLEGA AL SITIO PARA REALIZAR ACTIVIDAD DE CIERRE, PERO NO ES POSIBLE DEBIDO A QUE NO SE ENCUENTRA LA PERSONA ENCARGADA NO HAY AUTORIZACIÓN PARA ENTREGAR EQUIPOS.</t>
  </si>
  <si>
    <t>TA-25-869824</t>
  </si>
  <si>
    <t>PTM IBAGUE  TIENDA VALENCIA</t>
  </si>
  <si>
    <t>FO-25-1248935</t>
  </si>
  <si>
    <t>18-07-2025 SE LLEGA AL SITIO PARA REALIZAR ACTIVIDAD DE CIERRE, PERO NO ES POSIBLE DEBIDO A QUE NO SE ENCUENTRA LA PERSONA ENCARGADA NO HAY AUTORIZACIÓN PARA ENTREGAR EQUIPOS. CLIENTE NO FIRMA</t>
  </si>
  <si>
    <t>TA-25-858451</t>
  </si>
  <si>
    <t>PALERMO BOGOTA CUNDINAMARCA1</t>
  </si>
  <si>
    <t>FO-25-1241389</t>
  </si>
  <si>
    <t>18-07-2025 SE RECOGE DATÁFONO Y LECTORA CB HIZO DISPOSICIÓN FINAL DE LA PUBLICIDAD, PUBLICIDAD ACTUAL ES DEL CB  BARRIO PALERMO SUR BOGOTA 2 80117</t>
  </si>
  <si>
    <t>9L08Z775</t>
  </si>
  <si>
    <t>MICHELI LOPEZ MIGUEL ANGEL</t>
  </si>
  <si>
    <t>TA-25-858452</t>
  </si>
  <si>
    <t>FO-25-1231036</t>
  </si>
  <si>
    <t>18-07-2025 SE REALIZA VISITA DE CAMPO DONDE CB NO EXISTE EN DIRECCIÓN INDICADA, SE INTENTA CONTACTO A LA LINEA 3102491356 NO HAY RESPUESTA, SE INFORMA SUPERVISOR Y SE DA CIERRE A SOLICITUD.</t>
  </si>
  <si>
    <t>LOZADA ROJAS CHRISTIAN ANDRES</t>
  </si>
  <si>
    <t>TA-25-866162</t>
  </si>
  <si>
    <t>BARRIO LA GRANJA MONTERIA</t>
  </si>
  <si>
    <t>FO-25-1250195</t>
  </si>
  <si>
    <t>18-07-2025 SE REALIZA VISITA TÉCNICA PARA CIERRE DE CB, SE RETIRA DATAFONO PLACA 1141845, LECTOR ÓPTICO PLACA 540301, PINPAD PLACA 856523 Y HUB NO SERIALIZADO, EN SITIO YA NO SE ENCONTRÓ NADA DE PUBLICIDAD POR LO TANTO NO SE RETIRA. EL CIERRE SE EFECTÚA SIN NOVEDAD.</t>
  </si>
  <si>
    <t>A00VZ770</t>
  </si>
  <si>
    <t>ECHEVERRI ECHEVERRI EVELIN DANIELA</t>
  </si>
  <si>
    <t>TA-25-866194</t>
  </si>
  <si>
    <t>BARRIO PORVENIR VILLAVICENCIO</t>
  </si>
  <si>
    <t>FO-25-1242982</t>
  </si>
  <si>
    <t>19-07-2025 SE VISITA DIRECCIÓN DE CB PERO AL LLEGAR AL SITIO COMERCIO SE ENCUENTRA CERRADO. NO ES POSIBLE RECUPERAR EQUIPOS</t>
  </si>
  <si>
    <t>LN009186</t>
  </si>
  <si>
    <t>GARZON RUIZ LUIS MIGUEL</t>
  </si>
  <si>
    <t>TA-25-858489</t>
  </si>
  <si>
    <t>BARRIO BELLAVISTA POPAYAN 1</t>
  </si>
  <si>
    <t>FO-25-1231153</t>
  </si>
  <si>
    <t>19-07-2025 SE LLAMA AL CB NO RESPONDE SE DIRIGE AL SITIO SE ENCUENTRA COMERCIO CERRADO</t>
  </si>
  <si>
    <t>LA2ZZ430</t>
  </si>
  <si>
    <t>TA-25-869812</t>
  </si>
  <si>
    <t>BARRIO VILLA DEL MAR BOGOTA 1</t>
  </si>
  <si>
    <t>FO-25-1248896</t>
  </si>
  <si>
    <t>19-07-2025 SE LLEGA PREDIO COMERCIO INDICA NO REALIZAR CIERRE YA QUE EL ASESOR LE INDICO QUE VAN A VOLVER A TOMARLO</t>
  </si>
  <si>
    <t>10008835</t>
  </si>
  <si>
    <t>TA-25-869814</t>
  </si>
  <si>
    <t>BARRIO MARANDU BOGOTA 2</t>
  </si>
  <si>
    <t>FO-25-1248902</t>
  </si>
  <si>
    <t>19-07-2025 SE LLEGA A COMERCIO SE ENCUENTRA CERRADO ME COMUNICO CON LA SEÑORITA ALEXANDRA  RAMÍREZ AL NÚMERO 3007076941 ME INDICA QUE NO SE ENCUENTRA EN LA CUIUDAD</t>
  </si>
  <si>
    <t>A18ZZ378</t>
  </si>
  <si>
    <t>TA-25-866170</t>
  </si>
  <si>
    <t>BARRIO LOS COLORES NEIVA</t>
  </si>
  <si>
    <t>FO-25-1254448</t>
  </si>
  <si>
    <t>19-07-2025 CLIENTE ENTREGA DATAFONO CON SOPORTE, LECTOR DE BARRAS, CABLE MAGIC BOX, FUENTE DE PODER DATÁFONO,20 ROLLOS PAPEL RBM, PUBLICIDAD SE DESTRUYE EN SITIO</t>
  </si>
  <si>
    <t>IIOZZ198</t>
  </si>
  <si>
    <t>TA-25-872207</t>
  </si>
  <si>
    <t>BARRIO JARDIN IBAGUE 3</t>
  </si>
  <si>
    <t>FO-25-1254065</t>
  </si>
  <si>
    <t>19-07-2025 SE VISITA CB LA PERSONA QUE ATIENDE LA SEÑORITA EDITH  MORALES INFORMA QUE POR EL MOMENTO NO HACE ENTREGA DE LOS ACTIVOS HASTA RECIBIR RESPUESTA POR PARTE DE ASESOR DE LA ENTIDAD</t>
  </si>
  <si>
    <t>A103Z586</t>
  </si>
  <si>
    <t>TA-25-861440</t>
  </si>
  <si>
    <t>BARRIO MARIA PAZ KENNEDY BOGOTA</t>
  </si>
  <si>
    <t>FO-25-1242216</t>
  </si>
  <si>
    <t>CB UNOA UNO</t>
  </si>
  <si>
    <t>19-07-2025 SE REALIZA VISITA DE CAMPO DONDE SE RETIRAN EQUIPOS SIN NOVEDAD.</t>
  </si>
  <si>
    <t>9C0DZ680</t>
  </si>
  <si>
    <t>TA-25-869795</t>
  </si>
  <si>
    <t>CHIQUINQUIRA</t>
  </si>
  <si>
    <t>CENTRO CHIQUINQUIRA BOYACA</t>
  </si>
  <si>
    <t>FO-25-1248792</t>
  </si>
  <si>
    <t>21-07-2025 SE LOGRA COMUNICACIÓN CON LA SEÑORA CLAUDIA PATRICIA RODRIGUEZ PINTO AL NÚMERO TELEFÓNICO 3104789724 QUIEN NOS MANIFIESTA QUE NO DESEA REALIZAR LA ENTREGA DE LOS EQUIPOS YA QUE ELLA NO A SOLICITADO SU RETIRO, CLIENTE INDICA QUE SE COMUNICARA CON LA ENTIDAD PARA LLEGAR A UN ACUERDO Y NO REALIZAR EL RETIRO DEL CB, SE CIERRA ORDEN YA QUE EL CLIENTE NO ENTREGA Y NO SE VISITA COMERCIO.</t>
  </si>
  <si>
    <t>SOLER HOYOS CRISTIAN LEONARDO</t>
  </si>
  <si>
    <t>TA-25-858492</t>
  </si>
  <si>
    <t>DISTRICOL BALCONES DE SAN PABL</t>
  </si>
  <si>
    <t>FO-25-1231166</t>
  </si>
  <si>
    <t>19-07-2025 VISITA FALLIDA COMERCIO CERRADO</t>
  </si>
  <si>
    <t>EGZZZ359</t>
  </si>
  <si>
    <t>TA-25-869805</t>
  </si>
  <si>
    <t>BARRIO LA AURORA BUCARAMANGA 6</t>
  </si>
  <si>
    <t>FO-25-1256319</t>
  </si>
  <si>
    <t>21-07-2025 SE REALIZA VISITA AL COMERCIO SE HACE RETIRO DE DATÁFONO, LECTOR DE BARRAS Y BASE PUBLICIDAD DESTRUIDA EN EL PUNTO</t>
  </si>
  <si>
    <t>1A00Q930</t>
  </si>
  <si>
    <t>GONZALEZ ESTUPIÑAN YEISON WALTER ANTONIO</t>
  </si>
  <si>
    <t>TA-25-853199</t>
  </si>
  <si>
    <t>ANZA</t>
  </si>
  <si>
    <t>BARRIO CALLE LA PUNTA SECTRO E</t>
  </si>
  <si>
    <t>FO-25-1218116</t>
  </si>
  <si>
    <t>21-07-2025 ENTIDAD SOLICITA CANCELACION DE ESTE CIERRE. SE CANCELA SOLICITUD POR INDICACIÓN DE LA ENTIDAD. SE CIERRA TA.</t>
  </si>
  <si>
    <t>MORENO MEDINA JUAN PABLO</t>
  </si>
  <si>
    <t>TA-25-869953</t>
  </si>
  <si>
    <t>PTM  CAJICA MAS FARMA 23 DROGU</t>
  </si>
  <si>
    <t>FO-25-1260841</t>
  </si>
  <si>
    <t>21-07-2025 SE RETIRA DATAFONO Y LECTORA SE DESTRUYE PUBLICIDAD EN SITIO</t>
  </si>
  <si>
    <t>II00T983</t>
  </si>
  <si>
    <t>TA-25-866219</t>
  </si>
  <si>
    <t>BARRIO LAURIANO GOMEZ CALI</t>
  </si>
  <si>
    <t>FO-25-1255851</t>
  </si>
  <si>
    <t>21-07-2025 SE LLAMA AL CLIENTE Y NOS INDICA QUE NO PUEDE ENTREGAR LOS EQUIPOS EL DIA DE HOY CERRAR ACTIVIDAD</t>
  </si>
  <si>
    <t>VALLEDUPAR</t>
  </si>
  <si>
    <t>TA-25-869793</t>
  </si>
  <si>
    <t>BOLIVAR</t>
  </si>
  <si>
    <t>BARRANCO DE LOBA</t>
  </si>
  <si>
    <t>BARRIO CENTRO BARRANCO DE LOBA</t>
  </si>
  <si>
    <t>FO-25-1248779</t>
  </si>
  <si>
    <t>21-07-2025 SE COMUNICA CON LA USUARIA Y MANIFIESTA QUE NO SE ENCUENTRA EN EL MUNICIPIO Y QUE LLEGA LA OTRA SEMANA, POR ENDE NO SE PUEDEN RECOGER LOS EQUIPOS</t>
  </si>
  <si>
    <t>MONTES DIAZ JOHN FRED</t>
  </si>
  <si>
    <t>TA-25-869794</t>
  </si>
  <si>
    <t>FO-25-1248785</t>
  </si>
  <si>
    <t>TA-25-869809</t>
  </si>
  <si>
    <t>CHAPARRAL</t>
  </si>
  <si>
    <t>BARRIO CORREGIMIENTO EL LIMON</t>
  </si>
  <si>
    <t>FO-25-1248889</t>
  </si>
  <si>
    <t>21-07 SE PROCEDE A CERRAR CASO POR SOLICITUD DE LA ENTIDAD
 0
 0</t>
  </si>
  <si>
    <t>APARTADO</t>
  </si>
  <si>
    <t>TA-25-872203</t>
  </si>
  <si>
    <t>CAREPA</t>
  </si>
  <si>
    <t>BARRIO 20 DE JULIO CAREPA ANTIOQUIA CAREPA</t>
  </si>
  <si>
    <t>FO-25-1254048</t>
  </si>
  <si>
    <t>RIOS CASTRILLON JUAN SEBASTIAN</t>
  </si>
  <si>
    <t>TA-25-858474</t>
  </si>
  <si>
    <t>SOACHA</t>
  </si>
  <si>
    <t>BARRIO SOACHA SOACHA 6</t>
  </si>
  <si>
    <t>FO-25-1231112</t>
  </si>
  <si>
    <t>16-07-2025 SE REALIZA VISITA A CB PARA REALIZAR CIERRE NO SE ENCUENTRA LA SEÑORA ,SE INTENTA COMUNICAR CON CLIENTE NO CONTESTAN</t>
  </si>
  <si>
    <t>TA-25-858462</t>
  </si>
  <si>
    <t>LA PINTADA</t>
  </si>
  <si>
    <t>BARRIO PUEBLO NUEVO LA PINTADA</t>
  </si>
  <si>
    <t>FO-25-1231071</t>
  </si>
  <si>
    <t>21-07-2025 SE VISITÓ DIRECCIÓN RELACIONADA EN EL LOCAL NO CONOCEN A LA PERSONA DE CONTACTO SE INTENTÓ COMUNICAR POR TELÉFONO Y VÍA WHATSAPP SIN RESPUESTA SE PROCEDE A CERRAR CASO</t>
  </si>
  <si>
    <t>CASTAÑEDA PALACIO CARLOS FELIPE</t>
  </si>
  <si>
    <t>TA-25-866239</t>
  </si>
  <si>
    <t>RIONEGRO</t>
  </si>
  <si>
    <t>BARRIO SAN FRANCISCO RIONEGRO</t>
  </si>
  <si>
    <t>FO-25-1243098</t>
  </si>
  <si>
    <t>22-07-2025 SOLICITUD MAL ESCALADA CLIENTE SOLICITO RETIRO DE DATÁFONO DE CREDIBANCO SE ESCALA SOLICITUD A CREDIBANCO</t>
  </si>
  <si>
    <t>TA-25-869806</t>
  </si>
  <si>
    <t>BARRANCABERMEJA</t>
  </si>
  <si>
    <t>BARRIO TORCOROMA BARRANCABERME</t>
  </si>
  <si>
    <t>FO-25-1248875</t>
  </si>
  <si>
    <t>22-07-2025 SE INTENTA COMUNICAR CON CLIENTE AL NÚMERO  3152589497  Y NO HAY RESPUESTA, NOS DESPLAZAMOS A SITIO YA Q ESTAMOS EN EL MISMO MUNICIPIO Y COMERCIO ESTA CERRADO, SE PREGUNTA Y NO HAY INFORMACIÓN, SE INTENTA LLAMAR NUEVAMENTE Y NO HAY RESPUESTA ,SE PROCEDE A CERRAR ORDEN</t>
  </si>
  <si>
    <t>9OZZZ388</t>
  </si>
  <si>
    <t>TA-25-869791</t>
  </si>
  <si>
    <t>BARRIO CALDAS CALDAS 2</t>
  </si>
  <si>
    <t>FO-25-1248771</t>
  </si>
  <si>
    <t>22-07-2025 SE VISITA COMERCIO Y EN EL LOCAL HAY UNA SEÑORA DE EDAD QUIEN INDICA QUE LA ENCARGADA NO SE ENCUENTRA Y POR ELLO NO PUEDO RETIRAR NINGÚN EQUIPO</t>
  </si>
  <si>
    <t>UXZZZ406</t>
  </si>
  <si>
    <t>RUA ALVAREZ RICHARD ANDRES</t>
  </si>
  <si>
    <t>TA-25-869820</t>
  </si>
  <si>
    <t>FACATATIVA</t>
  </si>
  <si>
    <t>PTM FACATATIVA PAPELERIA Y MIS</t>
  </si>
  <si>
    <t>FO-25-1248920</t>
  </si>
  <si>
    <t>22-07-2025 SE REALIZA VISITA A LA DIRECCIÓN CLL 11 8A 26 FACATATIVÁ CB NO EXISTE EN LA DIRECCIÓN TEL DE CONTACTO NO RESPONDE 3152955432</t>
  </si>
  <si>
    <t>TA-25-866156</t>
  </si>
  <si>
    <t>BARRIO SARA LOPEZ LA DORADA</t>
  </si>
  <si>
    <t>FO-25-1242905</t>
  </si>
  <si>
    <t>22-07-2025 SE LLEGA A LA DIRECCIÓN Y CB O COMERCIO ESTÁ CERRADO. SE LLAMA A LA SEÑORA MARÍA OSORIO, AL NÚMERO DE TELÉFONO 3142638744 Y ME INDICA QUE ESTÁ EN BOGOTÁ.</t>
  </si>
  <si>
    <t>AA00Y711</t>
  </si>
  <si>
    <t>TA-25-869952</t>
  </si>
  <si>
    <t>LA CRUZ</t>
  </si>
  <si>
    <t>BARRIO  CORREGIMIENTO LA ESTANCIA LA CRUZ</t>
  </si>
  <si>
    <t>FO-25-1249404</t>
  </si>
  <si>
    <t>22-07-2025 SE REALIZA LLAMADA AL CLIENTE, SE LOGRA COMUNICACION CON EL SEÑOR ANDRES, SE INDAGA POR EL CIERRE INDICA QUE YA NO TIENE CONTACTO CON LA SEÑORA IVANA Y NO TIENE CONOCIMIENTO DE DONDE EL CLIENTE TIENE LOS EQUIPOS, PUES EN EL CORREGIMIENTO YA NO HAY NADA , LE INDICAMOS SI ES POSIBLE NOS CONSIGA UN CONTACTO PARA HABLAR DIRECTAMENTE CON LA SEÑORA IVANA NOS DICE QUE VA INTENTAR COMUNICARSE HABER SI LOGRA ALGUN CONTACTO, LE INDICAMOS QUE SI ES POSIBLE LE INDIQUE A LA SEÑORA IVANA SOLICITAR LA RECOJIDA DE LOS EQUIPOS DONDE LOS TENGA UNA VEZ VALIDE YA QUE DEBEMOS CERRAR LA SOLICITUD POR VENCIMIENTO</t>
  </si>
  <si>
    <t>TA-25-880089</t>
  </si>
  <si>
    <t>FO-25-1263454</t>
  </si>
  <si>
    <t>CORZO BUSTO KEVIN ALEXIS</t>
  </si>
  <si>
    <t>TA-25-884716</t>
  </si>
  <si>
    <t>PTM  CALI  ISA BOUTIQUE</t>
  </si>
  <si>
    <t>FO-25-1270768</t>
  </si>
  <si>
    <t>23-07-2025 SE LLEGA AL COMERCIO PERO EL COMERCIO SE ENCUENTRA CERRADO SE LLAMA EL CLIENTE Y NO CONTESTA ENTONCES NO SE PUEDE HACER RETIRO DE PUBLICIDAD NI EQUIPOS SE PREGUNTA LOS ALREDEDORES Y DICE QUE EL COMERCIO LLEVA TIEMPO ASÍ CERRADO</t>
  </si>
  <si>
    <t>TR00D556</t>
  </si>
  <si>
    <t>TA-25-872199</t>
  </si>
  <si>
    <t>MULTIPAGAS ALCALDIA PITALITO</t>
  </si>
  <si>
    <t>FO-25-1268966</t>
  </si>
  <si>
    <t>ROBUSTO</t>
  </si>
  <si>
    <t>MULTIPAGAS</t>
  </si>
  <si>
    <t>23-07-2025 SE LLEGA AL CENTRO COMERCIAL SAN ANTONIO EN PITALITO ,LA SEÑORITA ADRIANA ENTREGA DATAFONO CON SOPORTE, LECTOR DE BARRAS , CABLE MAGIC BOX, FUENTE DE PODER, PIN PAD ,HUB.PUBLICIDAD Y ROLLOS NO HAY</t>
  </si>
  <si>
    <t>GB006359</t>
  </si>
  <si>
    <t>TA-25-858580</t>
  </si>
  <si>
    <t>PALOCABILDO</t>
  </si>
  <si>
    <t>PTM PALOCABILDO ALMACEN MAYRA</t>
  </si>
  <si>
    <t>FO-25-1231225</t>
  </si>
  <si>
    <t>23-07-2025 SE HABLA POR WHATSAPP CON LA SEÑORA ALEJANDRA SIERRA, PORQUE NO TIENE SEÑAL PARA LLAMADA TELEFÓNICA. HABLO CON ELLA POR EL NÚMERO 3135513659, PARA EL CIERRE DE SU CB BANCOLOMBIA Y ME INDICA QUE ELLA ENVIÓ LOS EQUIPOS A MEDELLÍN.</t>
  </si>
  <si>
    <t>TA-25-866155</t>
  </si>
  <si>
    <t>BARRIO GRANABASTOS SOLEDAD 2</t>
  </si>
  <si>
    <t>FO-25-1242902</t>
  </si>
  <si>
    <t>23-07-2025 SE REALIZA VISITA AL COMERCIO PARA REALIZAR EL CIERRE DEL CORRESPONSAL BANCOLOMBIA PERO NO ES POSIBLE TRATO COMUNICACION CON EL NÚMERO DADO PERO NO CONTESTAN PREGUNTO EN EL COMERCIO Y ME DICEN QUE LA PERSONA ENCARGADA NO SE ENCUENTRA EN SITIO LE COMUNICO QUE CUANDO SE ENCUENTRE EN EL LUGAR LLAMAR PARA REAGENDAR VISITA PARA LA ENTREGA DE LOS EQUIPOS</t>
  </si>
  <si>
    <t>TV000652</t>
  </si>
  <si>
    <t>TA-25-880100</t>
  </si>
  <si>
    <t>PTM CUCUTA AUTOPARTES EL TRAIL</t>
  </si>
  <si>
    <t>FO-25-1263467</t>
  </si>
  <si>
    <t>23-07-2025 COMERCIO YA NO EXISTE EN DIRECCIÓN NO SE LOGRÓ COMUNICACIÓN CON EL CLIENTE PARA SABER UBICACIÓN DE LOS EQUIPOS</t>
  </si>
  <si>
    <t>TA-25-884681</t>
  </si>
  <si>
    <t>PTM BOGOTA  FERRELECTICOS EL D</t>
  </si>
  <si>
    <t>FO-25-1270660</t>
  </si>
  <si>
    <t>23-07-2025 SE LLEGA A COMERCIO PERSONA INDICA QUE YA NO ESTÁN SE LLAMA AL SELO JHON CARDENAS AL NUMERO 3042138203 NO SE LOGRA COMUNICACIÓN</t>
  </si>
  <si>
    <t>TA-25-866164</t>
  </si>
  <si>
    <t>GIRARDOT</t>
  </si>
  <si>
    <t>BARRIO SALSIPUEDES GIRARDOT</t>
  </si>
  <si>
    <t>FO-25-1251095</t>
  </si>
  <si>
    <t>22-07-2025 SE REALIZA VISITA DE CAMPO DONDE SE RETIRAN EQUIPOS SIN NOVEDAD</t>
  </si>
  <si>
    <t>EF00S400</t>
  </si>
  <si>
    <t>TA-25-866228</t>
  </si>
  <si>
    <t>BARRIO FUNDADORES APARTADO</t>
  </si>
  <si>
    <t>FO-25-1243046</t>
  </si>
  <si>
    <t>PARCIAL EXITOSO PTE. DATAFONO</t>
  </si>
  <si>
    <t>23-07-2025 SE RETIRAN EQUIPOS EN LA DIRECCION MENCIONANDA, NO SE RETIRA PUBLICIDAD YA QUE EL USUARIO DIO DISPOCICION FINALDATAFONO DESK 3500LECTORA SYMBOLPID PAD 1500HUB</t>
  </si>
  <si>
    <t>A00FZ740</t>
  </si>
  <si>
    <t>SALDARRIAGA MIRANDA SANTIAGO</t>
  </si>
  <si>
    <t>TA-25-884666</t>
  </si>
  <si>
    <t>PTM BOGOTA BODEGA UNIVERSAL B</t>
  </si>
  <si>
    <t>FO-25-1270643</t>
  </si>
  <si>
    <t>23-07-2025 SE LLEGA A COMERCIO PERSONA DEL NEGOCIO INDICA QUE NO QUEDA NINGUN CORRESPONSAL BANCARIO QUE TIENE UNA DIRECCIÓN DONDE POSIBLEMENTE ESTÉ EL POS CRR 14A CLL 94-36 SUR USME SE LLAMA A LA SEÑORITA CINDY GUERRERO AL NÚMERO 3105667370 NO SE LOGRA CONTACTO</t>
  </si>
  <si>
    <t>TA-25-869792</t>
  </si>
  <si>
    <t>SABANALARGA</t>
  </si>
  <si>
    <t>SECTOR PARQUE PRINCIPAL SABANA</t>
  </si>
  <si>
    <t>FO-25-1248774</t>
  </si>
  <si>
    <t>24-07-2025 SE REALIZÓ GESTIÓN TELEFÓNICA SE HABLO CON EL SEÑOR OSCAR MAYA NOS INDICA QUE NO SE ENCUENTRA EN SABANA LARGA POR LOS CUAL NO NOS PUEDE ATENDER Y PIDE QUE SEA REPROGRAMADA LA VISITA</t>
  </si>
  <si>
    <t>TA-25-872198</t>
  </si>
  <si>
    <t>BETANIA</t>
  </si>
  <si>
    <t>REDY BETANIA</t>
  </si>
  <si>
    <t>FO-25-1254037</t>
  </si>
  <si>
    <t>REDY</t>
  </si>
  <si>
    <t>24-07-2025 QUEDA FALTANDO:LECTOR DE BARRAS:749715-749809PINPAD:1109285DATAFONO:869937HUB:837611 COMBO COMPLETO MAS 1 LECTOR DE CÓDIGO DE BARRAS, ENCARGADA INDICA QUE SE DEVUELVE TODO EN OTRA SOLICITUD.</t>
  </si>
  <si>
    <t>AA00O835</t>
  </si>
  <si>
    <t>BADEL ACUÑA LUIS ALBERTO</t>
  </si>
  <si>
    <t>TA-25-888998</t>
  </si>
  <si>
    <t>PTM CALI NARU STORE</t>
  </si>
  <si>
    <t>FO-25-1278489</t>
  </si>
  <si>
    <t>24-07-2025 SE LLEGA A DIRECCIÓN Y SE ENCUENTRA UN LOCAL CERRADO, SE INTENTA COMUNICACIÓN CON NUMEROUS DE TELÉFONO Y NO SE CONSIGUE RESPUESTA, SE CONSULTA CON VECINOS E INDICAN QUE CB YA NO EXISTE EN SITIO</t>
  </si>
  <si>
    <t>TA-25-884659</t>
  </si>
  <si>
    <t>PIEDECUESTA</t>
  </si>
  <si>
    <t>COMCARD PIEDECUESTA SIGA</t>
  </si>
  <si>
    <t>FO-25-1270605</t>
  </si>
  <si>
    <t>24-07-2025 SE VISITA COMERCIO, SE VERIFICA QUE NO EXISTE , SE LLAMA EN REPETIDAS OCASIONES AL NUMERO 3192330000 SIN RESPUESTA ALGUNA , SE PREGUNTA A SUS ALREDEDORES Y NO DAN RAZON VISITA FALLIDA .</t>
  </si>
  <si>
    <t>BL014344</t>
  </si>
  <si>
    <t>BARAJAS BERMUDEZ YAHIR MAURICIO</t>
  </si>
  <si>
    <t>TA-25-869800</t>
  </si>
  <si>
    <t>LOS ANDES</t>
  </si>
  <si>
    <t>BARRIO PARQUE PRINCIPAL LOS  ANDES</t>
  </si>
  <si>
    <t>FO-25-1248834</t>
  </si>
  <si>
    <t>24-07-2025 SE REALIZA LLAMADAS AL SEÑOR JOSE . SE LOGRA COMUNICACION, SE VALIDA CIERRE PERO EL SEÑOR JOSE INDICA QYE NO PUEDE SER VISITADO AUN, QUE DEBEMOS VISITARLO LA SEGUNDA SEMANA DE AGOSTO, PUES ES CUANDO REGRESA LA PERSONA ENCARGADA DEL CB Y CON ACCESO A LOS EQUIPO PUES ESTA POR FUERA DEL MUNICIPIO EN VACACIONES, LE INDICAMOS QUE POR VENCIMIENTO DE LA ORDEN UNA VEZ LA PERSONA SE ENCUENTRA CON DISPONIBILIDAD DE ENTREGA DE LOS EQUIPOS SE COMUNIQUE A LA LINEA Y SOLICITE LA RECOJIDA PARA PODER AGENDAR LA VISITA</t>
  </si>
  <si>
    <t>TA-25-869816</t>
  </si>
  <si>
    <t>BARBACOAS</t>
  </si>
  <si>
    <t>BARRIO CL DEL COMERCIO BARBACOAS</t>
  </si>
  <si>
    <t>FO-25-1248910</t>
  </si>
  <si>
    <t>24-07-2025 SE INTENTA COMUNICACION CON LA SÑEORA ZORAIDA PARA VERIFICAR CIERRE, SE LOGRA CONTACTO Y SE VALIDA PERO LA CLIENTE ESTA POR FUERA DEL MUNICIPIO DE VIAJE, POR LO CUAL NO SE PUEDE REALIZAR DESPLAZMIENTO AL SITIO, SE LE INCIDA A LA SEÑORA UNA VEZ REGRESE AL MUNICIPIO SOLICITE EL CIERRE PARA PODER PROGRAMAR VISITA YA QUE DADO EL VENCIMIENTO DE LA ACTIVIDAD NO SE PUEDDE DEJAR PENDIENTE</t>
  </si>
  <si>
    <t>TA-25-888988</t>
  </si>
  <si>
    <t>FO-25-1278468</t>
  </si>
  <si>
    <t>OC REPETIDA</t>
  </si>
  <si>
    <t>25-07-2025 SE REALIZÓ VISITA A LA DIRECCIÓN Y SE ENCUENTRA QUE YA NO EXISTE EL COMERCIO, O SE OBTIENE COMUNICACIÓN VÍA TELEFÓNICA</t>
  </si>
  <si>
    <t>TA-25-880081</t>
  </si>
  <si>
    <t>CHOCÓ</t>
  </si>
  <si>
    <t>BARRIO CENTRO QUIBDO</t>
  </si>
  <si>
    <t>FO-25-1263440</t>
  </si>
  <si>
    <t>24-07-2025 SE REALIZA VISITA, SE EVIDENCIA QUE COMERCIO NO EXISTE EN LA DIRECCIÓN, SE CONTACTA CON SEÑO MARIA ELISA BOLIVAR CARDONA Y COMENTA QUE EL CB SE ENCONTRABA EN BELLO ANTIOQUIA EN LA DIRECCIÓN  N° 38-220 UNIDAD PUERTO APARTAMENTO 203</t>
  </si>
  <si>
    <t>ROBLEDO DIAZ ANDRES FELIPE</t>
  </si>
  <si>
    <t>TA-25-888991</t>
  </si>
  <si>
    <t>PTM BUCARAMANGA DROGUERIA FARM</t>
  </si>
  <si>
    <t>FO-25-1278480</t>
  </si>
  <si>
    <t>24-07-2025 SE INTENTA LA COMUNICACIÓN CON EL CLIENTE A LOS NÚMEROS QUE INDICA RBM PERO NO FUE POSIBLE , SE VISITA COMERCIO PERO COMERCIO NO EXISTE, SE PREGUNTA A PERSONAS CERCANAS INCICAN QUE AHÍ VIVEN NUEVAS PERSONAS</t>
  </si>
  <si>
    <t>HERRERA LUQUE SAUL JAVIER</t>
  </si>
  <si>
    <t>TA-25-889011</t>
  </si>
  <si>
    <t>PTM BOGOTA CERAQUE</t>
  </si>
  <si>
    <t>FO-25-1278499</t>
  </si>
  <si>
    <t>24-07-2025 SE REALIZA VISITA A CB PARA REALIZAR CIERRE CLIENTE INDICA QUE SI HUBO EL CORRESPONSAL PERO HACE 6 MESES Y QUE NO SABEN DÓNDE SE ENCUENTRA LA PERSONA ,SE INTENTA CONTACTAR CLIENTE NO CONTESTAN ,NÚMERO APAGADO</t>
  </si>
  <si>
    <t>TA-25-889003</t>
  </si>
  <si>
    <t>YUMBO</t>
  </si>
  <si>
    <t>PTM YUMBO  PANACEA DRUGSTORE</t>
  </si>
  <si>
    <t>FO-25-1278494</t>
  </si>
  <si>
    <t>25-07-2025 EN LA VISITA TECNICA REALIZADA AL COMERCIO SE LLEGA AL SITIO SE PREGUNTA EN INFORMACION DEL CENTRO COMERCIAL POR EL COMERCIO INFORMAN QUE YA NO ESTA EN EL SITIO SE LLEGA AL LOCAL Y SE PUEDE MIRAR QUE ESTA DESOCUPADO</t>
  </si>
  <si>
    <t>BENAVIDES ARANGO RAFAEL JOSE</t>
  </si>
  <si>
    <t>TA-25-888983</t>
  </si>
  <si>
    <t>COMCARD BOGOTA ALTAVISTA</t>
  </si>
  <si>
    <t>FO-25-1280283</t>
  </si>
  <si>
    <t>25-07-2025 SE REALIZA VISITA A LA DIRECCIÓN PORTERÍA PRINCIPAL DEL CONJUNTO RESIDENCIAL ALTA VISTA NOS INDICAN NO CONOCER AL CLIENTE TEL DE CONTACTO NO RESPONDE 3508309021</t>
  </si>
  <si>
    <t>16ZZZ661</t>
  </si>
  <si>
    <t>TA-25-888987</t>
  </si>
  <si>
    <t>PTM CUCUTA TECHNOLOGY</t>
  </si>
  <si>
    <t>FO-25-1278464</t>
  </si>
  <si>
    <t>25-07-2025 SE REALIZA VISITA SE ENCONTRÓ QUE EL COMERCIO YA NO EXISTE EN LA DIRECCIÓN NO SE LOGRÓ COMUNICACIÓN CON EL CLIENTE PARA SABER UBICACIÓN DE LOS EQUIPOS</t>
  </si>
  <si>
    <t>TA-25-890135</t>
  </si>
  <si>
    <t>BARRIO VILLA MONICA FLORENCIA</t>
  </si>
  <si>
    <t>FO-25-1280567</t>
  </si>
  <si>
    <t>25-07-2025 SE LLEGA AL CB Y CB SE ENCUENTRA CERRADO SE LLAMA A LA CLIENTA AL NÚMERO 3138003960 Y MANIFIESTA QUE SE ENCUENTRA HOSPITALIZADA Y NO TIENE QUIEN LE HAGA LA ENTREGA DE LOS EQUIPOS,  INDICO QUE CUANDO SALGA DE LA HOSPITALIZACIÓN LLAMARÁ A LA LINEA DE CORRESPONSALES PARA REALIZAR LA ENTREGA</t>
  </si>
  <si>
    <t>2A008755</t>
  </si>
  <si>
    <t>TA-25-890145</t>
  </si>
  <si>
    <t>TAMINANGO</t>
  </si>
  <si>
    <t>BARRIO EL PODER TAMINANGO 2</t>
  </si>
  <si>
    <t>FO-25-1280596</t>
  </si>
  <si>
    <t>25-07-2025 SE LLEGA A CORRESPONSAL A REALIZAR CIERRE COMERCIO INFORMA QUE ACTUALMENTE SE ENCUENTRA EN PROCESO DE TRASLADO DE CB Y EN LA LÍNEA LE INFORMAN QUE NO REALICE LA ENTREGA DE LOS EQUIPOS HASTA QUE  SE REVISE CASO PROPORCIONA NÚMERO DE RADICADO 13803103 CIERRE NO EXITOSO NO SE RETIRA NI DATAFONO NI PUBLICIDAD</t>
  </si>
  <si>
    <t>V10OZ405</t>
  </si>
  <si>
    <t>BRAVO MADROÑERO OSCAR ESTEBAN</t>
  </si>
  <si>
    <t>TA-25-890142</t>
  </si>
  <si>
    <t>BARRIO EL CENTRO NEIVA 10</t>
  </si>
  <si>
    <t>FO-25-1280585</t>
  </si>
  <si>
    <t>25-07-2025 SE LLEGA AL PUNTO ESTÁ CERRADO, SE GOLPEA LA PUERTA VARIAS VECES NO SALE NADIES , SE INTENTA COMUNICACION POR WHATSAPP NO HAY RESPUESTA , SE PREGUNTA EN EL LOCAL CERCANO NO TIENEN CONOCIMIENTO</t>
  </si>
  <si>
    <t>N/A</t>
  </si>
  <si>
    <t>SINCELEJO</t>
  </si>
  <si>
    <t>TA-25-890148</t>
  </si>
  <si>
    <t>SUCRE</t>
  </si>
  <si>
    <t>MAJAGUAL</t>
  </si>
  <si>
    <t>LA ESMERALDA MAJAGUAL</t>
  </si>
  <si>
    <t>FO-25-1280602</t>
  </si>
  <si>
    <t>25-07-2025 SE VISITA SITIO, PERO NO SE LOGRA REALIZAR EL CIERRE, SE HABLA CON EL SEÑOR DÍANORGE MANUEL LIGIA, QUIEN INFORMA QUE LOS EQUIPOS LOS TIENE LA TITULAR, EL LEVA A INFORMAR A LA SEÑORA PARA QUE LLAME Y SOLICITE LA VISTA A DÓNDE TIENE LOS EQUIPOS.</t>
  </si>
  <si>
    <t>UV00N168</t>
  </si>
  <si>
    <t>FLUVIAL</t>
  </si>
  <si>
    <t>CACERES HERNANDEZ ANDRES</t>
  </si>
  <si>
    <t>TA-25-890151</t>
  </si>
  <si>
    <t>FO-25-1280611</t>
  </si>
  <si>
    <t>26-07-2025 SE LLEGA AL SITIO SE ENCUENTRA COMERCIO CERRADO CB NO RESPONDE A NÚMERO CELULAR</t>
  </si>
  <si>
    <t>NO APLICA</t>
  </si>
  <si>
    <t>TA-25-884685</t>
  </si>
  <si>
    <t>ENVIGADO</t>
  </si>
  <si>
    <t>PTM ENVIGADO  IMPERIAL PET OT</t>
  </si>
  <si>
    <t>FO-25-1270666</t>
  </si>
  <si>
    <t>26-07-2025 SE VISITA PUNTO Y SE ENCUENTRA CERRADO, SE COMUNICA AL NÚMERO 3246850162 NOS PASAN EL NÚMERO 3013887248 DE LA SEÑORA YUDI LORENA LA CUAL INFORMA QUE LOS EQUIPOS SE ENTREGARON HACE 7 MESES, SE CIERRA VISITA</t>
  </si>
  <si>
    <t>EF02Z348</t>
  </si>
  <si>
    <t>QUINTERO SANCHEZ JUAN SEBASTIAN</t>
  </si>
  <si>
    <t>TA-25-884661</t>
  </si>
  <si>
    <t>CALARCA</t>
  </si>
  <si>
    <t>PTM CALARCA VARIEDADES NENA ZA</t>
  </si>
  <si>
    <t>FO-25-1270614</t>
  </si>
  <si>
    <t>26-07-2025 SE LLEGA A COMERCIO INDICA LA MADRE DEL TÍTULAR QUE LOS EQUIPOS ESTÁN BAJO LLAVE Y QUE LAS LLAVES NO LAS TIENE. SE INDICA QUE CUANDO TENGAS LOS EQUIPOS  A LA MANO SOLICITAR LA VISITA NUEVAMENTE PARA PASAR POR ELLOS.</t>
  </si>
  <si>
    <t>9AEZZ594</t>
  </si>
  <si>
    <t>TA-25-890168</t>
  </si>
  <si>
    <t>DISTRICOL VIILAFRANK ESTANCIA</t>
  </si>
  <si>
    <t>FO-25-1280672</t>
  </si>
  <si>
    <t>26-07-2025 SE REALIZA VISITA A LA DIRECCIÓN NADIE NOS ATIENDE TEL . 3138735064 APAGADO</t>
  </si>
  <si>
    <t>MN002484</t>
  </si>
  <si>
    <t>TA-25-890150</t>
  </si>
  <si>
    <t>BARRIO ESTANCIA BOGOTA 3</t>
  </si>
  <si>
    <t>FO-25-1286865</t>
  </si>
  <si>
    <t>26-07-2025 SE REALIZA VISITA A LA DIRECCIÓN CLIENTE NO SE ENCUENTRA SE REALIZAN MÚLTIPLES INTENTOS DE CONTACTO AL TEL 3223113921 NO RESPONDEN</t>
  </si>
  <si>
    <t>AD00A035</t>
  </si>
  <si>
    <t>TA-25-895881</t>
  </si>
  <si>
    <t>TULUA</t>
  </si>
  <si>
    <t>BARRIO SAMAN DEL NORTE - TULUA</t>
  </si>
  <si>
    <t>FO-25-1288310</t>
  </si>
  <si>
    <t>26-07-2025 SE HABALA CON LA SRA DIANA ALCALDE E INDICA QUE AUN NO HAN ENCONTRÓ LOS EQUIPOS, QUE EL EQUIPO QUE ENCONTRÓ ES LA SIGUIENTE PLACA: 170814 LA CUAL PERTENECE AL COMERCIO, SE LE INDICA QUE CUAMDO ENCUTRE LAS PLACAS DEL CB VUELVA A LLAMAR PARA PROGRAMAR UNA NUEVA VISITA</t>
  </si>
  <si>
    <t>TA-25-888997</t>
  </si>
  <si>
    <t>PTM CALI MISCELANEA Y DETALLES</t>
  </si>
  <si>
    <t>FO-25-1278487</t>
  </si>
  <si>
    <t>26-07-2025 SE VISITA EL COMERCIO SE ENCONTRA EL LOCAL CERRADO, SE INDAGÓ EN EL SECTOR E INFORMARON QUE HACE APROXIMADAMENTE 5 MESES NO ABREN EL LOCAL, SE LLAMA AL NUMERO 3057038573 SIN RESPUESTA NO ESTA EN USO, CIERRE NO EXITOSO</t>
  </si>
  <si>
    <t>HERRERA MONAR GEOVANNY</t>
  </si>
  <si>
    <t>TA-25-890163</t>
  </si>
  <si>
    <t>DISTRICOL VIILAFRANK AGENCIA</t>
  </si>
  <si>
    <t>FO-25-1280649</t>
  </si>
  <si>
    <t>26-07-2025 DURANTE LA VISITA TECNICA PARA REALIZAR EL CIERRE DE CORRESPONSAL BANCARIO ENCONTRAMOS   QUE NO EXISTE LA DIRECCIÓN SE LLAMA AL CELULAR 3138735064 SIN TENER RESPUESTA, SE INFORMA A COORDINADOR PARA CIERRE DE  VISITA ES DE ACLARAR QUE SE LLEGA A DIRECCIÓN ENCONTRADA POR APLICATIVO LUPAC LA CUAL NO ARROJA EN LA URBANIZACIÓN QUINTANARES PERO AL PREGUNTA EN PORTERÍA POR LA EXISTENCIA DEL CB O DEL SR LEONARDO DE JESUS PABON ESCOBAR NO DAN INDICACIONES O INFORMACIÓN DE LA EXISTENCIA DEL CB</t>
  </si>
  <si>
    <t>TA-25-890143</t>
  </si>
  <si>
    <t>BARRIO FLORIDA VILLAVICENCIO</t>
  </si>
  <si>
    <t>FO-25-1280588</t>
  </si>
  <si>
    <t xml:space="preserve">28-07-2025 SE REALIZA VISITA AL PUNTO Y COMERCIO SE ENCUENTRA CERRADO, SE REALIZA CONTACTO TELEFONICO CON EL CLIENTE EL CUAL INFORMA QUE NO SE ENCUENTRA EN EL PAÍS, INFORMA QUE SE ENCUENTRA LA PRÓXIMA SEMANA Y QUE VISITA SE REALICE EN HORAS DE LA TARDE </t>
  </si>
  <si>
    <t>TA-25-890153</t>
  </si>
  <si>
    <t>FO-25-1289202</t>
  </si>
  <si>
    <t>28-07-2025 SE VISITA DIRECCIÓN DE RETIRO LA PERSONA QUE ATIENDE HACE ENTREGA DE MANERA VOLUNTARIA DE DATÁFONO, LECTOR "RECUPERADO"NO PUBLICIDAD,NO ROLLOS</t>
  </si>
  <si>
    <t>TA-25-890157</t>
  </si>
  <si>
    <t>ITAGUI</t>
  </si>
  <si>
    <t>DISTRICOL SUPER LA 48</t>
  </si>
  <si>
    <t>FO-25-1280627</t>
  </si>
  <si>
    <t>28-07-2025 SE VISITA PUNTO Y EL NUEVO DUEÑO INFORMA QUE NO TIENE LOS EQUIPOS, SE COMUNICA AL 3103815679 INFORMAN QUE YA ENTREGARON LOS EQUIPOS A DISTRICOL, SE CIERRA VISITA</t>
  </si>
  <si>
    <t>TA-25-890154</t>
  </si>
  <si>
    <t>EL CARMEN IBAGUE TOLIMA</t>
  </si>
  <si>
    <t>FO-25-1289578</t>
  </si>
  <si>
    <t>28-07-2025 SE VISITA DIRECCIÓN INDICADA DE RETIRO LA PERSONA QUE ATIENDE HACE ENTREGA DE MANERA VOLUNTARIA DE DATÁFONO, LECTOR,NO PUBLICIDAD,NO ROLLOS</t>
  </si>
  <si>
    <t>TV00L327</t>
  </si>
  <si>
    <t>TA-25-884660</t>
  </si>
  <si>
    <t>PTM BOGOTA GOMARKETING</t>
  </si>
  <si>
    <t>FO-25-1270609</t>
  </si>
  <si>
    <t>28-07-2025 SE REALIZA DESPLAZAMIENTO A DIRECCIÓN DE COMERCIO, EN SITIO NO EXISTE EL COMERCIO, EN LLAMADA TELEFÓNICA A LA SRA. LINA LÓPEZ  3508212017 INDICA QUE ELLA NO TIENE NADA QUE VER CON EL COMERCIO Y QUE NO TIENE INFORMACIÓN DE LOS EQUIPOS.</t>
  </si>
  <si>
    <t>TA-25-889028</t>
  </si>
  <si>
    <t>PTM BOGOTA  DISTRIBUIDORA DE P</t>
  </si>
  <si>
    <t>FO-25-1278511</t>
  </si>
  <si>
    <t>28-07-2025 SE INTENTA COMUNICAR CON EL COMERCIO LO CUAL ES IMPOSIBLE NO AHI NUMERO DE WHATSAPP Y EL NÚMERO CELULAR NO LO CONTESTA, EN LA DIRECCIÓN BRINDADA SE TIMBRA E VARIAS OCASIONES Y SE ESPERAN 30 MINUTOS</t>
  </si>
  <si>
    <t>TA-25-895877</t>
  </si>
  <si>
    <t>BARRIO SAN NICOLAS II LOS PATIOS</t>
  </si>
  <si>
    <t>FO-25-1289163</t>
  </si>
  <si>
    <t xml:space="preserve">28-07-2025 SE REALIZA VISITA, SE RETIRA DATAFONO Y LECTOR DE BARRAS </t>
  </si>
  <si>
    <t>A1VZZ394</t>
  </si>
  <si>
    <t>PACHECO BUITRAGO JAVIER ALONSO</t>
  </si>
  <si>
    <t>TA-25-895884</t>
  </si>
  <si>
    <t>SANTA ROSA DEL SUR</t>
  </si>
  <si>
    <t>BARRIO CORREGIMIENTO LOS CANEL</t>
  </si>
  <si>
    <t>FO-25-1288317</t>
  </si>
  <si>
    <t xml:space="preserve">29-07-2025 EN COMUNICACIÓN CON LA SEÑORA ANA ROCÍO AL MOVIL 3188048882, INDICA QUE NO ES POSIBLE VISITAR EL CORREGIMIENTO POR ORDEN PÚBLICO, CLIENTE INDICA QUE AHORITA NO ESTÁ INGRESANDO NINGÚN TIPO DE VEHÍCULO, SE LE INFORMA QUE SE CERRARA LA ORDEN DEBIDO A QUE NO HAY UNA FECHA CERCANA EN LA CUAL SE NORMALICE EL. ORDEN PÚBLICO SE LE. INFORMA QUE CUANDO SE PUEDAN RECOGER LOS EQUIPOS LLAMAR A SOLICITAR NUEVAMENTE LA RECOLECCIÓN DE ESTOS EQUIPOS. </t>
  </si>
  <si>
    <t>TERRESTRE/FLUVIAL</t>
  </si>
  <si>
    <t>SANTOS GONZALEZ JOHAN FABIAN</t>
  </si>
  <si>
    <t>TA-25-899494</t>
  </si>
  <si>
    <t>FO-25-1297565</t>
  </si>
  <si>
    <t xml:space="preserve">29-07-2025 SE HACE PRESENCIA EN COMERCIO PERSONA QUE ATIENDE LA VISITA INFORMA QUE ELLOS NL TIENEN CONOCIMIENTO DE DICHOS EQUIPOS QUE ESO TOCA CON EL SEÑOR ROBERTO SE LLAMA A NÚMERO DE CONTACTO RELACIONADO EN MA ORDEN NO SE OBTIENE RESPUESTA SE ESCRIBE AL WHATSAPP SIN RESPUESTA SE HABLA CON LA ESPOSA DEL SEÑOR ROBERTO QUIEN INFORMA QUE SE ENCUENTRA FUERA DE LA CIUDAD Y QUE NO RESPONDE LLAMADAS NI MENSAJES SE ME INFORMA QUE TAN PRONTO SE CONTACTE CON EL SEÑOR ROBERTO QUE LLAME A LA LÍNEA 018000953344 Y SOLICITE LA RECOLECCIÓN DE LOS EQUIPOS </t>
  </si>
  <si>
    <t>MN0SZ974</t>
  </si>
  <si>
    <t>TA-25-890141</t>
  </si>
  <si>
    <t>ISTMINA</t>
  </si>
  <si>
    <t>BARRIO BARRIO CUBIS MESETA ALT</t>
  </si>
  <si>
    <t>FO-25-1280578</t>
  </si>
  <si>
    <t xml:space="preserve">29-07-2025 SE LLEGA SITIO,COMERCI9 COMENTA QUE NO PIEDE E TRGAR EQUUPOS SE CONTACTA CON EL EDUARD ALONSO MURILLOAL NÚMERO 3145633060 Y COMENTA AUE NO PERMITE LA ENTREGADE LOS EQUIPOS PORQUE NO HA REALIZADO LA COMPENSACIÓN </t>
  </si>
  <si>
    <t>FUA0G721</t>
  </si>
  <si>
    <t>TA-25-884664</t>
  </si>
  <si>
    <t>PTM IBAGUE DISTRIBUIDORA AYV</t>
  </si>
  <si>
    <t>FO-25-1270637</t>
  </si>
  <si>
    <t>29-07-2025 SE LLEGA AL SITIO PARA REALIZAR CIERRE, PERO EL COMERCIO SE ENCUENTRA CERRADO; SE COMUNICA AL NÚMERO 3166821177 SIN NINGÚN RESULTADO.</t>
  </si>
  <si>
    <t>TA-25-888989</t>
  </si>
  <si>
    <t>PTM CUCUTA PUBLICIDAD Y PAPE</t>
  </si>
  <si>
    <t>FO-25-1278471</t>
  </si>
  <si>
    <t>30-07-2025 SE VISITA PUNTO YA QUE USUARIO NO CONTESTA PATA CONFIMAR VISITA Y DIRECCION EN DIRECCIÓN NO ABRE NADIE.</t>
  </si>
  <si>
    <t>TA-25-872211</t>
  </si>
  <si>
    <t>BARRIO MECAYA PUERTO LEGUIZAMO</t>
  </si>
  <si>
    <t>FO-25-1254075</t>
  </si>
  <si>
    <t xml:space="preserve">29-07-2025 SE REALIZA EN VARIAS OCASIONES LA GESTIÓN TELEFÓNICA CON EL CLIENTE YA QUE NO SE PUEDE INGRESAR A ESA ZONA POR ORDEN PÚBLICO DE GRUPOS ARMADOS ALMARGEN DE LA LEY, EL SEÑOR VLADIMIR POR WHATSAPP MANIFIESTO QUE ENVIARIA LOS EQUIPOS A FLORENCIA PERO HASTA EL MOLENTO NO A SALIDO POSIBLE QUE EL ENVÍO DE LOS EQUIPOS A FLORENCIA, SE LE ESCRIBE AL SEÑOR Y SE LLAMA Y YA NO RESPONDE NINGÚN MENSAJE NI LLAMADAS, SE CIERRA LA OT PORQUE NO HAY RESPUESTA DEL CLIENTE </t>
  </si>
  <si>
    <t>TA-25-899475</t>
  </si>
  <si>
    <t>PLANETA RICA</t>
  </si>
  <si>
    <t>DISTRICOL DROGUERIA SAN REMO</t>
  </si>
  <si>
    <t>FO-25-1297510</t>
  </si>
  <si>
    <t>29-07-2025 SE REALIZA VISITA TÉCNICA AL PUNTO PARA CIERRE DE CORRESPONSAL, CLIENTE INFORMA QUE LOS EQUIPOS, DATAFONO CON PLACA 1142704, PINPAD DESK 1500 PLACA 848046, HUB Y LECTOR DE DE BARRAS PLACA 805290 FUERON ENVIADOS A LA OFICINA DEL ALIADO DISTRICOL POR LA TRANSPORTADORA ENVÍA CON NÚMERO DE GUÍA 867000224180, DIRECCIÓN CR 30 8B 25 IN 904 MEDELLIN</t>
  </si>
  <si>
    <t>TA-25-899481</t>
  </si>
  <si>
    <t>COMCARD MED PIEDRANET 2</t>
  </si>
  <si>
    <t>FO-25-1297532</t>
  </si>
  <si>
    <t>29-07-2025 SE LLEGA PUNTO Y COMERCIO NO EXISTE, SE LLAMA A CLIENTE, SE ESCRIBE POR WHATSAPP Y NO ES POSIBLE COMUNICARSE</t>
  </si>
  <si>
    <t>TA-25-899486</t>
  </si>
  <si>
    <t>PTM MONTERIA INVERSIONES DO CA</t>
  </si>
  <si>
    <t>FO-25-1297547</t>
  </si>
  <si>
    <t>29-07-2025 SE VISITA SITIO, LOCAL SE ENCUENTRA CERRADO, SE LLAMA AL CB QUIEN INDICA QUE NO SE ENCUENTRA EN LA CIUDAD PARA ENTREGA DE EQUIPOS. SE CIERRA ORDEN COMO VISTA FALLIDA</t>
  </si>
  <si>
    <t>TA-25-899505</t>
  </si>
  <si>
    <t>FO-25-1297596</t>
  </si>
  <si>
    <t>30-07-2025 SE LLEGA A SITIO Y WE ENCUENTRA EL LOCAL CERRADO, SE INTENTA COMUNICACIÓN Y NO ES POSIBLE.
SE PREGUNTA A NEGOCIOS LOCALES Y MANIFIESTAN QUE HACE TIEMPO NO ABREN EL COMERCIO EN CUESTIÓN.</t>
  </si>
  <si>
    <t>TA-25-890149</t>
  </si>
  <si>
    <t>BARRIO SUBA 2 BOGOTA</t>
  </si>
  <si>
    <t>FO-25-1296212</t>
  </si>
  <si>
    <t>30-07-2025 SE LLEGA A DIRECCIÓN EN LA CUAL YA NO SE ENCUENTRA EL CB SE REALIZA CONTACTO TELEFÓNICO A NÚMERO REGISTRADO 3152244492 EN EL CUAL NO SE TIENE REPUSTA DE DONDE ESTÁN LOS DATÁFONOS</t>
  </si>
  <si>
    <t>ORTIZ MARTINEZ STIVEN</t>
  </si>
  <si>
    <t>TA-25-889056</t>
  </si>
  <si>
    <t>BARRIO SENDEROS DE VILLA LILIA</t>
  </si>
  <si>
    <t>FO-25-1278525</t>
  </si>
  <si>
    <t>AGENDADO</t>
  </si>
  <si>
    <t>30-07-2025 SE LLAMA AL NÚMERO DE CONTACTO E INFORMAN QUE LA PERSONA ENCARGADA DEL CORRESPONSAL NO SE ENCUENTRA EN LA CIUDAD Y SE DEBE PROGRAMAR CUANDO ELLA ESTÉ EN LA CIUDAD. PIDEN COMUNICAR NUEVAMENTE LA PRÓXIMA SEMANA PARA PROGRAMAR VISITA.</t>
  </si>
  <si>
    <t>BOLAÑOS TABORDA JORGE ENRIQUE</t>
  </si>
  <si>
    <t>TA-25-899546</t>
  </si>
  <si>
    <t>PTM BOGOTA  DROGUERIA ELECTRA</t>
  </si>
  <si>
    <t>FO-25-1297607</t>
  </si>
  <si>
    <t xml:space="preserve">30-07-2025 SE LLEGA A COMERCIO EL CUAL SE ENCUENTRA CERRADO SE REALIZA INTENTOS DE COMUNICACIÓN CON CLIENTE A NÚMERO REGISTRADO 3045406688  NADIE CONTESTA </t>
  </si>
  <si>
    <t>TA-25-899555</t>
  </si>
  <si>
    <t>BARRIO SANTA RITA BOGOTA 4</t>
  </si>
  <si>
    <t>FO-25-1297661</t>
  </si>
  <si>
    <t>30-07-2025 SE REALIZA VISITA DE CAMPO EVIDENCIANDO QUÉ COMERCIO NO EXISTE EN DIRECCIÓN INDICADA EN RUTA SE INTENTA COMUNICACIÓN A  LA LÍNEA 3203042873 / 3015969596 NO HAY RESPUESTA, SE INFORMA A  SUPERVISOR QUIEN AUTORIZA CIERRE DE VISITA.</t>
  </si>
  <si>
    <t>TA-25-906326</t>
  </si>
  <si>
    <t>BARRIO URB TOPACIO IBAGUE</t>
  </si>
  <si>
    <t>FO-25-1308278</t>
  </si>
  <si>
    <t>31-07-2025 SE VISITA COMERCIO PERO SE ENCUENTRA CERRADO, SE VÁLIDA CONTACTO TELEFÓNICO AL NÚMERO 3007082090 SIN NINGÚN RESULTADO. LOS VECINOS INDICAN QUE EL COMERCIO EXISTE.</t>
  </si>
  <si>
    <t>TA-25-903366</t>
  </si>
  <si>
    <t>BOGOTA RESTREPO</t>
  </si>
  <si>
    <t>FO-25-1303386</t>
  </si>
  <si>
    <t xml:space="preserve">31-07-2025 SE VISITA CB PARA  CIERRE DE PUNTO DONDE AL LLEGAR CLIENTE CONFIRMA QUE NO ENTREGA EQUIPOS YA QUE NO ESTÁN EN EL COMERCIO DEBIDO A QUE EL CLIENTE FUE A GENERAR LA COMPENSACIÓN CORRESPONDIENTE AL CB Y SOLICITAR LA REACTIVACIÓN DEL MISMO SE FINALIZA CIERRE SIN MÁS NOVEDAD </t>
  </si>
  <si>
    <t>ROMERO ROJAS BREIDY JHOHAN</t>
  </si>
  <si>
    <t>COD. CIUDAD</t>
  </si>
  <si>
    <t>DESDE DONDE SE ATIENDE</t>
  </si>
  <si>
    <t>TIPO DE TRAYECTO NUEVO</t>
  </si>
  <si>
    <t>TIPOLOGIA NUEVA</t>
  </si>
  <si>
    <t>LA VICTORIA</t>
  </si>
  <si>
    <t>AMAZONAS</t>
  </si>
  <si>
    <t>PUERTO SANTANDER</t>
  </si>
  <si>
    <t>EL ENCANTO</t>
  </si>
  <si>
    <t>LA CHORRERA</t>
  </si>
  <si>
    <t>LA PEDRERA</t>
  </si>
  <si>
    <t>LETICIA</t>
  </si>
  <si>
    <t>MIRITI - PARANA</t>
  </si>
  <si>
    <t>PUERTO ALEGRIA</t>
  </si>
  <si>
    <t>PUERTO ARICA</t>
  </si>
  <si>
    <t>PUERTO NARIÑO</t>
  </si>
  <si>
    <t>TARAPACA</t>
  </si>
  <si>
    <t>ARGELIA</t>
  </si>
  <si>
    <t>BARBOSA</t>
  </si>
  <si>
    <t>BETULIA</t>
  </si>
  <si>
    <t>BRICEÑO</t>
  </si>
  <si>
    <t>CONCEPCION</t>
  </si>
  <si>
    <t>CONCORDIA</t>
  </si>
  <si>
    <t>GUADALUPE</t>
  </si>
  <si>
    <t>JERICO</t>
  </si>
  <si>
    <t>LA UNION</t>
  </si>
  <si>
    <t>SAN CARLOS</t>
  </si>
  <si>
    <t>SAN FRANCISCO</t>
  </si>
  <si>
    <t>SAN LUIS</t>
  </si>
  <si>
    <t>SAN PEDRO DE LOS MILAGROS</t>
  </si>
  <si>
    <t>SANTA BARBARA</t>
  </si>
  <si>
    <t>TOLEDO</t>
  </si>
  <si>
    <t>VALPARAISO</t>
  </si>
  <si>
    <t>VENECIA</t>
  </si>
  <si>
    <t>ABEJORRAL</t>
  </si>
  <si>
    <t>ABRIAQUI</t>
  </si>
  <si>
    <t>ALEJANDRIA</t>
  </si>
  <si>
    <t>AMAGA</t>
  </si>
  <si>
    <t>AMALFI</t>
  </si>
  <si>
    <t>ANDES</t>
  </si>
  <si>
    <t>ANGELOPOLIS</t>
  </si>
  <si>
    <t>ANGOSTURA</t>
  </si>
  <si>
    <t>ANORI</t>
  </si>
  <si>
    <t>ARBOLETES</t>
  </si>
  <si>
    <t>BELLO</t>
  </si>
  <si>
    <t>BELMIRA</t>
  </si>
  <si>
    <t>BURITICA</t>
  </si>
  <si>
    <t>CACERES</t>
  </si>
  <si>
    <t>CAICEDO</t>
  </si>
  <si>
    <t>CAMPAMENTO</t>
  </si>
  <si>
    <t>CAÑASGORDAS</t>
  </si>
  <si>
    <t>CARACOLI</t>
  </si>
  <si>
    <t>CARAMANTA</t>
  </si>
  <si>
    <t>CAROLINA</t>
  </si>
  <si>
    <t>CAUCASIA</t>
  </si>
  <si>
    <t>CHIGORODO</t>
  </si>
  <si>
    <t>CISNEROS</t>
  </si>
  <si>
    <t>CIUDAD BOLIVAR</t>
  </si>
  <si>
    <t>COCORNA</t>
  </si>
  <si>
    <t>COPACABANA</t>
  </si>
  <si>
    <t>DABEIBA</t>
  </si>
  <si>
    <t>DON MATIAS</t>
  </si>
  <si>
    <t>EBEJICO</t>
  </si>
  <si>
    <t>EL BAGRE</t>
  </si>
  <si>
    <t>EL CARMEN DE VIBORAL</t>
  </si>
  <si>
    <t>EL SANTUARIO</t>
  </si>
  <si>
    <t>ENTRERRIOS</t>
  </si>
  <si>
    <t>FREDONIA</t>
  </si>
  <si>
    <t>FRONTINO</t>
  </si>
  <si>
    <t>GIRALDO</t>
  </si>
  <si>
    <t>GIRARDOTA</t>
  </si>
  <si>
    <t>GOMEZ PLATA</t>
  </si>
  <si>
    <t>GUARNE</t>
  </si>
  <si>
    <t>HELICONIA</t>
  </si>
  <si>
    <t>HISPANIA</t>
  </si>
  <si>
    <t>ITUANGO</t>
  </si>
  <si>
    <t>JARDIN</t>
  </si>
  <si>
    <t>LA CEJA</t>
  </si>
  <si>
    <t>LA ESTRELLA</t>
  </si>
  <si>
    <t>LIBORINA</t>
  </si>
  <si>
    <t>MACEO</t>
  </si>
  <si>
    <t>MARINILLA</t>
  </si>
  <si>
    <t>MONTEBELLO</t>
  </si>
  <si>
    <t>MURINDO</t>
  </si>
  <si>
    <t>MUTATA</t>
  </si>
  <si>
    <t>NECHI</t>
  </si>
  <si>
    <t>NECOCLI</t>
  </si>
  <si>
    <t>OLAYA</t>
  </si>
  <si>
    <t>PEÑOL</t>
  </si>
  <si>
    <t>PEQUE</t>
  </si>
  <si>
    <t>PUEBLORRICO</t>
  </si>
  <si>
    <t>PUERTO BERRIO</t>
  </si>
  <si>
    <t>PUERTO NARE</t>
  </si>
  <si>
    <t>REMEDIOS</t>
  </si>
  <si>
    <t>RETIRO</t>
  </si>
  <si>
    <t>SABANETA</t>
  </si>
  <si>
    <t>SALGAR</t>
  </si>
  <si>
    <t>SAN ANDRES DE CUERQUIA</t>
  </si>
  <si>
    <t>SAN JERONIMO</t>
  </si>
  <si>
    <t>SAN JOSE DE LA MONTAÑA</t>
  </si>
  <si>
    <t>SAN JUAN DE URABA</t>
  </si>
  <si>
    <t>SAN PEDRO DE URABA</t>
  </si>
  <si>
    <t>SAN RAFAEL</t>
  </si>
  <si>
    <t>SAN ROQUE</t>
  </si>
  <si>
    <t>SAN VICENTE</t>
  </si>
  <si>
    <t>SANTA FE DE ANTIOQUIA</t>
  </si>
  <si>
    <t>SANTA ROSA DE OSOS</t>
  </si>
  <si>
    <t>SANTO DOMINGO</t>
  </si>
  <si>
    <t>SEGOVIA</t>
  </si>
  <si>
    <t>SONSON</t>
  </si>
  <si>
    <t>SOPETRAN</t>
  </si>
  <si>
    <t>TAMESIS</t>
  </si>
  <si>
    <t>TARAZA</t>
  </si>
  <si>
    <t>TARSO</t>
  </si>
  <si>
    <t>TITIRIBI</t>
  </si>
  <si>
    <t>TURBO</t>
  </si>
  <si>
    <t>URAMITA</t>
  </si>
  <si>
    <t>URRAO</t>
  </si>
  <si>
    <t>VALDIVIA</t>
  </si>
  <si>
    <t>VEGACHI</t>
  </si>
  <si>
    <t>VIGIA DEL FUERTE</t>
  </si>
  <si>
    <t>YALI</t>
  </si>
  <si>
    <t>YARUMAL</t>
  </si>
  <si>
    <t>YOLOMBO</t>
  </si>
  <si>
    <t>YONDO</t>
  </si>
  <si>
    <t>ZARAGOZA</t>
  </si>
  <si>
    <t>ARAUCA</t>
  </si>
  <si>
    <t>ARAUQUITA</t>
  </si>
  <si>
    <t>CRAVO NORTE</t>
  </si>
  <si>
    <t>FORTUL</t>
  </si>
  <si>
    <t>PUERTO RONDON</t>
  </si>
  <si>
    <t>SARAVENA</t>
  </si>
  <si>
    <t>TAME</t>
  </si>
  <si>
    <t>PUERTO COLOMBIA</t>
  </si>
  <si>
    <t>BARANOA</t>
  </si>
  <si>
    <t>CAMPO DE LA CRUZ</t>
  </si>
  <si>
    <t>GALAPA</t>
  </si>
  <si>
    <t>JUAN DE ACOSTA</t>
  </si>
  <si>
    <t>LURUACO</t>
  </si>
  <si>
    <t>MALAMBO</t>
  </si>
  <si>
    <t>MANATI</t>
  </si>
  <si>
    <t>PALMAR DE VARELA</t>
  </si>
  <si>
    <t>PIOJO</t>
  </si>
  <si>
    <t>POLONUEVO</t>
  </si>
  <si>
    <t>PONEDERA</t>
  </si>
  <si>
    <t>REPELON</t>
  </si>
  <si>
    <t>SABANAGRANDE</t>
  </si>
  <si>
    <t>SANTA LUCIA</t>
  </si>
  <si>
    <t>SANTO TOMAS</t>
  </si>
  <si>
    <t>SUAN</t>
  </si>
  <si>
    <t>TUBARA</t>
  </si>
  <si>
    <t>USIACURI</t>
  </si>
  <si>
    <t>CARTAGENA</t>
  </si>
  <si>
    <t>EL PEÑON</t>
  </si>
  <si>
    <t>MORALES</t>
  </si>
  <si>
    <t>SAN PABLO</t>
  </si>
  <si>
    <t>SANTA ROSA</t>
  </si>
  <si>
    <t>VILLANUEVA</t>
  </si>
  <si>
    <t>ACHI</t>
  </si>
  <si>
    <t>ALTOS DEL ROSARIO</t>
  </si>
  <si>
    <t>ARENAL</t>
  </si>
  <si>
    <t>ARJONA</t>
  </si>
  <si>
    <t>ARROYOHONDO</t>
  </si>
  <si>
    <t>CANTAGALLO</t>
  </si>
  <si>
    <t>CICUCO</t>
  </si>
  <si>
    <t>CLEMENCIA</t>
  </si>
  <si>
    <t>EL CARMEN DE BOLIVAR</t>
  </si>
  <si>
    <t>EL GUAMO</t>
  </si>
  <si>
    <t>HATILLO DE LOBA</t>
  </si>
  <si>
    <t>MAGANGUE</t>
  </si>
  <si>
    <t>MAHATES</t>
  </si>
  <si>
    <t>MARGARITA</t>
  </si>
  <si>
    <t>MARIA LA BAJA</t>
  </si>
  <si>
    <t>MOMPOS</t>
  </si>
  <si>
    <t>MONTECRISTO</t>
  </si>
  <si>
    <t>NOROSI</t>
  </si>
  <si>
    <t>PINILLOS</t>
  </si>
  <si>
    <t>REGIDOR</t>
  </si>
  <si>
    <t>RIO VIEJO</t>
  </si>
  <si>
    <t>SAN CRISTOBAL</t>
  </si>
  <si>
    <t>SAN ESTANISLAO</t>
  </si>
  <si>
    <t>SAN FERNANDO</t>
  </si>
  <si>
    <t>SAN JACINTO</t>
  </si>
  <si>
    <t>SAN JACINTO DEL CAUCA</t>
  </si>
  <si>
    <t>SAN JUAN NEPOMUCENO</t>
  </si>
  <si>
    <t>SAN MARTIN DE LOBA</t>
  </si>
  <si>
    <t>SANTA CATALINA</t>
  </si>
  <si>
    <t>SIMITI</t>
  </si>
  <si>
    <t>SOPLAVIENTO</t>
  </si>
  <si>
    <t>TALAIGUA NUEVO</t>
  </si>
  <si>
    <t>TIQUISIO</t>
  </si>
  <si>
    <t>TURBACO</t>
  </si>
  <si>
    <t>TURBANA</t>
  </si>
  <si>
    <t>ZAMBRANO</t>
  </si>
  <si>
    <t>BELEN</t>
  </si>
  <si>
    <t>CIENAGA</t>
  </si>
  <si>
    <t>MIRAFLORES</t>
  </si>
  <si>
    <t>PAEZ</t>
  </si>
  <si>
    <t>SANTA MARIA</t>
  </si>
  <si>
    <t>ALMEIDA</t>
  </si>
  <si>
    <t>AQUITANIA</t>
  </si>
  <si>
    <t>ARCABUCO</t>
  </si>
  <si>
    <t>BERBEO</t>
  </si>
  <si>
    <t>BETEITIVA</t>
  </si>
  <si>
    <t>BOAVITA</t>
  </si>
  <si>
    <t>BUSBANZA</t>
  </si>
  <si>
    <t>CAMPOHERMOSO</t>
  </si>
  <si>
    <t>CERINZA</t>
  </si>
  <si>
    <t>CHINAVITA</t>
  </si>
  <si>
    <t>CHIQUIZA</t>
  </si>
  <si>
    <t>CHISCAS</t>
  </si>
  <si>
    <t>CHITA</t>
  </si>
  <si>
    <t>CHITARAQUE</t>
  </si>
  <si>
    <t>CHIVATA</t>
  </si>
  <si>
    <t>CHIVOR</t>
  </si>
  <si>
    <t>COMBITA</t>
  </si>
  <si>
    <t>COPER</t>
  </si>
  <si>
    <t>CORRALES</t>
  </si>
  <si>
    <t>COVARACHIA</t>
  </si>
  <si>
    <t>CUBARA</t>
  </si>
  <si>
    <t>CUCAITA</t>
  </si>
  <si>
    <t>CUITIVA</t>
  </si>
  <si>
    <t>EL COCUY</t>
  </si>
  <si>
    <t>EL ESPINO</t>
  </si>
  <si>
    <t>FIRAVITOBA</t>
  </si>
  <si>
    <t>FLORESTA</t>
  </si>
  <si>
    <t>GACHANTIVA</t>
  </si>
  <si>
    <t>GAMEZA</t>
  </si>
  <si>
    <t>GARAGOA</t>
  </si>
  <si>
    <t>GUACAMAYAS</t>
  </si>
  <si>
    <t>GUATEQUE</t>
  </si>
  <si>
    <t>GUAYATA</t>
  </si>
  <si>
    <t>GUICAN</t>
  </si>
  <si>
    <t>IZA</t>
  </si>
  <si>
    <t>JENESANO</t>
  </si>
  <si>
    <t>LA CAPILLA</t>
  </si>
  <si>
    <t>LA UVITA</t>
  </si>
  <si>
    <t>LABRANZAGRANDE</t>
  </si>
  <si>
    <t>MACANAL</t>
  </si>
  <si>
    <t>MARIPI</t>
  </si>
  <si>
    <t>MONGUA</t>
  </si>
  <si>
    <t>MONGUI</t>
  </si>
  <si>
    <t>MONIQUIRA</t>
  </si>
  <si>
    <t>MOTAVITA</t>
  </si>
  <si>
    <t>MUZO</t>
  </si>
  <si>
    <t>NOBSA</t>
  </si>
  <si>
    <t>NUEVO COLON</t>
  </si>
  <si>
    <t>OICATA</t>
  </si>
  <si>
    <t>OTANCHE</t>
  </si>
  <si>
    <t>PACHAVITA</t>
  </si>
  <si>
    <t>PAIPA</t>
  </si>
  <si>
    <t>PAJARITO</t>
  </si>
  <si>
    <t>PANQUEBA</t>
  </si>
  <si>
    <t>PAUNA</t>
  </si>
  <si>
    <t>PAYA</t>
  </si>
  <si>
    <t>PAZ DE RIO</t>
  </si>
  <si>
    <t>PESCA</t>
  </si>
  <si>
    <t>PISBA</t>
  </si>
  <si>
    <t>QUIPAMA</t>
  </si>
  <si>
    <t>RAMIRIQUI</t>
  </si>
  <si>
    <t>RAQUIRA</t>
  </si>
  <si>
    <t>RONDON</t>
  </si>
  <si>
    <t>SABOYA</t>
  </si>
  <si>
    <t>SACHICA</t>
  </si>
  <si>
    <t>SAMACA</t>
  </si>
  <si>
    <t>SAN EDUARDO</t>
  </si>
  <si>
    <t>SAN JOSE DE PARE</t>
  </si>
  <si>
    <t>SAN LUIS DE GACENO</t>
  </si>
  <si>
    <t>SAN MATEO</t>
  </si>
  <si>
    <t>SAN MIGUEL DE SEMA</t>
  </si>
  <si>
    <t>SAN PABLO DE BORBUR</t>
  </si>
  <si>
    <t>SANTA ROSA DE VITERBO</t>
  </si>
  <si>
    <t>SANTA SOFIA</t>
  </si>
  <si>
    <t>SANTANA</t>
  </si>
  <si>
    <t>SATIVANORTE</t>
  </si>
  <si>
    <t>SATIVASUR</t>
  </si>
  <si>
    <t>SIACHOQUE</t>
  </si>
  <si>
    <t>SOATA</t>
  </si>
  <si>
    <t>SOCHA</t>
  </si>
  <si>
    <t>SOCOTA</t>
  </si>
  <si>
    <t>SOGAMOSO</t>
  </si>
  <si>
    <t>SOMONDOCO</t>
  </si>
  <si>
    <t>SORA</t>
  </si>
  <si>
    <t>SORACA</t>
  </si>
  <si>
    <t>SOTAQUIRA</t>
  </si>
  <si>
    <t>SUSACON</t>
  </si>
  <si>
    <t>SUTAMARCHAN</t>
  </si>
  <si>
    <t>SUTATENZA</t>
  </si>
  <si>
    <t>TASCO</t>
  </si>
  <si>
    <t>TENZA</t>
  </si>
  <si>
    <t>TIBANA</t>
  </si>
  <si>
    <t>TIBASOSA</t>
  </si>
  <si>
    <t>TINJACA</t>
  </si>
  <si>
    <t>TIPACOQUE</t>
  </si>
  <si>
    <t>TOCA</t>
  </si>
  <si>
    <t>TOGÜI</t>
  </si>
  <si>
    <t>TOPAGA</t>
  </si>
  <si>
    <t>TOTA</t>
  </si>
  <si>
    <t>TUNUNGUA</t>
  </si>
  <si>
    <t>TURMEQUE</t>
  </si>
  <si>
    <t>TUTA</t>
  </si>
  <si>
    <t>TUTAZA</t>
  </si>
  <si>
    <t>UMBITA</t>
  </si>
  <si>
    <t>VENTAQUEMADA</t>
  </si>
  <si>
    <t>VILLA DE LEYVA</t>
  </si>
  <si>
    <t>VIRACACHA</t>
  </si>
  <si>
    <t>ZETAQUIRA</t>
  </si>
  <si>
    <t>PALESTINA</t>
  </si>
  <si>
    <t>MANIZALES</t>
  </si>
  <si>
    <t>RIOSUCIO</t>
  </si>
  <si>
    <t>SALAMINA</t>
  </si>
  <si>
    <t>AGUADAS</t>
  </si>
  <si>
    <t>ANSERMA</t>
  </si>
  <si>
    <t>ARANZAZU</t>
  </si>
  <si>
    <t>BELALCAZAR</t>
  </si>
  <si>
    <t>CHINCHINA</t>
  </si>
  <si>
    <t>FILADELFIA</t>
  </si>
  <si>
    <t>LA MERCED</t>
  </si>
  <si>
    <t>MANZANARES</t>
  </si>
  <si>
    <t>MARMATO</t>
  </si>
  <si>
    <t>MARQUETALIA</t>
  </si>
  <si>
    <t>MARULANDA</t>
  </si>
  <si>
    <t>NEIRA</t>
  </si>
  <si>
    <t>NORCASIA</t>
  </si>
  <si>
    <t>PACORA</t>
  </si>
  <si>
    <t>PENSILVANIA</t>
  </si>
  <si>
    <t>SAMANA</t>
  </si>
  <si>
    <t>SAN JOSE</t>
  </si>
  <si>
    <t>SUPIA</t>
  </si>
  <si>
    <t>VICTORIA</t>
  </si>
  <si>
    <t>VILLAMARIA</t>
  </si>
  <si>
    <t>VITERBO</t>
  </si>
  <si>
    <t>ALBANIA</t>
  </si>
  <si>
    <t>PUERTO RICO</t>
  </si>
  <si>
    <t>BELEN DE LOS ANDAQUIES</t>
  </si>
  <si>
    <t>CARTAGENA DEL CHAIRA</t>
  </si>
  <si>
    <t>CURILLO</t>
  </si>
  <si>
    <t>EL DONCELLO</t>
  </si>
  <si>
    <t>EL PAUJIL</t>
  </si>
  <si>
    <t>LA MONTAÑITA</t>
  </si>
  <si>
    <t>MILAN</t>
  </si>
  <si>
    <t>MORELIA</t>
  </si>
  <si>
    <t>SAN JOSE DEL FRAGUA</t>
  </si>
  <si>
    <t>SAN VICENTE DEL CAGUAN</t>
  </si>
  <si>
    <t>TERRESTRE / AEREO</t>
  </si>
  <si>
    <t>SOLANO</t>
  </si>
  <si>
    <t>SOLITA</t>
  </si>
  <si>
    <t>AGUAZUL</t>
  </si>
  <si>
    <t>CHAMEZA</t>
  </si>
  <si>
    <t>HATO COROZAL</t>
  </si>
  <si>
    <t>LA SALINA</t>
  </si>
  <si>
    <t>MANI</t>
  </si>
  <si>
    <t>MONTERREY</t>
  </si>
  <si>
    <t>NUNCHIA</t>
  </si>
  <si>
    <t>OROCUE</t>
  </si>
  <si>
    <t>PAZ DE ARIPORO</t>
  </si>
  <si>
    <t>PORE</t>
  </si>
  <si>
    <t>RECETOR</t>
  </si>
  <si>
    <t>SACAMA</t>
  </si>
  <si>
    <t>SAN LUIS DE PALENQUE</t>
  </si>
  <si>
    <t>TAMARA</t>
  </si>
  <si>
    <t>TAURAMENA</t>
  </si>
  <si>
    <t>TRINIDAD</t>
  </si>
  <si>
    <t>BALBOA</t>
  </si>
  <si>
    <t>LA VEGA</t>
  </si>
  <si>
    <t>SUAREZ</t>
  </si>
  <si>
    <t>ALMAGUER</t>
  </si>
  <si>
    <t>BUENOS AIRES</t>
  </si>
  <si>
    <t>CAJIBIO</t>
  </si>
  <si>
    <t>CALDONO</t>
  </si>
  <si>
    <t>CALOTO</t>
  </si>
  <si>
    <t>CORINTO</t>
  </si>
  <si>
    <t>GUACHENE</t>
  </si>
  <si>
    <t>GUAPI</t>
  </si>
  <si>
    <t>INZA</t>
  </si>
  <si>
    <t>JAMBALO</t>
  </si>
  <si>
    <t>LA SIERRA</t>
  </si>
  <si>
    <t>LOPEZ</t>
  </si>
  <si>
    <t>MERCADERES</t>
  </si>
  <si>
    <t>MIRANDA</t>
  </si>
  <si>
    <t>PADILLA</t>
  </si>
  <si>
    <t>PATIA</t>
  </si>
  <si>
    <t>PIAMONTE</t>
  </si>
  <si>
    <t>PIENDAMO</t>
  </si>
  <si>
    <t>PUERTO TEJADA</t>
  </si>
  <si>
    <t>PURACE</t>
  </si>
  <si>
    <t>ROSAS</t>
  </si>
  <si>
    <t>SAN SEBASTIAN</t>
  </si>
  <si>
    <t>SILVIA</t>
  </si>
  <si>
    <t>SOTARA</t>
  </si>
  <si>
    <t>TIMBIO</t>
  </si>
  <si>
    <t>TIMBIQUI</t>
  </si>
  <si>
    <t>TORIBIO</t>
  </si>
  <si>
    <t>TOTORO</t>
  </si>
  <si>
    <t>VILLA RICA</t>
  </si>
  <si>
    <t>LA PAZ</t>
  </si>
  <si>
    <t>CESAR</t>
  </si>
  <si>
    <t>MANAURE</t>
  </si>
  <si>
    <t>SAN MARTIN</t>
  </si>
  <si>
    <t>AGUACHICA</t>
  </si>
  <si>
    <t>AGUSTIN CODAZZI</t>
  </si>
  <si>
    <t>ASTREA</t>
  </si>
  <si>
    <t>BECERRIL</t>
  </si>
  <si>
    <t>BOSCONIA</t>
  </si>
  <si>
    <t>CHIMICHAGUA</t>
  </si>
  <si>
    <t>CHIRIGUANA</t>
  </si>
  <si>
    <t>CURUMANI</t>
  </si>
  <si>
    <t>EL COPEY</t>
  </si>
  <si>
    <t>EL PASO</t>
  </si>
  <si>
    <t>GAMARRA</t>
  </si>
  <si>
    <t>GONZALEZ</t>
  </si>
  <si>
    <t>LA GLORIA</t>
  </si>
  <si>
    <t>LA JAGUA DE IBIRICO</t>
  </si>
  <si>
    <t>PAILITAS</t>
  </si>
  <si>
    <t>PELAYA</t>
  </si>
  <si>
    <t>PUEBLO BELLO</t>
  </si>
  <si>
    <t>RIO DE ORO</t>
  </si>
  <si>
    <t>SAN ALBERTO</t>
  </si>
  <si>
    <t>SAN DIEGO</t>
  </si>
  <si>
    <t>TAMALAMEQUE</t>
  </si>
  <si>
    <t>ACANDI</t>
  </si>
  <si>
    <t>ALTO BAUDO</t>
  </si>
  <si>
    <t>ATRATO</t>
  </si>
  <si>
    <t>BAGADO</t>
  </si>
  <si>
    <t>BAHIA SOLANO</t>
  </si>
  <si>
    <t>BAJO BAUDO</t>
  </si>
  <si>
    <t>BELEN DE BAJIRA</t>
  </si>
  <si>
    <t>BOJAYA</t>
  </si>
  <si>
    <t>CARMEN DEL DARIEN</t>
  </si>
  <si>
    <t>CERTEGUI</t>
  </si>
  <si>
    <t>CONDOTO</t>
  </si>
  <si>
    <t>EL CANTON DEL SAN PABLO</t>
  </si>
  <si>
    <t>EL CARMEN DE ATRATO</t>
  </si>
  <si>
    <t>EL LITORAL DEL SAN JUAN</t>
  </si>
  <si>
    <t>TERRESTRE / FLUVIAL</t>
  </si>
  <si>
    <t>JURADO</t>
  </si>
  <si>
    <t>LLORO</t>
  </si>
  <si>
    <t>MEDIO ATRATO</t>
  </si>
  <si>
    <t>MEDIO BAUDO</t>
  </si>
  <si>
    <t>MEDIO SAN JUAN</t>
  </si>
  <si>
    <t>NOVITA</t>
  </si>
  <si>
    <t>NUQUI</t>
  </si>
  <si>
    <t>RIO IRO</t>
  </si>
  <si>
    <t>RIO QUITO</t>
  </si>
  <si>
    <t>SAN JOSE DEL PALMAR</t>
  </si>
  <si>
    <t>SIPI</t>
  </si>
  <si>
    <t>TADO</t>
  </si>
  <si>
    <t>UNGUIA</t>
  </si>
  <si>
    <t>UNION PANAMERICANA</t>
  </si>
  <si>
    <t>CHIMA</t>
  </si>
  <si>
    <t>AYAPEL</t>
  </si>
  <si>
    <t>CANALETE</t>
  </si>
  <si>
    <t>CHINU</t>
  </si>
  <si>
    <t>CIENAGA DE ORO</t>
  </si>
  <si>
    <t>COTORRA</t>
  </si>
  <si>
    <t>LA APARTADA</t>
  </si>
  <si>
    <t>LOS CORDOBAS</t>
  </si>
  <si>
    <t>MOMIL</t>
  </si>
  <si>
    <t>MONTELIBANO</t>
  </si>
  <si>
    <t>MOÑITOS</t>
  </si>
  <si>
    <t>PUEBLO NUEVO</t>
  </si>
  <si>
    <t>PUERTO ESCONDIDO</t>
  </si>
  <si>
    <t>PUERTO LIBERTADOR</t>
  </si>
  <si>
    <t>PURISIMA</t>
  </si>
  <si>
    <t>SAHAGUN</t>
  </si>
  <si>
    <t>SAN ANDRES SOTAVENTO</t>
  </si>
  <si>
    <t>SAN ANTERO</t>
  </si>
  <si>
    <t>SAN BERNARDO DEL VIENTO</t>
  </si>
  <si>
    <t>SAN PELAYO</t>
  </si>
  <si>
    <t>TIERRALTA</t>
  </si>
  <si>
    <t>VALENCIA</t>
  </si>
  <si>
    <t>ALBAN</t>
  </si>
  <si>
    <t>CABRERA</t>
  </si>
  <si>
    <t>MOSQUERA</t>
  </si>
  <si>
    <t>RICAURTE</t>
  </si>
  <si>
    <t>SAN BERNARDO</t>
  </si>
  <si>
    <t>SAN CAYETANO</t>
  </si>
  <si>
    <t>AGUA DE DIOS</t>
  </si>
  <si>
    <t>ANAPOIMA</t>
  </si>
  <si>
    <t>ANOLAIMA</t>
  </si>
  <si>
    <t>APULO</t>
  </si>
  <si>
    <t>ARBELAEZ</t>
  </si>
  <si>
    <t>BELTRAN</t>
  </si>
  <si>
    <t>BITUIMA</t>
  </si>
  <si>
    <t>BOJACA</t>
  </si>
  <si>
    <t>CACHIPAY</t>
  </si>
  <si>
    <t>CAPARRAPI</t>
  </si>
  <si>
    <t>CAQUEZA</t>
  </si>
  <si>
    <t>CARMEN DE CARUPA</t>
  </si>
  <si>
    <t>CHAGUANI</t>
  </si>
  <si>
    <t>CHIA</t>
  </si>
  <si>
    <t>CHIPAQUE</t>
  </si>
  <si>
    <t>CHOACHI</t>
  </si>
  <si>
    <t>CHOCONTA</t>
  </si>
  <si>
    <t>COGUA</t>
  </si>
  <si>
    <t>COTA</t>
  </si>
  <si>
    <t>CUCUNUBA</t>
  </si>
  <si>
    <t>EL COLEGIO</t>
  </si>
  <si>
    <t>EL ROSAL</t>
  </si>
  <si>
    <t>FOMEQUE</t>
  </si>
  <si>
    <t>FOSCA</t>
  </si>
  <si>
    <t>FUQUENE</t>
  </si>
  <si>
    <t>FUSAGASUGA</t>
  </si>
  <si>
    <t>GACHALA</t>
  </si>
  <si>
    <t>GACHANCIPA</t>
  </si>
  <si>
    <t>GAMA</t>
  </si>
  <si>
    <t>GUACHETA</t>
  </si>
  <si>
    <t>GUADUAS</t>
  </si>
  <si>
    <t>GUASCA</t>
  </si>
  <si>
    <t>GUATAQUI</t>
  </si>
  <si>
    <t>GUATAVITA</t>
  </si>
  <si>
    <t>GUAYABAL DE SIQUIMA</t>
  </si>
  <si>
    <t>GUAYABETAL</t>
  </si>
  <si>
    <t>GUTIERREZ</t>
  </si>
  <si>
    <t>JERUSALEN</t>
  </si>
  <si>
    <t>JUNIN</t>
  </si>
  <si>
    <t>LA CALERA</t>
  </si>
  <si>
    <t>LA MESA</t>
  </si>
  <si>
    <t>LA PALMA</t>
  </si>
  <si>
    <t>LA PEÑA</t>
  </si>
  <si>
    <t>LENGUAZAQUE</t>
  </si>
  <si>
    <t>MACHETA</t>
  </si>
  <si>
    <t>MADRID</t>
  </si>
  <si>
    <t>MANTA</t>
  </si>
  <si>
    <t>MEDINA</t>
  </si>
  <si>
    <t>NEMOCON</t>
  </si>
  <si>
    <t>NILO</t>
  </si>
  <si>
    <t>NIMAIMA</t>
  </si>
  <si>
    <t>NOCAIMA</t>
  </si>
  <si>
    <t>PACHO</t>
  </si>
  <si>
    <t>PAIME</t>
  </si>
  <si>
    <t>PANDI</t>
  </si>
  <si>
    <t>PARATEBUENO</t>
  </si>
  <si>
    <t>PASCA</t>
  </si>
  <si>
    <t>PUERTO SALGAR</t>
  </si>
  <si>
    <t>PULI</t>
  </si>
  <si>
    <t>QUEBRADANEGRA</t>
  </si>
  <si>
    <t>QUETAME</t>
  </si>
  <si>
    <t>QUIPILE</t>
  </si>
  <si>
    <t>SAN ANTONIO DEL TEQUENDAMA</t>
  </si>
  <si>
    <t>SAN JUAN DE RIO SECO</t>
  </si>
  <si>
    <t>SASAIMA</t>
  </si>
  <si>
    <t>SIBATE</t>
  </si>
  <si>
    <t>SILVANIA</t>
  </si>
  <si>
    <t>SIMIJACA</t>
  </si>
  <si>
    <t>SOPO</t>
  </si>
  <si>
    <t>SUBACHOQUE</t>
  </si>
  <si>
    <t>SUESCA</t>
  </si>
  <si>
    <t>SUPATA</t>
  </si>
  <si>
    <t>SUSA</t>
  </si>
  <si>
    <t>SUTATAUSA</t>
  </si>
  <si>
    <t>TAUSA</t>
  </si>
  <si>
    <t>TENA</t>
  </si>
  <si>
    <t>TENJO</t>
  </si>
  <si>
    <t>TIBACUY</t>
  </si>
  <si>
    <t>TIBIRITA</t>
  </si>
  <si>
    <t>TOCAIMA</t>
  </si>
  <si>
    <t>TOCANCIPA</t>
  </si>
  <si>
    <t>TOPAIPI</t>
  </si>
  <si>
    <t>UBALA</t>
  </si>
  <si>
    <t>UBAQUE</t>
  </si>
  <si>
    <t>UNE</t>
  </si>
  <si>
    <t>UTICA</t>
  </si>
  <si>
    <t>VERGARA</t>
  </si>
  <si>
    <t>VIANI</t>
  </si>
  <si>
    <t>VILLA DE SAN DIEGO DE UBATE</t>
  </si>
  <si>
    <t>VILLAGOMEZ</t>
  </si>
  <si>
    <t>VILLAPINZON</t>
  </si>
  <si>
    <t>VILLETA</t>
  </si>
  <si>
    <t>VIOTA</t>
  </si>
  <si>
    <t>ZIPACON</t>
  </si>
  <si>
    <t>ZIPAQUIRA</t>
  </si>
  <si>
    <t>GUAINIA</t>
  </si>
  <si>
    <t>BARRANCO MINAS</t>
  </si>
  <si>
    <t>CACAHUAL</t>
  </si>
  <si>
    <t>INIRIDA</t>
  </si>
  <si>
    <t>LA GUADALUPE</t>
  </si>
  <si>
    <t>MAPIRIPANA</t>
  </si>
  <si>
    <t>MORICHAL</t>
  </si>
  <si>
    <t>PANA PANA</t>
  </si>
  <si>
    <t>SAN FELIPE</t>
  </si>
  <si>
    <t>EL RETORNO</t>
  </si>
  <si>
    <t>SAN JOSE DEL GUAVIARE</t>
  </si>
  <si>
    <t>ACEVEDO</t>
  </si>
  <si>
    <t>AGRADO</t>
  </si>
  <si>
    <t>AIPE</t>
  </si>
  <si>
    <t>ALGECIRAS</t>
  </si>
  <si>
    <t>ALTAMIRA</t>
  </si>
  <si>
    <t>BARAYA</t>
  </si>
  <si>
    <t>CAMPOALEGRE</t>
  </si>
  <si>
    <t>COLOMBIA</t>
  </si>
  <si>
    <t>ELIAS</t>
  </si>
  <si>
    <t>GARZON</t>
  </si>
  <si>
    <t>GIGANTE</t>
  </si>
  <si>
    <t>HOBO</t>
  </si>
  <si>
    <t>IQUIRA</t>
  </si>
  <si>
    <t>ISNOS</t>
  </si>
  <si>
    <t>LA ARGENTINA</t>
  </si>
  <si>
    <t>LA PLATA</t>
  </si>
  <si>
    <t>NATAGA</t>
  </si>
  <si>
    <t>OPORAPA</t>
  </si>
  <si>
    <t>PAICOL</t>
  </si>
  <si>
    <t>PALERMO</t>
  </si>
  <si>
    <t>PITAL</t>
  </si>
  <si>
    <t>RIVERA</t>
  </si>
  <si>
    <t>SALADOBLANCO</t>
  </si>
  <si>
    <t>SAN AGUSTIN</t>
  </si>
  <si>
    <t>SUAZA</t>
  </si>
  <si>
    <t>TARQUI</t>
  </si>
  <si>
    <t>TELLO</t>
  </si>
  <si>
    <t>TERUEL</t>
  </si>
  <si>
    <t>TESALIA</t>
  </si>
  <si>
    <t>TIMANA</t>
  </si>
  <si>
    <t>VILLAVIEJA</t>
  </si>
  <si>
    <t>YAGUARA</t>
  </si>
  <si>
    <t>LA GUAJIRA</t>
  </si>
  <si>
    <t>BARRANCAS</t>
  </si>
  <si>
    <t>DIBULLA</t>
  </si>
  <si>
    <t>DISTRACCION</t>
  </si>
  <si>
    <t>EL MOLINO</t>
  </si>
  <si>
    <t>FONSECA</t>
  </si>
  <si>
    <t>HATONUEVO</t>
  </si>
  <si>
    <t>LA JAGUA DEL PILAR</t>
  </si>
  <si>
    <t>MAICAO</t>
  </si>
  <si>
    <t>RIOHACHA</t>
  </si>
  <si>
    <t>SAN JUAN DEL CESAR</t>
  </si>
  <si>
    <t>URIBIA</t>
  </si>
  <si>
    <t>URUMITA</t>
  </si>
  <si>
    <t>GUAMAL</t>
  </si>
  <si>
    <t>ALGARROBO</t>
  </si>
  <si>
    <t>ARACATACA</t>
  </si>
  <si>
    <t>ARIGUANI</t>
  </si>
  <si>
    <t>CERRO SAN ANTONIO</t>
  </si>
  <si>
    <t>CHIBOLO</t>
  </si>
  <si>
    <t>EL BANCO</t>
  </si>
  <si>
    <t>EL PIÑON</t>
  </si>
  <si>
    <t>EL RETEN</t>
  </si>
  <si>
    <t>FUNDACION</t>
  </si>
  <si>
    <t>NUEVA GRANADA</t>
  </si>
  <si>
    <t>PEDRAZA</t>
  </si>
  <si>
    <t>PIJIÑO DEL CARMEN</t>
  </si>
  <si>
    <t>PIVIJAY</t>
  </si>
  <si>
    <t>PLATO</t>
  </si>
  <si>
    <t>PUEBLOVIEJO</t>
  </si>
  <si>
    <t>REMOLINO</t>
  </si>
  <si>
    <t>SABANAS DE SAN ANGEL</t>
  </si>
  <si>
    <t>SAN SEBASTIAN DE BUENAVISTA</t>
  </si>
  <si>
    <t>SAN ZENON</t>
  </si>
  <si>
    <t>SANTA BARBARA DE PINTO</t>
  </si>
  <si>
    <t>SITIONUEVO</t>
  </si>
  <si>
    <t>TENERIFE</t>
  </si>
  <si>
    <t>ZAPAYAN</t>
  </si>
  <si>
    <t>ZONA BANANERA</t>
  </si>
  <si>
    <t>RESTREPO</t>
  </si>
  <si>
    <t>ACACIAS</t>
  </si>
  <si>
    <t>BARRANCA DE UPIA</t>
  </si>
  <si>
    <t>CABUYARO</t>
  </si>
  <si>
    <t>CASTILLA LA NUEVA</t>
  </si>
  <si>
    <t>CUBARRAL</t>
  </si>
  <si>
    <t>CUMARAL</t>
  </si>
  <si>
    <t>EL CALVARIO</t>
  </si>
  <si>
    <t>EL CASTILLO</t>
  </si>
  <si>
    <t>EL DORADO</t>
  </si>
  <si>
    <t>FUENTE DE ORO</t>
  </si>
  <si>
    <t>LA MACARENA</t>
  </si>
  <si>
    <t>LEJANIAS</t>
  </si>
  <si>
    <t>MAPIRIPAN</t>
  </si>
  <si>
    <t>MESETAS</t>
  </si>
  <si>
    <t>PUERTO CONCORDIA</t>
  </si>
  <si>
    <t>PUERTO LLERAS</t>
  </si>
  <si>
    <t>PUERTO LOPEZ</t>
  </si>
  <si>
    <t>SAN CARLOS DE GUAROA</t>
  </si>
  <si>
    <t>SAN JUAN DE ARAMA</t>
  </si>
  <si>
    <t>SAN JUANITO</t>
  </si>
  <si>
    <t>URIBE</t>
  </si>
  <si>
    <t>VISTAHERMOSA</t>
  </si>
  <si>
    <t>COLON</t>
  </si>
  <si>
    <t>PROVIDENCIA</t>
  </si>
  <si>
    <t>ALDANA</t>
  </si>
  <si>
    <t>ANCUYA</t>
  </si>
  <si>
    <t>ARBOLEDA</t>
  </si>
  <si>
    <t>BUESACO</t>
  </si>
  <si>
    <t>CHACHAGUI</t>
  </si>
  <si>
    <t>CONSACA</t>
  </si>
  <si>
    <t>CONTADERO</t>
  </si>
  <si>
    <t>CUASPUD</t>
  </si>
  <si>
    <t>CUMBAL</t>
  </si>
  <si>
    <t>CUMBITARA</t>
  </si>
  <si>
    <t>EL CHARCO</t>
  </si>
  <si>
    <t>EL PEÑOL</t>
  </si>
  <si>
    <t>EL ROSARIO</t>
  </si>
  <si>
    <t>EL TABLON DE GOMEZ</t>
  </si>
  <si>
    <t>FRANCISCO PIZARRO</t>
  </si>
  <si>
    <t>FUNES</t>
  </si>
  <si>
    <t>GUACHUCAL</t>
  </si>
  <si>
    <t>GUAITARILLA</t>
  </si>
  <si>
    <t>GUALMATAN</t>
  </si>
  <si>
    <t>ILES</t>
  </si>
  <si>
    <t>IMUES</t>
  </si>
  <si>
    <t>IPIALES</t>
  </si>
  <si>
    <t>LA FLORIDA</t>
  </si>
  <si>
    <t>LA LLANADA</t>
  </si>
  <si>
    <t>LA TOLA</t>
  </si>
  <si>
    <t>LEIVA</t>
  </si>
  <si>
    <t>LINARES</t>
  </si>
  <si>
    <t>MAGUI</t>
  </si>
  <si>
    <t>MALLAMA</t>
  </si>
  <si>
    <t>OLAYA HERRERA</t>
  </si>
  <si>
    <t>OSPINA</t>
  </si>
  <si>
    <t>POLICARPA</t>
  </si>
  <si>
    <t>POTOSI</t>
  </si>
  <si>
    <t>PUERRES</t>
  </si>
  <si>
    <t>PUPIALES</t>
  </si>
  <si>
    <t>ROBERTO PAYAN</t>
  </si>
  <si>
    <t>SAMANIEGO</t>
  </si>
  <si>
    <t>SAN ANDRES DE TUMACO</t>
  </si>
  <si>
    <t>SAN LORENZO</t>
  </si>
  <si>
    <t>SAN PEDRO DE CARTAGO</t>
  </si>
  <si>
    <t>SANDONA</t>
  </si>
  <si>
    <t>SANTACRUZ</t>
  </si>
  <si>
    <t>TANGUA</t>
  </si>
  <si>
    <t>YACUANQUER</t>
  </si>
  <si>
    <t>SANTIAGO</t>
  </si>
  <si>
    <t>ABREGO</t>
  </si>
  <si>
    <t>ARBOLEDAS</t>
  </si>
  <si>
    <t>BOCHALEMA</t>
  </si>
  <si>
    <t>BUCARASICA</t>
  </si>
  <si>
    <t>CACHIRA</t>
  </si>
  <si>
    <t>CACOTA</t>
  </si>
  <si>
    <t>CHINACOTA</t>
  </si>
  <si>
    <t>CHITAGA</t>
  </si>
  <si>
    <t>CONVENCION</t>
  </si>
  <si>
    <t>CUCUTILLA</t>
  </si>
  <si>
    <t>DURANIA</t>
  </si>
  <si>
    <t>EL CARMEN</t>
  </si>
  <si>
    <t>EL TARRA</t>
  </si>
  <si>
    <t>EL ZULIA</t>
  </si>
  <si>
    <t>GRAMALOTE</t>
  </si>
  <si>
    <t>HACARI</t>
  </si>
  <si>
    <t>HERRAN</t>
  </si>
  <si>
    <t>LA ESPERANZA</t>
  </si>
  <si>
    <t>LA PLAYA</t>
  </si>
  <si>
    <t>LABATECA</t>
  </si>
  <si>
    <t>LOURDES</t>
  </si>
  <si>
    <t>MUTISCUA</t>
  </si>
  <si>
    <t>OCAÑA</t>
  </si>
  <si>
    <t>PAMPLONA</t>
  </si>
  <si>
    <t>PAMPLONITA</t>
  </si>
  <si>
    <t>RAGONVALIA</t>
  </si>
  <si>
    <t>SALAZAR</t>
  </si>
  <si>
    <t>SAN CALIXTO</t>
  </si>
  <si>
    <t>SARDINATA</t>
  </si>
  <si>
    <t>SILOS</t>
  </si>
  <si>
    <t>TEORAMA</t>
  </si>
  <si>
    <t>VILLA CARO</t>
  </si>
  <si>
    <t>VILLA DEL ROSARIO</t>
  </si>
  <si>
    <t>SAN MIGUEL</t>
  </si>
  <si>
    <t>MOCOA</t>
  </si>
  <si>
    <t>ORITO</t>
  </si>
  <si>
    <t>PUERTO ASIS</t>
  </si>
  <si>
    <t>PUERTO CAICEDO</t>
  </si>
  <si>
    <t>PUERTO GUZMAN</t>
  </si>
  <si>
    <t>SIBUNDOY</t>
  </si>
  <si>
    <t>VALLE DEL GUAMUEZ</t>
  </si>
  <si>
    <t>VILLAGARZON</t>
  </si>
  <si>
    <t>CIRCASIA</t>
  </si>
  <si>
    <t>FILANDIA</t>
  </si>
  <si>
    <t>GENOVA</t>
  </si>
  <si>
    <t>LA TEBAIDA</t>
  </si>
  <si>
    <t>MONTENEGRO</t>
  </si>
  <si>
    <t>PIJAO</t>
  </si>
  <si>
    <t>QUIMBAYA</t>
  </si>
  <si>
    <t>SALENTO</t>
  </si>
  <si>
    <t>APIA</t>
  </si>
  <si>
    <t>BELEN DE UMBRIA</t>
  </si>
  <si>
    <t>GUATICA</t>
  </si>
  <si>
    <t>LA CELIA</t>
  </si>
  <si>
    <t>LA VIRGINIA</t>
  </si>
  <si>
    <t>MARSELLA</t>
  </si>
  <si>
    <t>MISTRATO</t>
  </si>
  <si>
    <t>PUEBLO RICO</t>
  </si>
  <si>
    <t>QUINCHIA</t>
  </si>
  <si>
    <t>SANTA ROSA DE CABAL</t>
  </si>
  <si>
    <t>SANTUARIO</t>
  </si>
  <si>
    <t>ARCHIPIELAGO DE SAN ANDRES Y PROVIDENCIA</t>
  </si>
  <si>
    <t>SAN ANDRES</t>
  </si>
  <si>
    <t>AGUADA</t>
  </si>
  <si>
    <t>ARATOCA</t>
  </si>
  <si>
    <t>BARICHARA</t>
  </si>
  <si>
    <t>CALIFORNIA</t>
  </si>
  <si>
    <t>CAPITANEJO</t>
  </si>
  <si>
    <t>CARCASI</t>
  </si>
  <si>
    <t>CEPITA</t>
  </si>
  <si>
    <t>CERRITO</t>
  </si>
  <si>
    <t>CHARALA</t>
  </si>
  <si>
    <t>CHARTA</t>
  </si>
  <si>
    <t>CHIPATA</t>
  </si>
  <si>
    <t>CIMITARRA</t>
  </si>
  <si>
    <t>CONFINES</t>
  </si>
  <si>
    <t>CONTRATACION</t>
  </si>
  <si>
    <t>COROMORO</t>
  </si>
  <si>
    <t>CURITI</t>
  </si>
  <si>
    <t>EL CARMEN DE CHUCURI</t>
  </si>
  <si>
    <t>EL GUACAMAYO</t>
  </si>
  <si>
    <t>EL PLAYON</t>
  </si>
  <si>
    <t>ENCINO</t>
  </si>
  <si>
    <t>ENCISO</t>
  </si>
  <si>
    <t>FLORIAN</t>
  </si>
  <si>
    <t>FLORIDABLANCA</t>
  </si>
  <si>
    <t>GALAN</t>
  </si>
  <si>
    <t>GAMBITA</t>
  </si>
  <si>
    <t>GIRON</t>
  </si>
  <si>
    <t>GUACA</t>
  </si>
  <si>
    <t>GUAPOTA</t>
  </si>
  <si>
    <t>GUAVATA</t>
  </si>
  <si>
    <t>GUEPSA</t>
  </si>
  <si>
    <t>HATO</t>
  </si>
  <si>
    <t>JESUS MARIA</t>
  </si>
  <si>
    <t>JORDAN</t>
  </si>
  <si>
    <t>LA BELLEZA</t>
  </si>
  <si>
    <t>LANDAZURI</t>
  </si>
  <si>
    <t>LEBRIJA</t>
  </si>
  <si>
    <t>LOS SANTOS</t>
  </si>
  <si>
    <t>MACARAVITA</t>
  </si>
  <si>
    <t>MALAGA</t>
  </si>
  <si>
    <t>MATANZA</t>
  </si>
  <si>
    <t>MOGOTES</t>
  </si>
  <si>
    <t>MOLAGAVITA</t>
  </si>
  <si>
    <t>OCAMONTE</t>
  </si>
  <si>
    <t>OIBA</t>
  </si>
  <si>
    <t>ONZAGA</t>
  </si>
  <si>
    <t>PALMAR</t>
  </si>
  <si>
    <t>PALMAS DEL SOCORRO</t>
  </si>
  <si>
    <t>PARAMO</t>
  </si>
  <si>
    <t>PINCHOTE</t>
  </si>
  <si>
    <t>PUENTE NACIONAL</t>
  </si>
  <si>
    <t>PUERTO PARRA</t>
  </si>
  <si>
    <t>PUERTO WILCHES</t>
  </si>
  <si>
    <t>SABANA DE TORRES</t>
  </si>
  <si>
    <t>SAN BENITO</t>
  </si>
  <si>
    <t>SAN GIL</t>
  </si>
  <si>
    <t>SAN JOAQUIN</t>
  </si>
  <si>
    <t>SAN JOSE DE MIRANDA</t>
  </si>
  <si>
    <t>SAN VICENTE DE CHUCURI</t>
  </si>
  <si>
    <t>SANTA HELENA DEL OPON</t>
  </si>
  <si>
    <t>SIMACOTA</t>
  </si>
  <si>
    <t>SUAITA</t>
  </si>
  <si>
    <t>SURATA</t>
  </si>
  <si>
    <t>TONA</t>
  </si>
  <si>
    <t>VALLE DE SAN JOSE</t>
  </si>
  <si>
    <t>VELEZ</t>
  </si>
  <si>
    <t>VETAS</t>
  </si>
  <si>
    <t>ZAPATOCA</t>
  </si>
  <si>
    <t>SAN PEDRO</t>
  </si>
  <si>
    <t>CAIMITO</t>
  </si>
  <si>
    <t>CHALAN</t>
  </si>
  <si>
    <t>COLOSO</t>
  </si>
  <si>
    <t>COROZAL</t>
  </si>
  <si>
    <t>COVEÑAS</t>
  </si>
  <si>
    <t>EL ROBLE</t>
  </si>
  <si>
    <t>GALERAS</t>
  </si>
  <si>
    <t>GUARANDA</t>
  </si>
  <si>
    <t>LOS PALMITOS</t>
  </si>
  <si>
    <t>MORROA</t>
  </si>
  <si>
    <t>OVEJAS</t>
  </si>
  <si>
    <t>PALMITO</t>
  </si>
  <si>
    <t>SAMPUES</t>
  </si>
  <si>
    <t>SAN BENITO ABAD</t>
  </si>
  <si>
    <t>SAN JUAN DE BETULIA</t>
  </si>
  <si>
    <t>SAN LUIS DE SINCE</t>
  </si>
  <si>
    <t>SAN MARCOS</t>
  </si>
  <si>
    <t>SAN ONOFRE</t>
  </si>
  <si>
    <t>SANTIAGO DE TOLU</t>
  </si>
  <si>
    <t>TOLU VIEJO</t>
  </si>
  <si>
    <t>ALPUJARRA</t>
  </si>
  <si>
    <t>ALVARADO</t>
  </si>
  <si>
    <t>AMBALEMA</t>
  </si>
  <si>
    <t>ANZOATEGUI</t>
  </si>
  <si>
    <t>ARMERO</t>
  </si>
  <si>
    <t>ATACO</t>
  </si>
  <si>
    <t>CAJAMARCA</t>
  </si>
  <si>
    <t>CARMEN DE APICALA</t>
  </si>
  <si>
    <t>CASABIANCA</t>
  </si>
  <si>
    <t>COELLO</t>
  </si>
  <si>
    <t>COYAIMA</t>
  </si>
  <si>
    <t>CUNDAY</t>
  </si>
  <si>
    <t>DOLORES</t>
  </si>
  <si>
    <t>ESPINAL</t>
  </si>
  <si>
    <t>FALAN</t>
  </si>
  <si>
    <t>FLANDES</t>
  </si>
  <si>
    <t>FRESNO</t>
  </si>
  <si>
    <t>GUAMO</t>
  </si>
  <si>
    <t>HERVEO</t>
  </si>
  <si>
    <t>HONDA</t>
  </si>
  <si>
    <t>ICONONZO</t>
  </si>
  <si>
    <t>LERIDA</t>
  </si>
  <si>
    <t>LIBANO</t>
  </si>
  <si>
    <t>MARIQUITA</t>
  </si>
  <si>
    <t>MELGAR</t>
  </si>
  <si>
    <t>MURILLO</t>
  </si>
  <si>
    <t>NATAGAIMA</t>
  </si>
  <si>
    <t>ORTEGA</t>
  </si>
  <si>
    <t>PIEDRAS</t>
  </si>
  <si>
    <t>PLANADAS</t>
  </si>
  <si>
    <t>PRADO</t>
  </si>
  <si>
    <t>PURIFICACION</t>
  </si>
  <si>
    <t>RIOBLANCO</t>
  </si>
  <si>
    <t>RONCESVALLES</t>
  </si>
  <si>
    <t>ROVIRA</t>
  </si>
  <si>
    <t>SALDAÑA</t>
  </si>
  <si>
    <t>SAN ANTONIO</t>
  </si>
  <si>
    <t>SANTA ISABEL</t>
  </si>
  <si>
    <t>VALLE DE SAN JUAN</t>
  </si>
  <si>
    <t>VENADILLO</t>
  </si>
  <si>
    <t>VILLAHERMOSA</t>
  </si>
  <si>
    <t>VILLARRICA</t>
  </si>
  <si>
    <t>ALCALA</t>
  </si>
  <si>
    <t>ANDALUCIA</t>
  </si>
  <si>
    <t>ANSERMANUEVO</t>
  </si>
  <si>
    <t>BUENAVENTURA</t>
  </si>
  <si>
    <t>BUGALAGRANDE</t>
  </si>
  <si>
    <t>CAICEDONIA</t>
  </si>
  <si>
    <t>CALIMA</t>
  </si>
  <si>
    <t>DAGUA</t>
  </si>
  <si>
    <t>EL AGUILA</t>
  </si>
  <si>
    <t>EL CAIRO</t>
  </si>
  <si>
    <t>EL CERRITO</t>
  </si>
  <si>
    <t>EL DOVIO</t>
  </si>
  <si>
    <t>FLORIDA</t>
  </si>
  <si>
    <t>GINEBRA</t>
  </si>
  <si>
    <t>GUACARI</t>
  </si>
  <si>
    <t>GUADALAJARA DE BUGA</t>
  </si>
  <si>
    <t>JAMUNDI</t>
  </si>
  <si>
    <t>LA CUMBRE</t>
  </si>
  <si>
    <t>OBANDO</t>
  </si>
  <si>
    <t>PALMIRA</t>
  </si>
  <si>
    <t>PRADERA</t>
  </si>
  <si>
    <t>RIOFRIO</t>
  </si>
  <si>
    <t>ROLDANILLO</t>
  </si>
  <si>
    <t>SEVILLA</t>
  </si>
  <si>
    <t>TORO</t>
  </si>
  <si>
    <t>TRUJILLO</t>
  </si>
  <si>
    <t>ULLOA</t>
  </si>
  <si>
    <t>VERSALLES</t>
  </si>
  <si>
    <t>VIJES</t>
  </si>
  <si>
    <t>YOTOCO</t>
  </si>
  <si>
    <t>ZARZAL</t>
  </si>
  <si>
    <t>CARURU</t>
  </si>
  <si>
    <t>VAUPES</t>
  </si>
  <si>
    <t>MITU</t>
  </si>
  <si>
    <t>PACOA</t>
  </si>
  <si>
    <t>PAPUNAUA</t>
  </si>
  <si>
    <t>TARAIRA</t>
  </si>
  <si>
    <t>YAVARATE</t>
  </si>
  <si>
    <t>CUMARIBO</t>
  </si>
  <si>
    <t>VICHADA</t>
  </si>
  <si>
    <t>LA PRIMAVERA</t>
  </si>
  <si>
    <t>PUERTO CARREÑO</t>
  </si>
  <si>
    <t>SANTA ROSALIA</t>
  </si>
  <si>
    <t>TUCHIN</t>
  </si>
  <si>
    <t>SAN JOSE DE URE</t>
  </si>
  <si>
    <t>CENTRO_COSTO</t>
  </si>
  <si>
    <t>DESCRIPCION</t>
  </si>
  <si>
    <t>Redeban Noroccidente (Medellín)</t>
  </si>
  <si>
    <t>Redeban Costa (Barranqullla)</t>
  </si>
  <si>
    <t>Redeban Centro ( Bogotá)</t>
  </si>
  <si>
    <t>Redeban Santander</t>
  </si>
  <si>
    <t>Redeban Suroccidente (Cali)</t>
  </si>
  <si>
    <t>Redeban Oriente (Otros)</t>
  </si>
  <si>
    <t>Redeban Eje Cafetero (Pereira)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</si>
</sst>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 #,##0;[Red]\-&quot;$&quot;\ #,##0"/>
    <numFmt numFmtId="164" formatCode="_(&quot;$&quot;\ * #,##0.00_);_(&quot;$&quot;\ * \(#,##0.00\);_(&quot;$&quot;\ * &quot;-&quot;??_);_(@_)"/>
    <numFmt numFmtId="165" formatCode="_-&quot;$&quot;* #,##0.00_-;\-&quot;$&quot;* #,##0.00_-;_-&quot;$&quot;* &quot;-&quot;??_-;_-@_-"/>
    <numFmt numFmtId="166" formatCode="_(&quot;$&quot;\ * #,##0_);_(&quot;$&quot;\ * \(#,##0\);_(&quot;$&quot;\ * &quot;-&quot;??_);_(@_)"/>
    <numFmt numFmtId="167" formatCode="&quot;$&quot;\ #,##0"/>
    <numFmt numFmtId="168" formatCode="_-&quot;$&quot;* #,##0_-;\-&quot;$&quot;* #,##0_-;_-&quot;$&quot;* &quot;-&quot;??_-;_-@_-"/>
    <numFmt numFmtId="169" formatCode="[$-240A]dddd\,\ dd&quot; de &quot;mmmm&quot; de &quot;yyyy"/>
  </numFmts>
  <fonts count="22">
    <font>
      <sz val="11"/>
      <color theme="1"/>
      <name val="Calibri"/>
      <family val="2"/>
      <scheme val="minor"/>
    </font>
    <font>
      <sz val="11"/>
      <color theme="1"/>
      <name val="Calibri"/>
      <family val="2"/>
      <scheme val="minor"/>
    </font>
    <font>
      <sz val="10"/>
      <color theme="1"/>
      <name val="Apex"/>
      <family val="2"/>
    </font>
    <font>
      <sz val="10"/>
      <name val="Arial"/>
      <family val="2"/>
    </font>
    <font>
      <b/>
      <sz val="9"/>
      <color indexed="81"/>
      <name val="Tahoma"/>
      <family val="2"/>
    </font>
    <font>
      <sz val="8"/>
      <color theme="1"/>
      <name val="Gelion Thin"/>
    </font>
    <font>
      <b/>
      <sz val="8"/>
      <name val="Gelion Thin"/>
    </font>
    <font>
      <b/>
      <sz val="10"/>
      <name val="Gelion Thin"/>
    </font>
    <font>
      <sz val="10"/>
      <color rgb="FF000000"/>
      <name val="Gelion Thin"/>
    </font>
    <font>
      <sz val="10"/>
      <color theme="1"/>
      <name val="Gelion Thin"/>
    </font>
    <font>
      <sz val="8"/>
      <color rgb="FF000000"/>
      <name val="Gelion Thin"/>
    </font>
    <font>
      <sz val="10"/>
      <name val="Gelion Thin"/>
    </font>
    <font>
      <sz val="8"/>
      <name val="Gelion Thin"/>
    </font>
    <font>
      <b/>
      <sz val="11"/>
      <color theme="1"/>
      <name val="Gelion Thin"/>
    </font>
    <font>
      <b/>
      <i/>
      <sz val="11"/>
      <color rgb="FFFFFFFF"/>
      <name val="Century Gothic"/>
      <family val="2"/>
    </font>
    <font>
      <sz val="10"/>
      <color rgb="FF000000"/>
      <name val="Century Gothic"/>
      <family val="2"/>
    </font>
    <font>
      <sz val="10"/>
      <color rgb="FF3A3838"/>
      <name val="Century Gothic"/>
      <family val="2"/>
    </font>
    <font>
      <sz val="11"/>
      <color rgb="FF000000"/>
      <name val="Gelion Thin"/>
    </font>
    <font>
      <sz val="8"/>
      <name val="Gelion Light"/>
    </font>
    <font>
      <b/>
      <sz val="9"/>
      <color rgb="FFC00000"/>
      <name val="Gelion Thin"/>
    </font>
    <font>
      <sz val="11"/>
      <color rgb="FFC00000"/>
      <name val="Calibri"/>
      <family val="2"/>
      <scheme val="minor"/>
    </font>
    <font>
      <sz val="11"/>
      <name val="Calibri"/>
      <family val="2"/>
      <scheme val="minor"/>
    </font>
  </fonts>
  <fills count="11">
    <fill>
      <patternFill patternType="none"/>
    </fill>
    <fill>
      <patternFill patternType="gray125"/>
    </fill>
    <fill>
      <patternFill patternType="solid">
        <fgColor theme="0" tint="-0.34998626667073579"/>
        <bgColor indexed="64"/>
      </patternFill>
    </fill>
    <fill>
      <patternFill patternType="solid">
        <fgColor rgb="FF9B9B9A"/>
        <bgColor indexed="64"/>
      </patternFill>
    </fill>
    <fill>
      <patternFill patternType="solid">
        <fgColor rgb="FF305496"/>
        <bgColor rgb="FF000000"/>
      </patternFill>
    </fill>
    <fill>
      <patternFill patternType="solid">
        <fgColor rgb="FFACB9CA"/>
        <bgColor rgb="FF000000"/>
      </patternFill>
    </fill>
    <fill>
      <patternFill patternType="solid">
        <fgColor rgb="FF00B0F0"/>
        <bgColor rgb="FF000000"/>
      </patternFill>
    </fill>
    <fill>
      <patternFill patternType="solid">
        <fgColor rgb="FFFFFF00"/>
        <bgColor rgb="FF000000"/>
      </patternFill>
    </fill>
    <fill>
      <patternFill patternType="solid">
        <fgColor rgb="FF00B0F0"/>
        <bgColor indexed="64"/>
      </patternFill>
    </fill>
    <fill>
      <patternFill patternType="solid">
        <fgColor rgb="FF92D050"/>
        <bgColor indexed="64"/>
      </patternFill>
    </fill>
    <fill>
      <patternFill patternType="solid">
        <fgColor theme="6"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7">
    <xf numFmtId="0" fontId="0" fillId="0" borderId="0"/>
    <xf numFmtId="165" fontId="1" fillId="0" borderId="0" applyFont="0" applyFill="0" applyBorder="0" applyAlignment="0" applyProtection="0"/>
    <xf numFmtId="0" fontId="1" fillId="0" borderId="0"/>
    <xf numFmtId="0" fontId="2" fillId="0" borderId="0"/>
    <xf numFmtId="164" fontId="3" fillId="0" borderId="0" applyFont="0" applyFill="0" applyBorder="0" applyAlignment="0" applyProtection="0"/>
    <xf numFmtId="0" fontId="3" fillId="0" borderId="0"/>
    <xf numFmtId="0" fontId="1" fillId="0" borderId="0"/>
  </cellStyleXfs>
  <cellXfs count="101">
    <xf numFmtId="0" fontId="0" fillId="0" borderId="0" xfId="0"/>
    <xf numFmtId="164" fontId="7" fillId="2" borderId="1" xfId="4" applyFont="1" applyFill="1" applyBorder="1" applyAlignment="1">
      <alignment horizontal="center" vertical="center"/>
    </xf>
    <xf numFmtId="0" fontId="8" fillId="0" borderId="1" xfId="0" applyFont="1" applyBorder="1" applyAlignment="1">
      <alignment vertical="center"/>
    </xf>
    <xf numFmtId="6" fontId="9" fillId="0" borderId="1" xfId="0" applyNumberFormat="1" applyFont="1" applyBorder="1" applyAlignment="1">
      <alignment vertical="center" wrapText="1"/>
    </xf>
    <xf numFmtId="0" fontId="10" fillId="0" borderId="2" xfId="0" applyFont="1" applyBorder="1" applyAlignment="1">
      <alignment vertical="center"/>
    </xf>
    <xf numFmtId="0" fontId="10" fillId="0" borderId="0" xfId="0" applyFont="1" applyAlignment="1">
      <alignment vertical="center"/>
    </xf>
    <xf numFmtId="166" fontId="5" fillId="0" borderId="0" xfId="4" applyNumberFormat="1" applyFont="1" applyAlignment="1">
      <alignment horizontal="center" vertical="center"/>
    </xf>
    <xf numFmtId="0" fontId="10" fillId="0" borderId="1" xfId="0" applyFont="1" applyBorder="1" applyAlignment="1">
      <alignment vertical="center"/>
    </xf>
    <xf numFmtId="0" fontId="5" fillId="0" borderId="0" xfId="0" applyFont="1"/>
    <xf numFmtId="0" fontId="7" fillId="0" borderId="1" xfId="0" applyFont="1" applyBorder="1" applyAlignment="1">
      <alignment horizontal="center"/>
    </xf>
    <xf numFmtId="0" fontId="11" fillId="0" borderId="1" xfId="0" applyFont="1" applyBorder="1"/>
    <xf numFmtId="167" fontId="11" fillId="0" borderId="1" xfId="0" applyNumberFormat="1" applyFont="1" applyBorder="1"/>
    <xf numFmtId="166" fontId="7" fillId="0" borderId="1" xfId="1" applyNumberFormat="1" applyFont="1" applyBorder="1"/>
    <xf numFmtId="0" fontId="5" fillId="0" borderId="1" xfId="5" applyFont="1" applyBorder="1" applyProtection="1">
      <protection locked="0"/>
    </xf>
    <xf numFmtId="0" fontId="5" fillId="0" borderId="1" xfId="5" applyFont="1" applyBorder="1"/>
    <xf numFmtId="166" fontId="5" fillId="0" borderId="1" xfId="4" applyNumberFormat="1" applyFont="1" applyBorder="1" applyAlignment="1">
      <alignment vertical="center"/>
    </xf>
    <xf numFmtId="166" fontId="5" fillId="0" borderId="1" xfId="5" applyNumberFormat="1" applyFont="1" applyBorder="1" applyAlignment="1">
      <alignment vertical="center"/>
    </xf>
    <xf numFmtId="0" fontId="13" fillId="0" borderId="1" xfId="0" applyFont="1" applyBorder="1"/>
    <xf numFmtId="0" fontId="7" fillId="3" borderId="1" xfId="0" applyFont="1" applyFill="1" applyBorder="1"/>
    <xf numFmtId="0" fontId="6" fillId="3" borderId="1" xfId="5" applyFont="1" applyFill="1" applyBorder="1" applyAlignment="1">
      <alignment horizontal="center"/>
    </xf>
    <xf numFmtId="167" fontId="6" fillId="3" borderId="1" xfId="5" applyNumberFormat="1" applyFont="1" applyFill="1" applyBorder="1" applyAlignment="1">
      <alignment horizontal="center" vertical="center"/>
    </xf>
    <xf numFmtId="166" fontId="7" fillId="3" borderId="1" xfId="1" applyNumberFormat="1" applyFont="1" applyFill="1" applyBorder="1"/>
    <xf numFmtId="0" fontId="13" fillId="0" borderId="1" xfId="6" applyFont="1" applyBorder="1"/>
    <xf numFmtId="0" fontId="12" fillId="0" borderId="7" xfId="5" applyFont="1" applyBorder="1"/>
    <xf numFmtId="0" fontId="6" fillId="3" borderId="8" xfId="5" applyFont="1" applyFill="1" applyBorder="1" applyAlignment="1">
      <alignment horizontal="center"/>
    </xf>
    <xf numFmtId="167" fontId="6" fillId="3" borderId="9" xfId="5" applyNumberFormat="1" applyFont="1" applyFill="1" applyBorder="1" applyAlignment="1">
      <alignment horizontal="center" vertical="center"/>
    </xf>
    <xf numFmtId="0" fontId="14" fillId="4" borderId="1" xfId="0" applyFont="1" applyFill="1" applyBorder="1" applyAlignment="1">
      <alignment wrapText="1"/>
    </xf>
    <xf numFmtId="0" fontId="14" fillId="4" borderId="4" xfId="0" applyFont="1" applyFill="1" applyBorder="1" applyAlignment="1">
      <alignment wrapText="1"/>
    </xf>
    <xf numFmtId="0" fontId="14" fillId="5" borderId="4" xfId="0" applyFont="1" applyFill="1" applyBorder="1" applyAlignment="1">
      <alignment wrapText="1"/>
    </xf>
    <xf numFmtId="0" fontId="15" fillId="0" borderId="5" xfId="0" applyFont="1" applyBorder="1"/>
    <xf numFmtId="0" fontId="15" fillId="6" borderId="13" xfId="0" applyFont="1" applyFill="1" applyBorder="1"/>
    <xf numFmtId="0" fontId="15" fillId="0" borderId="13" xfId="0" applyFont="1" applyBorder="1"/>
    <xf numFmtId="0" fontId="16" fillId="0" borderId="13" xfId="0" applyFont="1" applyBorder="1"/>
    <xf numFmtId="0" fontId="15" fillId="7" borderId="13" xfId="0" applyFont="1" applyFill="1" applyBorder="1"/>
    <xf numFmtId="0" fontId="17" fillId="0" borderId="1" xfId="0" applyFont="1" applyBorder="1"/>
    <xf numFmtId="0" fontId="17" fillId="0" borderId="4" xfId="0" applyFont="1" applyBorder="1"/>
    <xf numFmtId="0" fontId="17" fillId="0" borderId="5" xfId="0" applyFont="1" applyBorder="1"/>
    <xf numFmtId="0" fontId="17" fillId="0" borderId="13" xfId="0" applyFont="1" applyBorder="1"/>
    <xf numFmtId="0" fontId="0" fillId="0" borderId="0" xfId="0" pivotButton="1"/>
    <xf numFmtId="0" fontId="0" fillId="0" borderId="0" xfId="0" applyAlignment="1">
      <alignment horizontal="center"/>
    </xf>
    <xf numFmtId="10" fontId="0" fillId="0" borderId="0" xfId="0" applyNumberFormat="1" applyAlignment="1">
      <alignment horizontal="center"/>
    </xf>
    <xf numFmtId="168" fontId="0" fillId="0" borderId="0" xfId="0" applyNumberFormat="1"/>
    <xf numFmtId="6" fontId="0" fillId="0" borderId="0" xfId="0" applyNumberFormat="1"/>
    <xf numFmtId="10" fontId="0" fillId="9" borderId="7" xfId="0" applyNumberFormat="1" applyFill="1" applyBorder="1" applyAlignment="1">
      <alignment horizontal="center"/>
    </xf>
    <xf numFmtId="164" fontId="7" fillId="2" borderId="3" xfId="4" applyFont="1" applyFill="1" applyBorder="1" applyAlignment="1">
      <alignment horizontal="center" vertical="center"/>
    </xf>
    <xf numFmtId="164" fontId="7" fillId="2" borderId="8" xfId="4" applyFont="1" applyFill="1" applyBorder="1" applyAlignment="1">
      <alignment horizontal="center" vertical="center"/>
    </xf>
    <xf numFmtId="167" fontId="11" fillId="0" borderId="5" xfId="0" applyNumberFormat="1" applyFont="1" applyBorder="1"/>
    <xf numFmtId="6" fontId="9" fillId="10" borderId="1" xfId="0" applyNumberFormat="1" applyFont="1" applyFill="1" applyBorder="1" applyAlignment="1">
      <alignment horizontal="center"/>
    </xf>
    <xf numFmtId="166" fontId="5" fillId="10" borderId="1" xfId="4" applyNumberFormat="1" applyFont="1" applyFill="1" applyBorder="1" applyAlignment="1">
      <alignment horizontal="center" vertical="center"/>
    </xf>
    <xf numFmtId="0" fontId="18" fillId="0" borderId="7" xfId="0" applyFont="1" applyBorder="1" applyAlignment="1">
      <alignment horizontal="center"/>
    </xf>
    <xf numFmtId="0" fontId="11" fillId="0" borderId="7" xfId="0" applyFont="1" applyBorder="1" applyAlignment="1">
      <alignment horizontal="center" vertical="center"/>
    </xf>
    <xf numFmtId="168" fontId="11" fillId="0" borderId="7" xfId="0" applyNumberFormat="1" applyFont="1" applyBorder="1" applyAlignment="1">
      <alignment horizontal="center" vertical="center"/>
    </xf>
    <xf numFmtId="166" fontId="5" fillId="0" borderId="7" xfId="4" applyNumberFormat="1" applyFont="1" applyBorder="1" applyAlignment="1">
      <alignment vertical="center"/>
    </xf>
    <xf numFmtId="166" fontId="5" fillId="0" borderId="7" xfId="5" applyNumberFormat="1" applyFont="1" applyBorder="1" applyAlignment="1">
      <alignment vertical="center"/>
    </xf>
    <xf numFmtId="0" fontId="5" fillId="0" borderId="7" xfId="5" applyFont="1" applyBorder="1" applyAlignment="1" applyProtection="1">
      <alignment horizontal="center" vertical="center"/>
      <protection locked="0"/>
    </xf>
    <xf numFmtId="0" fontId="18" fillId="0" borderId="10" xfId="0" applyFont="1" applyBorder="1" applyAlignment="1">
      <alignment horizontal="center"/>
    </xf>
    <xf numFmtId="166" fontId="5" fillId="0" borderId="8" xfId="4" applyNumberFormat="1" applyFont="1" applyBorder="1" applyAlignment="1">
      <alignment vertical="center"/>
    </xf>
    <xf numFmtId="166" fontId="5" fillId="0" borderId="8" xfId="5" applyNumberFormat="1" applyFont="1" applyBorder="1" applyAlignment="1">
      <alignment vertical="center"/>
    </xf>
    <xf numFmtId="167" fontId="6" fillId="3" borderId="13" xfId="5" applyNumberFormat="1" applyFont="1" applyFill="1" applyBorder="1" applyAlignment="1">
      <alignment horizontal="center" vertical="center"/>
    </xf>
    <xf numFmtId="167" fontId="6" fillId="3" borderId="5" xfId="5" applyNumberFormat="1" applyFont="1" applyFill="1" applyBorder="1" applyAlignment="1">
      <alignment horizontal="center" vertical="center"/>
    </xf>
    <xf numFmtId="1" fontId="11" fillId="0" borderId="7" xfId="0" applyNumberFormat="1" applyFont="1" applyBorder="1" applyAlignment="1">
      <alignment horizontal="center"/>
    </xf>
    <xf numFmtId="168" fontId="7" fillId="8" borderId="8" xfId="1" applyNumberFormat="1" applyFont="1" applyFill="1" applyBorder="1" applyAlignment="1" applyProtection="1">
      <alignment horizontal="left" vertical="center"/>
      <protection locked="0"/>
    </xf>
    <xf numFmtId="0" fontId="11" fillId="0" borderId="0" xfId="0" applyFont="1" applyAlignment="1">
      <alignment vertical="center"/>
    </xf>
    <xf numFmtId="0" fontId="11" fillId="0" borderId="8" xfId="0" applyFont="1" applyBorder="1"/>
    <xf numFmtId="167" fontId="11" fillId="0" borderId="8" xfId="0" applyNumberFormat="1" applyFont="1" applyBorder="1"/>
    <xf numFmtId="168" fontId="19" fillId="0" borderId="5" xfId="0" applyNumberFormat="1" applyFont="1" applyBorder="1" applyAlignment="1">
      <alignment horizontal="center"/>
    </xf>
    <xf numFmtId="0" fontId="20" fillId="0" borderId="0" xfId="0" applyFont="1"/>
    <xf numFmtId="0" fontId="21" fillId="0" borderId="0" xfId="0" applyFont="1"/>
    <xf numFmtId="0" fontId="0" fillId="8" borderId="1" xfId="0" applyFill="1" applyBorder="1" applyAlignment="1">
      <alignment horizontal="center" vertical="center" wrapText="1"/>
    </xf>
    <xf numFmtId="0" fontId="7" fillId="8" borderId="1" xfId="0" applyFont="1" applyFill="1" applyBorder="1" applyAlignment="1" applyProtection="1">
      <alignment horizontal="center" vertical="center" wrapText="1"/>
      <protection locked="0"/>
    </xf>
    <xf numFmtId="168" fontId="7" fillId="8" borderId="1" xfId="1" applyNumberFormat="1" applyFont="1" applyFill="1" applyBorder="1" applyAlignment="1">
      <alignment horizontal="center" vertical="center" wrapText="1"/>
    </xf>
    <xf numFmtId="169" fontId="7" fillId="8" borderId="1" xfId="0" applyNumberFormat="1" applyFont="1" applyFill="1" applyBorder="1" applyAlignment="1">
      <alignment horizontal="center" vertical="center" wrapText="1"/>
    </xf>
    <xf numFmtId="169" fontId="7" fillId="8" borderId="1" xfId="0" applyNumberFormat="1" applyFont="1" applyFill="1" applyBorder="1" applyAlignment="1" applyProtection="1">
      <alignment horizontal="center" vertical="center" wrapText="1"/>
      <protection locked="0"/>
    </xf>
    <xf numFmtId="0" fontId="11" fillId="0" borderId="7" xfId="0" applyFont="1" applyBorder="1"/>
    <xf numFmtId="1" fontId="11" fillId="0" borderId="7" xfId="0" applyNumberFormat="1" applyFont="1" applyBorder="1"/>
    <xf numFmtId="22" fontId="11" fillId="0" borderId="7" xfId="0" applyNumberFormat="1" applyFont="1" applyBorder="1"/>
    <xf numFmtId="22" fontId="11" fillId="0" borderId="15" xfId="0" applyNumberFormat="1" applyFont="1" applyBorder="1"/>
    <xf numFmtId="1" fontId="11" fillId="0" borderId="14" xfId="0" applyNumberFormat="1" applyFont="1" applyBorder="1"/>
    <xf numFmtId="0" fontId="11" fillId="0" borderId="7" xfId="0" applyFont="1" applyBorder="1" applyAlignment="1">
      <alignment horizontal="left"/>
    </xf>
    <xf numFmtId="1" fontId="11" fillId="0" borderId="7" xfId="0" applyNumberFormat="1" applyFont="1" applyBorder="1" applyAlignment="1">
      <alignment horizontal="left"/>
    </xf>
    <xf numFmtId="1" fontId="11" fillId="0" borderId="14" xfId="0" applyNumberFormat="1" applyFont="1" applyBorder="1" applyAlignment="1">
      <alignment horizontal="center" vertical="center"/>
    </xf>
    <xf numFmtId="0" fontId="11" fillId="0" borderId="0" xfId="0" applyFont="1"/>
    <xf numFmtId="0" fontId="7" fillId="3" borderId="3" xfId="5" applyFont="1" applyFill="1" applyBorder="1" applyAlignment="1">
      <alignment horizontal="center"/>
    </xf>
    <xf numFmtId="0" fontId="7" fillId="3" borderId="6" xfId="5" applyFont="1" applyFill="1" applyBorder="1" applyAlignment="1">
      <alignment horizontal="center"/>
    </xf>
    <xf numFmtId="0" fontId="7" fillId="3" borderId="4" xfId="5" applyFont="1" applyFill="1" applyBorder="1" applyAlignment="1">
      <alignment horizontal="center"/>
    </xf>
    <xf numFmtId="17" fontId="7" fillId="3" borderId="3" xfId="5" applyNumberFormat="1" applyFont="1" applyFill="1" applyBorder="1" applyAlignment="1" applyProtection="1">
      <alignment horizontal="center"/>
      <protection locked="0"/>
    </xf>
    <xf numFmtId="17" fontId="7" fillId="3" borderId="6" xfId="5" applyNumberFormat="1" applyFont="1" applyFill="1" applyBorder="1" applyAlignment="1" applyProtection="1">
      <alignment horizontal="center"/>
      <protection locked="0"/>
    </xf>
    <xf numFmtId="17" fontId="7" fillId="3" borderId="4" xfId="5" applyNumberFormat="1" applyFont="1" applyFill="1" applyBorder="1" applyAlignment="1" applyProtection="1">
      <alignment horizontal="center"/>
      <protection locked="0"/>
    </xf>
    <xf numFmtId="1" fontId="11" fillId="0" borderId="1" xfId="1" applyNumberFormat="1" applyFont="1" applyBorder="1" applyAlignment="1">
      <alignment horizontal="center"/>
    </xf>
    <xf numFmtId="0" fontId="7" fillId="3" borderId="1" xfId="0" applyFont="1" applyFill="1" applyBorder="1" applyAlignment="1">
      <alignment horizontal="center"/>
    </xf>
    <xf numFmtId="49" fontId="7" fillId="3" borderId="1" xfId="0" applyNumberFormat="1" applyFont="1" applyFill="1" applyBorder="1" applyAlignment="1">
      <alignment horizontal="center"/>
    </xf>
    <xf numFmtId="0" fontId="7" fillId="0" borderId="1" xfId="0" applyFont="1" applyBorder="1" applyAlignment="1">
      <alignment horizontal="center"/>
    </xf>
    <xf numFmtId="0" fontId="7" fillId="3" borderId="3" xfId="0" applyFont="1" applyFill="1" applyBorder="1" applyAlignment="1">
      <alignment horizontal="center"/>
    </xf>
    <xf numFmtId="0" fontId="7" fillId="3" borderId="6" xfId="0" applyFont="1" applyFill="1" applyBorder="1" applyAlignment="1">
      <alignment horizontal="center"/>
    </xf>
    <xf numFmtId="0" fontId="7" fillId="3" borderId="4" xfId="0" applyFont="1" applyFill="1" applyBorder="1" applyAlignment="1">
      <alignment horizontal="center"/>
    </xf>
    <xf numFmtId="0" fontId="7" fillId="0" borderId="5"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1" fontId="11" fillId="0" borderId="11" xfId="1" applyNumberFormat="1" applyFont="1" applyBorder="1" applyAlignment="1">
      <alignment horizontal="center"/>
    </xf>
    <xf numFmtId="1" fontId="11" fillId="0" borderId="12" xfId="1" applyNumberFormat="1" applyFont="1" applyBorder="1" applyAlignment="1">
      <alignment horizontal="center"/>
    </xf>
    <xf numFmtId="0" fontId="7" fillId="2" borderId="0" xfId="0" applyFont="1" applyFill="1" applyAlignment="1">
      <alignment horizontal="center"/>
    </xf>
  </cellXfs>
  <cellStyles count="7">
    <cellStyle name="Moneda" xfId="1" builtinId="4"/>
    <cellStyle name="Moneda 2 10" xfId="4" xr:uid="{00000000-0005-0000-0000-000001000000}"/>
    <cellStyle name="Normal" xfId="0" builtinId="0"/>
    <cellStyle name="Normal 172" xfId="3" xr:uid="{00000000-0005-0000-0000-000003000000}"/>
    <cellStyle name="Normal 177" xfId="6" xr:uid="{0A95A77B-9D49-42E9-8927-52D2AFB01FA1}"/>
    <cellStyle name="Normal 2 10 2" xfId="5" xr:uid="{00000000-0005-0000-0000-000004000000}"/>
    <cellStyle name="Normal 2 2 2 2 6 2" xfId="2" xr:uid="{00000000-0005-0000-0000-000005000000}"/>
  </cellStyles>
  <dxfs count="4">
    <dxf>
      <font>
        <color rgb="FF9C0006"/>
      </font>
      <fill>
        <patternFill>
          <bgColor rgb="FFFFC7CE"/>
        </patternFill>
      </fill>
    </dxf>
    <dxf>
      <alignment horizontal="center"/>
    </dxf>
    <dxf>
      <alignment horizontal="center"/>
    </dxf>
    <dxf>
      <numFmt numFmtId="168" formatCode="_-&quot;$&quot;* #,##0_-;\-&quot;$&quot;* #,##0_-;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pivotCacheDefinition" Target="pivotCache/pivotCacheDefinition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4.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304800</xdr:colOff>
      <xdr:row>3</xdr:row>
      <xdr:rowOff>57856</xdr:rowOff>
    </xdr:to>
    <xdr:sp macro="" textlink="">
      <xdr:nvSpPr>
        <xdr:cNvPr id="2" name="AutoShape 1" descr="image.png">
          <a:extLst>
            <a:ext uri="{FF2B5EF4-FFF2-40B4-BE49-F238E27FC236}">
              <a16:creationId xmlns:a16="http://schemas.microsoft.com/office/drawing/2014/main" id="{888FDA73-903B-4D86-A3FB-C57D58FD7AF6}"/>
            </a:ext>
          </a:extLst>
        </xdr:cNvPr>
        <xdr:cNvSpPr>
          <a:spLocks noChangeAspect="1" noChangeArrowheads="1"/>
        </xdr:cNvSpPr>
      </xdr:nvSpPr>
      <xdr:spPr bwMode="auto">
        <a:xfrm>
          <a:off x="11658600" y="182880"/>
          <a:ext cx="304800" cy="7684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55CCF4B3-253F-479B-87D6-7D92DD202B28}"/>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pic>
      <xdr:nvPicPr>
        <xdr:cNvPr id="4" name="Picture 3">
          <a:extLst>
            <a:ext uri="{FF2B5EF4-FFF2-40B4-BE49-F238E27FC236}">
              <a16:creationId xmlns:a16="http://schemas.microsoft.com/office/drawing/2014/main" id="{39674A97-53B7-4AA9-B4CF-8D52833B83B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5" name="Picture 4">
          <a:extLst>
            <a:ext uri="{FF2B5EF4-FFF2-40B4-BE49-F238E27FC236}">
              <a16:creationId xmlns:a16="http://schemas.microsoft.com/office/drawing/2014/main" id="{00943430-7326-4322-954C-BBA0F29393C7}"/>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6" name="ComboBox1">
          <a:extLst>
            <a:ext uri="{FF2B5EF4-FFF2-40B4-BE49-F238E27FC236}">
              <a16:creationId xmlns:a16="http://schemas.microsoft.com/office/drawing/2014/main" id="{5EE9C55E-5702-4BEC-BCB8-CD5064E8C4E3}"/>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D76E7B39-2056-45C4-891A-F622CBBF22F0}"/>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8" name="ComboBox1" hidden="1">
          <a:extLst>
            <a:ext uri="{63B3BB69-23CF-44E3-9099-C40C66FF867C}">
              <a14:compatExt xmlns:a14="http://schemas.microsoft.com/office/drawing/2010/main" spid="_x0000_s1028"/>
            </a:ext>
            <a:ext uri="{FF2B5EF4-FFF2-40B4-BE49-F238E27FC236}">
              <a16:creationId xmlns:a16="http://schemas.microsoft.com/office/drawing/2014/main" id="{117D3C09-ECC0-45CD-850D-82F09C814FC2}"/>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23098184-A18A-44D5-B9D3-BD6B4CD528E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0" name="ComboBox1" hidden="1">
          <a:extLst>
            <a:ext uri="{63B3BB69-23CF-44E3-9099-C40C66FF867C}">
              <a14:compatExt xmlns:a14="http://schemas.microsoft.com/office/drawing/2010/main" spid="_x0000_s1028"/>
            </a:ext>
            <a:ext uri="{FF2B5EF4-FFF2-40B4-BE49-F238E27FC236}">
              <a16:creationId xmlns:a16="http://schemas.microsoft.com/office/drawing/2014/main" id="{76ABE6AF-11A4-4CDC-88DB-03B68E76E4E6}"/>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1" name="ComboBox1" hidden="1">
          <a:extLst>
            <a:ext uri="{63B3BB69-23CF-44E3-9099-C40C66FF867C}">
              <a14:compatExt xmlns:a14="http://schemas.microsoft.com/office/drawing/2010/main" spid="_x0000_s1028"/>
            </a:ext>
            <a:ext uri="{FF2B5EF4-FFF2-40B4-BE49-F238E27FC236}">
              <a16:creationId xmlns:a16="http://schemas.microsoft.com/office/drawing/2014/main" id="{A6170E98-F50B-4860-B0FF-8A1F35E6A4C6}"/>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2" name="ComboBox1" hidden="1">
          <a:extLst>
            <a:ext uri="{63B3BB69-23CF-44E3-9099-C40C66FF867C}">
              <a14:compatExt xmlns:a14="http://schemas.microsoft.com/office/drawing/2010/main" spid="_x0000_s1028"/>
            </a:ext>
            <a:ext uri="{FF2B5EF4-FFF2-40B4-BE49-F238E27FC236}">
              <a16:creationId xmlns:a16="http://schemas.microsoft.com/office/drawing/2014/main" id="{F7667E46-FD47-4BBF-A362-668465AB29E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11</xdr:col>
      <xdr:colOff>0</xdr:colOff>
      <xdr:row>0</xdr:row>
      <xdr:rowOff>0</xdr:rowOff>
    </xdr:from>
    <xdr:to>
      <xdr:col>11</xdr:col>
      <xdr:colOff>20955</xdr:colOff>
      <xdr:row>0</xdr:row>
      <xdr:rowOff>76200</xdr:rowOff>
    </xdr:to>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8CA529D1-EE55-4F38-B481-CA553B81B782}"/>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20955</xdr:colOff>
      <xdr:row>0</xdr:row>
      <xdr:rowOff>76200</xdr:rowOff>
    </xdr:to>
    <xdr:pic>
      <xdr:nvPicPr>
        <xdr:cNvPr id="14" name="Picture 3">
          <a:extLst>
            <a:ext uri="{FF2B5EF4-FFF2-40B4-BE49-F238E27FC236}">
              <a16:creationId xmlns:a16="http://schemas.microsoft.com/office/drawing/2014/main" id="{B964519B-D46F-4727-ACAD-66D43D149DB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pic>
      <xdr:nvPicPr>
        <xdr:cNvPr id="15" name="Picture 4">
          <a:extLst>
            <a:ext uri="{FF2B5EF4-FFF2-40B4-BE49-F238E27FC236}">
              <a16:creationId xmlns:a16="http://schemas.microsoft.com/office/drawing/2014/main" id="{8C05851D-E6F3-47F8-ABE6-25660E74C05C}"/>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pic>
      <xdr:nvPicPr>
        <xdr:cNvPr id="16" name="ComboBox1">
          <a:extLst>
            <a:ext uri="{FF2B5EF4-FFF2-40B4-BE49-F238E27FC236}">
              <a16:creationId xmlns:a16="http://schemas.microsoft.com/office/drawing/2014/main" id="{B6B8717B-C2F2-469E-A3F8-7F31A986749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sp macro="" textlink="">
      <xdr:nvSpPr>
        <xdr:cNvPr id="17" name="ComboBox1" hidden="1">
          <a:extLst>
            <a:ext uri="{63B3BB69-23CF-44E3-9099-C40C66FF867C}">
              <a14:compatExt xmlns:a14="http://schemas.microsoft.com/office/drawing/2010/main" spid="_x0000_s1028"/>
            </a:ext>
            <a:ext uri="{FF2B5EF4-FFF2-40B4-BE49-F238E27FC236}">
              <a16:creationId xmlns:a16="http://schemas.microsoft.com/office/drawing/2014/main" id="{077E73C0-F778-483E-AEC0-73FBBBCDAAF5}"/>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10</xdr:col>
      <xdr:colOff>0</xdr:colOff>
      <xdr:row>0</xdr:row>
      <xdr:rowOff>0</xdr:rowOff>
    </xdr:from>
    <xdr:ext cx="304800" cy="772443"/>
    <xdr:sp macro="" textlink="">
      <xdr:nvSpPr>
        <xdr:cNvPr id="18" name="AutoShape 1" descr="image.png">
          <a:extLst>
            <a:ext uri="{FF2B5EF4-FFF2-40B4-BE49-F238E27FC236}">
              <a16:creationId xmlns:a16="http://schemas.microsoft.com/office/drawing/2014/main" id="{CC459776-CAB5-4D47-BBEB-F49C49A24760}"/>
            </a:ext>
          </a:extLst>
        </xdr:cNvPr>
        <xdr:cNvSpPr>
          <a:spLocks noChangeAspect="1" noChangeArrowheads="1"/>
        </xdr:cNvSpPr>
      </xdr:nvSpPr>
      <xdr:spPr bwMode="auto">
        <a:xfrm>
          <a:off x="13228320" y="182880"/>
          <a:ext cx="304800" cy="7724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19</xdr:col>
      <xdr:colOff>752475</xdr:colOff>
      <xdr:row>0</xdr:row>
      <xdr:rowOff>0</xdr:rowOff>
    </xdr:from>
    <xdr:to>
      <xdr:col>19</xdr:col>
      <xdr:colOff>754380</xdr:colOff>
      <xdr:row>0</xdr:row>
      <xdr:rowOff>76200</xdr:rowOff>
    </xdr:to>
    <xdr:sp macro="" textlink="">
      <xdr:nvSpPr>
        <xdr:cNvPr id="19" name="ComboBox1" hidden="1">
          <a:extLst>
            <a:ext uri="{63B3BB69-23CF-44E3-9099-C40C66FF867C}">
              <a14:compatExt xmlns:a14="http://schemas.microsoft.com/office/drawing/2010/main" spid="_x0000_s1028"/>
            </a:ext>
            <a:ext uri="{FF2B5EF4-FFF2-40B4-BE49-F238E27FC236}">
              <a16:creationId xmlns:a16="http://schemas.microsoft.com/office/drawing/2014/main" id="{F728C50A-E37D-4E6D-9A29-283B91A68DB1}"/>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19</xdr:col>
      <xdr:colOff>752475</xdr:colOff>
      <xdr:row>0</xdr:row>
      <xdr:rowOff>0</xdr:rowOff>
    </xdr:from>
    <xdr:to>
      <xdr:col>19</xdr:col>
      <xdr:colOff>754380</xdr:colOff>
      <xdr:row>0</xdr:row>
      <xdr:rowOff>76200</xdr:rowOff>
    </xdr:to>
    <xdr:pic>
      <xdr:nvPicPr>
        <xdr:cNvPr id="20" name="Picture 3">
          <a:extLst>
            <a:ext uri="{FF2B5EF4-FFF2-40B4-BE49-F238E27FC236}">
              <a16:creationId xmlns:a16="http://schemas.microsoft.com/office/drawing/2014/main" id="{56B3192C-6999-4560-9E73-7D7D170E6C6C}"/>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754380</xdr:colOff>
      <xdr:row>0</xdr:row>
      <xdr:rowOff>76200</xdr:rowOff>
    </xdr:to>
    <xdr:pic>
      <xdr:nvPicPr>
        <xdr:cNvPr id="21" name="Picture 4">
          <a:extLst>
            <a:ext uri="{FF2B5EF4-FFF2-40B4-BE49-F238E27FC236}">
              <a16:creationId xmlns:a16="http://schemas.microsoft.com/office/drawing/2014/main" id="{65F538B9-F36C-4212-9119-F91BB51E01B6}"/>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754380</xdr:colOff>
      <xdr:row>0</xdr:row>
      <xdr:rowOff>76200</xdr:rowOff>
    </xdr:to>
    <xdr:pic>
      <xdr:nvPicPr>
        <xdr:cNvPr id="22" name="ComboBox1">
          <a:extLst>
            <a:ext uri="{FF2B5EF4-FFF2-40B4-BE49-F238E27FC236}">
              <a16:creationId xmlns:a16="http://schemas.microsoft.com/office/drawing/2014/main" id="{2B53B498-1DE5-4B6A-A4D7-4F5F99BA5C55}"/>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754380</xdr:colOff>
      <xdr:row>0</xdr:row>
      <xdr:rowOff>76200</xdr:rowOff>
    </xdr:to>
    <xdr:sp macro="" textlink="">
      <xdr:nvSpPr>
        <xdr:cNvPr id="23" name="ComboBox1" hidden="1">
          <a:extLst>
            <a:ext uri="{63B3BB69-23CF-44E3-9099-C40C66FF867C}">
              <a14:compatExt xmlns:a14="http://schemas.microsoft.com/office/drawing/2010/main" spid="_x0000_s1028"/>
            </a:ext>
            <a:ext uri="{FF2B5EF4-FFF2-40B4-BE49-F238E27FC236}">
              <a16:creationId xmlns:a16="http://schemas.microsoft.com/office/drawing/2014/main" id="{2859CE56-129B-465C-869F-76303385D5B7}"/>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NTREGA%20GERENCIA%20PROYECTO%20BANCO/FACTURACION/AGOSTO/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NCA/COORDINACION%20ZONA%20NOROCCIDENTE/ESTADO%20DIARIO/Estado%20Diario%20Diciembre/Copia%20de%20Matriz%20Formato%20Estado%20Diario%20DICIEMBRE.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FACTURACI&#211;N%202022/OCTUBRE/DATA%20V2/Informe%20Gestion%20CB%20BANCOLOMBIA%202022%20-%20ORDENES%20DE%20CAMBIO%20(1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874.009779976848" createdVersion="8" refreshedVersion="8" minRefreshableVersion="3" recordCount="164" xr:uid="{47C888AB-724F-43CB-9535-8CFDEF0BAE70}">
  <cacheSource type="worksheet">
    <worksheetSource ref="A1:AD1048576" sheet="CIERRES"/>
  </cacheSource>
  <cacheFields count="30">
    <cacheField name="CIUDAD SEDE" numFmtId="0">
      <sharedItems containsBlank="1"/>
    </cacheField>
    <cacheField name="COORDINADOR" numFmtId="0">
      <sharedItems containsBlank="1" count="8">
        <s v="WILLIAM ASDRUBAL ROZO ROZO"/>
        <s v="DIEGO FERNANDO HENAO CARDONA"/>
        <s v="JOSE MAURICIO HERNANDEZ ROJAS"/>
        <s v="KEVIN ALEXIS CORZO BUSTOS"/>
        <s v="JUAN SEBASTIÁN RÍOS CASTRILLÓN"/>
        <s v="MIGUEL JULIÁN HERNÁNDEZ GUARÍN"/>
        <m/>
        <e v="#N/A" u="1"/>
      </sharedItems>
    </cacheField>
    <cacheField name="CENTRO DE COSTOS LÍNEACOM" numFmtId="0">
      <sharedItems containsBlank="1" count="8">
        <s v="0004-0004"/>
        <s v="0004-0003"/>
        <s v="0004-0001"/>
        <s v="0004-0007"/>
        <s v="0004-0002"/>
        <s v="0004-0005"/>
        <s v="0004-0008"/>
        <m/>
      </sharedItems>
    </cacheField>
    <cacheField name="CÓDIGO DANE" numFmtId="0">
      <sharedItems containsString="0" containsBlank="1" containsNumber="1" containsInteger="1" minValue="5001" maxValue="95015"/>
    </cacheField>
    <cacheField name="TA/CODIGO ACTIVIDAD" numFmtId="0">
      <sharedItems containsBlank="1"/>
    </cacheField>
    <cacheField name="CODIGO CB" numFmtId="0">
      <sharedItems containsString="0" containsBlank="1" containsNumber="1" containsInteger="1" minValue="10167" maxValue="79515"/>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06-24T14:22:00" maxDate="2025-07-30T15:59:00"/>
    </cacheField>
    <cacheField name="FECHA DEL CIERRE DEL TICKET (DD/MM/AAAA)" numFmtId="0">
      <sharedItems containsNonDate="0" containsDate="1" containsString="0" containsBlank="1" minDate="2025-07-01T11:12:30" maxDate="2025-07-31T12:59:34"/>
    </cacheField>
    <cacheField name="ACOMETIDA" numFmtId="0">
      <sharedItems containsNonDate="0" containsString="0" containsBlank="1"/>
    </cacheField>
    <cacheField name="SOLICITUD" numFmtId="0">
      <sharedItems containsBlank="1"/>
    </cacheField>
    <cacheField name="DESCRIPCIÓN"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ESTADO" numFmtId="0">
      <sharedItems containsBlank="1"/>
    </cacheField>
    <cacheField name="OBSERVACION" numFmtId="0">
      <sharedItems containsBlank="1" containsMixedTypes="1" containsNumber="1" containsInteger="1" minValue="0" maxValue="0" longText="1"/>
    </cacheField>
    <cacheField name="FORMA DE ATENCIÓN" numFmtId="0">
      <sharedItems containsBlank="1"/>
    </cacheField>
    <cacheField name="TERMINAL " numFmtId="0">
      <sharedItems containsBlank="1" containsMixedTypes="1" containsNumber="1" containsInteger="1" minValue="0" maxValue="0"/>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2"/>
    </cacheField>
    <cacheField name="VALOR ACTIVIDAD" numFmtId="0">
      <sharedItems containsString="0" containsBlank="1" containsNumber="1" minValue="37904.612000000001" maxValue="464809.36800000002"/>
    </cacheField>
    <cacheField name="VALOR TOTAL" numFmtId="0">
      <sharedItems containsString="0" containsBlank="1" containsNumber="1" minValue="37904.612000000001" maxValue="16375994.8199999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s v="BOGOTA"/>
    <x v="0"/>
    <x v="0"/>
    <n v="25736"/>
    <s v="TA-25-809615"/>
    <n v="68733"/>
    <s v="ORDEN DE CAMBIO"/>
    <s v="CUNDINAMARCA"/>
    <s v="SESQUILE"/>
    <s v="BARRIO CENTRO SESQUILE SESQUIL"/>
    <s v="REDEBAN"/>
    <s v="FO-25-1148318"/>
    <d v="2025-06-28T08:00:00"/>
    <d v="2025-07-01T11:12:30"/>
    <m/>
    <s v="CIERRE"/>
    <s v="RECUPERACION DE EQUIPOS"/>
    <s v="CB UNO A UNO"/>
    <s v="CB UNO A UNO"/>
    <s v="ILOCALIZADO"/>
    <s v="CB CERRADO - DESOCUPADO"/>
    <s v="01-07-2025 SE REALIZA DESPLAZAMIENTO A DIRECCIÓN DE COMERCIO, SE ENCUENTRA COMERCIO CERRADO, NO SE TIENE RESPUESTA A NÚMERO DE CONTACTO, SE REALIZA VALIDACIÓN CON COMERCIO UBICADO EN EL MISMO INMUEBLE Y NO CONOCEN A LA CLIENTE."/>
    <s v="VISITA_TÉCNICA"/>
    <n v="0"/>
    <s v="TIPO II"/>
    <s v="TERRESTRE"/>
    <s v="MURCIA HERNANDEZ HARVEY IGNACIO"/>
    <n v="1"/>
    <n v="134410.88400000002"/>
    <n v="134410.88400000002"/>
  </r>
  <r>
    <s v="PASTO"/>
    <x v="1"/>
    <x v="1"/>
    <n v="52001"/>
    <s v="TA-25-809579"/>
    <n v="76203"/>
    <s v="ORDEN DE CAMBIO"/>
    <s v="NARIÑO"/>
    <s v="PASTO"/>
    <s v="BARRIO CENTRO PASTO 36"/>
    <s v="REDEBAN"/>
    <s v="FO-25-1148186"/>
    <d v="2025-06-28T08:00:00"/>
    <d v="2025-07-01T13:15:04"/>
    <m/>
    <s v="CIERRE"/>
    <s v="CIERRE"/>
    <s v="CB UNO A UNO"/>
    <s v="CB UNO A UNO"/>
    <s v="ILOCALIZADO"/>
    <s v="CB CERRADO - DESOCUPADO"/>
    <s v="01-07-2025 SE LLEGÓ AL COMERCIO PERO ESTÁ CERRADO EL LOCAL, SE INTENTÓ COMUNICACIÓN TELEFÓNICA, PERO EL TELÉFONO ESTÁ ERRADO, HAY OTRO NÚMERO DE CELULAR PERO ESTÁ FUERA DE SERVICIO."/>
    <s v="VISITA_TÉCNICA"/>
    <n v="0"/>
    <s v="TIPO I"/>
    <s v="TERRESTRE"/>
    <s v="GUERRERO RAMIREZ OSCAR DARIO"/>
    <n v="1"/>
    <n v="44559.563999999998"/>
    <n v="44559.563999999998"/>
  </r>
  <r>
    <s v="CALI"/>
    <x v="1"/>
    <x v="1"/>
    <n v="19698"/>
    <s v="TA-25-809571"/>
    <n v="61823"/>
    <s v="ORDEN DE CAMBIO"/>
    <s v="CAUCA"/>
    <s v="SANTANDER DE QUILICHAO"/>
    <s v="BARRIO GENERAL SANTANDER SANTA"/>
    <s v="REDEBAN"/>
    <s v="FO-25-1148154"/>
    <d v="2025-06-28T08:00:00"/>
    <d v="2025-07-01T13:43:43"/>
    <m/>
    <s v="CIERRE"/>
    <s v="CIERRE"/>
    <s v="CB UNO A UNO"/>
    <s v="CB UNO A UNO"/>
    <s v="ILOCALIZADO"/>
    <s v="SIN CONTACTO CON EL CB"/>
    <s v="01-07-2025 SE LLEGO AL SITIO Y NO SE ENCONTRÓ EL CB, SE INDAGO EN EL SECTOR E IMFORMARON QUE LA CLIENTE SE FUE PARA ESPAÑA Y QUE ENTREGARON EL LOCAL, EL NÚMERO DE CONTACTO SE VA A BUZON, NO CONTESTA LOS MENSAJES SE WHATSAPP "/>
    <s v="VISITA_TÉCNICA"/>
    <n v="0"/>
    <s v="TIPO II"/>
    <s v="TERRESTRE"/>
    <s v="PAREDES CASTILLO DIEGO"/>
    <n v="1"/>
    <n v="134410.88400000002"/>
    <n v="134410.88400000002"/>
  </r>
  <r>
    <s v="MONTERIA"/>
    <x v="2"/>
    <x v="2"/>
    <n v="23001"/>
    <s v="TA-25-809568"/>
    <n v="52374"/>
    <s v="ORDEN DE CAMBIO"/>
    <s v="CORDOBA"/>
    <s v="MONTERIA"/>
    <s v="BARRIO PANAMA MONTERIA 1"/>
    <s v="REDEBAN"/>
    <s v="FO-25-1148140"/>
    <d v="2025-06-28T08:00:00"/>
    <d v="2025-07-01T14:13:00"/>
    <m/>
    <s v="CIERRE"/>
    <s v="CIERRE"/>
    <s v="CB UNO A UNO"/>
    <s v="CB UNO A UNO"/>
    <s v="NO_EXITOSO"/>
    <s v="CB NO ENTREGA EQUIPO"/>
    <s v="01-07-2025 SE LLEGÓ A LA DIRECCIÓN Y SE ENCUENTRA EL LOCAL CERRADO, SE HACE VALIDACIÓN CON LOS VECINOS Y NO DAN RAZÓN DEL CLIENTE, SE INTENTÓ COMUNICACIÓN VÍA TELEFÓNICA Y EL CLIENTE INFORMA QUE NO SE ENCUENTRA EN EL LOCAL PORQUE HACE MUCHO TIEMPO LO ENTREGÓ QUE TIENE LOS EQUIPOS EN LA CASA DE UNA PRIMA PERO EN EL MOMENTO SE ENCUENTRA CERRADA Y NO HAY QUIÉN ENTREGUE LOS EQUIPOS, SE LE INDICA QUE DEBE LLAMAR A LA LÍNEA DE ATENCIÓN CUÁNDO TENGA LA DISPONIBILIDAD Y LOS EQUIPOS PARA PODER REALIZAR EL CIERRE DE CB."/>
    <s v="VISITA_TÉCNICA"/>
    <n v="0"/>
    <s v="TIPO I"/>
    <s v="TERRESTRE"/>
    <s v="CALDERA SALCEDO CARLOS JULIO"/>
    <n v="1"/>
    <n v="44559.563999999998"/>
    <n v="44559.563999999998"/>
  </r>
  <r>
    <s v="SANTA MARTA"/>
    <x v="2"/>
    <x v="2"/>
    <n v="47707"/>
    <s v="TA-25-809559"/>
    <n v="11452"/>
    <s v="ORDEN DE CAMBIO"/>
    <s v="MAGDALENA"/>
    <s v="SANTA ANA"/>
    <s v="SANTA ANA   MAGDALENA"/>
    <s v="REDEBAN"/>
    <s v="FO-25-1148107"/>
    <d v="2025-06-28T08:00:00"/>
    <d v="2025-07-01T14:49:26"/>
    <m/>
    <s v="CIERRE"/>
    <s v="CIERRE"/>
    <s v="CB UNO A UNO"/>
    <s v="CB UNO A UNO"/>
    <s v="NO_EXITOSO"/>
    <s v="CB NO ENTREGA EQUIPO"/>
    <s v="01-07-2025 SE REALIZA VISITA POR RECUPERACIÓN DE  EQUIPO ATIENDE EL SR LUIS GABRIEL YEPES INDICANDO QUE NO ENTREGARA LOS EQUIPOS YA QUE EL BANCO LE ADEUDA LAS COMISIONES DE LOS MESES  MARZO ,ABRIL Y MAYO , SE COMUNICA CON EL BANCO Y LE INDICAN QUE LAS COMISIONES SE LAS CONSIGNARON A UNA CUENTA DEL BANCO AGRARIO Y EL CLIENTE INDICA QUE EL NO TIENE CUENTA CON ESE BANCO POR TAL MOTIVO SE NIEGA A ENTREGAR EQUIPOS HASTA QUE EL BANCO LE PAGE LOS MESES DE COMISIONES "/>
    <s v="VISITA_TÉCNICA"/>
    <n v="0"/>
    <s v="TIPO IV"/>
    <s v="TERRESTRE"/>
    <s v="MAESTRE MENGUAL EDGAR ENRIQUE"/>
    <n v="1"/>
    <n v="464809.36800000002"/>
    <n v="464809.36800000002"/>
  </r>
  <r>
    <s v="VILLAVICENCIO"/>
    <x v="3"/>
    <x v="3"/>
    <n v="95015"/>
    <s v="TA-25-809563"/>
    <n v="46949"/>
    <s v="ORDEN DE CAMBIO"/>
    <s v="GUAVIARE"/>
    <s v="CALAMAR"/>
    <s v="BARRIO LA PAZ CALAMAR"/>
    <s v="REDEBAN"/>
    <s v="FO-25-1148127"/>
    <d v="2025-06-28T08:00:00"/>
    <d v="2025-07-02T08:15:00"/>
    <m/>
    <s v="CIERRE"/>
    <s v="CIERRE"/>
    <s v="CB UNO A UNO"/>
    <s v="CB UNO A UNO"/>
    <s v="NO_EXITOSO"/>
    <s v="CB NO ENTREGA EQUIPO"/>
    <s v="01-07-2025 SE REALIZA CONTACTO TELEFONICO CON EL CLIENTE EL CUAL INDICA QUE NO SE ENCUENTRA EN EL PAÍS Y QUE VA COMUNICARSE CON EL BANCO PARA CONOCIMIENTO DEL CIERRE "/>
    <s v="SOPORTE_TELEFÓNICO"/>
    <n v="0"/>
    <s v="TIPO IV ESPECIAL"/>
    <s v="AEREO"/>
    <s v="PEDREROS CONTRERAS MICHAEL STEVENS"/>
    <n v="0"/>
    <n v="37904.612000000001"/>
    <n v="37904.612000000001"/>
  </r>
  <r>
    <s v="PEREIRA"/>
    <x v="1"/>
    <x v="4"/>
    <n v="76147"/>
    <s v="TA-25-799609"/>
    <n v="71044"/>
    <s v="ORDEN DE CAMBIO"/>
    <s v="VALLE DEL CAUCA"/>
    <s v="CARTAGO"/>
    <s v="DISTRICOL DROG. SALUD Y VIDA"/>
    <s v="REDEBAN"/>
    <s v="FO-25-1130568"/>
    <d v="2025-06-24T14:22:00"/>
    <d v="2025-07-02T09:29:12"/>
    <m/>
    <s v="CIERRE"/>
    <s v="CIERRE"/>
    <s v="AGREGADOR"/>
    <s v="DISTRICOL"/>
    <s v="NO_EXITOSO"/>
    <s v="CB NO ENTREGA EQUIPO"/>
    <s v="02-07-2025 EN COMUNICACIÓN CON ASESOR DE DISTRICOL INFORMA QUE CLIENTE ENTREGO EQUIPOS DIRECTAMENTE EN OFICINAS DE DISTRICOL "/>
    <s v="SOPORTE_TELEFÓNICO"/>
    <n v="0"/>
    <s v="TIPO I"/>
    <s v="TERRESTRE"/>
    <s v="LOAIZA LOPEZ JHON FREDDY"/>
    <n v="0"/>
    <n v="37904.612000000001"/>
    <n v="37904.612000000001"/>
  </r>
  <r>
    <s v="MONTERIA"/>
    <x v="2"/>
    <x v="2"/>
    <n v="23417"/>
    <s v="TA-25-809572"/>
    <n v="67036"/>
    <s v="ORDEN DE CAMBIO"/>
    <s v="CORDOBA"/>
    <s v="LORICA"/>
    <s v="CALLE CORREGIMIENTO LAS FLORES"/>
    <s v="REDEBAN"/>
    <s v="FO-25-1148159"/>
    <d v="2025-06-28T08:00:00"/>
    <d v="2025-07-02T12:25:00"/>
    <m/>
    <s v="CIERRE"/>
    <s v="CIERRE"/>
    <s v="CB UNO A UNO"/>
    <s v="CB UNO A UNO"/>
    <s v="NO_EXITOSO"/>
    <s v="CB NO ENTREGA EQUIPO"/>
    <s v="02-07-2025 NO SÉ REALIZA CIERRE, POR QUÉ CLIENTE INFORMA QUE ESTÁ EN PROCESO DE SOLICITUD DE TRASLADO PARA REACTIVAR EL SERVICIO, NO PERMITEN EL CIERRE"/>
    <s v="VISITA_TÉCNICA"/>
    <s v="6Z0HZ993"/>
    <s v="TIPO II"/>
    <s v="TERRESTRE"/>
    <s v="COGOLLO ROSSO CAMILO ANDRES"/>
    <n v="1"/>
    <n v="134410.88400000002"/>
    <n v="134410.88400000002"/>
  </r>
  <r>
    <s v="MEDELLIN"/>
    <x v="4"/>
    <x v="5"/>
    <n v="5591"/>
    <s v="TA-25-809614"/>
    <n v="57196"/>
    <s v="ORDEN DE CAMBIO"/>
    <s v="ANTIOQUIA"/>
    <s v="PUERTO TRIUNFO"/>
    <s v="BARRIO CORREGIMIENTO DORADAL PÚERTO TRIUNFO"/>
    <s v="REDEBAN"/>
    <s v="FO-25-1148316"/>
    <d v="2025-06-28T08:00:00"/>
    <d v="2025-07-03T12:11:23"/>
    <m/>
    <s v="CIERRE"/>
    <s v="RECUPERACION DE EQUIPOS"/>
    <s v="CB UNO A UNO"/>
    <s v="CB UNO A UNO"/>
    <s v="NO_EXITOSO"/>
    <s v="CB NO ENTREGA EQUIPO"/>
    <s v="03-07-2025 SE LLEGA A LA DIRECCIÓN Y NO SE ENCONTRÓ CORRESPONSAL Y ADICIONAL ESTABA CERRADO, SE REALIZA GESTIÓN TELEFÓNICA Y PERSONA QUE ATIENDE INFORMA QUE LOS EQUIPOS NO ESTÁN EN DORADAL QUE AGENDEN OTRA VISITA PARA ACORDAR DIRECCIÓN DE RECOGIDA"/>
    <s v="VISITA_TÉCNICA"/>
    <n v="0"/>
    <s v="TIPO IV"/>
    <s v="TERRESTRE"/>
    <s v="BARRIENTOS HERNANDEZ CRISTIAN HORACIO"/>
    <n v="1"/>
    <n v="464809.36800000002"/>
    <n v="464809.36800000002"/>
  </r>
  <r>
    <s v="BOGOTA"/>
    <x v="0"/>
    <x v="0"/>
    <n v="25885"/>
    <s v="TA-25-809582"/>
    <n v="78439"/>
    <s v="ORDEN DE CAMBIO"/>
    <s v="CUNDINAMARCA"/>
    <s v="YACOPI"/>
    <s v="BARRIO CENTRO YACOPI  5"/>
    <s v="REDEBAN"/>
    <s v="FO-25-1148196"/>
    <d v="2025-06-28T08:00:00"/>
    <d v="2025-07-04T11:11:33"/>
    <m/>
    <s v="CIERRE"/>
    <s v="CIERRE"/>
    <s v="CB UNO A UNO"/>
    <s v="CB UNO A UNO"/>
    <s v="NO_EXITOSO"/>
    <s v="CB NO ENTREGA EQUIPO"/>
    <s v="04-07-2025 SE LLEGA A SITIO SE ENCUENTRA CERRADO EL PUNTO, SE LLAMA AL CLIENTE # DE CONTACTO MARIA PAULA BELTRAN COTRINA 3227475455, LO CUAL INDICA NO ENTREGAR EQUIPOS NI HACER PROCEDIMIENTO DE RETIRO  YA QUE LLEVA UN PROCESO VÍA TELEFÓNICA POR UN TEMA DE PAGO DE HONORARIOS CON LA PARTE COMERCIAL DEL COMERCIO."/>
    <s v="VISITA_TÉCNICA"/>
    <n v="0"/>
    <s v="TIPO IV"/>
    <s v="TERRESTRE"/>
    <s v="INFANTE SIERRA MANUEL FERNANDO"/>
    <n v="1"/>
    <n v="464809.36800000002"/>
    <n v="464809.36800000002"/>
  </r>
  <r>
    <s v="CALI"/>
    <x v="1"/>
    <x v="1"/>
    <n v="19256"/>
    <s v="TA-25-809608"/>
    <n v="32966"/>
    <s v="ORDEN DE CAMBIO"/>
    <s v="CAUCA"/>
    <s v="EL TAMBO"/>
    <s v="BARRIO CENTRO EL TAMBO 1"/>
    <s v="REDEBAN"/>
    <s v="FO-25-1148287"/>
    <d v="2025-06-28T08:00:00"/>
    <d v="2025-07-04T13:05:13"/>
    <m/>
    <s v="CIERRE"/>
    <s v="RECUPERACION DE EQUIPOS"/>
    <s v="CB UNO A UNO"/>
    <s v="CB UNO A UNO"/>
    <s v="NO_EXITOSO"/>
    <s v="CB NO ENTREGA EQUIPO"/>
    <s v="04-07-2025 SE REALIZA LLAMADA AL CLIENTE,  E INDICA QUE ESTA POR FUERA DE LA CIUDAD, PARA PODER RECOJER LOS EQUIPOS DEL CIERRE, POR VENCIMIENTO DE LA ACTIVIDAD , SE CIERRA Y SE LE INDICA AL CLIENTE UNA VEZ RETORNE LLAMAR A LA LINEA PARA PODER VOLVER A PROGRAMAR EL CIERRE,"/>
    <s v="SOPORTE_TELEFÓNICO"/>
    <n v="0"/>
    <s v="TIPO III"/>
    <s v="TERRESTRE"/>
    <s v="HENAO CARDONA DIEGO FERNANDO"/>
    <n v="0"/>
    <n v="37904.612000000001"/>
    <n v="37904.612000000001"/>
  </r>
  <r>
    <s v="BOGOTA"/>
    <x v="0"/>
    <x v="0"/>
    <n v="25126"/>
    <s v="TA-25-809576"/>
    <n v="69256"/>
    <s v="ORDEN DE CAMBIO"/>
    <s v="CUNDINAMARCA"/>
    <s v="CAJICA"/>
    <s v="CHUNTAME CAJICA 3"/>
    <s v="REDEBAN"/>
    <s v="FO-25-1182209"/>
    <d v="2025-06-28T08:00:00"/>
    <d v="2025-07-04T13:29:18"/>
    <m/>
    <s v="CIERRE"/>
    <s v="CIERRE"/>
    <s v="CB UNO A UNO"/>
    <s v="CB UNO A UNO"/>
    <s v="NO_EXITOSO"/>
    <s v="CB NO ENTREGA EQUIPO"/>
    <s v="04-07-2025 SE REALIZA VISITA AL COMERCIO PARA EJECUTAR CIERRE DE CB BANCOLOMBIA PERO AL LLEGAR AL PUNTO SE ENCUENTRA CERRADO, SE ESTABLECE COMUNICACIÓN CON LA CLIENTE QUIEN INFORMA QUE NO PUEDE ENTREGAR LOS EQUIPOS DEL CIERRE NO TIENE EL TIEMPO, QUE ELLA MUEVAMENTE SE CONTACTA CON BANCOLOMBIA PARA CUADRA VISTA NUEVAMENTE."/>
    <s v="VISITA_TÉCNICA"/>
    <n v="0"/>
    <s v="TIPO II"/>
    <s v="TERRESTRE"/>
    <s v="CORTES VELANDIA MIGUEL ANGEL"/>
    <n v="2"/>
    <n v="134410.88400000002"/>
    <n v="268821.76800000004"/>
  </r>
  <r>
    <s v="TUNJA"/>
    <x v="5"/>
    <x v="6"/>
    <n v="15238"/>
    <s v="TA-25-833858"/>
    <n v="71876"/>
    <s v="ORDEN DE CAMBIO"/>
    <s v="BOYACA"/>
    <s v="DUITAMA"/>
    <s v="BOYACA DUITAMA 2"/>
    <s v="REDEBAN"/>
    <s v="FO-25-1182463"/>
    <d v="2025-07-04T08:00:00"/>
    <d v="2025-07-04T14:10:56"/>
    <m/>
    <s v="CIERRE"/>
    <s v="CIERRE"/>
    <s v="CB UNO A UNO"/>
    <s v="CB UNO A UNO"/>
    <s v="NO_EXITOSO"/>
    <s v="CB NO ENTREGA EQUIPO"/>
    <s v="04-07-2025 EN COMUNICACIÓN CON LA LÍNEA 3212895583 EL SEÑOR HECTOR ALFONSO MONROY CUCUNUBA INFORMA QUE NO ENTREGARÁ EQUIPOS YA QUE NO FUE NOTIFICADO, INFORMA QUE SOLICITO UN TRASLADO DEL SERVICIO Y NO UNA SOLICITUD DE CIERRE, INFORMA QUE SE COMUNICARÁ CON ASESOR COMERCIAL Y CON EL BANCO PARA MAYOR EXPLICACIÓN Y PARA ACTIVACIÓN DEL SERVICIO. SE LE INFORMA TAMBIÉN QUE SE PUEDE COMUNICAR A LA LÍNEA 018000953344 PARA MAYOR INFORMACIÓN. SIN VOLUNTAD DE ENTREGA SE CIERRA ORDEN."/>
    <s v="SOPORTE_TELEFÓNICO"/>
    <n v="0"/>
    <s v="TIPO II"/>
    <s v="TERRESTRE"/>
    <s v="HERRERA GARZON JEYSON STEVENT"/>
    <n v="0"/>
    <n v="37904.612000000001"/>
    <n v="37904.612000000001"/>
  </r>
  <r>
    <s v="IBAGUE"/>
    <x v="3"/>
    <x v="3"/>
    <n v="73001"/>
    <s v="TA-25-833789"/>
    <n v="48235"/>
    <s v="ORDEN DE CAMBIO"/>
    <s v="TOLIMA"/>
    <s v="IBAGUE"/>
    <s v="DISTRICOL MIL SOLUTIONS"/>
    <s v="REDEBAN"/>
    <s v="FO-25-1182234"/>
    <d v="2025-07-04T08:00:00"/>
    <d v="2025-07-04T16:27:43"/>
    <m/>
    <s v="CIERRE"/>
    <s v="CIERRE"/>
    <s v="AGREGADOR"/>
    <s v="DISTRICOL"/>
    <s v="ILOCALIZADO"/>
    <s v="CB CERRADO - DESOCUPADO"/>
    <s v="04-07-2025 SE VISITA DIRECCIÓN INDICADA DE CB EVIDENCIA QUE YA NO ESTÁ , SE REALIZA CONSULTA CON VECINOS DESCONOCEN UBICACIÓN INTENTA CONTACTAR TELEFÓNICAMENTE # 3124979196-3203596257SIN RESPUESTA"/>
    <s v="VISITA_TÉCNICA"/>
    <n v="0"/>
    <s v="TIPO I"/>
    <s v="TERRESTRE"/>
    <s v="GUTIERREZ  CAMILO ANDRES"/>
    <n v="1"/>
    <n v="44559.563999999998"/>
    <n v="44559.563999999998"/>
  </r>
  <r>
    <s v="CALI"/>
    <x v="1"/>
    <x v="1"/>
    <n v="19001"/>
    <s v="TA-25-833849"/>
    <n v="43981"/>
    <s v="ORDEN DE CAMBIO"/>
    <s v="CAUCA"/>
    <s v="POPAYAN"/>
    <s v="BARRIO CAMPO BELLO POPAYAN"/>
    <s v="REDEBAN"/>
    <s v="FO-25-1182431"/>
    <d v="2025-07-04T08:00:00"/>
    <d v="2025-07-05T09:04:28"/>
    <m/>
    <s v="CIERRE"/>
    <s v="CIERRE"/>
    <s v="CB UNO A UNO"/>
    <s v="CB UNO A UNO"/>
    <s v="NO_EXITOSO"/>
    <s v="CB NO ENTREGA EQUIPO"/>
    <s v="05-07-2025 SE HABLA CON LA SEÑORA LUZ QUIEN INDICA QUE ESTA EN ESPERA DE UNA INDICACION PARA VALIDAR SI SE CONTINUA CON EL SERVICIO, SOLICITA DAR UNA ESPERA Y YA CUANDO SE DEFINA TODO ELLA SE COMUNICA SI ES NECESARIO."/>
    <s v="SOPORTE_TELEFÓNICO"/>
    <n v="0"/>
    <s v="TIPO III"/>
    <s v="TERRESTRE"/>
    <s v="HENAO CARDONA DIEGO FERNANDO"/>
    <n v="0"/>
    <n v="37904.612000000001"/>
    <n v="37904.612000000001"/>
  </r>
  <r>
    <s v="VILLAVICENCIO"/>
    <x v="3"/>
    <x v="3"/>
    <n v="50001"/>
    <s v="TA-25-833860"/>
    <n v="78305"/>
    <s v="ORDEN DE CAMBIO"/>
    <s v="META"/>
    <s v="VILLAVICENCIO"/>
    <s v="BARRIO VILLA DEL RIO VILLAVICENCIO 1"/>
    <s v="REDEBAN"/>
    <s v="FO-25-1182468"/>
    <d v="2025-07-04T08:00:00"/>
    <d v="2025-07-05T10:41:53"/>
    <m/>
    <s v="CIERRE"/>
    <s v="CIERRE"/>
    <s v="CB UNO A UNO"/>
    <s v="CB UNO A UNO"/>
    <s v="ILOCALIZADO"/>
    <s v="CB CERRADO - DESOCUPADO"/>
    <s v="05-07-2025 SE REALIZA VISITA A CB COMERCIO CERRADO NO ES POSIBLE COMUNICACIÓN 3124822757"/>
    <s v="VISITA_TÉCNICA"/>
    <n v="0"/>
    <s v="TIPO I"/>
    <s v="TERRESTRE"/>
    <s v="CASTRILLON URREA LONDIER LEANDRO"/>
    <n v="1"/>
    <n v="44559.563999999998"/>
    <n v="44559.563999999998"/>
  </r>
  <r>
    <s v="PEREIRA"/>
    <x v="1"/>
    <x v="4"/>
    <n v="66001"/>
    <s v="TA-25-809574"/>
    <n v="68391"/>
    <s v="ORDEN DE CAMBIO"/>
    <s v="RISARALDA"/>
    <s v="PEREIRA"/>
    <s v="VEREDA TRIBUNA"/>
    <s v="REDEBAN"/>
    <s v="FO-25-1148163"/>
    <d v="2025-06-28T08:00:00"/>
    <d v="2025-07-05T14:24:55"/>
    <m/>
    <s v="CIERRE"/>
    <s v="CIERRE"/>
    <s v="CB UNO A UNO"/>
    <s v="CB UNO A UNO"/>
    <s v="NO_EXITOSO"/>
    <s v="CB NO ENTREGA EQUIPO"/>
    <s v="05-07-2025 SE VISITA COMERCIO CLIENTE INFORMA QUE DESEA CONTINUAR CON CB SE ENCUENTRA PENDIENTE REAPERTURA DE COMERCIO POR REMODELACIÓN PENDIENTE COMUNICACIÓN CON LA ENTIDAD"/>
    <s v="VISITA_TÉCNICA"/>
    <s v="AALFZ736"/>
    <s v="TIPO I"/>
    <s v="TERRESTRE"/>
    <s v="LOAIZA LOPEZ JHON FREDDY"/>
    <n v="1"/>
    <n v="44559.563999999998"/>
    <n v="44559.563999999998"/>
  </r>
  <r>
    <s v="BARRANQUILLA"/>
    <x v="2"/>
    <x v="2"/>
    <n v="8758"/>
    <s v="TA-25-809577"/>
    <n v="71519"/>
    <s v="ORDEN DE CAMBIO"/>
    <s v="ATLANTICO"/>
    <s v="SOLEDAD"/>
    <s v="BARRIO ALMENDROS SOLEDAD  5"/>
    <s v="REDEBAN"/>
    <s v="FO-25-1148174"/>
    <d v="2025-06-28T08:00:00"/>
    <d v="2025-07-06T09:02:28"/>
    <m/>
    <s v="CIERRE"/>
    <s v="CIERRE"/>
    <s v="CB UNO A UNO"/>
    <s v="CB UNO A UNO"/>
    <s v="ILOCALIZADO"/>
    <s v="CB CERRADO - DESOCUPADO"/>
    <s v="06-07-2025 SE REALIZA VISITA AL COMERCIO PARA REALIZAR EL CIERRE DEL CORRESPONSAL BANCOLOMBIA PERO NO ES POSIBLE TRATO COMUNICACION CON EL NÚMERO DADO PERO NO CONTESTAN"/>
    <s v="VISITA_TÉCNICA"/>
    <s v="A30KZ086"/>
    <s v="TIPO I"/>
    <s v="TERRESTRE"/>
    <s v="PEÑALOZA GUTIERREZ RAFAEL GUSTAVO"/>
    <n v="1"/>
    <n v="44559.563999999998"/>
    <n v="44559.563999999998"/>
  </r>
  <r>
    <s v="CALI"/>
    <x v="1"/>
    <x v="1"/>
    <n v="19001"/>
    <s v="TA-25-809567"/>
    <n v="49086"/>
    <s v="ORDEN DE CAMBIO"/>
    <s v="CAUCA"/>
    <s v="POPAYAN"/>
    <s v="BARRIO SANTA ELENA POPAYAN 1"/>
    <s v="REDEBAN"/>
    <s v="FO-25-1148135"/>
    <d v="2025-06-28T08:00:00"/>
    <d v="2025-07-07T04:55:00"/>
    <m/>
    <s v="CIERRE"/>
    <s v="CIERRE"/>
    <s v="CB UNO A UNO"/>
    <s v="CB UNO A UNO"/>
    <s v="ILOCALIZADO"/>
    <s v="CB CERRADO - DESOCUPADO"/>
    <s v="06-07-2025 SE LLEGA AL COMERCIO SE ENCUENTRA CERRADO"/>
    <s v="VISITA_TÉCNICA"/>
    <s v="BA0O0050"/>
    <s v="TIPO III"/>
    <s v="TERRESTRE"/>
    <s v="GIMBUEL LASSO LUIS GERMAN"/>
    <n v="1"/>
    <n v="222904.07200000001"/>
    <n v="222904.07200000001"/>
  </r>
  <r>
    <s v="IBAGUE"/>
    <x v="3"/>
    <x v="3"/>
    <n v="73001"/>
    <s v="TA-25-835647"/>
    <n v="69181"/>
    <s v="ORDEN DE CAMBIO"/>
    <s v="TOLIMA"/>
    <s v="IBAGUE"/>
    <s v="BARRIO PORTALES DEL NORTE IBAG"/>
    <s v="REDEBAN"/>
    <s v="FO-25-1186228"/>
    <d v="2025-07-04T16:34:00"/>
    <d v="2025-07-07T11:16:18"/>
    <m/>
    <s v="CIERRE"/>
    <s v="RECUPERACION DE EQUIPOS"/>
    <s v="CB UNO A UNO"/>
    <s v="CB UNO A UNO"/>
    <s v="ILOCALIZADO"/>
    <s v="CB CERRADO - DESOCUPADO"/>
    <s v="07-07-2025 SE LLEGA A LA DIRECCIÓN Y NO EXISTE CB CON ESE CU. SE LLAMA A LA SEÑORA DIANA REYES, AL NÚMERO 3185539461, PARA HACER CONTACTO, LAS PRIMERAS LLAMADAS SUENA EL TELÉFONO Y A LA CUARTA APAGAN EL NÚMERO. ME INDICAN QUE VIVE EN EL SEGUNDO PISO, GOLPEÓ LA PUERTA PERO NADIE RESPONDE."/>
    <s v="VISITA_TÉCNICA"/>
    <s v="A103Z587"/>
    <s v="TIPO I"/>
    <s v="TERRESTRE"/>
    <s v="VARGAS HERRERA JHON JAIRO"/>
    <n v="1"/>
    <n v="44559.563999999998"/>
    <n v="44559.563999999998"/>
  </r>
  <r>
    <s v="BOGOTA"/>
    <x v="0"/>
    <x v="0"/>
    <n v="11001"/>
    <s v="TA-25-833864"/>
    <n v="22764"/>
    <s v="ORDEN DE CAMBIO"/>
    <s v="CUNDINAMARCA"/>
    <s v="BOGOTA"/>
    <s v="EXXON BARRIO UNICENTRO BOGOTÁ"/>
    <s v="REDEBAN"/>
    <s v="FO-25-1182484"/>
    <d v="2025-07-04T08:00:00"/>
    <d v="2025-07-07T14:05:49"/>
    <m/>
    <s v="CIERRE"/>
    <s v="RECUPERACION DE EQUIPOS"/>
    <s v="CB UNO A UNO"/>
    <s v="CB UNO A UNO"/>
    <s v="ILOCALIZADO"/>
    <s v="CB CERRADO - DESOCUPADO"/>
    <s v="07-07-2025 SE REALIZA VISITA AL COMERCIO PARA EJECUTAR CIERRE DE CB BANCOLOMBIA PERO AL LLEGAR AL PUNTO YA NO EXITE EL CB INFORMA LA SRA. LINA AZA"/>
    <s v="VISITA_TÉCNICA"/>
    <n v="0"/>
    <s v="TIPO I"/>
    <s v="TERRESTRE"/>
    <s v="CORTES VELANDIA MIGUEL ANGEL"/>
    <n v="1"/>
    <n v="44559.563999999998"/>
    <n v="44559.563999999998"/>
  </r>
  <r>
    <s v="NEIVA"/>
    <x v="3"/>
    <x v="3"/>
    <n v="18001"/>
    <s v="TA-25-833859"/>
    <n v="78426"/>
    <s v="ORDEN DE CAMBIO"/>
    <s v="CAQUETA"/>
    <s v="FLORENCIA"/>
    <s v="BARRIO LA ESTRELLA FLORENCIA"/>
    <s v="REDEBAN"/>
    <s v="FO-25-1182466"/>
    <d v="2025-07-04T08:00:00"/>
    <d v="2025-07-07T14:41:54"/>
    <m/>
    <s v="CIERRE"/>
    <s v="CIERRE"/>
    <s v="CB UNO A UNO"/>
    <s v="CB UNO A UNO"/>
    <s v="SOLICITUD_CANCELADA"/>
    <s v="CANCELADO POR LA ENTIDAD"/>
    <s v="07-07-2025 SE LLEGA AL COMERCIO Y CLIENTE MANIFIESTA QUE NO HA SOLICITADO EL CIERRE, INDICA QUE ESTUVO TRABAJANDO HASTA EL DÍA JUEVES Y QUE NO ENTIENDE POR SE LO ESTÁN ENVIANDO A CERRAR, MANIFIESTA LLAMAR A LA LÍNEA BANCOLOMBIA Y SOLICITAR LA ACTIVACIÓN NUEVAMENTE."/>
    <s v="VISITA_TÉCNICA"/>
    <s v="V10ZZ346"/>
    <s v="TIPO IV"/>
    <s v="TERRESTRE"/>
    <s v="BERMUDEZ SANCHEZ JOSE NEYBER"/>
    <n v="1"/>
    <n v="464809.36800000002"/>
    <n v="464809.36800000002"/>
  </r>
  <r>
    <s v="BOGOTA"/>
    <x v="0"/>
    <x v="0"/>
    <n v="11001"/>
    <s v="TA-25-833828"/>
    <n v="54832"/>
    <s v="ORDEN DE CAMBIO"/>
    <s v="CUNDINAMARCA"/>
    <s v="BOGOTA"/>
    <s v="AUTOSERVICIO BOSQUES DEL VIRRE"/>
    <s v="REDEBAN"/>
    <s v="FO-25-1182377"/>
    <d v="2025-07-04T08:00:00"/>
    <d v="2025-07-07T15:27:06"/>
    <m/>
    <s v="CIERRE"/>
    <s v="CIERRE"/>
    <s v="RETAIL"/>
    <s v="CONTIGO"/>
    <s v="ILOCALIZADO"/>
    <s v="CB CERRADO - DESOCUPADO"/>
    <s v="07-07-2025 SE REALIZA VISITA A DIRECCIÓN DE COMERCIO, SE ENCUENTRA COMERCIO CERRADO Y CON OTRA RAZÓN SOCIAL, NO SÉ TIENE RESPUESTA TELEFÓNICA EN NÚMERO DE CONTACTO RELACIONADO EN LA TA."/>
    <s v="VISITA_TÉCNICA"/>
    <n v="0"/>
    <s v="TIPO I"/>
    <s v="TERRESTRE"/>
    <s v="MURCIA HERNANDEZ HARVEY IGNACIO"/>
    <n v="1"/>
    <n v="44559.563999999998"/>
    <n v="44559.563999999998"/>
  </r>
  <r>
    <s v="MEDELLIN"/>
    <x v="4"/>
    <x v="5"/>
    <n v="5313"/>
    <s v="TA-25-835642"/>
    <n v="62141"/>
    <s v="ORDEN DE CAMBIO"/>
    <s v="ANTIOQUIA"/>
    <s v="GRANADA"/>
    <s v="BARRIO SECTOR LA ASUNCION GRAN"/>
    <s v="REDEBAN"/>
    <s v="FO-25-1186215"/>
    <d v="2025-07-04T16:34:00"/>
    <d v="2025-07-08T09:37:00"/>
    <m/>
    <s v="CIERRE"/>
    <s v="CIERRE"/>
    <s v="CB UNO A UNO"/>
    <s v="CB UNO A UNO"/>
    <s v="ILOCALIZADO"/>
    <s v="CB CERRADO - DESOCUPADO"/>
    <s v="07-07-2025 SE LLEGA A LA DIRECCIÓN SUMINISTRADA POR LA APLICACIÓN SYTEX Y NO SE ENCONTRÓ EL COMERCIO, SE REALIZA GESTIÓN TELEFÓNICA Y USUARIA INFORMA QUE NO SE ENCUENTRA EN LA DIRECCIÓN Y NO HAY NADIE QUE ATIENDA YA QUE NO SE LES NOTIFICO DE LA VISITA"/>
    <s v="VISITA_TÉCNICA"/>
    <n v="0"/>
    <s v="TIPO II"/>
    <s v="TERRESTRE"/>
    <s v="BARRIENTOS HERNANDEZ CRISTIAN HORACIO"/>
    <n v="1"/>
    <n v="134410.88400000002"/>
    <n v="134410.88400000002"/>
  </r>
  <r>
    <s v="CALI"/>
    <x v="1"/>
    <x v="1"/>
    <n v="76001"/>
    <s v="TA-25-835646"/>
    <n v="34502"/>
    <s v="ORDEN DE CAMBIO"/>
    <s v="VALLE DEL CAUCA"/>
    <s v="CALI"/>
    <s v="BARRIO SAN LUIS CALI 1"/>
    <s v="REDEBAN"/>
    <s v="FO-25-1191209"/>
    <d v="2025-07-04T16:34:00"/>
    <d v="2025-07-08T09:59:00"/>
    <m/>
    <s v="CIERRE"/>
    <s v="RECUPERACION DE EQUIPOS"/>
    <s v="CB UNO A UNO"/>
    <s v="CB UNO A UNO"/>
    <s v="EJECUTADO_EXITOSO"/>
    <s v="CIERRE EXITOSO"/>
    <s v="07-07-2025 SE RECOGEN EQUIPOS DATÁFONO,LECTOR, PINPAD Y HUD EN DIRECCIÓN DIFERENTE CLIENTE NO FIRMA"/>
    <s v="VISITA_TÉCNICA"/>
    <s v="9A002807"/>
    <s v="TIPO I"/>
    <s v="TERRESTRE"/>
    <s v="CUERO RUIZ JHONNY"/>
    <n v="1"/>
    <n v="44559.563999999998"/>
    <n v="44559.563999999998"/>
  </r>
  <r>
    <s v="CALI"/>
    <x v="1"/>
    <x v="1"/>
    <n v="76130"/>
    <s v="TA-25-833775"/>
    <n v="47874"/>
    <s v="ORDEN DE CAMBIO"/>
    <s v="VALLE DEL CAUCA"/>
    <s v="CANDELARIA"/>
    <s v="DISTRICOL KEYVIVAN"/>
    <s v="REDEBAN"/>
    <s v="FO-25-1182181"/>
    <d v="2025-07-04T08:00:00"/>
    <d v="2025-07-10T09:17:50"/>
    <m/>
    <s v="CIERRE"/>
    <s v="CIERRE"/>
    <s v="AGREGADOR"/>
    <s v="DISTRICOL"/>
    <s v="NO_EXITOSO"/>
    <s v="CB NO ENTREGA EQUIPO"/>
    <s v="10-07-2025 SE REALIZA LLAMADA AL CLIENTE, PERO EL SEÑOR ANDRES QUE NOS CONTESTA, INDICA QUE NO TIENE CONOCIMIENTO DE LOS EQUIPOS, YA QUE EL LOCAL FUE CERRADO, ALLA NO EXISTE EL PUNTO Y NO TIENE CONTACTO DE LA PERSONA QUE FIGURA COMO TITULAR, PIDE QUE VALIDEMOS POR QUE EL NO TIENE CONTACTO CON LA PERSONA"/>
    <s v="SOPORTE_TELEFÓNICO"/>
    <n v="0"/>
    <s v="TIPO II"/>
    <s v="TERRESTRE"/>
    <s v="HENAO CARDONA DIEGO FERNANDO"/>
    <n v="0"/>
    <n v="37904.612000000001"/>
    <n v="37904.612000000001"/>
  </r>
  <r>
    <s v="VILLAVICENCIO"/>
    <x v="3"/>
    <x v="3"/>
    <n v="50568"/>
    <s v="TA-25-847309"/>
    <n v="72483"/>
    <s v="ORDEN DE CAMBIO"/>
    <s v="META"/>
    <s v="PUERTO GAITAN"/>
    <s v="BARRIO PUERTO GAITAN BATEAS"/>
    <s v="REDEBAN"/>
    <s v="FO-25-1207487"/>
    <d v="2025-07-09T13:02:00"/>
    <d v="2025-07-10T10:12:40"/>
    <m/>
    <s v="CIERRE"/>
    <s v="CIERRE"/>
    <s v="CB UNO A UNO"/>
    <s v="CB UNO A UNO"/>
    <s v="ILOCALIZADO"/>
    <s v="CB CERRADO - DESOCUPADO"/>
    <s v="10-07-2025 SE REALIZA VISITA A COMERCI CB NO EXISTE NO ES POSIBLE COMUNICACIÓN CON TITULAR 3124206522- 3107724187 SE INDAGA EN EL SECTOR NO DAN INFORMACIÓN ILOCALIZABLE"/>
    <s v="VISITA_TÉCNICA"/>
    <n v="0"/>
    <s v="TIPO III"/>
    <s v="TERRESTRE"/>
    <s v="CASTRILLON URREA LONDIER LEANDRO"/>
    <n v="1"/>
    <n v="222904.07200000001"/>
    <n v="222904.07200000001"/>
  </r>
  <r>
    <s v="CALI"/>
    <x v="1"/>
    <x v="1"/>
    <n v="76001"/>
    <s v="TA-25-846848"/>
    <n v="58164"/>
    <s v="ORDEN DE CAMBIO"/>
    <s v="VALLE DEL CAUCA"/>
    <s v="CALI"/>
    <s v="PTM CALI FERRE INDUSTRIAS LU"/>
    <s v="REDEBAN"/>
    <s v="FO-25-1205694"/>
    <d v="2025-07-09T10:52:00"/>
    <d v="2025-07-10T11:20:27"/>
    <m/>
    <s v="CIERRE"/>
    <s v="CIERRE"/>
    <s v="AGREGADOR"/>
    <s v="COMCARD - PTM"/>
    <s v="ILOCALIZADO"/>
    <s v="CB CERRADO - DESOCUPADO"/>
    <s v="10-07-2025 SE LLEGA AL COMERCIO PERO ESTABA CERRADO SE LLAMA AL CLIENTE PERO NO CONTESTA , SE VALIDA EN LA ZONA Y MANIFIESTAN QUE EL LOCAL SE ENCUENTRA CERRADO HACE VARIO TIEMPO, SE PUEDE VALIDAR QUE LA CORRESPONDENCIA EN EL SITIO LLEVA VARIO TIEMPO EN EL BUZON DEL LOCAL , HASTA ROLLOS ENTREGADOS POR INTERAPIDISIMO SE ENCUENTRA ALLI ABANDONADOS"/>
    <s v="VISITA_TÉCNICA"/>
    <s v="TUZZZ355"/>
    <s v="TIPO I"/>
    <s v="TERRESTRE"/>
    <s v="CUERO RUIZ JHONNY"/>
    <n v="1"/>
    <n v="44559.563999999998"/>
    <n v="44559.563999999998"/>
  </r>
  <r>
    <s v="IBAGUE"/>
    <x v="3"/>
    <x v="3"/>
    <n v="17380"/>
    <s v="TA-25-846836"/>
    <n v="44954"/>
    <s v="ORDEN DE CAMBIO"/>
    <s v="CALDAS"/>
    <s v="LA DORADA"/>
    <s v="DISTRICOL FUNERALES CASA SAGRA"/>
    <s v="REDEBAN"/>
    <s v="FO-25-1205632"/>
    <d v="2025-07-09T10:52:00"/>
    <d v="2025-07-10T16:23:00"/>
    <m/>
    <s v="CIERRE"/>
    <s v="CIERRE"/>
    <s v="AGREGADOR"/>
    <s v="DISTRICOL"/>
    <s v="NO_EXITOSO"/>
    <s v="CB NO ENTREGA EQUIPO"/>
    <s v="10-07-2025 SE HABLA CON LA SEÑORA CLAUDIA RODRÍGUEZ, AL NÚMERO DE TELÉFONO 3108301952, ME INDICA QUE LO EQUIPOS LOS ENVÍO A MEDELLÍN."/>
    <s v="SOPORTE_TELEFÓNICO"/>
    <n v="0"/>
    <s v="TIPO III"/>
    <s v="TERRESTRE"/>
    <s v="VARGAS HERRERA JHON JAIRO"/>
    <n v="0"/>
    <n v="37904.612000000001"/>
    <n v="37904.612000000001"/>
  </r>
  <r>
    <s v="NEIVA"/>
    <x v="3"/>
    <x v="3"/>
    <n v="41001"/>
    <s v="TA-25-846839"/>
    <n v="45438"/>
    <s v="ORDEN DE CAMBIO"/>
    <s v="HUILA"/>
    <s v="NEIVA"/>
    <s v="DISTRICOL SANCHEZ LUBRICANTES"/>
    <s v="REDEBAN"/>
    <s v="FO-25-1205647"/>
    <d v="2025-07-09T10:52:00"/>
    <d v="2025-07-10T16:49:00"/>
    <m/>
    <s v="CIERRE"/>
    <s v="CIERRE"/>
    <s v="AGREGADOR"/>
    <s v="DISTRICOL"/>
    <s v="NO_EXITOSO"/>
    <s v="CB NO ENTREGA EQUIPO"/>
    <s v="10-07-2025 SE LLEGA A SITIO, CLIENTE INDICA QUE YA REALIZÓ ENVÍO DE EQUIPOS A DISTRICOL EN MEDELLIN"/>
    <s v="VISITA_TÉCNICA"/>
    <s v="AC0MZ790"/>
    <s v="TIPO I"/>
    <s v="TERRESTRE"/>
    <s v="DIAZ VARGAS JONATHAN MIGUEL"/>
    <n v="1"/>
    <n v="44559.563999999998"/>
    <n v="44559.563999999998"/>
  </r>
  <r>
    <s v="BUCARAMANGA"/>
    <x v="5"/>
    <x v="6"/>
    <n v="68755"/>
    <s v="TA-25-847303"/>
    <n v="67285"/>
    <s v="ORDEN DE CAMBIO"/>
    <s v="SANTANDER"/>
    <s v="SOCORRO"/>
    <s v="BARRIO NARANJITO SOCORRO"/>
    <s v="REDEBAN"/>
    <s v="FO-25-1207453"/>
    <d v="2025-07-09T13:02:00"/>
    <d v="2025-07-10T16:59:00"/>
    <m/>
    <s v="CIERRE"/>
    <s v="CIERRE"/>
    <s v="CB UNO A UNO"/>
    <s v="CB UNO A UNO"/>
    <s v="SOLICITUD_CANCELADA"/>
    <s v="CANCELADO POR LA ENTIDAD"/>
    <s v="10-07-2025 ENTIDAD  SOLICITA  CERRAR LA ORDEN"/>
    <s v="SOPORTE_TELEFÓNICO"/>
    <n v="0"/>
    <s v="TIPO III"/>
    <s v="TERRESTRE"/>
    <s v="GELVEZ MOGOLLON JOSE ELISEO"/>
    <n v="0"/>
    <n v="37904.612000000001"/>
    <n v="37904.612000000001"/>
  </r>
  <r>
    <s v="MEDELLIN"/>
    <x v="4"/>
    <x v="5"/>
    <n v="15572"/>
    <s v="TA-25-846843"/>
    <n v="52844"/>
    <s v="ORDEN DE CAMBIO"/>
    <s v="BOYACA"/>
    <s v="PUERTO BOYACA"/>
    <s v="DISTRICOL PAPELERIA Y MISCELAN"/>
    <s v="REDEBAN"/>
    <s v="FO-25-1205668"/>
    <d v="2025-07-09T10:52:00"/>
    <d v="2025-07-10T17:13:00"/>
    <m/>
    <s v="CIERRE"/>
    <s v="CIERRE"/>
    <s v="AGREGADOR"/>
    <s v="DISTRICOL"/>
    <s v="NO_EXITOSO"/>
    <s v="CB NO ENTREGA EQUIPO"/>
    <s v="10-07-2025 SE LLEGA A SITO Y USUARIO CONFIRMA QUE LOS EQUIPOS SE ENVIARON DISTRICOL MEDELLÍN SE DESMONTA PUBLICIDAD INSTALADA"/>
    <s v="VISITA_TÉCNICA"/>
    <s v="BA01Z147"/>
    <s v="TIPO IV"/>
    <s v="TERRESTRE"/>
    <s v="DIAZ ZABALA FRANCIS DUBAN"/>
    <n v="1"/>
    <n v="464809.36800000002"/>
    <n v="464809.36800000002"/>
  </r>
  <r>
    <s v="YOPAL"/>
    <x v="3"/>
    <x v="3"/>
    <n v="85001"/>
    <s v="TA-25-835645"/>
    <n v="77381"/>
    <s v="ORDEN DE CAMBIO"/>
    <s v="CASANARE"/>
    <s v="YOPAL"/>
    <s v="BARRIO  CIUDADELA COMFACASANARE YOPAL"/>
    <s v="REDEBAN"/>
    <s v="FO-25-1186224"/>
    <d v="2025-07-04T16:34:00"/>
    <d v="2025-07-11T11:32:00"/>
    <m/>
    <s v="CIERRE"/>
    <s v="CIERRE"/>
    <s v="CB UNO A UNO"/>
    <s v="CB UNO A UNO"/>
    <s v="NO_EXITOSO"/>
    <s v="MIXTO UNO A UNO NO COBRAR"/>
    <s v="11-07-2025 EN COMUNICACIÓN CON EL SEÑOR ENRIQUE CAMACHO, SE VISITA SITIO INDICADO. SE LLEGA AL SITO EN COMUNICACIÓN CON EL SEÑOR ENRIQUE INDICA QUE NO PUEDE ENTREGAR LOS EQUIPOS, EL NO SE ENCUENTRA EN MUNICIPIO Y LA PERSONA QUE VA HACER EL FAVOR DE ENTREGAR NO TIENE LAS LLAVES PARA ACCEDER AL COMERCIO.  SE LE INFORMA UNA VEZ SE ENCUENTRE A DISPOSICIÓN DE ENTREGA SE COMUNIQUE A LA LINEA DEL BANCO Y SOLICITE LA ENTREGA."/>
    <s v="VISITA_TÉCNICA"/>
    <s v="NONE"/>
    <s v="TIPO I"/>
    <s v="TERRESTRE"/>
    <s v="BERNAL ELAICA EDGAR ALEXIS"/>
    <n v="1"/>
    <n v="44559.563999999998"/>
    <n v="44559.563999999998"/>
  </r>
  <r>
    <s v="MEDELLIN"/>
    <x v="4"/>
    <x v="5"/>
    <n v="5591"/>
    <s v="TA-25-846840"/>
    <n v="49149"/>
    <s v="ORDEN DE CAMBIO"/>
    <s v="ANTIOQUIA"/>
    <s v="PUERTO TRIUNFO"/>
    <s v="DISTRICOL VA EMMANUEL DORADAL"/>
    <s v="REDEBAN"/>
    <s v="FO-25-1205653"/>
    <d v="2025-07-09T10:52:00"/>
    <d v="2025-07-11T13:00:00"/>
    <m/>
    <s v="CIERRE"/>
    <s v="CIERRE"/>
    <s v="AGREGADOR"/>
    <s v="DISTRICOL"/>
    <s v="NO_EXITOSO"/>
    <s v="CB NO ENTREGA EQUIPO"/>
    <s v="11-07-2025 USUARIO MANIFISTA QUÉ YA LOS EQUIPOS FUERON ENVIADOS A DISTRICOL MEDELLÍN"/>
    <s v="VISITA_TÉCNICA"/>
    <s v="NA"/>
    <s v="TIPO IV"/>
    <s v="TERRESTRE"/>
    <s v="DIAZ ZABALA FRANCIS DUBAN"/>
    <n v="1"/>
    <n v="464809.36800000002"/>
    <n v="464809.36800000002"/>
  </r>
  <r>
    <s v="BOGOTA"/>
    <x v="0"/>
    <x v="0"/>
    <n v="25785"/>
    <s v="TA-25-839180"/>
    <n v="51358"/>
    <s v="ORDEN DE CAMBIO"/>
    <s v="CUNDINAMARCA"/>
    <s v="TABIO"/>
    <s v="CONTIGO_SUPERMARKET"/>
    <s v="REDEBAN"/>
    <s v="FO-25-1195929"/>
    <d v="2025-07-07T15:20:00"/>
    <d v="2025-07-11T17:13:00"/>
    <m/>
    <s v="CIERRE"/>
    <s v="RETIRO VOLUNTARIO"/>
    <s v="RETAIL"/>
    <s v="CONTIGO"/>
    <s v="NO_EXITOSO"/>
    <s v="CB NO ENTREGA EQUIPO"/>
    <s v="11-07-2025 SE REALIZA VISITA AL COMERCIO NOS ATIENDE LA SEÑORA DANIELA CASTRO LA CUAL NOS INDICA QUE YA FUE REALIZÓ LA ENTREGA DE LOS EQUIPOS"/>
    <s v="VISITA_TÉCNICA"/>
    <s v="NA"/>
    <s v="TIPO II"/>
    <s v="TERRESTRE"/>
    <s v="HERNANDEZ NARANJO OSCAR EDUARDO"/>
    <n v="1"/>
    <n v="134410.88400000002"/>
    <n v="134410.88400000002"/>
  </r>
  <r>
    <s v="MONTERIA"/>
    <x v="2"/>
    <x v="2"/>
    <n v="23079"/>
    <s v="TA-25-839276"/>
    <n v="62995"/>
    <s v="ORDEN DE CAMBIO"/>
    <s v="CORDOBA"/>
    <s v="BUENAVISTA"/>
    <s v="BARRIO BOGOTA BUENAVISTA 1"/>
    <s v="REDEBAN"/>
    <s v="FO-25-1196112"/>
    <d v="2025-07-07T15:41:00"/>
    <d v="2025-07-11T17:14:00"/>
    <m/>
    <s v="CIERRE"/>
    <s v="CIERRE"/>
    <s v="CB UNO A UNO"/>
    <s v="CB UNO A UNO"/>
    <s v="ILOCALIZADO"/>
    <s v="CB CERRADO - DESOCUPADO"/>
    <s v="11-07-2025 SE VISITA CB EN DIRECCIÓN DE RETIRO CRA 22 CLL 12F PERO NO SE ENCUENTRA QUIEN ENTREGUE EQUIPOS, LOCAL CERRADO. SE INTENTA COMUNICACIÓN AL NÚMERO 3145206981 PERO NO RESPONDE.SE CIERRA ACTIVIDAD COMO FALLIDA YA QUE NO SE LOGRA COMUNICACIÓN NI SE ENCUENTRA CB EN SITIO."/>
    <s v="VISITA_TÉCNICA"/>
    <s v="NO SE INTERVIENE"/>
    <s v="TIPO II"/>
    <s v="TERRESTRE"/>
    <s v="COGOLLO VERTEL EDER LUIS"/>
    <n v="1"/>
    <n v="134410.88400000002"/>
    <n v="134410.88400000002"/>
  </r>
  <r>
    <s v="TUNJA"/>
    <x v="5"/>
    <x v="6"/>
    <n v="15238"/>
    <s v="TA-25-839281"/>
    <n v="75698"/>
    <s v="ORDEN DE CAMBIO"/>
    <s v="BOYACA"/>
    <s v="DUITAMA"/>
    <s v="BARRIO MANZANARES DUITAMA 4"/>
    <s v="REDEBAN"/>
    <s v="FO-25-1202695"/>
    <d v="2025-07-07T15:41:00"/>
    <d v="2025-07-11T17:20:00"/>
    <m/>
    <s v="CIERRE"/>
    <s v="CIERRE"/>
    <s v="CB UNO A UNO"/>
    <s v="CB UNO A UNO"/>
    <s v="EJECUTADO_EXITOSO"/>
    <s v="CIERRE EXITOSO"/>
    <s v="11-07-2025 SE EJECUTA CIERRE CORRESPONSAL BANCARIO BANCOLOMBIA RETIRANDO LOS EQUIPOS EXISTENTES COMERCIO SIN PUBLICIDAD SE RETIRAN EL LA CALLE 15#9A-02 PUBLICIDAD EXISTENTE EN LA FACHADA CORRESPONDE AL CB 59684 EXISTENTE EN LA DIRECCIÓN DE ENTREGA."/>
    <s v="VISITA_TÉCNICA"/>
    <s v="1000R516"/>
    <s v="TIPO II"/>
    <s v="TERRESTRE"/>
    <s v="RODRIGUEZ MURCIA YERSON IVAN"/>
    <n v="1"/>
    <n v="134410.88400000002"/>
    <n v="134410.88400000002"/>
  </r>
  <r>
    <s v="CALI"/>
    <x v="1"/>
    <x v="1"/>
    <n v="76001"/>
    <s v="TA-25-839293"/>
    <n v="40257"/>
    <s v="ORDEN DE CAMBIO"/>
    <s v="VALLE DEL CAUCA"/>
    <s v="CALI"/>
    <s v="PTM CALI EXITORNILLOS"/>
    <s v="REDEBAN"/>
    <s v="FO-25-1208329"/>
    <d v="2025-07-07T15:41:00"/>
    <d v="2025-07-11T17:52:00"/>
    <m/>
    <s v="CIERRE"/>
    <s v="CIERRE"/>
    <s v="AGREGADOR"/>
    <s v="COMCARD - PTM"/>
    <s v="EJECUTADO_EXITOSO"/>
    <s v="CIERRE EXITOSO"/>
    <s v="11-07-2025 SE REALIZA RETIRO DE EQUIPOS Y ACCESORIOS DE CB BANCOLOMBIA MIXTO, SON ENTREGADOS EN BODEGA DE LINEA COMUNICACIONES, LOS EQUIPOS SON RECOGIDOS EN DIRECCIÓN DIFERENTE A LA DEL COMERCIO EL CLIENTE NO CUENTA CON PUBLICIDAD."/>
    <s v="VISITA_TÉCNICA"/>
    <s v="AB0HZ963 - UV001666"/>
    <s v="TIPO I"/>
    <s v="TERRESTRE"/>
    <s v="MONTERO MUESES GIAN CARLO"/>
    <n v="1"/>
    <n v="44559.563999999998"/>
    <n v="44559.563999999998"/>
  </r>
  <r>
    <s v="CUCUTA"/>
    <x v="5"/>
    <x v="6"/>
    <n v="54405"/>
    <s v="TA-25-846847"/>
    <n v="77857"/>
    <s v="ORDEN DE CAMBIO"/>
    <s v="NORTE DE SANTANDER"/>
    <s v="LOS PATIOS"/>
    <s v="PTM PUNTOSERVIS LOS PATIOS 1 L"/>
    <s v="REDEBAN"/>
    <s v="FO-25-1205688"/>
    <d v="2025-07-09T10:52:00"/>
    <d v="2025-07-11T17:56:00"/>
    <m/>
    <s v="CIERRE"/>
    <s v="CIERRE"/>
    <s v="AGREGADOR"/>
    <s v="COMCARD - PTM"/>
    <s v="ILOCALIZADO"/>
    <s v="CB CERRADO - DESOCUPADO"/>
    <s v="11-07-2025 SE VISITA DIRECCIÓN DEL CB SE ENCUENTRA CERRADO, SE LLAMA AL CLIENTE SE VA BUZÓN DE VOZ, SE DEJA MENSAJE NO SE OBTIENE RESPUESTA."/>
    <s v="VISITA_TÉCNICA"/>
    <s v="NA"/>
    <s v="TIPO I"/>
    <s v="TERRESTRE"/>
    <s v="TORRES MANTILLA JOSE DANIEL"/>
    <n v="1"/>
    <n v="44559.563999999998"/>
    <n v="44559.563999999998"/>
  </r>
  <r>
    <s v="TUNJA"/>
    <x v="5"/>
    <x v="6"/>
    <n v="15001"/>
    <s v="TA-25-853123"/>
    <n v="66790"/>
    <s v="ORDEN DE CAMBIO"/>
    <s v="BOYACA"/>
    <s v="TUNJA"/>
    <s v="BARRIO MALDONADO TUNJA 4"/>
    <s v="REDEBAN"/>
    <s v="FO-25-1217992"/>
    <d v="2025-07-11T11:38:00"/>
    <d v="2025-07-11T18:37:00"/>
    <m/>
    <s v="CIERRE"/>
    <s v="CIERRE"/>
    <s v="CB UNO A UNO"/>
    <s v="CB UNO A UNO"/>
    <s v="NO_EXITOSO"/>
    <s v="CB NO ENTREGA EQUIPO"/>
    <s v="11-07-2025 SE VISITA COMERCIO ,INDICAN QUE NO ENTREGAN LOS EQUIPOS HASTA QUE NO CONFIRMEN CON LA  ENTIDAD TEMAS RELACIONADOS QUE SE HAN PRESENTADO CON EL CORRESPONSAL"/>
    <s v="VISITA_TÉCNICA"/>
    <s v="3A0CZ750"/>
    <s v="TIPO I"/>
    <s v="TERRESTRE"/>
    <s v="ALVARADO MORENO CRISTHIAN"/>
    <n v="1"/>
    <n v="44559.563999999998"/>
    <n v="44559.563999999998"/>
  </r>
  <r>
    <s v="CUCUTA"/>
    <x v="5"/>
    <x v="6"/>
    <n v="54001"/>
    <s v="TA-25-853178"/>
    <n v="66424"/>
    <s v="ORDEN DE CAMBIO"/>
    <s v="NORTE DE SANTANDER"/>
    <s v="CUCUTA"/>
    <s v="BARRIO MOTILONES CUCUTA 18"/>
    <s v="REDEBAN"/>
    <s v="FO-25-1218078"/>
    <d v="2025-07-11T11:38:00"/>
    <d v="2025-07-11T18:56:00"/>
    <m/>
    <s v="CIERRE"/>
    <s v="CIERRE"/>
    <s v="CB UNO A UNO"/>
    <s v="CB UNO A UNO"/>
    <s v="ILOCALIZADO"/>
    <s v="CB CERRADO - DESOCUPADO"/>
    <s v="11-07-2025 SE REALIZA VISITA,SE ENCUENTRA QUE EL COMERCIO YA NO EXISTE EN DIRECCIÓN LOS ENCARGADOS DEL NUEVO PUNTO NO TIENEN CONOCIMIENTO DE PARA DONDE SE TRASLADARON NO SE LOGRÓ COMUNICACIÓN CON EL CLIENTE PARA LA RECOLECCIÓN DE EQUIPOS"/>
    <s v="VISITA_TÉCNICA"/>
    <n v="0"/>
    <s v="TIPO I"/>
    <s v="TERRESTRE"/>
    <s v="DURAN ACOSTA FRANK YONNY"/>
    <n v="1"/>
    <n v="44559.563999999998"/>
    <n v="44559.563999999998"/>
  </r>
  <r>
    <s v="BUCARAMANGA"/>
    <x v="5"/>
    <x v="6"/>
    <n v="68001"/>
    <s v="TA-25-853234"/>
    <n v="41962"/>
    <s v="ORDEN DE CAMBIO"/>
    <s v="SANTANDER"/>
    <s v="BUCARAMANGA"/>
    <s v="PTM BUCARAMANGA MULTIPAGOS RCK"/>
    <s v="REDEBAN"/>
    <s v="FO-25-1218179"/>
    <d v="2025-07-11T11:38:00"/>
    <d v="2025-07-11T19:00:00"/>
    <m/>
    <s v="CIERRE"/>
    <s v="CIERRE"/>
    <s v="AGREGADOR"/>
    <s v="COMCARD - PTM"/>
    <s v="NO_EXITOSO"/>
    <s v="CB NO ENTREGA EQUIPO"/>
    <s v="11-07-2025 SE HACE PRESENCIA EN COMERCIO PERSONAL ENCARGADO INFORMA QUE NO TIENE CONOCIMIENTO DEL CIERRE SE COMUNICA CON EL DUEÑO EL SEÑOR EDWIN QUIEN INFORMA QUE DESCONOCE EL POR QUÉ EL CIERRE DEL CORRESPONSAL SE LE INFORMA QUE SE COLOQUE EN CONTACTO CON EL ASESOR DE PTM Y VALIDE LA CAUSAL DEL CIERRE Y LUEGO SOLICITE LA RECOLECCIÓN DE LOS EQUIPOS CLIENTE PERSONAL ACARGO NO FIRMA NOTIFICA QUE NO TIENE AUTORIZACIÓN"/>
    <s v="VISITA_TÉCNICA"/>
    <s v="NO SE MANIPULAN EQUIPOS"/>
    <s v="TIPO I"/>
    <s v="TERRESTRE"/>
    <s v="ORTEBARRERAGA MARLON STWAR"/>
    <n v="1"/>
    <n v="44559.563999999998"/>
    <n v="44559.563999999998"/>
  </r>
  <r>
    <s v="MEDELLIN"/>
    <x v="4"/>
    <x v="5"/>
    <n v="5001"/>
    <s v="TA-25-853220"/>
    <n v="55025"/>
    <s v="ORDEN DE CAMBIO"/>
    <s v="ANTIOQUIA"/>
    <s v="MEDELLIN"/>
    <s v="BARRIO CENTRO MEDELLIN 80"/>
    <s v="REDEBAN"/>
    <s v="FO-25-1218151"/>
    <d v="2025-07-11T11:38:00"/>
    <d v="2025-07-12T09:08:00"/>
    <m/>
    <s v="CIERRE"/>
    <s v="RECUPERACION DE EQUIPOS"/>
    <s v="CB UNO A UNO"/>
    <s v="CB UNO A UNO"/>
    <s v="ILOCALIZADO"/>
    <s v="CB CERRADO - DESOCUPADO"/>
    <s v="12-07-2025 SE LLEGA AL SITIO Y EL COMERCIO SE ENCUENTRA CERRADO SE INVITA COMUNICAR CON EL USUARIO Y NO TUVE RESPUESTA. SE ESPERA 30 MINUTOS Y NI HUBO RESPUESTA"/>
    <s v="VISITA_TÉCNICA"/>
    <s v="9CQZZ891"/>
    <s v="TIPO I"/>
    <s v="TERRESTRE"/>
    <s v="ZAPATA LOPEZ EDWARD ASDRUBAL"/>
    <n v="1"/>
    <n v="44559.563999999998"/>
    <n v="44559.563999999998"/>
  </r>
  <r>
    <s v="VILLAVICENCIO"/>
    <x v="3"/>
    <x v="3"/>
    <n v="50001"/>
    <s v="TA-25-853171"/>
    <n v="64155"/>
    <s v="ORDEN DE CAMBIO"/>
    <s v="META"/>
    <s v="VILLAVICENCIO"/>
    <s v="BARRIO VIZCAYA VILLAVICENCIO 2"/>
    <s v="REDEBAN"/>
    <s v="FO-25-1218062"/>
    <d v="2025-07-11T11:38:00"/>
    <d v="2025-07-12T09:09:00"/>
    <m/>
    <s v="CIERRE"/>
    <s v="CIERRE"/>
    <s v="CB UNO A UNO"/>
    <s v="CB UNO A UNO"/>
    <s v="ILOCALIZADO"/>
    <s v="CB CERRADO - DESOCUPADO"/>
    <s v="12-07-2025 SE REALIZA VISITA AL PUNTO Y COMERCIO DE ENCUENTRA CERRADO, SE INTENTA CONTACTO TELEFONICO Y NO ES POSIBLE"/>
    <s v="VISITA_TÉCNICA"/>
    <s v="NONE"/>
    <s v="TIPO I"/>
    <s v="TERRESTRE"/>
    <s v="PEDREROS CONTRERAS MICHAEL STEVENS"/>
    <n v="1"/>
    <n v="44559.563999999998"/>
    <n v="44559.563999999998"/>
  </r>
  <r>
    <s v="VILLAVICENCIO"/>
    <x v="3"/>
    <x v="3"/>
    <n v="50001"/>
    <s v="TA-25-853173"/>
    <n v="72605"/>
    <s v="ORDEN DE CAMBIO"/>
    <s v="META"/>
    <s v="VILLAVICENCIO"/>
    <s v="BARRIO VIZCAYA VILLAVICENCIO 5"/>
    <s v="REDEBAN"/>
    <s v="FO-25-1218066"/>
    <d v="2025-07-11T11:38:00"/>
    <d v="2025-07-12T09:27:00"/>
    <m/>
    <s v="CIERRE"/>
    <s v="CIERRE"/>
    <s v="CB UNO A UNO"/>
    <s v="CB UNO A UNO"/>
    <s v="NO_EXITOSO"/>
    <s v="CB NO ENTREGA EQUIPO"/>
    <s v="12-07-2025 SE REALIZA VISITA AL PUNTO Y PERSONA DE COMERCIO INFORMA QUE NO SABE ND DEL DATAFONO"/>
    <s v="VISITA_TÉCNICA"/>
    <s v="NONE"/>
    <s v="TIPO I"/>
    <s v="TERRESTRE"/>
    <s v="PEDREROS CONTRERAS MICHAEL STEVENS"/>
    <n v="1"/>
    <n v="44559.563999999998"/>
    <n v="44559.563999999998"/>
  </r>
  <r>
    <s v="NEIVA"/>
    <x v="3"/>
    <x v="3"/>
    <n v="18001"/>
    <s v="TA-25-853134"/>
    <n v="77627"/>
    <s v="ORDEN DE CAMBIO"/>
    <s v="CAQUETA"/>
    <s v="FLORENCIA"/>
    <s v="BARRIO CENTRO FLORENCIA 36"/>
    <s v="REDEBAN"/>
    <s v="FO-25-1218011"/>
    <d v="2025-07-11T11:38:00"/>
    <d v="2025-07-12T09:49:00"/>
    <m/>
    <s v="CIERRE"/>
    <s v="CIERRE"/>
    <s v="CB UNO A UNO"/>
    <s v="CB UNO A UNO"/>
    <s v="SOLICITUD_CANCELADA"/>
    <s v="CANCELADO POR LA ENTIDAD"/>
    <s v="12-07-2025 SE REALIZA VISITA AL CB Y CLIENTE MANIFIESTA QUE NO PERMITE EL CIERRE YA QUE LA SOLICITUD QUE REALIZÓ FUE UN TRASLADO Y NO EL CIERRE, POR TAL MOTIVO NO PERMITE EL CIERRE Y MANIFIESTA QUE ESTÁ EN COMUNICACIÓN CON LA ENTIDAD PARA EL DESBLOQUEO Y NO PARA EL CIERRE, CIERRE FALLIDO."/>
    <s v="VISITA_TÉCNICA"/>
    <s v="F1JZZ376"/>
    <s v="TIPO IV"/>
    <s v="TERRESTRE"/>
    <s v="BERMUDEZ SANCHEZ JOSE NEYBER"/>
    <n v="1"/>
    <n v="464809.36800000002"/>
    <n v="464809.36800000002"/>
  </r>
  <r>
    <s v="CUCUTA"/>
    <x v="5"/>
    <x v="6"/>
    <n v="54001"/>
    <s v="TA-25-853181"/>
    <n v="72616"/>
    <s v="ORDEN DE CAMBIO"/>
    <s v="NORTE DE SANTANDER"/>
    <s v="CUCUTA"/>
    <s v="BARRIO SAN LUIS CUCUTA 24"/>
    <s v="REDEBAN"/>
    <s v="FO-25-1218083"/>
    <d v="2025-07-11T11:38:00"/>
    <d v="2025-07-12T09:59:00"/>
    <m/>
    <s v="CIERRE"/>
    <s v="CIERRE"/>
    <s v="CB UNO A UNO"/>
    <s v="CB UNO A UNO"/>
    <s v="NO_EXITOSO"/>
    <s v="CB NO ENTREGA EQUIPO"/>
    <s v="12-07-2025 SE REALIZÓ VISITA AL COMERCIO Y ADMINISTRADOR INDICA QUE SE ENCUENTRA EN CONCILIACIÓN CON EL ANTERIOR DUEÑO PARA QUE LE SEDA EL CORRESPONSAL, NO DESEA ENTREGAR EQUIPOS, SE LE MANIFIESTA QUE SE DEBE COMUNICAR CON EL BANCO AL 018000 LLEGADO EL CASO DESEA ENTREGAR LOS EQUIPOS."/>
    <s v="VISITA_TÉCNICA"/>
    <s v="NONE"/>
    <s v="TIPO I"/>
    <s v="TERRESTRE"/>
    <s v="MORA VEGA JEAMPIER"/>
    <n v="1"/>
    <n v="44559.563999999998"/>
    <n v="44559.563999999998"/>
  </r>
  <r>
    <s v="NEIVA"/>
    <x v="3"/>
    <x v="3"/>
    <n v="41001"/>
    <s v="TA-25-853156"/>
    <n v="77285"/>
    <s v="ORDEN DE CAMBIO"/>
    <s v="HUILA"/>
    <s v="NEIVA"/>
    <s v="BARRIO VILLA REGINA NEIVA  1"/>
    <s v="REDEBAN"/>
    <s v="FO-25-1218050"/>
    <d v="2025-07-11T11:38:00"/>
    <d v="2025-07-12T11:20:00"/>
    <m/>
    <s v="CIERRE"/>
    <s v="CIERRE"/>
    <s v="CB UNO A UNO"/>
    <s v="CB UNO A UNO"/>
    <s v="ILOCALIZADO"/>
    <s v="CB CERRADO - DESOCUPADO"/>
    <s v="12-07-2025 SE REALIZA VISITA AL PUNTO, SE ENVIDENCIA COMERCIO SE ENCUENTRA CERRADO SE INTENTA COMUNICACIÓN CON CLIENTE PERO NO HAY RESPUESTA SE VA A CORREO DE VOZ ."/>
    <s v="VISITA_TÉCNICA"/>
    <s v="NONE"/>
    <s v="TIPO I"/>
    <s v="TERRESTRE"/>
    <s v="DEVIA REINOSO JUAN CARLOS"/>
    <n v="1"/>
    <n v="44559.563999999998"/>
    <n v="44559.563999999998"/>
  </r>
  <r>
    <s v="PEREIRA"/>
    <x v="1"/>
    <x v="4"/>
    <n v="63001"/>
    <s v="TA-25-846846"/>
    <n v="70762"/>
    <s v="ORDEN DE CAMBIO"/>
    <s v="QUINDIO"/>
    <s v="ARMENIA"/>
    <s v="DISTRICOL MAWI AXM"/>
    <s v="REDEBAN"/>
    <s v="FO-25-1205684"/>
    <d v="2025-07-09T10:52:00"/>
    <d v="2025-07-12T11:37:00"/>
    <m/>
    <s v="CIERRE"/>
    <s v="CIERRE"/>
    <s v="AGREGADOR"/>
    <s v="DISTRICOL"/>
    <s v="NO_EXITOSO"/>
    <s v="CB NO ENTREGA EQUIPO"/>
    <s v="12-07-2025 SE LLAMA AL SEÑOR  WILLIAM FERNANDO SALEJ ISAZA AL TELÉFONO 3203592999 INDICA QUE DISTRICOL LE SOLICITÓ QUE ENVIARÁ LOS EQUIPOS A LA OFICINA DE ELLOS UBICADA EN MEDELLÍN."/>
    <s v="SOPORTE_TELEFÓNICO"/>
    <n v="0"/>
    <s v="TIPO II"/>
    <s v="TERRESTRE"/>
    <s v="SANCHEZ SOLORZANO JUAN SEBASTIAN"/>
    <n v="0"/>
    <n v="37904.612000000001"/>
    <n v="37904.612000000001"/>
  </r>
  <r>
    <s v="TUNJA"/>
    <x v="5"/>
    <x v="6"/>
    <n v="15001"/>
    <s v="TA-25-853111"/>
    <n v="35964"/>
    <s v="ORDEN DE CAMBIO"/>
    <s v="BOYACA"/>
    <s v="TUNJA"/>
    <s v="BARRIO PORTAL DE OTONO TUNJA"/>
    <s v="REDEBAN"/>
    <s v="FO-25-1217980"/>
    <d v="2025-07-11T11:38:00"/>
    <d v="2025-07-12T13:50:00"/>
    <m/>
    <s v="CIERRE"/>
    <s v="CIERRE"/>
    <s v="CB UNO A UNO"/>
    <s v="CB UNO A UNO"/>
    <s v="ILOCALIZADO"/>
    <s v="CB CERRADO - DESOCUPADO"/>
    <s v="12-07-2025 SE VISITA COMERCIO , COMERCIO CERRADO , SE INTENTA COMUNICACIÓN CON EL USUARIO AL NUNERO CELULAR 3208465893 SE LLAMA EN VARIAS OCASIONES Y NO ES POSIBLE LA COMUNICACIÓN, SE DEJA MENSAJE VÍA WHATSAPP Y TAMPOCO HAY RESPUESTA , SE COERRA ORDEN POS ILOCALIZABLE"/>
    <s v="VISITA_TÉCNICA"/>
    <s v="9A008539"/>
    <s v="TIPO I"/>
    <s v="TERRESTRE"/>
    <s v="ALVARADO MORENO CRISTHIAN"/>
    <n v="1"/>
    <n v="44559.563999999998"/>
    <n v="44559.563999999998"/>
  </r>
  <r>
    <s v="BARRANQUILLA"/>
    <x v="2"/>
    <x v="2"/>
    <n v="8758"/>
    <s v="TA-25-853103"/>
    <n v="27329"/>
    <s v="ORDEN DE CAMBIO"/>
    <s v="ATLANTICO"/>
    <s v="SOLEDAD"/>
    <s v="BARRIO SOLEDAD 2000 SOLEDAD"/>
    <s v="REDEBAN"/>
    <s v="FO-25-1217960"/>
    <d v="2025-07-11T11:38:00"/>
    <d v="2025-07-13T11:50:27"/>
    <m/>
    <s v="CIERRE"/>
    <s v="CIERRE"/>
    <s v="CB UNO A UNO"/>
    <s v="CB UNO A UNO"/>
    <s v="NO_EXITOSO"/>
    <s v="CB NO ENTREGA EQUIPO"/>
    <s v="13-07-2025 SE REALIZA VISITA AL COMERCIO PARA REALIZAR EL CIERRE DEL CORRESPONSAL BANCOLOMBIA PERO NO ES POSIBLE ME COMUNICO CON EL NÚMERO DADO Y ME MANIFIESTA QUE NO SE ENCUENTRA EN LA CIUDAD LE COMUNICO QUE CUANDO ESTÉ EN LA CIUDAD SE COMUNIQUE CON LA LÍNEA DE SOPORTE PARA REAGENDAR LA VISITA"/>
    <s v="VISITA_TÉCNICA"/>
    <s v="9A003154"/>
    <s v="TIPO I"/>
    <s v="TERRESTRE"/>
    <s v="PEÑALOZA GUTIERREZ RAFAEL GUSTAVO"/>
    <n v="1"/>
    <n v="44559.563999999998"/>
    <n v="44559.563999999998"/>
  </r>
  <r>
    <s v="PEREIRA"/>
    <x v="1"/>
    <x v="4"/>
    <n v="66170"/>
    <s v="TA-25-846841"/>
    <n v="48233"/>
    <s v="ORDEN DE CAMBIO"/>
    <s v="RISARALDA"/>
    <s v="DOSQUEBRADAS"/>
    <s v="DISTRICOL TECNOCOMPUTER JG"/>
    <s v="REDEBAN"/>
    <s v="FO-25-1205661"/>
    <d v="2025-07-09T10:52:00"/>
    <d v="2025-07-14T09:00:00"/>
    <m/>
    <s v="CIERRE"/>
    <s v="CIERRE"/>
    <s v="AGREGADOR"/>
    <s v="DISTRICOL"/>
    <s v="ILOCALIZADO"/>
    <s v="CB CERRADO - DESOCUPADO"/>
    <s v="14-07-2025 SE LLEGA AL PUNTO, EL ESTABLECIMIENTO ESTÁ SIN SERVICIO Y NO CONTESTAN LAS LLAMADAS."/>
    <s v="VISITA_TÉCNICA"/>
    <n v="0"/>
    <s v="TIPO I"/>
    <s v="TERRESTRE"/>
    <s v="FRANCO CAÑAVERAL YAMID RAUL"/>
    <n v="1"/>
    <n v="44559.563999999998"/>
    <n v="44559.563999999998"/>
  </r>
  <r>
    <s v="CUCUTA"/>
    <x v="5"/>
    <x v="6"/>
    <n v="54810"/>
    <s v="TA-25-839291"/>
    <n v="71753"/>
    <s v="ORDEN DE CAMBIO"/>
    <s v="NORTE DE SANTANDER"/>
    <s v="TIBU"/>
    <s v="PTM TIBU SUPERMERCADO DO#A GLA"/>
    <s v="REDEBAN"/>
    <s v="FO-25-1196162"/>
    <d v="2025-07-07T15:41:00"/>
    <d v="2025-07-14T11:25:00"/>
    <m/>
    <s v="CIERRE"/>
    <s v="CIERRE"/>
    <s v="AGREGADOR"/>
    <s v="COMCARD - PTM"/>
    <s v="NO_EXITOSO"/>
    <s v="CB NO ENTREGA EQUIPO"/>
    <s v="14-07-2025 SE COMUNICA CON LA CLIENTE SORAIDA VIA WHATSAP AL # 3112320878, NOS INFORMA QUE NO PUDO VIAJAR EL DIA DE HOY, DEBIDO  A LA SITUACION DE ORDEN PUBLICO PARA LA ENTREGA DE EQUIPOS, SE LE INFORMA QUE TAN PRONTO PUEDA SE COMUNIQUE CON LA ENTIDAD."/>
    <s v="SOPORTE_TELEFÓNICO"/>
    <n v="0"/>
    <s v="TIPO IV ESPECIAL"/>
    <s v="TERRESTRE"/>
    <s v="NARANJO AFANADOR RUBEN JESUS"/>
    <n v="0"/>
    <n v="37904.612000000001"/>
    <n v="37904.612000000001"/>
  </r>
  <r>
    <s v="CUCUTA"/>
    <x v="5"/>
    <x v="6"/>
    <n v="54001"/>
    <s v="TA-25-853184"/>
    <n v="77344"/>
    <s v="ORDEN DE CAMBIO"/>
    <s v="CUCUTA"/>
    <s v="NORTE DE SANTANDER"/>
    <s v="BARRIO  AGUAS CALIENTES CUCUTA"/>
    <s v="REDEBAN"/>
    <s v="FO-25-1222121"/>
    <d v="2025-07-11T11:38:00"/>
    <d v="2025-07-14T11:38:12"/>
    <m/>
    <s v="CIERRE"/>
    <s v="CIERRE"/>
    <s v="CB UNO A UNO"/>
    <s v="CB UNO A UNO"/>
    <s v="EJECUTADO_EXITOSO"/>
    <s v="CIERRE EXITOSO"/>
    <s v="14-07-2025 SE REALIZÓ VISITA AL COMERCIO Y SE REALIZA CIERRE DE CB, SE RECOJE DATAFONO, LECTORA CABLEADO, PUBLICIDAD FUE DESTRUIDA POR SU MAL ESTADO"/>
    <s v="VISITA_TÉCNICA"/>
    <s v="FAEZZ425"/>
    <s v="TIPO I"/>
    <s v="TERRESTRE"/>
    <s v="HERNANDEZ GUARIN MIGUEL JULIAN"/>
    <n v="1"/>
    <n v="44559.563999999998"/>
    <n v="44559.563999999998"/>
  </r>
  <r>
    <s v="PASTO"/>
    <x v="1"/>
    <x v="1"/>
    <n v="86573"/>
    <s v="TA-25-809607"/>
    <n v="51784"/>
    <s v="ORDEN DE CAMBIO"/>
    <s v="PUTUMAYO"/>
    <s v="LEGUIZAMO"/>
    <s v="BARRIO MUELLE ALTERNO PUERTO L"/>
    <s v="REDEBAN"/>
    <s v="FO-25-1148281"/>
    <d v="2025-06-28T08:00:00"/>
    <d v="2025-07-15T08:31:31"/>
    <m/>
    <s v="CIERRE"/>
    <s v="CIERRE"/>
    <s v="CB UNO A UNO"/>
    <s v="CB UNO A UNO"/>
    <s v="NO_EXITOSO"/>
    <s v="CB NO ENTREGA EQUIPO"/>
    <s v="15-07-2025 SE LOGRA ENTABLAR COMUNICACION CON EL SEÑOR GERARDO, QUIEN INDICA QUE ESTAN EN VALIDACIONES CON LA ENTIDAD PARA REVISAR MOTIVO DEL CIERRE, YA QUE NO LE HAN INFORMADO NADA, TAN PRONTO TENGA LA RESPUESTA, SE COMUNICARA PARA PODER VALIDAR SI SE REALIZA RETIRO DE EQUIPO O COMO REALIZARA LA ENTREGA DE LOS MISMO"/>
    <s v="SOPORTE_TELEFÓNICO"/>
    <n v="0"/>
    <s v="TIPO IV"/>
    <s v="AEREO"/>
    <s v="GUERRERO RAMIREZ OSCAR DARIO"/>
    <n v="0"/>
    <n v="37904.612000000001"/>
    <n v="37904.612000000001"/>
  </r>
  <r>
    <s v="BOGOTA"/>
    <x v="0"/>
    <x v="0"/>
    <n v="25297"/>
    <s v="TA-25-853148"/>
    <n v="22168"/>
    <s v="ORDEN DE CAMBIO"/>
    <s v="CUNDINAMARCA"/>
    <s v="GACHETA"/>
    <s v="CENTRO GACHETA I CUNDINAMARCA"/>
    <s v="REDEBAN"/>
    <s v="FO-25-1218038"/>
    <d v="2025-07-11T11:38:00"/>
    <d v="2025-07-15T08:33:00"/>
    <m/>
    <s v="CIERRE"/>
    <s v="CIERRE"/>
    <s v="CB UNO A UNO"/>
    <s v="CB UNO A UNO"/>
    <s v="NO_EXITOSO"/>
    <s v="MIXTO UNO A UNO NO COBRAR"/>
    <s v="14-07-2025 SE REALIZA CONTACTO CON CLIENTE PARA CONFIRMAR VISITA CLIENTE INFORMA QUE DÍAS ANTERIORES YA FUE VISITADO Y LE REALIZARON EL CIERRE"/>
    <s v="SOPORTE_TELEFÓNICO"/>
    <n v="0"/>
    <s v="TIPO III"/>
    <s v="TERRESTRE"/>
    <s v="GALINDO ROJAS LUIS FELIPE"/>
    <n v="0"/>
    <n v="37904.612000000001"/>
    <n v="37904.612000000001"/>
  </r>
  <r>
    <s v="NEIVA"/>
    <x v="3"/>
    <x v="3"/>
    <n v="41551"/>
    <s v="TA-25-853161"/>
    <n v="59370"/>
    <s v="ORDEN DE CAMBIO"/>
    <s v="HUILA"/>
    <s v="PITALITO"/>
    <s v="BARRIO CENTRO PITALITO 19"/>
    <s v="REDEBAN"/>
    <s v="FO-25-1218059"/>
    <d v="2025-07-11T11:38:00"/>
    <d v="2025-07-15T10:30:00"/>
    <m/>
    <s v="CIERRE"/>
    <s v="CIERRE"/>
    <s v="CB UNO A UNO"/>
    <s v="CB UNO A UNO"/>
    <s v="SOLICITUD_CANCELADA"/>
    <s v="CANCELADO POR LA ENTIDAD"/>
    <s v="15-07-2025 SE CANCELA CIERRE POR SOLICITUD DE LA ENTIDAD"/>
    <s v="SOPORTE_TELEFÓNICO"/>
    <n v="0"/>
    <s v="TIPO III"/>
    <s v="TERRESTRE"/>
    <s v="ANDRADE HERNANDEZ JUAN CARLOS"/>
    <n v="0"/>
    <n v="37904.612000000001"/>
    <n v="37904.612000000001"/>
  </r>
  <r>
    <s v="NEIVA"/>
    <x v="3"/>
    <x v="3"/>
    <n v="18001"/>
    <s v="TA-25-847305"/>
    <n v="77200"/>
    <s v="ORDEN DE CAMBIO"/>
    <s v="CAQUETA"/>
    <s v="FLORENCIA"/>
    <s v="BARRIO CENTRO FLORENCIA 35"/>
    <s v="REDEBAN"/>
    <s v="FO-25-1221813"/>
    <d v="2025-07-09T13:02:00"/>
    <d v="2025-07-15T10:51:01"/>
    <m/>
    <s v="CIERRE"/>
    <s v="CIERRE"/>
    <s v="CB UNO A UNO"/>
    <s v="CB UNO A UNO"/>
    <s v="EJECUTADO_EXITOSO"/>
    <s v="CIERRE EXITOSO"/>
    <s v="15-07-2025 SE REALIZA RETIRO DE DATAFONO, LECTORA, BASE, FUENTE, AVISO EXTERIOR Y PUBLICIDAD, EL AVISO EXTERIOR Y LA PUBLICIDAD SE DESTRUYE, CIERRE EXITOSO."/>
    <s v="VISITA_TÉCNICA"/>
    <s v="SX7ZZ202"/>
    <s v="TIPO IV"/>
    <s v="TERRESTRE"/>
    <s v="BERMUDEZ SANCHEZ JOSE NEYBER"/>
    <n v="1"/>
    <n v="464809.36800000002"/>
    <n v="464809.36800000002"/>
  </r>
  <r>
    <s v="MEDELLIN"/>
    <x v="4"/>
    <x v="5"/>
    <n v="5321"/>
    <s v="TA-25-846833"/>
    <n v="45211"/>
    <s v="ORDEN DE CAMBIO"/>
    <s v="ANTIOQUIA"/>
    <s v="GUATAPE"/>
    <s v="DISTRICOL AUTOSERVICIO LA TRIB"/>
    <s v="REDEBAN"/>
    <s v="FO-25-1205621"/>
    <d v="2025-07-09T10:52:00"/>
    <d v="2025-07-15T10:54:30"/>
    <m/>
    <s v="CIERRE"/>
    <s v="CIERRE"/>
    <s v="AGREGADOR"/>
    <s v="DISTRICOL"/>
    <s v="NO_EXITOSO"/>
    <s v="CB NO ENTREGA EQUIPO"/>
    <s v="15-07-2025 CIERRE FALLIDO SE LLEGA LA PUNTO PERO CLIENTE INFORMA QUE HACE 8 DÍAS ENVÍO LOS EQUIPOS A DISTRICOL"/>
    <s v="VISITA_TÉCNICA"/>
    <s v="GA0LZ478"/>
    <s v="TIPO II"/>
    <s v="TERRESTRE"/>
    <s v="ALVAREZ ARENAS VICTOR HUGO"/>
    <n v="1"/>
    <n v="134410.88400000002"/>
    <n v="134410.88400000002"/>
  </r>
  <r>
    <s v="BOGOTA"/>
    <x v="0"/>
    <x v="0"/>
    <n v="11001"/>
    <s v="TA-25-853211"/>
    <n v="57736"/>
    <s v="ORDEN DE CAMBIO"/>
    <s v="CUNDINAMARCA"/>
    <s v="BOGOTA"/>
    <s v="BARRIO PIO XII BOGOTA 4"/>
    <s v="REDEBAN"/>
    <s v="FO-25-1229260"/>
    <d v="2025-07-11T11:38:00"/>
    <d v="2025-07-15T16:00:23"/>
    <m/>
    <s v="CIERRE"/>
    <s v="CIERRE"/>
    <s v="CB UNO A UNO"/>
    <s v="CB UNO A UNO"/>
    <s v="ILOCALIZADO"/>
    <s v="CB CERRADO - DESOCUPADO"/>
    <s v="15-07-2025 SE REALIZA VISITA AL COMERCIO PARA EJECUTAR CIERRE DE CB BANCOLOMBIA PERO AL LLEGAR AL PUNTO SE ENCUENTRA CERRADO, SE INTENTA CONTACTO CON EL CLIENTE AL NÚMERO 3104724202 Y NO HAY RESPUESTA. 2 VISITA SE CIERRA ACTIVIDAD."/>
    <s v="VISITA_TÉCNICA"/>
    <n v="0"/>
    <s v="TIPO I"/>
    <s v="TERRESTRE"/>
    <s v="CORTES VELANDIA MIGUEL ANGEL"/>
    <n v="2"/>
    <n v="44559.563999999998"/>
    <n v="89119.127999999997"/>
  </r>
  <r>
    <s v="CUCUTA"/>
    <x v="5"/>
    <x v="6"/>
    <n v="54001"/>
    <s v="TA-25-858530"/>
    <n v="71022"/>
    <s v="ORDEN DE CAMBIO"/>
    <s v="NORTE DE SANTANDER"/>
    <s v="CUCUTA"/>
    <s v="DISTRICOL CENTROPAG"/>
    <s v="REDEBAN"/>
    <s v="FO-25-1231199"/>
    <d v="2025-07-15T08:00:00"/>
    <d v="2025-07-16T08:21:20"/>
    <m/>
    <s v="CIERRE"/>
    <s v="CIERRE"/>
    <s v="AGREGADOR"/>
    <s v="DISTRICOL"/>
    <s v="ILOCALIZADO"/>
    <s v="CB CERRADO - DESOCUPADO"/>
    <s v="16-07-2025 SE VISITA COMERCIO Y SE ENCUENTRA CERRADO SE LLAMA AL CLIENTE Y NO CONTESTA, SE DEJA MENSAJE POR WHATSAPP Y NO SE OBTIENE RESPUESTA."/>
    <s v="VISITA_TÉCNICA"/>
    <n v="0"/>
    <s v="TIPO I"/>
    <s v="TERRESTRE"/>
    <s v="TORRES MANTILLA JOSE DANIEL"/>
    <n v="1"/>
    <n v="44559.563999999998"/>
    <n v="44559.563999999998"/>
  </r>
  <r>
    <s v="CALI"/>
    <x v="1"/>
    <x v="1"/>
    <n v="76001"/>
    <s v="TA-25-853197"/>
    <n v="12288"/>
    <s v="ORDEN DE CAMBIO"/>
    <s v="VALLE DEL CAUCA"/>
    <s v="CALI"/>
    <s v="BARRIO VALLE GRANDE - CALI"/>
    <s v="REDEBAN"/>
    <s v="FO-25-1218109"/>
    <d v="2025-07-11T11:38:00"/>
    <d v="2025-07-16T10:54:20"/>
    <m/>
    <s v="CIERRE"/>
    <s v="CIERRE"/>
    <s v="CB UNO A UNO"/>
    <s v="CB UNO A UNO"/>
    <s v="NO_EXITOSO"/>
    <s v="CB NO ENTREGA EQUIPO"/>
    <s v="12-07-2025 SE LLEGA A SITIO Y EL CB YA NO EXISTE EN EL PUNTO, SE REALIZA COMUNICACION AL NÙMERO 3016621547, EL CUÀL MANIFIESTAN QUE LO ENTREGAN EN OTRA DIRECCIÒN DESPUES DE LAS 12 DE LA TARDE.SE VUELVE Y SE ESCRIBE A LAS 12 PARA QUE BRINDEN LA DIRECCIÒN YNUMERO DE CONTACTO DE LA PERSONA ENCARGADA, PERO NO BRINDAN DICHA INFORMACIÒN.SE SOLICITA REPROGRAMACIÒN DE LA VISITA PARA EL DÌA LUNES."/>
    <s v="VISITA_TÉCNICA"/>
    <n v="0"/>
    <s v="TIPO I"/>
    <s v="TERRESTRE"/>
    <s v="TORRES GARCIA JENDRY JOSE"/>
    <n v="1"/>
    <n v="44559.563999999998"/>
    <n v="44559.563999999998"/>
  </r>
  <r>
    <s v="BOGOTA"/>
    <x v="0"/>
    <x v="0"/>
    <n v="11001"/>
    <s v="TA-25-853213"/>
    <n v="78624"/>
    <s v="ORDEN DE CAMBIO"/>
    <s v="CUNDINAMARCA"/>
    <s v="BOGOTA"/>
    <s v="BARRIO SANTA ANA BOGOTA  1"/>
    <s v="REDEBAN"/>
    <s v="FO-25-1237472"/>
    <d v="2025-07-11T11:38:00"/>
    <d v="2025-07-16T14:10:36"/>
    <m/>
    <s v="CIERRE"/>
    <s v="CIERRE"/>
    <s v="CB UNO A UNO"/>
    <s v="CB UNO A UNO"/>
    <s v="EJECUTADO_EXITOSO"/>
    <s v="CIERRE EXITOSO"/>
    <s v="16-07-2025 SE RETIRA DATÁFONO LECTORA Y SE DESTRUYE PUBLICIDAD EN SITIO"/>
    <s v="VISITA_TÉCNICA"/>
    <s v="FAMZZ298"/>
    <s v="TIPO I"/>
    <s v="TERRESTRE"/>
    <s v="INFANTE SIERRA MANUEL FERNANDO"/>
    <n v="1"/>
    <n v="44559.563999999998"/>
    <n v="44559.563999999998"/>
  </r>
  <r>
    <s v="PASTO"/>
    <x v="1"/>
    <x v="1"/>
    <n v="52838"/>
    <s v="TA-25-858456"/>
    <n v="53979"/>
    <s v="ORDEN DE CAMBIO"/>
    <s v="NARIÑO"/>
    <s v="TUQUERRES"/>
    <s v="BARRIO PAILERIA TUQUERRES 1"/>
    <s v="REDEBAN"/>
    <s v="FO-25-1231053"/>
    <d v="2025-07-15T08:00:00"/>
    <d v="2025-07-16T16:09:39"/>
    <m/>
    <s v="CIERRE"/>
    <s v="RECUPERACION DE EQUIPOS"/>
    <s v="CB UNO A UNO"/>
    <s v="CB UNO A UNO"/>
    <s v="NO_EXITOSO"/>
    <s v="CB NO ENTREGA EQUIPO"/>
    <s v="16-07-2025 SE VISITA CLIENTE EN OTRA DIRECCIÓN PARA RECOGIDA DE EQUIPOS POR CIERRE DE CB. SE LLEGA A LAS 2:15, CLIENTE INFORMA QUE SE ENCUENTRA HACIENDO DILIGENCIAS PERSONALES Y QUE LA ESPERE HASTA LAS 3 PM. SE ESPERA EN EL SITIO HASTA LAS 4 PM PERO CLIENTE NO LLEGA. SE ESCALA E INDICAN CERRAR LA ACTIVIDAD, SE DEJA LA RAZÓN QUE DEBE SOLICITAR EN LA LÍNEA LA VISITA TÉCNICA PARA RECOGER EQUIPOS. CIERRE FALLIDO"/>
    <s v="VISITA_TÉCNICA"/>
    <n v="0"/>
    <s v="TIPO II"/>
    <s v="TERRESTRE"/>
    <s v="CASTILLO HERRERA ALEX RICARDO"/>
    <n v="1"/>
    <n v="134410.88400000002"/>
    <n v="134410.88400000002"/>
  </r>
  <r>
    <s v="BOGOTA"/>
    <x v="0"/>
    <x v="0"/>
    <n v="11001"/>
    <s v="TA-25-858581"/>
    <n v="50669"/>
    <s v="ORDEN DE CAMBIO"/>
    <s v="CUNDINAMARCA"/>
    <s v="BOGOTA"/>
    <s v="PTM  BOGOTA  JLB SOUND"/>
    <s v="REDEBAN"/>
    <s v="FO-25-1235916"/>
    <d v="2025-07-15T08:00:00"/>
    <d v="2025-07-16T17:37:42"/>
    <m/>
    <s v="CIERRE"/>
    <s v="CIERRE"/>
    <s v="AGREGADOR"/>
    <s v="COMCARD - PTM"/>
    <s v="EJECUTADO_EXITOSO"/>
    <s v="CIERRE EXITOSO"/>
    <s v="16-07-2025 SE REALIZA LA RECEPCIÓN DE EQUIPOS, DATAFONO LECTORA BASE FUENTE"/>
    <s v="VISITA_TÉCNICA"/>
    <s v="BA00Y369"/>
    <s v="TIPO I"/>
    <s v="TERRESTRE"/>
    <s v="SOTO MUNAR DYLAN DAVID"/>
    <n v="1"/>
    <n v="44559.563999999998"/>
    <n v="44559.563999999998"/>
  </r>
  <r>
    <s v="BOGOTA"/>
    <x v="0"/>
    <x v="0"/>
    <n v="11001"/>
    <s v="TA-25-853223"/>
    <n v="58583"/>
    <s v="ORDEN DE CAMBIO"/>
    <s v="CUNDINAMARCA"/>
    <s v="BOGOTA"/>
    <s v="BARRIO TOBERIN BOGOTA 9"/>
    <s v="REDEBAN"/>
    <s v="FO-25-1236167"/>
    <d v="2025-07-11T11:38:00"/>
    <d v="2025-07-17T08:25:59"/>
    <m/>
    <s v="CIERRE"/>
    <s v="RECUPERACION DE EQUIPOS"/>
    <s v="CB UNO A UNO"/>
    <s v="CB UNO A UNO"/>
    <s v="ILOCALIZADO"/>
    <s v="CB CERRADO - DESOCUPADO"/>
    <s v="17-07-2025 SE LLEGA LA DIRECCIÓN INDICADA, GUARDA INTENTA COMUNICARSE CON EL NÚMERO DEL APARTAMENTO 327  PERO NO ES POSIBLE LA COMUNICACIÓN SE INTENTA COMUNICACIÓN VÍA TELEFÓNICA AL NÚMERO 3003796709 Y TAMPOCO ES POSIBLE"/>
    <s v="VISITA_TÉCNICA"/>
    <n v="0"/>
    <s v="TIPO I"/>
    <s v="TERRESTRE"/>
    <s v="GARCIA PASTRANA KEVIN FERNANDO"/>
    <n v="2"/>
    <n v="44559.563999999998"/>
    <n v="89119.127999999997"/>
  </r>
  <r>
    <s v="MEDELLIN"/>
    <x v="4"/>
    <x v="5"/>
    <n v="27001"/>
    <s v="TA-25-853150"/>
    <n v="69593"/>
    <s v="ORDEN DE CAMBIO"/>
    <s v="CHOCO"/>
    <s v="QUIBDO"/>
    <s v="BARRIO QUIBDO QUIBDO 5"/>
    <s v="REDEBAN"/>
    <s v="FO-25-1218042"/>
    <d v="2025-07-11T11:38:00"/>
    <d v="2025-07-17T10:49:29"/>
    <m/>
    <s v="CIERRE"/>
    <s v="CIERRE"/>
    <s v="CB UNO A UNO"/>
    <s v="CB UNO A UNO"/>
    <s v="NO_EXITOSO"/>
    <s v="CB NO ENTREGA EQUIPO"/>
    <s v="17-07-2025 SE REALIZA VISITA AL PUNTO PARA EL CIERRE DEL CB,  USUARIO NO SE ENCUENTRA EN SITIO, INFORMA EL SEÑOR QUE ESTÁ EN EL NEGOCIO QUE SE ENCUENTRA EN LA CIUDAD DE MEDELLIN,  SE GESTIONA LLAMADA PERO NO RESPONDE OK"/>
    <s v="VISITA_TÉCNICA"/>
    <n v="0"/>
    <s v="TIPO IV ESPECIAL"/>
    <s v="AEREO"/>
    <s v="MARTINEZ TOVAR OSCAR DAVID"/>
    <n v="1"/>
    <n v="464809.36800000002"/>
    <n v="464809.36800000002"/>
  </r>
  <r>
    <s v="IBAGUE"/>
    <x v="3"/>
    <x v="3"/>
    <n v="73001"/>
    <s v="TA-25-866217"/>
    <n v="44044"/>
    <s v="ORDEN DE CAMBIO"/>
    <s v="TOLIMA"/>
    <s v="IBAGUE"/>
    <s v="BARRIO CONDOMINIO EL VERGEL IB"/>
    <s v="REDEBAN"/>
    <s v="FO-25-1242999"/>
    <d v="2025-07-17T08:00:00"/>
    <d v="2025-07-17T11:18:25"/>
    <m/>
    <s v="CIERRE"/>
    <s v="CIERRE"/>
    <s v="CB UNO A UNO"/>
    <s v="CB UNO A UNO"/>
    <s v="ILOCALIZADO"/>
    <s v="CB CERRADO - DESOCUPADO"/>
    <s v="17-07-2025 SE LLEGA AL SITIO PARA VALIDAR ACTIVIDAD DE CIERRE, PERO EL COMERCIO SE ENCUENTRA CERRADO; SE VÁLIDA CONTACTO TELEFÓNICO AL NÚMERO 3183812523 SIN NINGÚN RESULTADO."/>
    <s v="VISITA_TÉCNICA"/>
    <n v="0"/>
    <s v="TIPO I"/>
    <s v="TERRESTRE"/>
    <s v="BARRAGAN TAFUR EDWIN ESTEBAN"/>
    <n v="1"/>
    <n v="44559.563999999998"/>
    <n v="44559.563999999998"/>
  </r>
  <r>
    <s v="CALI"/>
    <x v="1"/>
    <x v="1"/>
    <n v="76001"/>
    <s v="TA-25-866221"/>
    <n v="70371"/>
    <s v="ORDEN DE CAMBIO"/>
    <s v="VALLE DEL CAUCA"/>
    <s v="CALI"/>
    <s v="BARRIO OASIS DE CAMFANDI CALI"/>
    <s v="REDEBAN"/>
    <s v="FO-25-1243017"/>
    <d v="2025-07-17T08:00:00"/>
    <d v="2025-07-17T11:33:06"/>
    <m/>
    <s v="CIERRE"/>
    <s v="CIERRE"/>
    <s v="CB UNO A UNO"/>
    <s v="CB UNO A UNO"/>
    <s v="ILOCALIZADO"/>
    <s v="CB CERRADO - DESOCUPADO"/>
    <s v="17-07-2025 SE LLEGA AL COMERCIO PERO EL COMERCIO ESTÁ CERRADO SE LLAMA AL CLIENTE Y EL CLIENTE NO CONTESTA"/>
    <s v="VISITA_TÉCNICA"/>
    <s v="NN006465"/>
    <s v="TIPO I"/>
    <s v="TERRESTRE"/>
    <s v="CUERO RUIZ JHONNY"/>
    <n v="1"/>
    <n v="44559.563999999998"/>
    <n v="44559.563999999998"/>
  </r>
  <r>
    <s v="MONTERIA"/>
    <x v="2"/>
    <x v="2"/>
    <n v="23001"/>
    <s v="TA-25-853146"/>
    <n v="43549"/>
    <s v="ORDEN DE CAMBIO"/>
    <s v="CORDOBA"/>
    <s v="MONTERIA"/>
    <s v="BARRIO CANTA CLARO MONTERIA"/>
    <s v="REDEBAN"/>
    <s v="FO-25-1218035"/>
    <d v="2025-07-11T11:38:00"/>
    <d v="2025-07-18T07:30:00"/>
    <m/>
    <s v="CIERRE"/>
    <s v="CIERRE"/>
    <s v="CB UNO A UNO"/>
    <s v="CB UNO A UNO"/>
    <s v="ILOCALIZADO"/>
    <s v="CB CERRADO - DESOCUPADO"/>
    <s v="17-07-2025 SE VISITA SITIO, NO SE ENCUENTRA CB EN DIRECCIÓN, SE LLAMA A LOS NÚMEROS REGISTRADOS PERO NO RESPONDEN. SE CIERRA ORDEN CON FALLIDA YA QUE NO SE ENCUENTRA NI SE LOGRA COMUNICACIÓN CON CB."/>
    <s v="VISITA_TÉCNICA"/>
    <n v="0"/>
    <s v="TIPO I"/>
    <s v="TERRESTRE"/>
    <s v="COGOLLO VERTEL EDER LUIS"/>
    <n v="1"/>
    <n v="44559.563999999998"/>
    <n v="44559.563999999998"/>
  </r>
  <r>
    <s v="BOGOTA"/>
    <x v="0"/>
    <x v="0"/>
    <n v="25286"/>
    <s v="TA-25-858458"/>
    <n v="62043"/>
    <s v="ORDEN DE CAMBIO"/>
    <s v="CUNDINAMARCA"/>
    <s v="FUNZA"/>
    <s v="BARRIO VILLA ADRIANA FUNZA"/>
    <s v="REDEBAN"/>
    <s v="FO-25-1231058"/>
    <d v="2025-07-15T08:00:00"/>
    <d v="2025-07-18T10:30:08"/>
    <m/>
    <s v="CIERRE"/>
    <s v="RECUPERACION DE EQUIPOS"/>
    <s v="CB UNO A UNO"/>
    <s v="CB UNO A UNO"/>
    <s v="ILOCALIZADO"/>
    <s v="CB CERRADO - DESOCUPADO"/>
    <s v="18-07-2025 DURANTE LA VISITA TECNICA A COMERCIO AL LLEGAR SE EVIDENCIA QUE COMERCIO SE ENCUENTRA CERRADO SE LLAMA AL CELULAR 3204098814 SIN TENER RESPUESTA O CUELGA LA LLAMADA SE DEJA SOPORTÉ FOTOGRÁFICO"/>
    <s v="VISITA_TÉCNICA"/>
    <s v="KA00M315"/>
    <s v="TIPO II"/>
    <s v="TERRESTRE"/>
    <s v="GALEANO SORIANO JUAN DAVID"/>
    <n v="1"/>
    <n v="134410.88400000002"/>
    <n v="134410.88400000002"/>
  </r>
  <r>
    <s v="PASTO"/>
    <x v="1"/>
    <x v="1"/>
    <n v="52720"/>
    <s v="TA-25-858484"/>
    <n v="76209"/>
    <s v="ORDEN DE CAMBIO"/>
    <s v="NARIÑO"/>
    <s v="SAPUYES"/>
    <s v="BARRIO GGT EL ESPINO SAPUYES"/>
    <s v="REDEBAN"/>
    <s v="FO-25-1231143"/>
    <d v="2025-07-15T08:00:00"/>
    <d v="2025-07-18T12:04:13"/>
    <m/>
    <s v="CIERRE"/>
    <s v="RECUPERACION DE EQUIPOS"/>
    <s v="CB UNO A UNO"/>
    <s v="CB UNO A UNO"/>
    <s v="NO_EXITOSO"/>
    <s v="CB NO ENTREGA EQUIPO"/>
    <s v="18-07-2025 SE LLAMA AL CLIENTE PARA REALIZAR EL CIERRE INDICA QUE LOS EQUIPOS LOS DEJO EN OTRA DIRECCIÓN QUE ES LA BOMBA DEL CORREGIMIENTO EL ESPINO QUE LOS RECOJA EN ESE SITIO SE LLEGA AL LUGAR PERO INDICAN QUE ALLÍ NO HAY EQUIPOS SE LLAMA ALA CLIENTE PERO YA NO SE OBTIENE RESPUESTA POR PARTE DE ELLA POR LO CUAL SE CIERRA LA TA"/>
    <s v="VISITA_TÉCNICA"/>
    <s v="FA0GZ501"/>
    <s v="TIPO II"/>
    <s v="TERRESTRE"/>
    <s v="PAZ MARTINEZ RICHARD HUMBERTO"/>
    <n v="1"/>
    <n v="134410.88400000002"/>
    <n v="134410.88400000002"/>
  </r>
  <r>
    <s v="MONTERIA"/>
    <x v="2"/>
    <x v="2"/>
    <n v="23162"/>
    <s v="TA-25-869951"/>
    <n v="77163"/>
    <s v="ORDEN DE CAMBIO"/>
    <s v="CORDOBA"/>
    <s v="CERETE"/>
    <s v="BARRIO SANTA CLARA CERETE"/>
    <s v="REDEBAN"/>
    <s v="FO-25-1249401"/>
    <d v="2025-07-18T08:00:00"/>
    <d v="2025-07-18T13:17:36"/>
    <m/>
    <s v="CIERRE"/>
    <s v="CIERRE"/>
    <s v="CB UNO A UNO"/>
    <s v="CB UNO A UNO"/>
    <s v="NO_EXITOSO"/>
    <s v="CB NO ENTREGA EQUIPO"/>
    <s v="18-07-2025 SE REALIZA VISITA AL PUNTO PARA RETIRO DE EQUIPOS POR CIERRE DE CORRESPONSAL, CLIENTE INDICA QUE TIENE INCONVENIENTES CON LA FACTURACIÓN ELÉCTRICA Y CUENTA CON RADICADO NÚMERO 13661274  PARA DAR SOLUCIÓN Y REACTIVAR EL SERVICIO, POR TAL MOTIVOS NO ENTREGA LOS EQUIPOS A RETIRAR."/>
    <s v="VISITA_TÉCNICA"/>
    <n v="0"/>
    <s v="TIPO I"/>
    <s v="TERRESTRE"/>
    <s v="GONZALEZ FERRER JESUS ALEXANDER"/>
    <n v="1"/>
    <n v="44559.563999999998"/>
    <n v="44559.563999999998"/>
  </r>
  <r>
    <s v="MONTERIA"/>
    <x v="2"/>
    <x v="2"/>
    <n v="23001"/>
    <s v="TA-25-869797"/>
    <n v="49768"/>
    <s v="ORDEN DE CAMBIO"/>
    <s v="CORDOBA"/>
    <s v="MONTERIA"/>
    <s v="BARRIO LAS PARCELAS MOCARI MON"/>
    <s v="REDEBAN"/>
    <s v="FO-25-1248805"/>
    <d v="2025-07-18T08:00:00"/>
    <d v="2025-07-18T14:34:08"/>
    <m/>
    <s v="CIERRE"/>
    <s v="CIERRE"/>
    <s v="CB UNO A UNO"/>
    <s v="CB UNO A UNO"/>
    <s v="ILOCALIZADO"/>
    <s v="CB CERRADO - DESOCUPADO"/>
    <s v="18-07-2025 SE REALIZA VISITA AL PUNTO PARA RETIRAR EQUIPOS POR CIERRE DE CORRESPONSAL, SE LLEGA AL COMERCIO ENCONTRANDO EL LOCAL CERRADO, SE INTENTA COMUNICACIÓN CON EL CLIENTE NUMERO SALE APAGADO, COMERCIOS VECINOS INFMAN QUE LA FERRETERÍA DONDE SE INSTALO EL CORRESPONSAL CERRO SUS PUERTAS AL PÚBLICO HACE MESES, NO SE RETIRAN EQUIPOS."/>
    <s v="VISITA_TÉCNICA"/>
    <n v="0"/>
    <s v="TIPO I"/>
    <s v="TERRESTRE"/>
    <s v="GONZALEZ FERRER JESUS ALEXANDER"/>
    <n v="1"/>
    <n v="44559.563999999998"/>
    <n v="44559.563999999998"/>
  </r>
  <r>
    <s v="IBAGUE"/>
    <x v="3"/>
    <x v="3"/>
    <n v="73001"/>
    <s v="TA-25-869954"/>
    <n v="65524"/>
    <s v="ORDEN DE CAMBIO"/>
    <s v="TOLIMA"/>
    <s v="IBAGUE"/>
    <s v="PTM IBAGUE DROGUERIA EDISALUD"/>
    <s v="REDEBAN"/>
    <s v="FO-25-1249413"/>
    <d v="2025-07-18T08:00:00"/>
    <d v="2025-07-18T14:48:14"/>
    <m/>
    <s v="CIERRE"/>
    <s v="CIERRE"/>
    <s v="AGREGADOR"/>
    <s v="COMCARD - PTM"/>
    <s v="NO_EXITOSO"/>
    <s v="CB NO ENTREGA EQUIPO"/>
    <s v="18-07-2025 SE LLEGA AL SITIO PARA REALIZAR ACTIVIDAD DE CIERRE, PERO NO ES POSIBLE DEBIDO A QUE NO SE ENCUENTRA LA PERSONA ENCARGADA NO HAY AUTORIZACIÓN PARA ENTREGAR EQUIPOS."/>
    <s v="VISITA_TÉCNICA"/>
    <n v="0"/>
    <s v="TIPO I"/>
    <s v="TERRESTRE"/>
    <s v="BARRAGAN TAFUR EDWIN ESTEBAN"/>
    <n v="1"/>
    <n v="44559.563999999998"/>
    <n v="44559.563999999998"/>
  </r>
  <r>
    <s v="IBAGUE"/>
    <x v="3"/>
    <x v="3"/>
    <n v="73001"/>
    <s v="TA-25-869824"/>
    <n v="69876"/>
    <s v="ORDEN DE CAMBIO"/>
    <s v="TOLIMA"/>
    <s v="IBAGUE"/>
    <s v="PTM IBAGUE  TIENDA VALENCIA"/>
    <s v="REDEBAN"/>
    <s v="FO-25-1248935"/>
    <d v="2025-07-18T08:00:00"/>
    <d v="2025-07-18T15:49:40"/>
    <m/>
    <s v="CIERRE"/>
    <s v="CIERRE"/>
    <s v="AGREGADOR"/>
    <s v="COMCARD - PTM"/>
    <s v="NO_EXITOSO"/>
    <s v="CB NO ENTREGA EQUIPO"/>
    <s v="18-07-2025 SE LLEGA AL SITIO PARA REALIZAR ACTIVIDAD DE CIERRE, PERO NO ES POSIBLE DEBIDO A QUE NO SE ENCUENTRA LA PERSONA ENCARGADA NO HAY AUTORIZACIÓN PARA ENTREGAR EQUIPOS. CLIENTE NO FIRMA"/>
    <s v="VISITA_TÉCNICA"/>
    <n v="0"/>
    <s v="TIPO I"/>
    <s v="TERRESTRE"/>
    <s v="BARRAGAN TAFUR EDWIN ESTEBAN"/>
    <n v="1"/>
    <n v="44559.563999999998"/>
    <n v="44559.563999999998"/>
  </r>
  <r>
    <s v="BOGOTA"/>
    <x v="0"/>
    <x v="0"/>
    <n v="11001"/>
    <s v="TA-25-858451"/>
    <n v="68172"/>
    <s v="ORDEN DE CAMBIO"/>
    <s v="CUNDINAMARCA"/>
    <s v="BOGOTA"/>
    <s v="PALERMO BOGOTA CUNDINAMARCA1"/>
    <s v="REDEBAN"/>
    <s v="FO-25-1241389"/>
    <d v="2025-07-15T08:00:00"/>
    <d v="2025-07-18T16:26:11"/>
    <m/>
    <s v="CIERRE"/>
    <s v="CIERRE"/>
    <s v="CB UNO A UNO"/>
    <s v="CB UNO A UNO"/>
    <s v="EJECUTADO_EXITOSO"/>
    <s v="CIERRE EXITOSO"/>
    <s v="18-07-2025 SE RECOGE DATÁFONO Y LECTORA CB HIZO DISPOSICIÓN FINAL DE LA PUBLICIDAD, PUBLICIDAD ACTUAL ES DEL CB  BARRIO PALERMO SUR BOGOTA 2 80117"/>
    <s v="VISITA_TÉCNICA"/>
    <s v="9L08Z775"/>
    <s v="TIPO I"/>
    <s v="TERRESTRE"/>
    <s v="MICHELI LOPEZ MIGUEL ANGEL"/>
    <n v="1"/>
    <n v="44559.563999999998"/>
    <n v="44559.563999999998"/>
  </r>
  <r>
    <s v="BOGOTA"/>
    <x v="0"/>
    <x v="0"/>
    <n v="11001"/>
    <s v="TA-25-858452"/>
    <n v="10167"/>
    <s v="ORDEN DE CAMBIO"/>
    <s v="CUNDINAMARCA"/>
    <s v="BOGOTA"/>
    <s v="PALERMO BOGOTA CUNDINAMARCA1"/>
    <s v="REDEBAN"/>
    <s v="FO-25-1231036"/>
    <d v="2025-07-15T08:00:00"/>
    <d v="2025-07-18T17:09:45"/>
    <m/>
    <s v="CIERRE"/>
    <s v="RECUPERACION DE EQUIPOS"/>
    <s v="CB UNO A UNO"/>
    <s v="CB UNO A UNO"/>
    <s v="ILOCALIZADO"/>
    <s v="CB CERRADO - DESOCUPADO"/>
    <s v="18-07-2025 SE REALIZA VISITA DE CAMPO DONDE CB NO EXISTE EN DIRECCIÓN INDICADA, SE INTENTA CONTACTO A LA LINEA 3102491356 NO HAY RESPUESTA, SE INFORMA SUPERVISOR Y SE DA CIERRE A SOLICITUD."/>
    <s v="VISITA_TÉCNICA"/>
    <n v="0"/>
    <s v="TIPO I"/>
    <s v="TERRESTRE"/>
    <s v="LOZADA ROJAS CHRISTIAN ANDRES"/>
    <n v="1"/>
    <n v="44559.563999999998"/>
    <n v="44559.563999999998"/>
  </r>
  <r>
    <s v="MONTERIA"/>
    <x v="2"/>
    <x v="2"/>
    <n v="23001"/>
    <s v="TA-25-866162"/>
    <n v="25760"/>
    <s v="ORDEN DE CAMBIO"/>
    <s v="CORDOBA"/>
    <s v="MONTERIA"/>
    <s v="BARRIO LA GRANJA MONTERIA"/>
    <s v="REDEBAN"/>
    <s v="FO-25-1250195"/>
    <d v="2025-07-17T08:00:00"/>
    <d v="2025-07-18T18:29:16"/>
    <m/>
    <s v="CIERRE"/>
    <s v="CIERRE"/>
    <s v="CB UNO A UNO"/>
    <s v="CB UNO A UNO"/>
    <s v="EJECUTADO_EXITOSO"/>
    <s v="CIERRE EXITOSO"/>
    <s v="18-07-2025 SE REALIZA VISITA TÉCNICA PARA CIERRE DE CB, SE RETIRA DATAFONO PLACA 1141845, LECTOR ÓPTICO PLACA 540301, PINPAD PLACA 856523 Y HUB NO SERIALIZADO, EN SITIO YA NO SE ENCONTRÓ NADA DE PUBLICIDAD POR LO TANTO NO SE RETIRA. EL CIERRE SE EFECTÚA SIN NOVEDAD."/>
    <s v="VISITA_TÉCNICA"/>
    <s v="A00VZ770"/>
    <s v="TIPO I"/>
    <s v="TERRESTRE"/>
    <s v="ECHEVERRI ECHEVERRI EVELIN DANIELA"/>
    <n v="1"/>
    <n v="44559.563999999998"/>
    <n v="44559.563999999998"/>
  </r>
  <r>
    <s v="VILLAVICENCIO"/>
    <x v="3"/>
    <x v="3"/>
    <n v="50001"/>
    <s v="TA-25-866194"/>
    <n v="70251"/>
    <s v="ORDEN DE CAMBIO"/>
    <s v="META"/>
    <s v="VILLAVICENCIO"/>
    <s v="BARRIO PORVENIR VILLAVICENCIO"/>
    <s v="REDEBAN"/>
    <s v="FO-25-1242982"/>
    <d v="2025-07-17T08:00:00"/>
    <d v="2025-07-19T09:22:40"/>
    <m/>
    <s v="CIERRE"/>
    <s v="CIERRE"/>
    <s v="CB UNO A UNO"/>
    <s v="CB UNO A UNO"/>
    <s v="ILOCALIZADO"/>
    <s v="CB CERRADO - DESOCUPADO"/>
    <s v="19-07-2025 SE VISITA DIRECCIÓN DE CB PERO AL LLEGAR AL SITIO COMERCIO SE ENCUENTRA CERRADO. NO ES POSIBLE RECUPERAR EQUIPOS"/>
    <s v="VISITA_TÉCNICA"/>
    <s v="LN009186"/>
    <s v="TIPO I"/>
    <s v="TERRESTRE"/>
    <s v="GARZON RUIZ LUIS MIGUEL"/>
    <n v="1"/>
    <n v="44559.563999999998"/>
    <n v="44559.563999999998"/>
  </r>
  <r>
    <s v="CALI"/>
    <x v="1"/>
    <x v="1"/>
    <n v="19001"/>
    <s v="TA-25-858489"/>
    <n v="76647"/>
    <s v="ORDEN DE CAMBIO"/>
    <s v="CAUCA"/>
    <s v="POPAYAN"/>
    <s v="BARRIO BELLAVISTA POPAYAN 1"/>
    <s v="REDEBAN"/>
    <s v="FO-25-1231153"/>
    <d v="2025-07-15T08:00:00"/>
    <d v="2025-07-19T09:36:21"/>
    <m/>
    <s v="CIERRE"/>
    <s v="RECUPERACION DE EQUIPOS"/>
    <s v="CB UNO A UNO"/>
    <s v="CB UNO A UNO"/>
    <s v="ILOCALIZADO"/>
    <s v="CB CERRADO - DESOCUPADO"/>
    <s v="19-07-2025 SE LLAMA AL CB NO RESPONDE SE DIRIGE AL SITIO SE ENCUENTRA COMERCIO CERRADO"/>
    <s v="VISITA_TÉCNICA"/>
    <s v="LA2ZZ430"/>
    <s v="TIPO III"/>
    <s v="TERRESTRE"/>
    <s v="GIMBUEL LASSO LUIS GERMAN"/>
    <n v="1"/>
    <n v="222904.07200000001"/>
    <n v="222904.07200000001"/>
  </r>
  <r>
    <s v="BOGOTA"/>
    <x v="0"/>
    <x v="0"/>
    <n v="11001"/>
    <s v="TA-25-869812"/>
    <n v="75361"/>
    <s v="ORDEN DE CAMBIO"/>
    <s v="CUNDINAMARCA"/>
    <s v="BOGOTA"/>
    <s v="BARRIO VILLA DEL MAR BOGOTA 1"/>
    <s v="REDEBAN"/>
    <s v="FO-25-1248896"/>
    <d v="2025-07-18T08:00:00"/>
    <d v="2025-07-19T09:41:02"/>
    <m/>
    <s v="CIERRE"/>
    <s v="CIERRE"/>
    <s v="CB UNO A UNO"/>
    <s v="CB UNO A UNO"/>
    <s v="NO_EXITOSO"/>
    <s v="CB NO ENTREGA EQUIPO"/>
    <s v="19-07-2025 SE LLEGA PREDIO COMERCIO INDICA NO REALIZAR CIERRE YA QUE EL ASESOR LE INDICO QUE VAN A VOLVER A TOMARLO"/>
    <s v="VISITA_TÉCNICA"/>
    <s v="10008835"/>
    <s v="TIPO I"/>
    <s v="TERRESTRE"/>
    <s v="INFANTE SIERRA MANUEL FERNANDO"/>
    <n v="1"/>
    <n v="44559.563999999998"/>
    <n v="44559.563999999998"/>
  </r>
  <r>
    <s v="BOGOTA"/>
    <x v="0"/>
    <x v="0"/>
    <n v="11001"/>
    <s v="TA-25-869814"/>
    <n v="76941"/>
    <s v="ORDEN DE CAMBIO"/>
    <s v="CUNDINAMARCA"/>
    <s v="BOGOTA"/>
    <s v="BARRIO MARANDU BOGOTA 2"/>
    <s v="REDEBAN"/>
    <s v="FO-25-1248902"/>
    <d v="2025-07-18T08:00:00"/>
    <d v="2025-07-19T10:13:38"/>
    <m/>
    <s v="CIERRE"/>
    <s v="CIERRE"/>
    <s v="CB UNO A UNO"/>
    <s v="CB UNO A UNO"/>
    <s v="NO_EXITOSO"/>
    <s v="CB NO ENTREGA EQUIPO"/>
    <s v="19-07-2025 SE LLEGA A COMERCIO SE ENCUENTRA CERRADO ME COMUNICO CON LA SEÑORITA ALEXANDRA  RAMÍREZ AL NÚMERO 3007076941 ME INDICA QUE NO SE ENCUENTRA EN LA CUIUDAD"/>
    <s v="VISITA_TÉCNICA"/>
    <s v="A18ZZ378"/>
    <s v="TIPO I"/>
    <s v="TERRESTRE"/>
    <s v="INFANTE SIERRA MANUEL FERNANDO"/>
    <n v="1"/>
    <n v="44559.563999999998"/>
    <n v="44559.563999999998"/>
  </r>
  <r>
    <s v="NEIVA"/>
    <x v="3"/>
    <x v="3"/>
    <n v="41001"/>
    <s v="TA-25-866170"/>
    <n v="56850"/>
    <s v="ORDEN DE CAMBIO"/>
    <s v="HUILA"/>
    <s v="NEIVA"/>
    <s v="BARRIO LOS COLORES NEIVA"/>
    <s v="REDEBAN"/>
    <s v="FO-25-1254448"/>
    <d v="2025-07-17T08:00:00"/>
    <d v="2025-07-19T10:49:11"/>
    <m/>
    <s v="CIERRE"/>
    <s v="CIERRE"/>
    <s v="CB UNO A UNO"/>
    <s v="CB UNO A UNO"/>
    <s v="EJECUTADO_EXITOSO"/>
    <s v="CIERRE EXITOSO"/>
    <s v="19-07-2025 CLIENTE ENTREGA DATAFONO CON SOPORTE, LECTOR DE BARRAS, CABLE MAGIC BOX, FUENTE DE PODER DATÁFONO,20 ROLLOS PAPEL RBM, PUBLICIDAD SE DESTRUYE EN SITIO"/>
    <s v="VISITA_TÉCNICA"/>
    <s v="IIOZZ198"/>
    <s v="TIPO I"/>
    <s v="TERRESTRE"/>
    <s v="ANDRADE HERNANDEZ JUAN CARLOS"/>
    <n v="1"/>
    <n v="44559.563999999998"/>
    <n v="44559.563999999998"/>
  </r>
  <r>
    <s v="IBAGUE"/>
    <x v="3"/>
    <x v="3"/>
    <n v="73001"/>
    <s v="TA-25-872207"/>
    <n v="69180"/>
    <s v="ORDEN DE CAMBIO"/>
    <s v="TOLIMA"/>
    <s v="IBAGUE"/>
    <s v="BARRIO JARDIN IBAGUE 3"/>
    <s v="REDEBAN"/>
    <s v="FO-25-1254065"/>
    <d v="2025-07-18T15:19:00"/>
    <d v="2025-07-19T11:15:36"/>
    <m/>
    <s v="CIERRE"/>
    <s v="CIERRE"/>
    <s v="CB UNO A UNO"/>
    <s v="CB UNO A UNO"/>
    <s v="NO_EXITOSO"/>
    <s v="CB NO ENTREGA EQUIPO"/>
    <s v="19-07-2025 SE VISITA CB LA PERSONA QUE ATIENDE LA SEÑORITA EDITH  MORALES INFORMA QUE POR EL MOMENTO NO HACE ENTREGA DE LOS ACTIVOS HASTA RECIBIR RESPUESTA POR PARTE DE ASESOR DE LA ENTIDAD"/>
    <s v="VISITA_TÉCNICA"/>
    <s v="A103Z586"/>
    <s v="TIPO I"/>
    <s v="TERRESTRE"/>
    <s v="GUTIERREZ  CAMILO ANDRES"/>
    <n v="1"/>
    <n v="44559.563999999998"/>
    <n v="44559.563999999998"/>
  </r>
  <r>
    <s v="BOGOTA"/>
    <x v="0"/>
    <x v="0"/>
    <n v="11001"/>
    <s v="TA-25-861440"/>
    <n v="52038"/>
    <s v="ORDEN DE CAMBIO"/>
    <s v="CUNDINAMARCA"/>
    <s v="BOGOTA"/>
    <s v="BARRIO MARIA PAZ KENNEDY BOGOTA"/>
    <s v="REDEBAN"/>
    <s v="FO-25-1242216"/>
    <d v="2025-07-15T16:09:00"/>
    <d v="2025-07-19T12:05:20"/>
    <m/>
    <s v="CIERRE"/>
    <s v="RECUPERACION DE EQUIPOS"/>
    <s v="CB UNOA UNO"/>
    <s v="CB UNOA UNO"/>
    <s v="EJECUTADO_EXITOSO"/>
    <s v="CIERRE EXITOSO"/>
    <s v="19-07-2025 SE REALIZA VISITA DE CAMPO DONDE SE RETIRAN EQUIPOS SIN NOVEDAD."/>
    <s v="VISITA_TÉCNICA"/>
    <s v="9C0DZ680"/>
    <s v="TIPO I"/>
    <s v="TERRESTRE"/>
    <s v="LOZADA ROJAS CHRISTIAN ANDRES"/>
    <n v="1"/>
    <n v="44559.563999999998"/>
    <n v="44559.563999999998"/>
  </r>
  <r>
    <s v="TUNJA"/>
    <x v="5"/>
    <x v="6"/>
    <n v="15176"/>
    <s v="TA-25-869795"/>
    <n v="24895"/>
    <s v="ORDEN DE CAMBIO"/>
    <s v="BOYACA"/>
    <s v="CHIQUINQUIRA"/>
    <s v="CENTRO CHIQUINQUIRA BOYACA"/>
    <s v="REDEBAN"/>
    <s v="FO-25-1248792"/>
    <d v="2025-07-18T08:00:00"/>
    <d v="2025-07-21T10:32:00"/>
    <m/>
    <s v="CIERRE"/>
    <s v="CIERRE"/>
    <s v="CB UNO A UNO"/>
    <s v="CB UNO A UNO"/>
    <s v="SOLICITUD_CANCELADA"/>
    <s v="CANCELADO POR LA ENTIDAD"/>
    <s v="21-07-2025 SE LOGRA COMUNICACIÓN CON LA SEÑORA CLAUDIA PATRICIA RODRIGUEZ PINTO AL NÚMERO TELEFÓNICO 3104789724 QUIEN NOS MANIFIESTA QUE NO DESEA REALIZAR LA ENTREGA DE LOS EQUIPOS YA QUE ELLA NO A SOLICITADO SU RETIRO, CLIENTE INDICA QUE SE COMUNICARA CON LA ENTIDAD PARA LLEGAR A UN ACUERDO Y NO REALIZAR EL RETIRO DEL CB, SE CIERRA ORDEN YA QUE EL CLIENTE NO ENTREGA Y NO SE VISITA COMERCIO."/>
    <s v="SOPORTE_TELEFÓNICO"/>
    <n v="0"/>
    <s v="TIPO III"/>
    <s v="TERRESTRE"/>
    <s v="SOLER HOYOS CRISTIAN LEONARDO"/>
    <n v="0"/>
    <n v="37904.612000000001"/>
    <n v="37904.612000000001"/>
  </r>
  <r>
    <s v="MEDELLIN"/>
    <x v="4"/>
    <x v="5"/>
    <n v="5001"/>
    <s v="TA-25-858492"/>
    <n v="74931"/>
    <s v="ORDEN DE CAMBIO"/>
    <s v="ANTIOQUIA"/>
    <s v="MEDELLIN"/>
    <s v="DISTRICOL BALCONES DE SAN PABL"/>
    <s v="REDEBAN"/>
    <s v="FO-25-1231166"/>
    <d v="2025-07-15T08:00:00"/>
    <d v="2025-07-21T11:44:00"/>
    <m/>
    <s v="CIERRE"/>
    <s v="CIERRE"/>
    <s v="AGREGADOR"/>
    <s v="DISTRICOL"/>
    <s v="ILOCALIZADO"/>
    <s v="CB CERRADO - DESOCUPADO"/>
    <s v="19-07-2025 VISITA FALLIDA COMERCIO CERRADO"/>
    <s v="VISITA_TÉCNICA"/>
    <s v="EGZZZ359"/>
    <s v="TIPO I"/>
    <s v="TERRESTRE"/>
    <s v="ALVAREZ ARENAS VICTOR HUGO"/>
    <n v="1"/>
    <n v="44559.563999999998"/>
    <n v="44559.563999999998"/>
  </r>
  <r>
    <s v="BUCARAMANGA"/>
    <x v="5"/>
    <x v="6"/>
    <n v="68001"/>
    <s v="TA-25-869805"/>
    <n v="66430"/>
    <s v="ORDEN DE CAMBIO"/>
    <s v="SANTANDER"/>
    <s v="BUCARAMANGA"/>
    <s v="BARRIO LA AURORA BUCARAMANGA 6"/>
    <s v="REDEBAN"/>
    <s v="FO-25-1256319"/>
    <d v="2025-07-18T08:00:00"/>
    <d v="2025-07-21T12:23:00"/>
    <m/>
    <s v="CIERRE"/>
    <s v="CIERRE"/>
    <s v="CB UNO A UNO"/>
    <s v="CB UNO A UNO"/>
    <s v="EJECUTADO_EXITOSO"/>
    <s v="CIERRE EXITOSO"/>
    <s v="21-07-2025 SE REALIZA VISITA AL COMERCIO SE HACE RETIRO DE DATÁFONO, LECTOR DE BARRAS Y BASE PUBLICIDAD DESTRUIDA EN EL PUNTO"/>
    <s v="VISITA_TÉCNICA"/>
    <s v="1A00Q930"/>
    <s v="TIPO I"/>
    <s v="TERRESTRE"/>
    <s v="GONZALEZ ESTUPIÑAN YEISON WALTER ANTONIO"/>
    <n v="1"/>
    <n v="44559.563999999998"/>
    <n v="44559.563999999998"/>
  </r>
  <r>
    <s v="MEDELLIN"/>
    <x v="4"/>
    <x v="5"/>
    <n v="5044"/>
    <s v="TA-25-853199"/>
    <n v="67295"/>
    <s v="ORDEN DE CAMBIO"/>
    <s v="ANTIOQUIA"/>
    <s v="ANZA"/>
    <s v="BARRIO CALLE LA PUNTA SECTRO E"/>
    <s v="REDEBAN"/>
    <s v="FO-25-1218116"/>
    <d v="2025-07-11T11:38:00"/>
    <d v="2025-07-21T12:31:00"/>
    <m/>
    <s v="CIERRE"/>
    <s v="CIERRE"/>
    <s v="CB UNO A UNO"/>
    <s v="CB UNO A UNO"/>
    <s v="SOLICITUD_CANCELADA"/>
    <s v="CANCELADO POR LA ENTIDAD"/>
    <s v="21-07-2025 ENTIDAD SOLICITA CANCELACION DE ESTE CIERRE. SE CANCELA SOLICITUD POR INDICACIÓN DE LA ENTIDAD. SE CIERRA TA."/>
    <s v="SOPORTE_TELEFÓNICO"/>
    <n v="0"/>
    <s v="TIPO III"/>
    <s v="TERRESTRE"/>
    <s v="MORENO MEDINA JUAN PABLO"/>
    <n v="0"/>
    <n v="37904.612000000001"/>
    <n v="37904.612000000001"/>
  </r>
  <r>
    <s v="BOGOTA"/>
    <x v="0"/>
    <x v="0"/>
    <n v="25126"/>
    <s v="TA-25-869953"/>
    <n v="50092"/>
    <s v="ORDEN DE CAMBIO"/>
    <s v="CUNDINAMARCA"/>
    <s v="CAJICA"/>
    <s v="PTM  CAJICA MAS FARMA 23 DROGU"/>
    <s v="REDEBAN"/>
    <s v="FO-25-1260841"/>
    <d v="2025-07-18T08:00:00"/>
    <d v="2025-07-21T14:34:00"/>
    <m/>
    <s v="CIERRE"/>
    <s v="CIERRE"/>
    <s v="AGREGADOR"/>
    <s v="COMCARD - PTM"/>
    <s v="EJECUTADO_EXITOSO"/>
    <s v="CIERRE EXITOSO"/>
    <s v="21-07-2025 SE RETIRA DATAFONO Y LECTORA SE DESTRUYE PUBLICIDAD EN SITIO"/>
    <s v="VISITA_TÉCNICA"/>
    <s v="II00T983"/>
    <s v="TIPO II"/>
    <s v="TERRESTRE"/>
    <s v="INFANTE SIERRA MANUEL FERNANDO"/>
    <n v="2"/>
    <n v="134410.88400000002"/>
    <n v="268821.76800000004"/>
  </r>
  <r>
    <s v="CALI"/>
    <x v="1"/>
    <x v="1"/>
    <n v="76001"/>
    <s v="TA-25-866219"/>
    <n v="52906"/>
    <s v="ORDEN DE CAMBIO"/>
    <s v="VALLE DEL CAUCA"/>
    <s v="CALI"/>
    <s v="BARRIO LAURIANO GOMEZ CALI"/>
    <s v="REDEBAN"/>
    <s v="FO-25-1255851"/>
    <d v="2025-07-17T08:00:00"/>
    <d v="2025-07-21T15:44:00"/>
    <m/>
    <s v="CIERRE"/>
    <s v="CIERRE"/>
    <s v="CB UNO A UNO"/>
    <s v="CB UNO A UNO"/>
    <s v="NO_EXITOSO"/>
    <s v="CB NO ENTREGA EQUIPO"/>
    <s v="21-07-2025 SE LLAMA AL CLIENTE Y NOS INDICA QUE NO PUEDE ENTREGAR LOS EQUIPOS EL DIA DE HOY CERRAR ACTIVIDAD"/>
    <s v="SOPORTE_TELEFÓNICO"/>
    <n v="0"/>
    <s v="TIPO I"/>
    <s v="TERRESTRE"/>
    <s v="HENAO CARDONA DIEGO FERNANDO"/>
    <n v="0"/>
    <n v="37904.612000000001"/>
    <n v="37904.612000000001"/>
  </r>
  <r>
    <s v="VALLEDUPAR"/>
    <x v="2"/>
    <x v="2"/>
    <n v="13074"/>
    <s v="TA-25-869793"/>
    <n v="49948"/>
    <s v="ORDEN DE CAMBIO"/>
    <s v="BOLIVAR"/>
    <s v="BARRANCO DE LOBA"/>
    <s v="BARRIO CENTRO BARRANCO DE LOBA"/>
    <s v="REDEBAN"/>
    <s v="FO-25-1248779"/>
    <d v="2025-07-18T08:00:00"/>
    <d v="2025-07-21T15:50:00"/>
    <m/>
    <s v="CIERRE"/>
    <s v="CIERRE"/>
    <s v="CB UNO A UNO"/>
    <s v="CB UNO A UNO"/>
    <s v="NO_EXITOSO"/>
    <s v="CB NO ENTREGA EQUIPO"/>
    <s v="21-07-2025 SE COMUNICA CON LA USUARIA Y MANIFIESTA QUE NO SE ENCUENTRA EN EL MUNICIPIO Y QUE LLEGA LA OTRA SEMANA, POR ENDE NO SE PUEDEN RECOGER LOS EQUIPOS"/>
    <s v="SOPORTE_TELEFÓNICO"/>
    <n v="0"/>
    <s v="TIPO IV"/>
    <s v="TERRESTRE"/>
    <s v="MONTES DIAZ JOHN FRED"/>
    <n v="0"/>
    <n v="37904.612000000001"/>
    <n v="37904.612000000001"/>
  </r>
  <r>
    <s v="VALLEDUPAR"/>
    <x v="2"/>
    <x v="2"/>
    <n v="13074"/>
    <s v="TA-25-869794"/>
    <n v="49949"/>
    <s v="ORDEN DE CAMBIO"/>
    <s v="BOLIVAR"/>
    <s v="BARRANCO DE LOBA"/>
    <s v="BARRIO CENTRO BARRANCO DE LOBA"/>
    <s v="REDEBAN"/>
    <s v="FO-25-1248785"/>
    <d v="2025-07-18T08:00:00"/>
    <d v="2025-07-21T15:54:00"/>
    <m/>
    <s v="CIERRE"/>
    <s v="CIERRE"/>
    <s v="CB UNO A UNO"/>
    <s v="CB UNO A UNO"/>
    <s v="NO_EXITOSO"/>
    <s v="CB NO ENTREGA EQUIPO"/>
    <s v="21-07-2025 SE COMUNICA CON LA USUARIA Y MANIFIESTA QUE NO SE ENCUENTRA EN EL MUNICIPIO Y QUE LLEGA LA OTRA SEMANA, POR ENDE NO SE PUEDEN RECOGER LOS EQUIPOS"/>
    <s v="SOPORTE_TELEFÓNICO"/>
    <n v="0"/>
    <s v="TIPO IV"/>
    <s v="TERRESTRE"/>
    <s v="MONTES DIAZ JOHN FRED"/>
    <n v="0"/>
    <n v="37904.612000000001"/>
    <n v="37904.612000000001"/>
  </r>
  <r>
    <s v="IBAGUE"/>
    <x v="3"/>
    <x v="3"/>
    <n v="73168"/>
    <s v="TA-25-869809"/>
    <n v="59719"/>
    <s v="ORDEN DE CAMBIO"/>
    <s v="TOLIMA"/>
    <s v="CHAPARRAL"/>
    <s v="BARRIO CORREGIMIENTO EL LIMON"/>
    <s v="REDEBAN"/>
    <s v="FO-25-1248889"/>
    <d v="2025-07-18T08:00:00"/>
    <d v="2025-07-21T17:56:00"/>
    <m/>
    <s v="CIERRE"/>
    <s v="CIERRE"/>
    <s v="CB UNO A UNO"/>
    <s v="CB UNO A UNO"/>
    <s v="SOLICITUD_CANCELADA"/>
    <s v="CANCELADO POR LA ENTIDAD"/>
    <s v="21-07 SE PROCEDE A CERRAR CASO POR SOLICITUD DE LA ENTIDAD_x000a_ 0_x000a_ 0"/>
    <s v="SOPORTE_TELEFÓNICO"/>
    <n v="0"/>
    <s v="TIPO III"/>
    <s v="TERRESTRE"/>
    <s v="GUTIERREZ  CAMILO ANDRES"/>
    <n v="0"/>
    <n v="37904.612000000001"/>
    <n v="37904.612000000001"/>
  </r>
  <r>
    <s v="APARTADO"/>
    <x v="4"/>
    <x v="5"/>
    <n v="5147"/>
    <s v="TA-25-872203"/>
    <n v="77105"/>
    <s v="ORDEN DE CAMBIO"/>
    <s v="ANTIOQUIA"/>
    <s v="CAREPA"/>
    <s v="BARRIO 20 DE JULIO CAREPA ANTIOQUIA CAREPA"/>
    <s v="REDEBAN"/>
    <s v="FO-25-1254048"/>
    <d v="2025-07-18T15:19:00"/>
    <d v="2025-07-21T17:58:00"/>
    <m/>
    <s v="CIERRE"/>
    <s v="CIERRE"/>
    <s v="CB UNO A UNO"/>
    <s v="CB UNO A UNO"/>
    <s v="SOLICITUD_CANCELADA"/>
    <s v="CANCELADO POR LA ENTIDAD"/>
    <s v="21-07 SE PROCEDE A CERRAR CASO POR SOLICITUD DE LA ENTIDAD_x000a_ 0_x000a_ 0"/>
    <s v="SOPORTE_TELEFÓNICO"/>
    <n v="0"/>
    <s v="TIPO I"/>
    <s v="TERRESTRE"/>
    <s v="RIOS CASTRILLON JUAN SEBASTIAN"/>
    <n v="0"/>
    <n v="37904.612000000001"/>
    <n v="37904.612000000001"/>
  </r>
  <r>
    <s v="BOGOTA"/>
    <x v="0"/>
    <x v="0"/>
    <n v="25754"/>
    <s v="TA-25-858474"/>
    <n v="54868"/>
    <s v="ORDEN DE CAMBIO"/>
    <s v="CUNDINAMARCA"/>
    <s v="SOACHA"/>
    <s v="BARRIO SOACHA SOACHA 6"/>
    <s v="REDEBAN"/>
    <s v="FO-25-1231112"/>
    <d v="2025-07-15T08:00:00"/>
    <d v="2025-07-21T18:30:00"/>
    <m/>
    <s v="CIERRE"/>
    <s v="RECUPERACION DE EQUIPOS"/>
    <s v="CB UNO A UNO"/>
    <s v="CB UNO A UNO"/>
    <s v="ILOCALIZADO"/>
    <s v="CB CERRADO - DESOCUPADO"/>
    <s v="16-07-2025 SE REALIZA VISITA A CB PARA REALIZAR CIERRE NO SE ENCUENTRA LA SEÑORA ,SE INTENTA COMUNICAR CON CLIENTE NO CONTESTAN"/>
    <s v="VISITA_TÉCNICA"/>
    <n v="0"/>
    <s v="TIPO I"/>
    <s v="TERRESTRE"/>
    <s v="GALINDO ROJAS LUIS FELIPE"/>
    <n v="1"/>
    <n v="44559.563999999998"/>
    <n v="44559.563999999998"/>
  </r>
  <r>
    <s v="MEDELLIN"/>
    <x v="4"/>
    <x v="5"/>
    <n v="5390"/>
    <s v="TA-25-858462"/>
    <n v="52872"/>
    <s v="ORDEN DE CAMBIO"/>
    <s v="ANTIOQUIA"/>
    <s v="LA PINTADA"/>
    <s v="BARRIO PUEBLO NUEVO LA PINTADA"/>
    <s v="REDEBAN"/>
    <s v="FO-25-1231071"/>
    <d v="2025-07-15T08:00:00"/>
    <d v="2025-07-21T18:37:00"/>
    <m/>
    <s v="CIERRE"/>
    <s v="CIERRE"/>
    <s v="CB UNO A UNO"/>
    <s v="CB UNO A UNO"/>
    <s v="ILOCALIZADO"/>
    <s v="CB CERRADO - DESOCUPADO"/>
    <s v="21-07-2025 SE VISITÓ DIRECCIÓN RELACIONADA EN EL LOCAL NO CONOCEN A LA PERSONA DE CONTACTO SE INTENTÓ COMUNICAR POR TELÉFONO Y VÍA WHATSAPP SIN RESPUESTA SE PROCEDE A CERRAR CASO"/>
    <s v="VISITA_TÉCNICA"/>
    <n v="0"/>
    <s v="TIPO II"/>
    <s v="TERRESTRE"/>
    <s v="CASTAÑEDA PALACIO CARLOS FELIPE"/>
    <n v="1"/>
    <n v="134410.88400000002"/>
    <n v="134410.88400000002"/>
  </r>
  <r>
    <s v="MEDELLIN"/>
    <x v="4"/>
    <x v="5"/>
    <n v="5615"/>
    <s v="TA-25-866239"/>
    <n v="70990"/>
    <s v="ORDEN DE CAMBIO"/>
    <s v="ANTIOQUIA"/>
    <s v="RIONEGRO"/>
    <s v="BARRIO SAN FRANCISCO RIONEGRO"/>
    <s v="REDEBAN"/>
    <s v="FO-25-1243098"/>
    <d v="2025-07-17T08:00:00"/>
    <d v="2025-07-22T12:50:35"/>
    <m/>
    <s v="CIERRE"/>
    <s v="RECUPERACION DE EQUIPOS"/>
    <s v="CB UNO A UNO"/>
    <s v="CB UNO A UNO"/>
    <s v="NO_EXITOSO"/>
    <s v="CB NO ENTREGA EQUIPO"/>
    <s v="22-07-2025 SOLICITUD MAL ESCALADA CLIENTE SOLICITO RETIRO DE DATÁFONO DE CREDIBANCO SE ESCALA SOLICITUD A CREDIBANCO"/>
    <s v="VISITA_TÉCNICA"/>
    <n v="0"/>
    <s v="TIPO II"/>
    <s v="TERRESTRE"/>
    <s v="CASTAÑEDA PALACIO CARLOS FELIPE"/>
    <n v="1"/>
    <n v="134410.88400000002"/>
    <n v="134410.88400000002"/>
  </r>
  <r>
    <s v="BUCARAMANGA"/>
    <x v="5"/>
    <x v="6"/>
    <n v="68081"/>
    <s v="TA-25-869806"/>
    <n v="60363"/>
    <s v="ORDEN DE CAMBIO"/>
    <s v="SANTANDER"/>
    <s v="BARRANCABERMEJA"/>
    <s v="BARRIO TORCOROMA BARRANCABERME"/>
    <s v="REDEBAN"/>
    <s v="FO-25-1248875"/>
    <d v="2025-07-18T08:00:00"/>
    <d v="2025-07-22T13:32:56"/>
    <m/>
    <s v="CIERRE"/>
    <s v="CIERRE"/>
    <s v="CB UNO A UNO"/>
    <s v="CB UNO A UNO"/>
    <s v="ILOCALIZADO"/>
    <s v="CB CERRADO - DESOCUPADO"/>
    <s v="22-07-2025 SE INTENTA COMUNICAR CON CLIENTE AL NÚMERO  3152589497  Y NO HAY RESPUESTA, NOS DESPLAZAMOS A SITIO YA Q ESTAMOS EN EL MISMO MUNICIPIO Y COMERCIO ESTA CERRADO, SE PREGUNTA Y NO HAY INFORMACIÓN, SE INTENTA LLAMAR NUEVAMENTE Y NO HAY RESPUESTA ,SE PROCEDE A CERRAR ORDEN"/>
    <s v="VISITA_TÉCNICA"/>
    <s v="9OZZZ388"/>
    <s v="TIPO III"/>
    <s v="TERRESTRE"/>
    <s v="GELVEZ MOGOLLON JOSE ELISEO"/>
    <n v="1"/>
    <n v="222904.07200000001"/>
    <n v="222904.07200000001"/>
  </r>
  <r>
    <s v="MEDELLIN"/>
    <x v="4"/>
    <x v="5"/>
    <n v="5129"/>
    <s v="TA-25-869791"/>
    <n v="75151"/>
    <s v="ORDEN DE CAMBIO"/>
    <s v="ANTIOQUIA"/>
    <s v="CALDAS"/>
    <s v="BARRIO CALDAS CALDAS 2"/>
    <s v="REDEBAN"/>
    <s v="FO-25-1248771"/>
    <d v="2025-07-18T08:00:00"/>
    <d v="2025-07-22T14:13:54"/>
    <m/>
    <s v="CIERRE"/>
    <s v="CIERRE"/>
    <s v="CB UNO A UNO"/>
    <s v="CB UNO A UNO"/>
    <s v="NO_EXITOSO"/>
    <s v="CB NO ENTREGA EQUIPO"/>
    <s v="22-07-2025 SE VISITA COMERCIO Y EN EL LOCAL HAY UNA SEÑORA DE EDAD QUIEN INDICA QUE LA ENCARGADA NO SE ENCUENTRA Y POR ELLO NO PUEDO RETIRAR NINGÚN EQUIPO"/>
    <s v="VISITA_TÉCNICA"/>
    <s v="UXZZZ406"/>
    <s v="TIPO I"/>
    <s v="TERRESTRE"/>
    <s v="RUA ALVAREZ RICHARD ANDRES"/>
    <n v="1"/>
    <n v="44559.563999999998"/>
    <n v="44559.563999999998"/>
  </r>
  <r>
    <s v="BOGOTA"/>
    <x v="0"/>
    <x v="0"/>
    <n v="25269"/>
    <s v="TA-25-869820"/>
    <n v="70878"/>
    <s v="ORDEN DE CAMBIO"/>
    <s v="CUNDINAMARCA"/>
    <s v="FACATATIVA"/>
    <s v="PTM FACATATIVA PAPELERIA Y MIS"/>
    <s v="REDEBAN"/>
    <s v="FO-25-1248920"/>
    <d v="2025-07-18T08:00:00"/>
    <d v="2025-07-22T14:40:56"/>
    <m/>
    <s v="CIERRE"/>
    <s v="CIERRE"/>
    <s v="AGREGADOR"/>
    <s v="COMCARD - PTM"/>
    <s v="ILOCALIZADO"/>
    <s v="CB CERRADO - DESOCUPADO"/>
    <s v="22-07-2025 SE REALIZA VISITA A LA DIRECCIÓN CLL 11 8A 26 FACATATIVÁ CB NO EXISTE EN LA DIRECCIÓN TEL DE CONTACTO NO RESPONDE 3152955432"/>
    <s v="VISITA_TÉCNICA"/>
    <n v="0"/>
    <s v="TIPO II"/>
    <s v="TERRESTRE"/>
    <s v="HERNANDEZ NARANJO OSCAR EDUARDO"/>
    <n v="1"/>
    <n v="134410.88400000002"/>
    <n v="134410.88400000002"/>
  </r>
  <r>
    <s v="IBAGUE"/>
    <x v="3"/>
    <x v="3"/>
    <n v="17380"/>
    <s v="TA-25-866156"/>
    <n v="38469"/>
    <s v="ORDEN DE CAMBIO"/>
    <s v="CALDAS"/>
    <s v="LA DORADA"/>
    <s v="BARRIO SARA LOPEZ LA DORADA"/>
    <s v="REDEBAN"/>
    <s v="FO-25-1242905"/>
    <d v="2025-07-17T08:00:00"/>
    <d v="2025-07-22T15:45:54"/>
    <m/>
    <s v="CIERRE"/>
    <s v="CIERRE"/>
    <s v="CB UNO A UNO"/>
    <s v="CB UNO A UNO"/>
    <s v="ILOCALIZADO"/>
    <s v="CB CERRADO - DESOCUPADO"/>
    <s v="22-07-2025 SE LLEGA A LA DIRECCIÓN Y CB O COMERCIO ESTÁ CERRADO. SE LLAMA A LA SEÑORA MARÍA OSORIO, AL NÚMERO DE TELÉFONO 3142638744 Y ME INDICA QUE ESTÁ EN BOGOTÁ."/>
    <s v="VISITA_TÉCNICA"/>
    <s v="AA00Y711"/>
    <s v="TIPO III"/>
    <s v="TERRESTRE"/>
    <s v="VARGAS HERRERA JHON JAIRO"/>
    <n v="1"/>
    <n v="222904.07200000001"/>
    <n v="222904.07200000001"/>
  </r>
  <r>
    <s v="PASTO"/>
    <x v="1"/>
    <x v="1"/>
    <n v="52378"/>
    <s v="TA-25-869952"/>
    <n v="77357"/>
    <s v="ORDEN DE CAMBIO"/>
    <s v="NARIÑO"/>
    <s v="LA CRUZ"/>
    <s v="BARRIO  CORREGIMIENTO LA ESTANCIA LA CRUZ"/>
    <s v="REDEBAN"/>
    <s v="FO-25-1249404"/>
    <d v="2025-07-18T08:00:00"/>
    <d v="2025-07-22T15:56:36"/>
    <m/>
    <s v="CIERRE"/>
    <s v="CIERRE"/>
    <s v="CB UNO A UNO"/>
    <s v="CB UNO A UNO"/>
    <s v="NO_EXITOSO"/>
    <s v="CB NO ENTREGA EQUIPO"/>
    <s v="22-07-2025 SE REALIZA LLAMADA AL CLIENTE, SE LOGRA COMUNICACION CON EL SEÑOR ANDRES, SE INDAGA POR EL CIERRE INDICA QUE YA NO TIENE CONTACTO CON LA SEÑORA IVANA Y NO TIENE CONOCIMIENTO DE DONDE EL CLIENTE TIENE LOS EQUIPOS, PUES EN EL CORREGIMIENTO YA NO HAY NADA , LE INDICAMOS SI ES POSIBLE NOS CONSIGA UN CONTACTO PARA HABLAR DIRECTAMENTE CON LA SEÑORA IVANA NOS DICE QUE VA INTENTAR COMUNICARSE HABER SI LOGRA ALGUN CONTACTO, LE INDICAMOS QUE SI ES POSIBLE LE INDIQUE A LA SEÑORA IVANA SOLICITAR LA RECOJIDA DE LOS EQUIPOS DONDE LOS TENGA UNA VEZ VALIDE YA QUE DEBEMOS CERRAR LA SOLICITUD POR VENCIMIENTO"/>
    <s v="SOPORTE_TELEFÓNICO"/>
    <n v="0"/>
    <s v="TIPO III"/>
    <s v="TERRESTRE"/>
    <s v="HENAO CARDONA DIEGO FERNANDO"/>
    <n v="0"/>
    <n v="37904.612000000001"/>
    <n v="37904.612000000001"/>
  </r>
  <r>
    <s v="NEIVA"/>
    <x v="3"/>
    <x v="3"/>
    <n v="18001"/>
    <s v="TA-25-880089"/>
    <n v="77627"/>
    <s v="ORDEN DE CAMBIO"/>
    <s v="CAQUETA"/>
    <s v="FLORENCIA"/>
    <s v="BARRIO CENTRO FLORENCIA 36"/>
    <s v="REDEBAN"/>
    <s v="FO-25-1263454"/>
    <d v="2025-07-21T15:51:00"/>
    <d v="2025-07-22T17:16:25"/>
    <m/>
    <s v="CIERRE"/>
    <s v="RECUPERACION DE EQUIPOS"/>
    <s v="CB UNO A UNO"/>
    <s v="CB UNO A UNO"/>
    <s v="SOLICITUD_CANCELADA"/>
    <s v="CANCELADO POR LA ENTIDAD"/>
    <n v="0"/>
    <s v="SOPORTE_TELEFÓNICO"/>
    <n v="0"/>
    <s v="TIPO IV"/>
    <s v="TERRESTRE"/>
    <s v="CORZO BUSTO KEVIN ALEXIS"/>
    <n v="0"/>
    <n v="37904.612000000001"/>
    <n v="37904.612000000001"/>
  </r>
  <r>
    <s v="CALI"/>
    <x v="1"/>
    <x v="1"/>
    <n v="76001"/>
    <s v="TA-25-884716"/>
    <n v="47249"/>
    <s v="ORDEN DE CAMBIO"/>
    <s v="VALLE DEL CAUCA"/>
    <s v="CALI"/>
    <s v="PTM  CALI  ISA BOUTIQUE"/>
    <s v="REDEBAN"/>
    <s v="FO-25-1270768"/>
    <d v="2025-07-23T08:00:00"/>
    <d v="2025-07-23T12:25:00"/>
    <m/>
    <s v="CIERRE"/>
    <s v="RECUPERACION DE EQUIPOS"/>
    <s v="AGREGADOR"/>
    <s v="COMCARD - PTM"/>
    <s v="ILOCALIZADO"/>
    <s v="CB CERRADO - DESOCUPADO"/>
    <s v="23-07-2025 SE LLEGA AL COMERCIO PERO EL COMERCIO SE ENCUENTRA CERRADO SE LLAMA EL CLIENTE Y NO CONTESTA ENTONCES NO SE PUEDE HACER RETIRO DE PUBLICIDAD NI EQUIPOS SE PREGUNTA LOS ALREDEDORES Y DICE QUE EL COMERCIO LLEVA TIEMPO ASÍ CERRADO"/>
    <s v="VISITA_TÉCNICA"/>
    <s v="TR00D556"/>
    <s v="TIPO I"/>
    <s v="TERRESTRE"/>
    <s v="CUERO RUIZ JHONNY"/>
    <n v="1"/>
    <n v="44559.563999999998"/>
    <n v="44559.563999999998"/>
  </r>
  <r>
    <s v="NEIVA"/>
    <x v="3"/>
    <x v="3"/>
    <n v="41551"/>
    <s v="TA-25-872199"/>
    <n v="46267"/>
    <s v="ORDEN DE CAMBIO"/>
    <s v="HUILA"/>
    <s v="PITALITO"/>
    <s v="MULTIPAGAS ALCALDIA PITALITO"/>
    <s v="REDEBAN"/>
    <s v="FO-25-1268966"/>
    <d v="2025-07-18T15:19:00"/>
    <d v="2025-07-23T12:32:00"/>
    <m/>
    <s v="CIERRE"/>
    <s v="CIERRE"/>
    <s v="ROBUSTO"/>
    <s v="MULTIPAGAS"/>
    <s v="EJECUTADO_EXITOSO"/>
    <s v="CIERRE EXITOSO"/>
    <s v="23-07-2025 SE LLEGA AL CENTRO COMERCIAL SAN ANTONIO EN PITALITO ,LA SEÑORITA ADRIANA ENTREGA DATAFONO CON SOPORTE, LECTOR DE BARRAS , CABLE MAGIC BOX, FUENTE DE PODER, PIN PAD ,HUB.PUBLICIDAD Y ROLLOS NO HAY"/>
    <s v="VISITA_TÉCNICA"/>
    <s v="GB006359"/>
    <s v="TIPO III"/>
    <s v="TERRESTRE"/>
    <s v="ANDRADE HERNANDEZ JUAN CARLOS"/>
    <n v="1"/>
    <n v="222904.07200000001"/>
    <n v="222904.07200000001"/>
  </r>
  <r>
    <s v="PEREIRA"/>
    <x v="1"/>
    <x v="4"/>
    <n v="73520"/>
    <s v="TA-25-858580"/>
    <n v="76552"/>
    <s v="ORDEN DE CAMBIO"/>
    <s v="TOLIMA"/>
    <s v="PALOCABILDO"/>
    <s v="PTM PALOCABILDO ALMACEN MAYRA"/>
    <s v="REDEBAN"/>
    <s v="FO-25-1231225"/>
    <d v="2025-07-15T08:00:00"/>
    <d v="2025-07-23T13:55:00"/>
    <m/>
    <s v="CIERRE"/>
    <s v="CIERRE"/>
    <s v="AGREGADOR"/>
    <s v="COMCARD - PTM"/>
    <s v="NO_EXITOSO"/>
    <s v="CB NO ENTREGA EQUIPO"/>
    <s v="23-07-2025 SE HABLA POR WHATSAPP CON LA SEÑORA ALEJANDRA SIERRA, PORQUE NO TIENE SEÑAL PARA LLAMADA TELEFÓNICA. HABLO CON ELLA POR EL NÚMERO 3135513659, PARA EL CIERRE DE SU CB BANCOLOMBIA Y ME INDICA QUE ELLA ENVIÓ LOS EQUIPOS A MEDELLÍN."/>
    <s v="SOPORTE_TELEFÓNICO"/>
    <n v="0"/>
    <s v="TIPO III"/>
    <s v="TERRESTRE"/>
    <s v="VARGAS HERRERA JHON JAIRO"/>
    <n v="0"/>
    <n v="37904.612000000001"/>
    <n v="37904.612000000001"/>
  </r>
  <r>
    <s v="BARRANQUILLA"/>
    <x v="2"/>
    <x v="2"/>
    <n v="8758"/>
    <s v="TA-25-866155"/>
    <n v="69891"/>
    <s v="ORDEN DE CAMBIO"/>
    <s v="ATLANTICO"/>
    <s v="SOLEDAD"/>
    <s v="BARRIO GRANABASTOS SOLEDAD 2"/>
    <s v="REDEBAN"/>
    <s v="FO-25-1242902"/>
    <d v="2025-07-17T08:00:00"/>
    <d v="2025-07-23T14:04:00"/>
    <m/>
    <s v="CIERRE"/>
    <s v="CIERRE"/>
    <s v="CB UNO A UNO"/>
    <s v="CB UNO A UNO"/>
    <s v="NO_EXITOSO"/>
    <s v="CB NO ENTREGA EQUIPO"/>
    <s v="23-07-2025 SE REALIZA VISITA AL COMERCIO PARA REALIZAR EL CIERRE DEL CORRESPONSAL BANCOLOMBIA PERO NO ES POSIBLE TRATO COMUNICACION CON EL NÚMERO DADO PERO NO CONTESTAN PREGUNTO EN EL COMERCIO Y ME DICEN QUE LA PERSONA ENCARGADA NO SE ENCUENTRA EN SITIO LE COMUNICO QUE CUANDO SE ENCUENTRE EN EL LUGAR LLAMAR PARA REAGENDAR VISITA PARA LA ENTREGA DE LOS EQUIPOS"/>
    <s v="VISITA_TÉCNICA"/>
    <s v="TV000652"/>
    <s v="TIPO I"/>
    <s v="TERRESTRE"/>
    <s v="PEÑALOZA GUTIERREZ RAFAEL GUSTAVO"/>
    <n v="1"/>
    <n v="44559.563999999998"/>
    <n v="44559.563999999998"/>
  </r>
  <r>
    <s v="CUCUTA"/>
    <x v="5"/>
    <x v="6"/>
    <n v="54001"/>
    <s v="TA-25-880100"/>
    <n v="49137"/>
    <s v="ORDEN DE CAMBIO"/>
    <s v="NORTE DE SANTANDER"/>
    <s v="CUCUTA"/>
    <s v="PTM CUCUTA AUTOPARTES EL TRAIL"/>
    <s v="REDEBAN"/>
    <s v="FO-25-1263467"/>
    <d v="2025-07-21T15:51:00"/>
    <d v="2025-07-23T14:26:00"/>
    <m/>
    <s v="CIERRE"/>
    <s v="RECUPERACION DE EQUIPOS"/>
    <s v="AGREGADOR"/>
    <s v="COMCARD - PTM"/>
    <s v="ILOCALIZADO"/>
    <s v="CB CERRADO - DESOCUPADO"/>
    <s v="23-07-2025 COMERCIO YA NO EXISTE EN DIRECCIÓN NO SE LOGRÓ COMUNICACIÓN CON EL CLIENTE PARA SABER UBICACIÓN DE LOS EQUIPOS"/>
    <s v="VISITA_TÉCNICA"/>
    <n v="0"/>
    <s v="TIPO I"/>
    <s v="TERRESTRE"/>
    <s v="DURAN ACOSTA FRANK YONNY"/>
    <n v="1"/>
    <n v="44559.563999999998"/>
    <n v="44559.563999999998"/>
  </r>
  <r>
    <s v="BOGOTA"/>
    <x v="0"/>
    <x v="0"/>
    <n v="11001"/>
    <s v="TA-25-884681"/>
    <n v="70132"/>
    <s v="ORDEN DE CAMBIO"/>
    <s v="CUNDINAMARCA"/>
    <s v="BOGOTA"/>
    <s v="PTM BOGOTA  FERRELECTICOS EL D"/>
    <s v="REDEBAN"/>
    <s v="FO-25-1270660"/>
    <d v="2025-07-23T08:00:00"/>
    <d v="2025-07-23T15:18:00"/>
    <m/>
    <s v="CIERRE"/>
    <s v="RECUPERACION DE EQUIPOS"/>
    <s v="AGREGADOR"/>
    <s v="COMCARD - PTM"/>
    <s v="ILOCALIZADO"/>
    <s v="CB CERRADO - DESOCUPADO"/>
    <s v="23-07-2025 SE LLEGA A COMERCIO PERSONA INDICA QUE YA NO ESTÁN SE LLAMA AL SELO JHON CARDENAS AL NUMERO 3042138203 NO SE LOGRA COMUNICACIÓN"/>
    <s v="VISITA_TÉCNICA"/>
    <n v="0"/>
    <s v="TIPO I"/>
    <s v="TERRESTRE"/>
    <s v="INFANTE SIERRA MANUEL FERNANDO"/>
    <n v="1"/>
    <n v="44559.563999999998"/>
    <n v="44559.563999999998"/>
  </r>
  <r>
    <s v="BOGOTA"/>
    <x v="0"/>
    <x v="0"/>
    <n v="25307"/>
    <s v="TA-25-866164"/>
    <n v="72860"/>
    <s v="ORDEN DE CAMBIO"/>
    <s v="CUNDINAMARCA"/>
    <s v="GIRARDOT"/>
    <s v="BARRIO SALSIPUEDES GIRARDOT"/>
    <s v="REDEBAN"/>
    <s v="FO-25-1251095"/>
    <d v="2025-07-17T08:00:00"/>
    <d v="2025-07-23T16:57:00"/>
    <m/>
    <s v="CIERRE"/>
    <s v="CIERRE"/>
    <s v="CB UNO A UNO"/>
    <s v="CB UNO A UNO"/>
    <s v="EJECUTADO_EXITOSO"/>
    <s v="CIERRE EXITOSO"/>
    <s v="22-07-2025 SE REALIZA VISITA DE CAMPO DONDE SE RETIRAN EQUIPOS SIN NOVEDAD"/>
    <s v="VISITA_TÉCNICA"/>
    <s v="EF00S400"/>
    <s v="TIPO III"/>
    <s v="TERRESTRE"/>
    <s v="LOZADA ROJAS CHRISTIAN ANDRES"/>
    <n v="1"/>
    <n v="222904.07200000001"/>
    <n v="222904.07200000001"/>
  </r>
  <r>
    <s v="APARTADO"/>
    <x v="4"/>
    <x v="5"/>
    <n v="5045"/>
    <s v="TA-25-866228"/>
    <n v="24468"/>
    <s v="ORDEN DE CAMBIO"/>
    <s v="ANTIOQUIA"/>
    <s v="APARTADO"/>
    <s v="BARRIO FUNDADORES APARTADO"/>
    <s v="REDEBAN"/>
    <s v="FO-25-1243046"/>
    <d v="2025-07-17T08:00:00"/>
    <d v="2025-07-23T21:36:00"/>
    <m/>
    <s v="CIERRE"/>
    <s v="CIERRE"/>
    <s v="CB UNO A UNO"/>
    <s v="CB UNO A UNO"/>
    <s v="NO_EXITOSO"/>
    <s v="PARCIAL EXITOSO PTE. DATAFONO"/>
    <s v="23-07-2025 SE RETIRAN EQUIPOS EN LA DIRECCION MENCIONANDA, NO SE RETIRA PUBLICIDAD YA QUE EL USUARIO DIO DISPOCICION FINALDATAFONO DESK 3500LECTORA SYMBOLPID PAD 1500HUB"/>
    <s v="VISITA_TÉCNICA"/>
    <s v="A00FZ740"/>
    <s v="TIPO I"/>
    <s v="TERRESTRE"/>
    <s v="SALDARRIAGA MIRANDA SANTIAGO"/>
    <n v="1"/>
    <n v="44559.563999999998"/>
    <n v="44559.563999999998"/>
  </r>
  <r>
    <s v="BOGOTA"/>
    <x v="0"/>
    <x v="0"/>
    <n v="11001"/>
    <s v="TA-25-884666"/>
    <n v="63227"/>
    <s v="ORDEN DE CAMBIO"/>
    <s v="CUNDINAMARCA"/>
    <s v="BOGOTA"/>
    <s v="PTM BOGOTA BODEGA UNIVERSAL B"/>
    <s v="REDEBAN"/>
    <s v="FO-25-1270643"/>
    <d v="2025-07-23T08:00:00"/>
    <d v="2025-07-24T11:25:00"/>
    <m/>
    <s v="CIERRE"/>
    <s v="RECUPERACION DE EQUIPOS"/>
    <s v="AGREGADOR"/>
    <s v="COMCARD - PTM"/>
    <s v="ILOCALIZADO"/>
    <s v="CB CERRADO - DESOCUPADO"/>
    <s v="23-07-2025 SE LLEGA A COMERCIO PERSONA DEL NEGOCIO INDICA QUE NO QUEDA NINGUN CORRESPONSAL BANCARIO QUE TIENE UNA DIRECCIÓN DONDE POSIBLEMENTE ESTÉ EL POS CRR 14A CLL 94-36 SUR USME SE LLAMA A LA SEÑORITA CINDY GUERRERO AL NÚMERO 3105667370 NO SE LOGRA CONTACTO"/>
    <s v="VISITA_TÉCNICA"/>
    <n v="0"/>
    <s v="TIPO I"/>
    <s v="TERRESTRE"/>
    <s v="INFANTE SIERRA MANUEL FERNANDO"/>
    <n v="1"/>
    <n v="44559.563999999998"/>
    <n v="44559.563999999998"/>
  </r>
  <r>
    <s v="MEDELLIN"/>
    <x v="4"/>
    <x v="5"/>
    <n v="5628"/>
    <s v="TA-25-869792"/>
    <n v="24801"/>
    <s v="ORDEN DE CAMBIO"/>
    <s v="ANTIOQUIA"/>
    <s v="SABANALARGA"/>
    <s v="SECTOR PARQUE PRINCIPAL SABANA"/>
    <s v="REDEBAN"/>
    <s v="FO-25-1248774"/>
    <d v="2025-07-18T08:00:00"/>
    <d v="2025-07-24T12:18:00"/>
    <m/>
    <s v="CIERRE"/>
    <s v="CIERRE"/>
    <s v="CB UNO A UNO"/>
    <s v="CB UNO A UNO"/>
    <s v="NO_EXITOSO"/>
    <s v="CB NO ENTREGA EQUIPO"/>
    <s v="24-07-2025 SE REALIZÓ GESTIÓN TELEFÓNICA SE HABLO CON EL SEÑOR OSCAR MAYA NOS INDICA QUE NO SE ENCUENTRA EN SABANA LARGA POR LOS CUAL NO NOS PUEDE ATENDER Y PIDE QUE SEA REPROGRAMADA LA VISITA"/>
    <s v="SOPORTE_TELEFÓNICO"/>
    <n v="0"/>
    <s v="TIPO III"/>
    <s v="TERRESTRE"/>
    <s v="CASTAÑEDA PALACIO CARLOS FELIPE"/>
    <n v="0"/>
    <n v="37904.612000000001"/>
    <n v="37904.612000000001"/>
  </r>
  <r>
    <s v="MEDELLIN"/>
    <x v="4"/>
    <x v="5"/>
    <n v="5091"/>
    <s v="TA-25-872198"/>
    <n v="37373"/>
    <s v="ORDEN DE CAMBIO"/>
    <s v="ANTIOQUIA"/>
    <s v="BETANIA"/>
    <s v="REDY BETANIA"/>
    <s v="REDEBAN"/>
    <s v="FO-25-1254037"/>
    <d v="2025-07-18T15:19:00"/>
    <d v="2025-07-24T12:40:00"/>
    <m/>
    <s v="CIERRE"/>
    <s v="CIERRE"/>
    <s v="ROBUSTO"/>
    <s v="REDY"/>
    <s v="NO_EXITOSO"/>
    <s v="PARCIAL EXITOSO PTE. DATAFONO"/>
    <s v="24-07-2025 QUEDA FALTANDO:LECTOR DE BARRAS:749715-749809PINPAD:1109285DATAFONO:869937HUB:837611 COMBO COMPLETO MAS 1 LECTOR DE CÓDIGO DE BARRAS, ENCARGADA INDICA QUE SE DEVUELVE TODO EN OTRA SOLICITUD."/>
    <s v="VISITA_TÉCNICA"/>
    <s v="AA00O835"/>
    <s v="TIPO III"/>
    <s v="TERRESTRE"/>
    <s v="BADEL ACUÑA LUIS ALBERTO"/>
    <n v="1"/>
    <n v="222904.07200000001"/>
    <n v="222904.07200000001"/>
  </r>
  <r>
    <s v="CALI"/>
    <x v="1"/>
    <x v="1"/>
    <n v="76001"/>
    <s v="TA-25-888998"/>
    <n v="65166"/>
    <s v="ORDEN DE CAMBIO"/>
    <s v="VALLE DEL CAUCA"/>
    <s v="CALI"/>
    <s v="PTM CALI NARU STORE"/>
    <s v="REDEBAN"/>
    <s v="FO-25-1278489"/>
    <d v="2025-07-24T08:00:00"/>
    <d v="2025-07-24T16:21:00"/>
    <m/>
    <s v="CIERRE"/>
    <s v="RECUPERACION DE EQUIPOS"/>
    <s v="AGREGADOR"/>
    <s v="COMCARD - PTM"/>
    <s v="ILOCALIZADO"/>
    <s v="CB CERRADO - DESOCUPADO"/>
    <s v="24-07-2025 SE LLEGA A DIRECCIÓN Y SE ENCUENTRA UN LOCAL CERRADO, SE INTENTA COMUNICACIÓN CON NUMEROUS DE TELÉFONO Y NO SE CONSIGUE RESPUESTA, SE CONSULTA CON VECINOS E INDICAN QUE CB YA NO EXISTE EN SITIO"/>
    <s v="VISITA_TÉCNICA"/>
    <n v="0"/>
    <s v="TIPO I"/>
    <s v="TERRESTRE"/>
    <s v="CUERO RUIZ JHONNY"/>
    <n v="1"/>
    <n v="44559.563999999998"/>
    <n v="44559.563999999998"/>
  </r>
  <r>
    <s v="BUCARAMANGA"/>
    <x v="5"/>
    <x v="6"/>
    <n v="68547"/>
    <s v="TA-25-884659"/>
    <n v="34489"/>
    <s v="ORDEN DE CAMBIO"/>
    <s v="SANTANDER"/>
    <s v="PIEDECUESTA"/>
    <s v="COMCARD PIEDECUESTA SIGA"/>
    <s v="REDEBAN"/>
    <s v="FO-25-1270605"/>
    <d v="2025-07-23T08:00:00"/>
    <d v="2025-07-24T16:58:00"/>
    <m/>
    <s v="CIERRE"/>
    <s v="RECUPERACION DE EQUIPOS"/>
    <s v="AGREGADOR"/>
    <s v="COMCARD - PTM"/>
    <s v="ILOCALIZADO"/>
    <s v="CB CERRADO - DESOCUPADO"/>
    <s v="24-07-2025 SE VISITA COMERCIO, SE VERIFICA QUE NO EXISTE , SE LLAMA EN REPETIDAS OCASIONES AL NUMERO 3192330000 SIN RESPUESTA ALGUNA , SE PREGUNTA A SUS ALREDEDORES Y NO DAN RAZON VISITA FALLIDA ."/>
    <s v="VISITA_TÉCNICA"/>
    <s v="BL014344"/>
    <s v="TIPO II"/>
    <s v="TERRESTRE"/>
    <s v="BARAJAS BERMUDEZ YAHIR MAURICIO"/>
    <n v="1"/>
    <n v="134410.88400000002"/>
    <n v="134410.88400000002"/>
  </r>
  <r>
    <s v="PASTO"/>
    <x v="1"/>
    <x v="1"/>
    <n v="52418"/>
    <s v="TA-25-869800"/>
    <n v="75502"/>
    <s v="ORDEN DE CAMBIO"/>
    <s v="NARIÑO"/>
    <s v="LOS ANDES"/>
    <s v="BARRIO PARQUE PRINCIPAL LOS  ANDES"/>
    <s v="REDEBAN"/>
    <s v="FO-25-1248834"/>
    <d v="2025-07-18T08:00:00"/>
    <d v="2025-07-24T17:30:00"/>
    <m/>
    <s v="CIERRE"/>
    <s v="CIERRE"/>
    <s v="CB UNO A UNO"/>
    <s v="CB UNO A UNO"/>
    <s v="NO_EXITOSO"/>
    <s v="CB NO ENTREGA EQUIPO"/>
    <s v="24-07-2025 SE REALIZA LLAMADAS AL SEÑOR JOSE . SE LOGRA COMUNICACION, SE VALIDA CIERRE PERO EL SEÑOR JOSE INDICA QYE NO PUEDE SER VISITADO AUN, QUE DEBEMOS VISITARLO LA SEGUNDA SEMANA DE AGOSTO, PUES ES CUANDO REGRESA LA PERSONA ENCARGADA DEL CB Y CON ACCESO A LOS EQUIPO PUES ESTA POR FUERA DEL MUNICIPIO EN VACACIONES, LE INDICAMOS QUE POR VENCIMIENTO DE LA ORDEN UNA VEZ LA PERSONA SE ENCUENTRA CON DISPONIBILIDAD DE ENTREGA DE LOS EQUIPOS SE COMUNIQUE A LA LINEA Y SOLICITE LA RECOJIDA PARA PODER AGENDAR LA VISITA"/>
    <s v="SOPORTE_TELEFÓNICO"/>
    <n v="0"/>
    <s v="TIPO III"/>
    <s v="TERRESTRE"/>
    <s v="HENAO CARDONA DIEGO FERNANDO"/>
    <n v="0"/>
    <n v="37904.612000000001"/>
    <n v="37904.612000000001"/>
  </r>
  <r>
    <s v="PASTO"/>
    <x v="1"/>
    <x v="1"/>
    <n v="52079"/>
    <s v="TA-25-869816"/>
    <n v="78063"/>
    <s v="ORDEN DE CAMBIO"/>
    <s v="NARIÑO"/>
    <s v="BARBACOAS"/>
    <s v="BARRIO CL DEL COMERCIO BARBACOAS"/>
    <s v="REDEBAN"/>
    <s v="FO-25-1248910"/>
    <d v="2025-07-18T08:00:00"/>
    <d v="2025-07-24T17:32:00"/>
    <m/>
    <s v="CIERRE"/>
    <s v="RECUPERACION DE EQUIPOS"/>
    <s v="CB UNO A UNO"/>
    <s v="CB UNO A UNO"/>
    <s v="NO_EXITOSO"/>
    <s v="CB NO ENTREGA EQUIPO"/>
    <s v="24-07-2025 SE INTENTA COMUNICACION CON LA SÑEORA ZORAIDA PARA VERIFICAR CIERRE, SE LOGRA CONTACTO Y SE VALIDA PERO LA CLIENTE ESTA POR FUERA DEL MUNICIPIO DE VIAJE, POR LO CUAL NO SE PUEDE REALIZAR DESPLAZMIENTO AL SITIO, SE LE INCIDA A LA SEÑORA UNA VEZ REGRESE AL MUNICIPIO SOLICITE EL CIERRE PARA PODER PROGRAMAR VISITA YA QUE DADO EL VENCIMIENTO DE LA ACTIVIDAD NO SE PUEDDE DEJAR PENDIENTE"/>
    <s v="SOPORTE_TELEFÓNICO"/>
    <n v="0"/>
    <s v="TIPO IV"/>
    <s v="TERRESTRE"/>
    <s v="HENAO CARDONA DIEGO FERNANDO"/>
    <n v="0"/>
    <n v="37904.612000000001"/>
    <n v="37904.612000000001"/>
  </r>
  <r>
    <s v="CUCUTA"/>
    <x v="5"/>
    <x v="6"/>
    <n v="54001"/>
    <s v="TA-25-888988"/>
    <n v="49137"/>
    <s v="ORDEN DE CAMBIO"/>
    <s v="NORTE DE SANTANDER"/>
    <s v="CUCUTA"/>
    <s v="PTM CUCUTA AUTOPARTES EL TRAIL"/>
    <s v="REDEBAN"/>
    <s v="FO-25-1278468"/>
    <d v="2025-07-24T08:00:00"/>
    <d v="2025-07-25T11:00:28"/>
    <m/>
    <s v="CIERRE"/>
    <s v="RECUPERACION DE EQUIPOS"/>
    <s v="AGREGADOR"/>
    <s v="COMCARD - PTM"/>
    <s v="SOLICITUD_CANCELADA"/>
    <s v="OC REPETIDA"/>
    <s v="25-07-2025 SE REALIZÓ VISITA A LA DIRECCIÓN Y SE ENCUENTRA QUE YA NO EXISTE EL COMERCIO, O SE OBTIENE COMUNICACIÓN VÍA TELEFÓNICA"/>
    <s v="VISITA_TÉCNICA"/>
    <n v="0"/>
    <s v="TIPO I"/>
    <s v="TERRESTRE"/>
    <s v="MORA VEGA JEAMPIER"/>
    <n v="1"/>
    <n v="44559.563999999998"/>
    <n v="44559.563999999998"/>
  </r>
  <r>
    <s v="MEDELLIN"/>
    <x v="4"/>
    <x v="5"/>
    <n v="27001"/>
    <s v="TA-25-880081"/>
    <n v="39232"/>
    <s v="ORDEN DE CAMBIO"/>
    <s v="CHOCÓ"/>
    <s v="QUIBDO"/>
    <s v="BARRIO CENTRO QUIBDO"/>
    <s v="REDEBAN"/>
    <s v="FO-25-1263440"/>
    <d v="2025-07-21T15:51:00"/>
    <d v="2025-07-25T11:43:00"/>
    <m/>
    <s v="CIERRE"/>
    <s v="RECUPERACION DE EQUIPOS"/>
    <s v="CB UNO A UNO"/>
    <s v="CB UNO A UNO"/>
    <s v="ILOCALIZADO"/>
    <s v="CB CERRADO - DESOCUPADO"/>
    <s v="24-07-2025 SE REALIZA VISITA, SE EVIDENCIA QUE COMERCIO NO EXISTE EN LA DIRECCIÓN, SE CONTACTA CON SEÑO MARIA ELISA BOLIVAR CARDONA Y COMENTA QUE EL CB SE ENCONTRABA EN BELLO ANTIOQUIA EN LA DIRECCIÓN  N° 38-220 UNIDAD PUERTO APARTAMENTO 203"/>
    <s v="VISITA_TÉCNICA"/>
    <n v="0"/>
    <s v="TIPO IV ESPECIAL"/>
    <s v="AEREO"/>
    <s v="ROBLEDO DIAZ ANDRES FELIPE"/>
    <n v="1"/>
    <n v="464809.36800000002"/>
    <n v="464809.36800000002"/>
  </r>
  <r>
    <s v="BUCARAMANGA"/>
    <x v="5"/>
    <x v="6"/>
    <n v="68001"/>
    <s v="TA-25-888991"/>
    <n v="73960"/>
    <s v="ORDEN DE CAMBIO"/>
    <s v="SANTANDER"/>
    <s v="BUCARAMANGA"/>
    <s v="PTM BUCARAMANGA DROGUERIA FARM"/>
    <s v="REDEBAN"/>
    <s v="FO-25-1278480"/>
    <d v="2025-07-24T08:00:00"/>
    <d v="2025-07-25T12:25:00"/>
    <m/>
    <s v="CIERRE"/>
    <s v="RECUPERACION DE EQUIPOS"/>
    <s v="AGREGADOR"/>
    <s v="COMCARD - PTM"/>
    <s v="ILOCALIZADO"/>
    <s v="CB CERRADO - DESOCUPADO"/>
    <s v="24-07-2025 SE INTENTA LA COMUNICACIÓN CON EL CLIENTE A LOS NÚMEROS QUE INDICA RBM PERO NO FUE POSIBLE , SE VISITA COMERCIO PERO COMERCIO NO EXISTE, SE PREGUNTA A PERSONAS CERCANAS INCICAN QUE AHÍ VIVEN NUEVAS PERSONAS"/>
    <s v="VISITA_TÉCNICA"/>
    <n v="0"/>
    <s v="TIPO I"/>
    <s v="TERRESTRE"/>
    <s v="HERRERA LUQUE SAUL JAVIER"/>
    <n v="1"/>
    <n v="44559.563999999998"/>
    <n v="44559.563999999998"/>
  </r>
  <r>
    <s v="BOGOTA"/>
    <x v="0"/>
    <x v="0"/>
    <n v="11001"/>
    <s v="TA-25-889011"/>
    <n v="36932"/>
    <s v="ORDEN DE CAMBIO"/>
    <s v="CUNDINAMARCA"/>
    <s v="BOGOTA"/>
    <s v="PTM BOGOTA CERAQUE"/>
    <s v="REDEBAN"/>
    <s v="FO-25-1278499"/>
    <d v="2025-07-24T08:00:00"/>
    <d v="2025-07-25T12:34:00"/>
    <m/>
    <s v="CIERRE"/>
    <s v="RECUPERACION DE EQUIPOS"/>
    <s v="AGREGADOR"/>
    <s v="COMCARD - PTM"/>
    <s v="ILOCALIZADO"/>
    <s v="CB CERRADO - DESOCUPADO"/>
    <s v="24-07-2025 SE REALIZA VISITA A CB PARA REALIZAR CIERRE CLIENTE INDICA QUE SI HUBO EL CORRESPONSAL PERO HACE 6 MESES Y QUE NO SABEN DÓNDE SE ENCUENTRA LA PERSONA ,SE INTENTA CONTACTAR CLIENTE NO CONTESTAN ,NÚMERO APAGADO"/>
    <s v="VISITA_TÉCNICA"/>
    <n v="0"/>
    <s v="TIPO I"/>
    <s v="TERRESTRE"/>
    <s v="GALINDO ROJAS LUIS FELIPE"/>
    <n v="1"/>
    <n v="44559.563999999998"/>
    <n v="44559.563999999998"/>
  </r>
  <r>
    <s v="CALI"/>
    <x v="1"/>
    <x v="1"/>
    <n v="76892"/>
    <s v="TA-25-889003"/>
    <n v="70561"/>
    <s v="ORDEN DE CAMBIO"/>
    <s v="VALLE DEL CAUCA"/>
    <s v="YUMBO"/>
    <s v="PTM YUMBO  PANACEA DRUGSTORE"/>
    <s v="REDEBAN"/>
    <s v="FO-25-1278494"/>
    <d v="2025-07-24T08:00:00"/>
    <d v="2025-07-25T13:55:00"/>
    <m/>
    <s v="CIERRE"/>
    <s v="RECUPERACION DE EQUIPOS"/>
    <s v="AGREGADOR"/>
    <s v="COMCARD - PTM"/>
    <s v="ILOCALIZADO"/>
    <s v="CB CERRADO - DESOCUPADO"/>
    <s v="25-07-2025 EN LA VISITA TECNICA REALIZADA AL COMERCIO SE LLEGA AL SITIO SE PREGUNTA EN INFORMACION DEL CENTRO COMERCIAL POR EL COMERCIO INFORMAN QUE YA NO ESTA EN EL SITIO SE LLEGA AL LOCAL Y SE PUEDE MIRAR QUE ESTA DESOCUPADO"/>
    <s v="VISITA_TÉCNICA"/>
    <n v="0"/>
    <s v="TIPO I"/>
    <s v="TERRESTRE"/>
    <s v="BENAVIDES ARANGO RAFAEL JOSE"/>
    <n v="1"/>
    <n v="44559.563999999998"/>
    <n v="44559.563999999998"/>
  </r>
  <r>
    <s v="BOGOTA"/>
    <x v="0"/>
    <x v="0"/>
    <n v="11001"/>
    <s v="TA-25-888983"/>
    <n v="33556"/>
    <s v="ORDEN DE CAMBIO"/>
    <s v="CUNDINAMARCA"/>
    <s v="BOGOTA"/>
    <s v="COMCARD BOGOTA ALTAVISTA"/>
    <s v="REDEBAN"/>
    <s v="FO-25-1280283"/>
    <d v="2025-07-24T08:00:00"/>
    <d v="2025-07-25T15:18:00"/>
    <m/>
    <s v="CIERRE"/>
    <s v="CIERRE"/>
    <s v="AGREGADOR"/>
    <s v="COMCARD - PTM"/>
    <s v="ILOCALIZADO"/>
    <s v="CB CERRADO - DESOCUPADO"/>
    <s v="25-07-2025 SE REALIZA VISITA A LA DIRECCIÓN PORTERÍA PRINCIPAL DEL CONJUNTO RESIDENCIAL ALTA VISTA NOS INDICAN NO CONOCER AL CLIENTE TEL DE CONTACTO NO RESPONDE 3508309021"/>
    <s v="VISITA_TÉCNICA"/>
    <s v="16ZZZ661"/>
    <s v="TIPO I"/>
    <s v="TERRESTRE"/>
    <s v="HERNANDEZ NARANJO OSCAR EDUARDO"/>
    <n v="2"/>
    <n v="44559.563999999998"/>
    <n v="89119.127999999997"/>
  </r>
  <r>
    <s v="CUCUTA"/>
    <x v="5"/>
    <x v="6"/>
    <n v="54001"/>
    <s v="TA-25-888987"/>
    <n v="42537"/>
    <s v="ORDEN DE CAMBIO"/>
    <s v="NORTE DE SANTANDER"/>
    <s v="CUCUTA"/>
    <s v="PTM CUCUTA TECHNOLOGY"/>
    <s v="REDEBAN"/>
    <s v="FO-25-1278464"/>
    <d v="2025-07-24T08:00:00"/>
    <d v="2025-07-25T15:33:00"/>
    <m/>
    <s v="CIERRE"/>
    <s v="RECUPERACION DE EQUIPOS"/>
    <s v="AGREGADOR"/>
    <s v="COMCARD - PTM"/>
    <s v="ILOCALIZADO"/>
    <s v="CB CERRADO - DESOCUPADO"/>
    <s v="25-07-2025 SE REALIZA VISITA SE ENCONTRÓ QUE EL COMERCIO YA NO EXISTE EN LA DIRECCIÓN NO SE LOGRÓ COMUNICACIÓN CON EL CLIENTE PARA SABER UBICACIÓN DE LOS EQUIPOS"/>
    <s v="VISITA_TÉCNICA"/>
    <n v="0"/>
    <s v="TIPO I"/>
    <s v="TERRESTRE"/>
    <s v="MORA VEGA JEAMPIER"/>
    <n v="1"/>
    <n v="44559.563999999998"/>
    <n v="44559.563999999998"/>
  </r>
  <r>
    <s v="NEIVA"/>
    <x v="3"/>
    <x v="3"/>
    <n v="18001"/>
    <s v="TA-25-890135"/>
    <n v="65216"/>
    <s v="ORDEN DE CAMBIO"/>
    <s v="CAQUETA"/>
    <s v="FLORENCIA"/>
    <s v="BARRIO VILLA MONICA FLORENCIA"/>
    <s v="REDEBAN"/>
    <s v="FO-25-1280567"/>
    <d v="2025-07-24T14:01:00"/>
    <d v="2025-07-25T15:57:00"/>
    <m/>
    <s v="CIERRE"/>
    <s v="CIERRE"/>
    <s v="CB UNO A UNO"/>
    <s v="CB UNO A UNO"/>
    <s v="NO_EXITOSO"/>
    <s v="CB NO ENTREGA EQUIPO"/>
    <s v="25-07-2025 SE LLEGA AL CB Y CB SE ENCUENTRA CERRADO SE LLAMA A LA CLIENTA AL NÚMERO 3138003960 Y MANIFIESTA QUE SE ENCUENTRA HOSPITALIZADA Y NO TIENE QUIEN LE HAGA LA ENTREGA DE LOS EQUIPOS,  INDICO QUE CUANDO SALGA DE LA HOSPITALIZACIÓN LLAMARÁ A LA LINEA DE CORRESPONSALES PARA REALIZAR LA ENTREGA"/>
    <s v="VISITA_TÉCNICA"/>
    <s v="2A008755"/>
    <s v="TIPO IV"/>
    <s v="TERRESTRE"/>
    <s v="BERMUDEZ SANCHEZ JOSE NEYBER"/>
    <n v="1"/>
    <n v="464809.36800000002"/>
    <n v="464809.36800000002"/>
  </r>
  <r>
    <s v="PASTO"/>
    <x v="1"/>
    <x v="1"/>
    <n v="52786"/>
    <s v="TA-25-890145"/>
    <n v="76328"/>
    <s v="ORDEN DE CAMBIO"/>
    <s v="NARIÑO"/>
    <s v="TAMINANGO"/>
    <s v="BARRIO EL PODER TAMINANGO 2"/>
    <s v="REDEBAN"/>
    <s v="FO-25-1280596"/>
    <d v="2025-07-24T14:01:00"/>
    <d v="2025-07-25T16:06:00"/>
    <m/>
    <s v="CIERRE"/>
    <s v="CIERRE"/>
    <s v="CB UNO A UNO"/>
    <s v="CB UNO A UNO"/>
    <s v="NO_EXITOSO"/>
    <s v="CB NO ENTREGA EQUIPO"/>
    <s v="25-07-2025 SE LLEGA A CORRESPONSAL A REALIZAR CIERRE COMERCIO INFORMA QUE ACTUALMENTE SE ENCUENTRA EN PROCESO DE TRASLADO DE CB Y EN LA LÍNEA LE INFORMAN QUE NO REALICE LA ENTREGA DE LOS EQUIPOS HASTA QUE  SE REVISE CASO PROPORCIONA NÚMERO DE RADICADO 13803103 CIERRE NO EXITOSO NO SE RETIRA NI DATAFONO NI PUBLICIDAD"/>
    <s v="VISITA_TÉCNICA"/>
    <s v="V10OZ405"/>
    <s v="TIPO II"/>
    <s v="TERRESTRE"/>
    <s v="BRAVO MADROÑERO OSCAR ESTEBAN"/>
    <n v="1"/>
    <n v="134410.88400000002"/>
    <n v="134410.88400000002"/>
  </r>
  <r>
    <s v="NEIVA"/>
    <x v="3"/>
    <x v="3"/>
    <n v="41001"/>
    <s v="TA-25-890142"/>
    <n v="75830"/>
    <s v="ORDEN DE CAMBIO"/>
    <s v="HUILA"/>
    <s v="NEIVA"/>
    <s v="BARRIO EL CENTRO NEIVA 10"/>
    <s v="REDEBAN"/>
    <s v="FO-25-1280585"/>
    <d v="2025-07-24T14:01:00"/>
    <d v="2025-07-26T10:02:00"/>
    <m/>
    <s v="CIERRE"/>
    <s v="CIERRE"/>
    <s v="CB UNO A UNO"/>
    <s v="CB UNO A UNO"/>
    <s v="ILOCALIZADO"/>
    <s v="CB CERRADO - DESOCUPADO"/>
    <s v="25-07-2025 SE LLEGA AL PUNTO ESTÁ CERRADO, SE GOLPEA LA PUERTA VARIAS VECES NO SALE NADIES , SE INTENTA COMUNICACION POR WHATSAPP NO HAY RESPUESTA , SE PREGUNTA EN EL LOCAL CERCANO NO TIENEN CONOCIMIENTO"/>
    <s v="VISITA_TÉCNICA"/>
    <s v="N/A"/>
    <s v="TIPO I"/>
    <s v="TERRESTRE"/>
    <s v="ANDRADE HERNANDEZ JUAN CARLOS"/>
    <n v="1"/>
    <n v="44559.563999999998"/>
    <n v="44559.563999999998"/>
  </r>
  <r>
    <s v="SINCELEJO"/>
    <x v="2"/>
    <x v="2"/>
    <n v="70429"/>
    <s v="TA-25-890148"/>
    <n v="72634"/>
    <s v="ORDEN DE CAMBIO"/>
    <s v="SUCRE"/>
    <s v="MAJAGUAL"/>
    <s v="LA ESMERALDA MAJAGUAL"/>
    <s v="REDEBAN"/>
    <s v="FO-25-1280602"/>
    <d v="2025-07-24T14:01:00"/>
    <d v="2025-07-26T10:02:00"/>
    <m/>
    <s v="CIERRE"/>
    <s v="CIERRE"/>
    <s v="CB UNO A UNO"/>
    <s v="CB UNO A UNO"/>
    <s v="NO_EXITOSO"/>
    <s v="CB NO ENTREGA EQUIPO"/>
    <s v="25-07-2025 SE VISITA SITIO, PERO NO SE LOGRA REALIZAR EL CIERRE, SE HABLA CON EL SEÑOR DÍANORGE MANUEL LIGIA, QUIEN INFORMA QUE LOS EQUIPOS LOS TIENE LA TITULAR, EL LEVA A INFORMAR A LA SEÑORA PARA QUE LLAME Y SOLICITE LA VISTA A DÓNDE TIENE LOS EQUIPOS."/>
    <s v="VISITA_TÉCNICA"/>
    <s v="UV00N168"/>
    <s v="TIPO IV"/>
    <s v="FLUVIAL"/>
    <s v="CACERES HERNANDEZ ANDRES"/>
    <n v="1"/>
    <n v="464809.36800000002"/>
    <n v="464809.36800000002"/>
  </r>
  <r>
    <s v="CALI"/>
    <x v="1"/>
    <x v="1"/>
    <n v="19001"/>
    <s v="TA-25-890151"/>
    <n v="43981"/>
    <s v="ORDEN DE CAMBIO"/>
    <s v="CAUCA"/>
    <s v="POPAYAN"/>
    <s v="BARRIO CAMPO BELLO POPAYAN"/>
    <s v="REDEBAN"/>
    <s v="FO-25-1280611"/>
    <d v="2025-07-24T14:01:00"/>
    <d v="2025-07-26T10:27:00"/>
    <m/>
    <s v="CIERRE"/>
    <s v="RECUPERACION DE EQUIPOS"/>
    <s v="CB UNO A UNO"/>
    <s v="CB UNO A UNO"/>
    <s v="ILOCALIZADO"/>
    <s v="CB CERRADO - DESOCUPADO"/>
    <s v="26-07-2025 SE LLEGA AL SITIO SE ENCUENTRA COMERCIO CERRADO CB NO RESPONDE A NÚMERO CELULAR"/>
    <s v="VISITA_TÉCNICA"/>
    <s v="NO APLICA"/>
    <s v="TIPO III"/>
    <s v="TERRESTRE"/>
    <s v="GIMBUEL LASSO LUIS GERMAN"/>
    <n v="1"/>
    <n v="222904.07200000001"/>
    <n v="222904.07200000001"/>
  </r>
  <r>
    <s v="MEDELLIN"/>
    <x v="4"/>
    <x v="5"/>
    <n v="5266"/>
    <s v="TA-25-884685"/>
    <n v="73671"/>
    <s v="ORDEN DE CAMBIO"/>
    <s v="ANTIOQUIA"/>
    <s v="ENVIGADO"/>
    <s v="PTM ENVIGADO  IMPERIAL PET OT"/>
    <s v="REDEBAN"/>
    <s v="FO-25-1270666"/>
    <d v="2025-07-23T08:00:00"/>
    <d v="2025-07-26T10:31:00"/>
    <m/>
    <s v="CIERRE"/>
    <s v="RECUPERACION DE EQUIPOS"/>
    <s v="AGREGADOR"/>
    <s v="COMCARD - PTM"/>
    <s v="NO_EXITOSO"/>
    <s v="CB NO ENTREGA EQUIPO"/>
    <s v="26-07-2025 SE VISITA PUNTO Y SE ENCUENTRA CERRADO, SE COMUNICA AL NÚMERO 3246850162 NOS PASAN EL NÚMERO 3013887248 DE LA SEÑORA YUDI LORENA LA CUAL INFORMA QUE LOS EQUIPOS SE ENTREGARON HACE 7 MESES, SE CIERRA VISITA"/>
    <s v="VISITA_TÉCNICA"/>
    <s v="EF02Z348"/>
    <s v="TIPO I"/>
    <s v="TERRESTRE"/>
    <s v="QUINTERO SANCHEZ JUAN SEBASTIAN"/>
    <n v="1"/>
    <n v="44559.563999999998"/>
    <n v="44559.563999999998"/>
  </r>
  <r>
    <s v="PEREIRA"/>
    <x v="1"/>
    <x v="4"/>
    <n v="63130"/>
    <s v="TA-25-884661"/>
    <n v="43475"/>
    <s v="ORDEN DE CAMBIO"/>
    <s v="QUINDIO"/>
    <s v="CALARCA"/>
    <s v="PTM CALARCA VARIEDADES NENA ZA"/>
    <s v="REDEBAN"/>
    <s v="FO-25-1270614"/>
    <d v="2025-07-23T08:00:00"/>
    <d v="2025-07-26T10:43:00"/>
    <m/>
    <s v="CIERRE"/>
    <s v="RECUPERACION DE EQUIPOS"/>
    <s v="AGREGADOR"/>
    <s v="COMCARD - PTM"/>
    <s v="NO_EXITOSO"/>
    <s v="CB NO ENTREGA EQUIPO"/>
    <s v="26-07-2025 SE LLEGA A COMERCIO INDICA LA MADRE DEL TÍTULAR QUE LOS EQUIPOS ESTÁN BAJO LLAVE Y QUE LAS LLAVES NO LAS TIENE. SE INDICA QUE CUANDO TENGAS LOS EQUIPOS  A LA MANO SOLICITAR LA VISITA NUEVAMENTE PARA PASAR POR ELLOS."/>
    <s v="VISITA_TÉCNICA"/>
    <s v="9AEZZ594"/>
    <s v="TIPO II"/>
    <s v="TERRESTRE"/>
    <s v="SANCHEZ SOLORZANO JUAN SEBASTIAN"/>
    <n v="1"/>
    <n v="134410.88400000002"/>
    <n v="134410.88400000002"/>
  </r>
  <r>
    <s v="BOGOTA"/>
    <x v="0"/>
    <x v="0"/>
    <n v="11001"/>
    <s v="TA-25-890168"/>
    <n v="69718"/>
    <s v="ORDEN DE CAMBIO"/>
    <s v="CUNDINAMARCA"/>
    <s v="BOGOTA"/>
    <s v="DISTRICOL VIILAFRANK ESTANCIA"/>
    <s v="REDEBAN"/>
    <s v="FO-25-1280672"/>
    <d v="2025-07-24T14:01:00"/>
    <d v="2025-07-26T11:04:00"/>
    <m/>
    <s v="CIERRE"/>
    <s v="CIERRE"/>
    <s v="AGREGADOR"/>
    <s v="DISTRICOL"/>
    <s v="ILOCALIZADO"/>
    <s v="CB CERRADO - DESOCUPADO"/>
    <s v="26-07-2025 SE REALIZA VISITA A LA DIRECCIÓN NADIE NOS ATIENDE TEL . 3138735064 APAGADO"/>
    <s v="VISITA_TÉCNICA"/>
    <s v="MN002484"/>
    <s v="TIPO I"/>
    <s v="TERRESTRE"/>
    <s v="HERNANDEZ NARANJO OSCAR EDUARDO"/>
    <n v="1"/>
    <n v="44559.563999999998"/>
    <n v="44559.563999999998"/>
  </r>
  <r>
    <s v="BOGOTA"/>
    <x v="0"/>
    <x v="0"/>
    <n v="11001"/>
    <s v="TA-25-890150"/>
    <n v="46874"/>
    <s v="ORDEN DE CAMBIO"/>
    <s v="CUNDINAMARCA"/>
    <s v="BOGOTA"/>
    <s v="BARRIO ESTANCIA BOGOTA 3"/>
    <s v="REDEBAN"/>
    <s v="FO-25-1286865"/>
    <d v="2025-07-24T14:01:00"/>
    <d v="2025-07-26T12:07:00"/>
    <m/>
    <s v="CIERRE"/>
    <s v="CIERRE"/>
    <s v="CB UNO A UNO"/>
    <s v="CB UNO A UNO"/>
    <s v="ILOCALIZADO"/>
    <s v="CB CERRADO - DESOCUPADO"/>
    <s v="26-07-2025 SE REALIZA VISITA A LA DIRECCIÓN CLIENTE NO SE ENCUENTRA SE REALIZAN MÚLTIPLES INTENTOS DE CONTACTO AL TEL 3223113921 NO RESPONDEN"/>
    <s v="VISITA_TÉCNICA"/>
    <s v="AD00A035"/>
    <s v="TIPO I"/>
    <s v="TERRESTRE"/>
    <s v="HERNANDEZ NARANJO OSCAR EDUARDO"/>
    <n v="2"/>
    <n v="44559.563999999998"/>
    <n v="89119.127999999997"/>
  </r>
  <r>
    <s v="CALI"/>
    <x v="1"/>
    <x v="1"/>
    <n v="76834"/>
    <s v="TA-25-895881"/>
    <n v="10782"/>
    <s v="ORDEN DE CAMBIO"/>
    <s v="VALLE DEL CAUCA"/>
    <s v="TULUA"/>
    <s v="BARRIO SAMAN DEL NORTE - TULUA"/>
    <s v="REDEBAN"/>
    <s v="FO-25-1288310"/>
    <d v="2025-07-26T08:00:00"/>
    <d v="2025-07-26T13:07:00"/>
    <m/>
    <s v="CIERRE"/>
    <s v="RECUPERACION DE EQUIPOS"/>
    <s v="CB UNO A UNO"/>
    <s v="CB UNO A UNO"/>
    <s v="NO_EXITOSO"/>
    <s v="CB NO ENTREGA EQUIPO"/>
    <s v="26-07-2025 SE HABALA CON LA SRA DIANA ALCALDE E INDICA QUE AUN NO HAN ENCONTRÓ LOS EQUIPOS, QUE EL EQUIPO QUE ENCONTRÓ ES LA SIGUIENTE PLACA: 170814 LA CUAL PERTENECE AL COMERCIO, SE LE INDICA QUE CUAMDO ENCUTRE LAS PLACAS DEL CB VUELVA A LLAMAR PARA PROGRAMAR UNA NUEVA VISITA"/>
    <s v="SOPORTE_TELEFÓNICO"/>
    <n v="0"/>
    <s v="TIPO II"/>
    <s v="TERRESTRE"/>
    <s v="PAREDES CASTILLO DIEGO"/>
    <n v="0"/>
    <n v="37904.612000000001"/>
    <n v="37904.612000000001"/>
  </r>
  <r>
    <s v="CALI"/>
    <x v="1"/>
    <x v="1"/>
    <n v="76001"/>
    <s v="TA-25-888997"/>
    <n v="54411"/>
    <s v="ORDEN DE CAMBIO"/>
    <s v="VALLE DEL CAUCA"/>
    <s v="CALI"/>
    <s v="PTM CALI MISCELANEA Y DETALLES"/>
    <s v="REDEBAN"/>
    <s v="FO-25-1278487"/>
    <d v="2025-07-24T08:00:00"/>
    <d v="2025-07-26T13:31:00"/>
    <m/>
    <s v="CIERRE"/>
    <s v="RECUPERACION DE EQUIPOS"/>
    <s v="AGREGADOR"/>
    <s v="COMCARD - PTM"/>
    <s v="ILOCALIZADO"/>
    <s v="CB CERRADO - DESOCUPADO"/>
    <s v="26-07-2025 SE VISITA EL COMERCIO SE ENCONTRA EL LOCAL CERRADO, SE INDAGÓ EN EL SECTOR E INFORMARON QUE HACE APROXIMADAMENTE 5 MESES NO ABREN EL LOCAL, SE LLAMA AL NUMERO 3057038573 SIN RESPUESTA NO ESTA EN USO, CIERRE NO EXITOSO"/>
    <s v="VISITA_TÉCNICA"/>
    <s v="NONE"/>
    <s v="TIPO I"/>
    <s v="TERRESTRE"/>
    <s v="HERRERA MONAR GEOVANNY"/>
    <n v="1"/>
    <n v="44559.563999999998"/>
    <n v="44559.563999999998"/>
  </r>
  <r>
    <s v="BOGOTA"/>
    <x v="0"/>
    <x v="0"/>
    <n v="25754"/>
    <s v="TA-25-890163"/>
    <n v="68867"/>
    <s v="ORDEN DE CAMBIO"/>
    <s v="CUNDINAMARCA"/>
    <s v="SOACHA"/>
    <s v="DISTRICOL VIILAFRANK AGENCIA"/>
    <s v="REDEBAN"/>
    <s v="FO-25-1280649"/>
    <d v="2025-07-24T14:01:00"/>
    <d v="2025-07-28T08:45:00"/>
    <m/>
    <s v="CIERRE"/>
    <s v="CIERRE"/>
    <s v="AGREGADOR"/>
    <s v="DISTRICOL"/>
    <s v="ILOCALIZADO"/>
    <s v="SIN CONTACTO CON EL CB"/>
    <s v="26-07-2025 DURANTE LA VISITA TECNICA PARA REALIZAR EL CIERRE DE CORRESPONSAL BANCARIO ENCONTRAMOS   QUE NO EXISTE LA DIRECCIÓN SE LLAMA AL CELULAR 3138735064 SIN TENER RESPUESTA, SE INFORMA A COORDINADOR PARA CIERRE DE  VISITA ES DE ACLARAR QUE SE LLEGA A DIRECCIÓN ENCONTRADA POR APLICATIVO LUPAC LA CUAL NO ARROJA EN LA URBANIZACIÓN QUINTANARES PERO AL PREGUNTA EN PORTERÍA POR LA EXISTENCIA DEL CB O DEL SR LEONARDO DE JESUS PABON ESCOBAR NO DAN INDICACIONES O INFORMACIÓN DE LA EXISTENCIA DEL CB"/>
    <s v="VISITA_TÉCNICA"/>
    <n v="0"/>
    <s v="TIPO I"/>
    <s v="TERRESTRE"/>
    <s v="GALEANO SORIANO JUAN DAVID"/>
    <n v="1"/>
    <n v="44559.563999999998"/>
    <n v="44559.563999999998"/>
  </r>
  <r>
    <s v="VILLAVICENCIO"/>
    <x v="3"/>
    <x v="3"/>
    <n v="50001"/>
    <s v="TA-25-890143"/>
    <n v="50984"/>
    <s v="ORDEN DE CAMBIO"/>
    <s v="META"/>
    <s v="VILLAVICENCIO"/>
    <s v="BARRIO FLORIDA VILLAVICENCIO"/>
    <s v="REDEBAN"/>
    <s v="FO-25-1280588"/>
    <d v="2025-07-24T14:01:00"/>
    <d v="2025-07-28T11:15:35"/>
    <m/>
    <s v="CIERRE"/>
    <s v="CIERRE"/>
    <s v="CB UNO A UNO"/>
    <s v="CB UNO A UNO"/>
    <s v="NO_EXITOSO"/>
    <s v="CB NO ENTREGA EQUIPO"/>
    <s v="28-07-2025 SE REALIZA VISITA AL PUNTO Y COMERCIO SE ENCUENTRA CERRADO, SE REALIZA CONTACTO TELEFONICO CON EL CLIENTE EL CUAL INFORMA QUE NO SE ENCUENTRA EN EL PAÍS, INFORMA QUE SE ENCUENTRA LA PRÓXIMA SEMANA Y QUE VISITA SE REALICE EN HORAS DE LA TARDE "/>
    <s v="VISITA_TÉCNICA"/>
    <n v="0"/>
    <s v="TIPO I"/>
    <s v="TERRESTRE"/>
    <s v="PEDREROS CONTRERAS MICHAEL STEVENS"/>
    <n v="1"/>
    <n v="44559.563999999998"/>
    <n v="44559.563999999998"/>
  </r>
  <r>
    <s v="IBAGUE"/>
    <x v="3"/>
    <x v="3"/>
    <n v="73001"/>
    <s v="TA-25-890153"/>
    <n v="69181"/>
    <s v="ORDEN DE CAMBIO"/>
    <s v="TOLIMA"/>
    <s v="IBAGUE"/>
    <s v="BARRIO PORTALES DEL NORTE IBAG"/>
    <s v="REDEBAN"/>
    <s v="FO-25-1289202"/>
    <d v="2025-07-24T14:01:00"/>
    <d v="2025-07-28T11:19:16"/>
    <m/>
    <s v="CIERRE"/>
    <s v="RECUPERACION DE EQUIPOS"/>
    <s v="CB UNO A UNO"/>
    <s v="CB UNO A UNO"/>
    <s v="EJECUTADO_EXITOSO"/>
    <s v="CIERRE EXITOSO"/>
    <s v="28-07-2025 SE VISITA DIRECCIÓN DE RETIRO LA PERSONA QUE ATIENDE HACE ENTREGA DE MANERA VOLUNTARIA DE DATÁFONO, LECTOR &quot;RECUPERADO&quot;NO PUBLICIDAD,NO ROLLOS"/>
    <s v="VISITA_TÉCNICA"/>
    <s v="A103Z587"/>
    <s v="TIPO I"/>
    <s v="TERRESTRE"/>
    <s v="CORZO BUSTO KEVIN ALEXIS"/>
    <n v="1"/>
    <n v="44559.563999999998"/>
    <n v="44559.563999999998"/>
  </r>
  <r>
    <s v="MEDELLIN"/>
    <x v="4"/>
    <x v="5"/>
    <n v="5360"/>
    <s v="TA-25-890157"/>
    <n v="74718"/>
    <s v="ORDEN DE CAMBIO"/>
    <s v="ANTIOQUIA"/>
    <s v="ITAGUI"/>
    <s v="DISTRICOL SUPER LA 48"/>
    <s v="REDEBAN"/>
    <s v="FO-25-1280627"/>
    <d v="2025-07-24T14:01:00"/>
    <d v="2025-07-28T12:42:44"/>
    <m/>
    <s v="CIERRE"/>
    <s v="CIERRE"/>
    <s v="AGREGADOR"/>
    <s v="DISTRICOL"/>
    <s v="NO_EXITOSO"/>
    <s v="CB NO ENTREGA EQUIPO"/>
    <s v="28-07-2025 SE VISITA PUNTO Y EL NUEVO DUEÑO INFORMA QUE NO TIENE LOS EQUIPOS, SE COMUNICA AL 3103815679 INFORMAN QUE YA ENTREGARON LOS EQUIPOS A DISTRICOL, SE CIERRA VISITA"/>
    <s v="VISITA_TÉCNICA"/>
    <n v="0"/>
    <s v="TIPO I"/>
    <s v="TERRESTRE"/>
    <s v="QUINTERO SANCHEZ JUAN SEBASTIAN"/>
    <n v="1"/>
    <n v="44559.563999999998"/>
    <n v="44559.563999999998"/>
  </r>
  <r>
    <s v="IBAGUE"/>
    <x v="3"/>
    <x v="3"/>
    <n v="73001"/>
    <s v="TA-25-890154"/>
    <n v="72512"/>
    <s v="ORDEN DE CAMBIO"/>
    <s v="TOLIMA"/>
    <s v="IBAGUE"/>
    <s v="EL CARMEN IBAGUE TOLIMA"/>
    <s v="REDEBAN"/>
    <s v="FO-25-1289578"/>
    <d v="2025-07-24T14:01:00"/>
    <d v="2025-07-28T16:12:00"/>
    <m/>
    <s v="CIERRE"/>
    <s v="RECUPERACION DE EQUIPOS"/>
    <s v="CB UNO A UNO"/>
    <s v="CB UNO A UNO"/>
    <s v="EJECUTADO_EXITOSO"/>
    <s v="CIERRE EXITOSO"/>
    <s v="28-07-2025 SE VISITA DIRECCIÓN INDICADA DE RETIRO LA PERSONA QUE ATIENDE HACE ENTREGA DE MANERA VOLUNTARIA DE DATÁFONO, LECTOR,NO PUBLICIDAD,NO ROLLOS"/>
    <s v="VISITA_TÉCNICA"/>
    <s v="TV00L327"/>
    <s v="TIPO I"/>
    <s v="TERRESTRE"/>
    <s v="GUTIERREZ  CAMILO ANDRES"/>
    <n v="1"/>
    <n v="44559.563999999998"/>
    <n v="44559.563999999998"/>
  </r>
  <r>
    <s v="BOGOTA"/>
    <x v="0"/>
    <x v="0"/>
    <n v="11001"/>
    <s v="TA-25-884660"/>
    <n v="39203"/>
    <s v="ORDEN DE CAMBIO"/>
    <s v="CUNDINAMARCA"/>
    <s v="BOGOTA"/>
    <s v="PTM BOGOTA GOMARKETING"/>
    <s v="REDEBAN"/>
    <s v="FO-25-1270609"/>
    <d v="2025-07-23T08:00:00"/>
    <d v="2025-07-28T16:32:50"/>
    <m/>
    <s v="CIERRE"/>
    <s v="RECUPERACION DE EQUIPOS"/>
    <s v="AGREGADOR"/>
    <s v="COMCARD - PTM"/>
    <s v="NO_EXITOSO"/>
    <s v="CB NO ENTREGA EQUIPO"/>
    <s v="28-07-2025 SE REALIZA DESPLAZAMIENTO A DIRECCIÓN DE COMERCIO, EN SITIO NO EXISTE EL COMERCIO, EN LLAMADA TELEFÓNICA A LA SRA. LINA LÓPEZ  3508212017 INDICA QUE ELLA NO TIENE NADA QUE VER CON EL COMERCIO Y QUE NO TIENE INFORMACIÓN DE LOS EQUIPOS."/>
    <s v="VISITA_TÉCNICA"/>
    <n v="0"/>
    <s v="TIPO I"/>
    <s v="TERRESTRE"/>
    <s v="MURCIA HERNANDEZ HARVEY IGNACIO"/>
    <n v="1"/>
    <n v="44559.563999999998"/>
    <n v="44559.563999999998"/>
  </r>
  <r>
    <s v="BOGOTA"/>
    <x v="0"/>
    <x v="0"/>
    <n v="11001"/>
    <s v="TA-25-889028"/>
    <n v="70801"/>
    <s v="ORDEN DE CAMBIO"/>
    <s v="CUNDINAMARCA"/>
    <s v="BOGOTA"/>
    <s v="PTM BOGOTA  DISTRIBUIDORA DE P"/>
    <s v="REDEBAN"/>
    <s v="FO-25-1278511"/>
    <d v="2025-07-24T08:00:00"/>
    <d v="2025-07-29T09:07:00"/>
    <m/>
    <s v="CIERRE"/>
    <s v="RECUPERACION DE EQUIPOS"/>
    <s v="AGREGADOR"/>
    <s v="COMCARD - PTM"/>
    <s v="ILOCALIZADO"/>
    <s v="CB CERRADO - DESOCUPADO"/>
    <s v="28-07-2025 SE INTENTA COMUNICAR CON EL COMERCIO LO CUAL ES IMPOSIBLE NO AHI NUMERO DE WHATSAPP Y EL NÚMERO CELULAR NO LO CONTESTA, EN LA DIRECCIÓN BRINDADA SE TIMBRA E VARIAS OCASIONES Y SE ESPERAN 30 MINUTOS"/>
    <s v="VISITA_TÉCNICA"/>
    <n v="0"/>
    <s v="TIPO I"/>
    <s v="TERRESTRE"/>
    <s v="SOTO MUNAR DYLAN DAVID"/>
    <n v="1"/>
    <n v="44559.563999999998"/>
    <n v="44559.563999999998"/>
  </r>
  <r>
    <s v="CUCUTA"/>
    <x v="5"/>
    <x v="6"/>
    <n v="54405"/>
    <s v="TA-25-895877"/>
    <n v="79515"/>
    <s v="ORDEN DE CAMBIO"/>
    <s v="NORTE DE SANTANDER"/>
    <s v="LOS PATIOS"/>
    <s v="BARRIO SAN NICOLAS II LOS PATIOS"/>
    <s v="REDEBAN"/>
    <s v="FO-25-1289163"/>
    <d v="2025-07-26T08:00:00"/>
    <d v="2025-07-29T09:12:00"/>
    <m/>
    <s v="CIERRE"/>
    <s v="CIERRE"/>
    <s v="CB UNO A UNO"/>
    <s v="CB UNO A UNO"/>
    <s v="EJECUTADO_EXITOSO"/>
    <s v="CIERRE EXITOSO"/>
    <s v="28-07-2025 SE REALIZA VISITA, SE RETIRA DATAFONO Y LECTOR DE BARRAS "/>
    <s v="VISITA_TÉCNICA"/>
    <s v="A1VZZ394"/>
    <s v="TIPO I"/>
    <s v="TERRESTRE"/>
    <s v="PACHECO BUITRAGO JAVIER ALONSO"/>
    <n v="1"/>
    <n v="44559.563999999998"/>
    <n v="44559.563999999998"/>
  </r>
  <r>
    <s v="BUCARAMANGA"/>
    <x v="5"/>
    <x v="6"/>
    <n v="13688"/>
    <s v="TA-25-895884"/>
    <n v="50319"/>
    <s v="ORDEN DE CAMBIO"/>
    <s v="BOLIVAR"/>
    <s v="SANTA ROSA DEL SUR"/>
    <s v="BARRIO CORREGIMIENTO LOS CANEL"/>
    <s v="REDEBAN"/>
    <s v="FO-25-1288317"/>
    <d v="2025-07-26T08:00:00"/>
    <d v="2025-07-29T10:53:51"/>
    <m/>
    <s v="CIERRE"/>
    <s v="RECUPERACION DE EQUIPOS"/>
    <s v="CB UNO A UNO"/>
    <s v="CB UNO A UNO"/>
    <s v="NO_EXITOSO"/>
    <s v="CB NO ENTREGA EQUIPO"/>
    <s v="29-07-2025 EN COMUNICACIÓN CON LA SEÑORA ANA ROCÍO AL MOVIL 3188048882, INDICA QUE NO ES POSIBLE VISITAR EL CORREGIMIENTO POR ORDEN PÚBLICO, CLIENTE INDICA QUE AHORITA NO ESTÁ INGRESANDO NINGÚN TIPO DE VEHÍCULO, SE LE INFORMA QUE SE CERRARA LA ORDEN DEBIDO A QUE NO HAY UNA FECHA CERCANA EN LA CUAL SE NORMALICE EL. ORDEN PÚBLICO SE LE. INFORMA QUE CUANDO SE PUEDAN RECOGER LOS EQUIPOS LLAMAR A SOLICITAR NUEVAMENTE LA RECOLECCIÓN DE ESTOS EQUIPOS. "/>
    <s v="SOPORTE_TELEFÓNICO"/>
    <n v="0"/>
    <s v="TIPO IV ESPECIAL"/>
    <s v="TERRESTRE/FLUVIAL"/>
    <s v="SANTOS GONZALEZ JOHAN FABIAN"/>
    <n v="0"/>
    <n v="37904.612000000001"/>
    <n v="37904.612000000001"/>
  </r>
  <r>
    <s v="BUCARAMANGA"/>
    <x v="5"/>
    <x v="6"/>
    <n v="68001"/>
    <s v="TA-25-899494"/>
    <n v="73960"/>
    <s v="ORDEN DE CAMBIO"/>
    <s v="SANTANDER"/>
    <s v="BUCARAMANGA"/>
    <s v="PTM BUCARAMANGA DROGUERIA FARM"/>
    <s v="REDEBAN"/>
    <s v="FO-25-1297565"/>
    <d v="2025-07-29T08:00:00"/>
    <d v="2025-07-29T12:02:17"/>
    <m/>
    <s v="CIERRE"/>
    <s v="RECUPERACION DE EQUIPOS"/>
    <s v="AGREGADOR"/>
    <s v="COMCARD - PTM"/>
    <s v="NO_EXITOSO"/>
    <s v="CB NO ENTREGA EQUIPO"/>
    <s v="29-07-2025 SE HACE PRESENCIA EN COMERCIO PERSONA QUE ATIENDE LA VISITA INFORMA QUE ELLOS NL TIENEN CONOCIMIENTO DE DICHOS EQUIPOS QUE ESO TOCA CON EL SEÑOR ROBERTO SE LLAMA A NÚMERO DE CONTACTO RELACIONADO EN MA ORDEN NO SE OBTIENE RESPUESTA SE ESCRIBE AL WHATSAPP SIN RESPUESTA SE HABLA CON LA ESPOSA DEL SEÑOR ROBERTO QUIEN INFORMA QUE SE ENCUENTRA FUERA DE LA CIUDAD Y QUE NO RESPONDE LLAMADAS NI MENSAJES SE ME INFORMA QUE TAN PRONTO SE CONTACTE CON EL SEÑOR ROBERTO QUE LLAME A LA LÍNEA 018000953344 Y SOLICITE LA RECOLECCIÓN DE LOS EQUIPOS "/>
    <s v="VISITA_TÉCNICA"/>
    <s v="MN0SZ974"/>
    <s v="TIPO I"/>
    <s v="TERRESTRE"/>
    <s v="ORTEBARRERAGA MARLON STWAR"/>
    <n v="1"/>
    <n v="44559.563999999998"/>
    <n v="44559.563999999998"/>
  </r>
  <r>
    <s v="MEDELLIN"/>
    <x v="4"/>
    <x v="5"/>
    <n v="27361"/>
    <s v="TA-25-890141"/>
    <n v="60837"/>
    <s v="ORDEN DE CAMBIO"/>
    <s v="CHOCO"/>
    <s v="ISTMINA"/>
    <s v="BARRIO BARRIO CUBIS MESETA ALT"/>
    <s v="REDEBAN"/>
    <s v="FO-25-1280578"/>
    <d v="2025-07-24T14:01:00"/>
    <d v="2025-07-29T14:51:15"/>
    <m/>
    <s v="CIERRE"/>
    <s v="CIERRE"/>
    <s v="CB UNO A UNO"/>
    <s v="CB UNO A UNO"/>
    <s v="NO_EXITOSO"/>
    <s v="CB NO ENTREGA EQUIPO"/>
    <s v="29-07-2025 SE LLEGA SITIO,COMERCI9 COMENTA QUE NO PIEDE E TRGAR EQUUPOS SE CONTACTA CON EL EDUARD ALONSO MURILLOAL NÚMERO 3145633060 Y COMENTA AUE NO PERMITE LA ENTREGADE LOS EQUIPOS PORQUE NO HA REALIZADO LA COMPENSACIÓN "/>
    <s v="VISITA_TÉCNICA"/>
    <s v="FUA0G721"/>
    <s v="TIPO IV ESPECIAL"/>
    <s v="AEREO"/>
    <s v="ROBLEDO DIAZ ANDRES FELIPE"/>
    <n v="1"/>
    <n v="464809.36800000002"/>
    <n v="464809.36800000002"/>
  </r>
  <r>
    <s v="IBAGUE"/>
    <x v="3"/>
    <x v="3"/>
    <n v="73001"/>
    <s v="TA-25-884664"/>
    <n v="63213"/>
    <s v="ORDEN DE CAMBIO"/>
    <s v="TOLIMA"/>
    <s v="IBAGUE"/>
    <s v="PTM IBAGUE DISTRIBUIDORA AYV"/>
    <s v="REDEBAN"/>
    <s v="FO-25-1270637"/>
    <d v="2025-07-23T08:00:00"/>
    <d v="2025-07-29T15:27:01"/>
    <m/>
    <s v="CIERRE"/>
    <s v="RECUPERACION DE EQUIPOS"/>
    <s v="AGREGADOR"/>
    <s v="COMCARD - PTM"/>
    <s v="ILOCALIZADO"/>
    <s v="CB CERRADO - DESOCUPADO"/>
    <s v="29-07-2025 SE LLEGA AL SITIO PARA REALIZAR CIERRE, PERO EL COMERCIO SE ENCUENTRA CERRADO; SE COMUNICA AL NÚMERO 3166821177 SIN NINGÚN RESULTADO."/>
    <s v="VISITA_TÉCNICA"/>
    <s v="NONE"/>
    <s v="TIPO I"/>
    <s v="TERRESTRE"/>
    <s v="BARRAGAN TAFUR EDWIN ESTEBAN"/>
    <n v="1"/>
    <n v="44559.563999999998"/>
    <n v="44559.563999999998"/>
  </r>
  <r>
    <s v="CUCUTA"/>
    <x v="5"/>
    <x v="6"/>
    <n v="54001"/>
    <s v="TA-25-888989"/>
    <n v="66187"/>
    <s v="ORDEN DE CAMBIO"/>
    <s v="NORTE DE SANTANDER"/>
    <s v="CUCUTA"/>
    <s v="PTM CUCUTA PUBLICIDAD Y PAPE"/>
    <s v="REDEBAN"/>
    <s v="FO-25-1278471"/>
    <d v="2025-07-24T08:00:00"/>
    <d v="2025-07-30T08:36:39"/>
    <m/>
    <s v="CIERRE"/>
    <s v="RECUPERACION DE EQUIPOS"/>
    <s v="AGREGADOR"/>
    <s v="COMCARD - PTM"/>
    <s v="ILOCALIZADO"/>
    <s v="CB CERRADO - DESOCUPADO"/>
    <s v="30-07-2025 SE VISITA PUNTO YA QUE USUARIO NO CONTESTA PATA CONFIMAR VISITA Y DIRECCION EN DIRECCIÓN NO ABRE NADIE."/>
    <s v="VISITA_TÉCNICA"/>
    <n v="0"/>
    <s v="TIPO I"/>
    <s v="TERRESTRE"/>
    <s v="DIAZ ZABALA FRANCIS DUBAN"/>
    <n v="1"/>
    <n v="44559.563999999998"/>
    <n v="44559.563999999998"/>
  </r>
  <r>
    <s v="PASTO"/>
    <x v="1"/>
    <x v="1"/>
    <n v="86573"/>
    <s v="TA-25-872211"/>
    <n v="52584"/>
    <s v="ORDEN DE CAMBIO"/>
    <s v="PUTUMAYO"/>
    <s v="LEGUIZAMO"/>
    <s v="BARRIO MECAYA PUERTO LEGUIZAMO"/>
    <s v="REDEBAN"/>
    <s v="FO-25-1254075"/>
    <d v="2025-07-18T15:19:00"/>
    <d v="2025-07-30T08:43:00"/>
    <m/>
    <s v="CIERRE"/>
    <s v="CIERRE"/>
    <s v="CB UNO A UNO"/>
    <s v="CB UNO A UNO"/>
    <s v="NO_EXITOSO"/>
    <s v="CB NO ENTREGA EQUIPO"/>
    <s v="29-07-2025 SE REALIZA EN VARIAS OCASIONES LA GESTIÓN TELEFÓNICA CON EL CLIENTE YA QUE NO SE PUEDE INGRESAR A ESA ZONA POR ORDEN PÚBLICO DE GRUPOS ARMADOS ALMARGEN DE LA LEY, EL SEÑOR VLADIMIR POR WHATSAPP MANIFIESTO QUE ENVIARIA LOS EQUIPOS A FLORENCIA PERO HASTA EL MOLENTO NO A SALIDO POSIBLE QUE EL ENVÍO DE LOS EQUIPOS A FLORENCIA, SE LE ESCRIBE AL SEÑOR Y SE LLAMA Y YA NO RESPONDE NINGÚN MENSAJE NI LLAMADAS, SE CIERRA LA OT PORQUE NO HAY RESPUESTA DEL CLIENTE "/>
    <s v="SOPORTE_TELEFÓNICO"/>
    <n v="0"/>
    <s v="TIPO IV"/>
    <s v="AEREO"/>
    <s v="BERMUDEZ SANCHEZ JOSE NEYBER"/>
    <n v="0"/>
    <n v="37904.612000000001"/>
    <n v="37904.612000000001"/>
  </r>
  <r>
    <s v="MONTERIA"/>
    <x v="2"/>
    <x v="2"/>
    <n v="23555"/>
    <s v="TA-25-899475"/>
    <n v="54778"/>
    <s v="ORDEN DE CAMBIO"/>
    <s v="CORDOBA"/>
    <s v="PLANETA RICA"/>
    <s v="DISTRICOL DROGUERIA SAN REMO"/>
    <s v="REDEBAN"/>
    <s v="FO-25-1297510"/>
    <d v="2025-07-29T08:00:00"/>
    <d v="2025-07-30T08:58:00"/>
    <m/>
    <s v="CIERRE"/>
    <s v="CIERRE"/>
    <s v="AGREGADOR"/>
    <s v="DISTRICOL"/>
    <s v="NO_EXITOSO"/>
    <s v="CB NO ENTREGA EQUIPO"/>
    <s v="29-07-2025 SE REALIZA VISITA TÉCNICA AL PUNTO PARA CIERRE DE CORRESPONSAL, CLIENTE INFORMA QUE LOS EQUIPOS, DATAFONO CON PLACA 1142704, PINPAD DESK 1500 PLACA 848046, HUB Y LECTOR DE DE BARRAS PLACA 805290 FUERON ENVIADOS A LA OFICINA DEL ALIADO DISTRICOL POR LA TRANSPORTADORA ENVÍA CON NÚMERO DE GUÍA 867000224180, DIRECCIÓN CR 30 8B 25 IN 904 MEDELLIN"/>
    <s v="VISITA_TÉCNICA"/>
    <n v="0"/>
    <s v="TIPO II"/>
    <s v="TERRESTRE"/>
    <s v="GONZALEZ FERRER JESUS ALEXANDER"/>
    <n v="1"/>
    <n v="134410.88400000002"/>
    <n v="134410.88400000002"/>
  </r>
  <r>
    <s v="MEDELLIN"/>
    <x v="4"/>
    <x v="5"/>
    <n v="5001"/>
    <s v="TA-25-899481"/>
    <n v="32236"/>
    <s v="ORDEN DE CAMBIO"/>
    <s v="ANTIOQUIA"/>
    <s v="MEDELLIN"/>
    <s v="COMCARD MED PIEDRANET 2"/>
    <s v="REDEBAN"/>
    <s v="FO-25-1297532"/>
    <d v="2025-07-29T08:00:00"/>
    <d v="2025-07-30T09:02:00"/>
    <m/>
    <s v="CIERRE"/>
    <s v="RECUPERACION DE EQUIPOS"/>
    <s v="AGREGADOR"/>
    <s v="COMCARD - PTM"/>
    <s v="ILOCALIZADO"/>
    <s v="CB CERRADO - DESOCUPADO"/>
    <s v="29-07-2025 SE LLEGA PUNTO Y COMERCIO NO EXISTE, SE LLAMA A CLIENTE, SE ESCRIBE POR WHATSAPP Y NO ES POSIBLE COMUNICARSE"/>
    <s v="VISITA_TÉCNICA"/>
    <n v="0"/>
    <s v="TIPO I"/>
    <s v="TERRESTRE"/>
    <s v="BADEL ACUÑA LUIS ALBERTO"/>
    <n v="1"/>
    <n v="44559.563999999998"/>
    <n v="44559.563999999998"/>
  </r>
  <r>
    <s v="MONTERIA"/>
    <x v="2"/>
    <x v="2"/>
    <n v="23001"/>
    <s v="TA-25-899486"/>
    <n v="76641"/>
    <s v="ORDEN DE CAMBIO"/>
    <s v="CORDOBA"/>
    <s v="MONTERIA"/>
    <s v="PTM MONTERIA INVERSIONES DO CA"/>
    <s v="REDEBAN"/>
    <s v="FO-25-1297547"/>
    <d v="2025-07-29T08:00:00"/>
    <d v="2025-07-30T09:05:00"/>
    <m/>
    <s v="CIERRE"/>
    <s v="RECUPERACION DE EQUIPOS"/>
    <s v="AGREGADOR"/>
    <s v="COMCARD - PTM"/>
    <s v="NO_EXITOSO"/>
    <s v="CB NO ENTREGA EQUIPO"/>
    <s v="29-07-2025 SE VISITA SITIO, LOCAL SE ENCUENTRA CERRADO, SE LLAMA AL CB QUIEN INDICA QUE NO SE ENCUENTRA EN LA CIUDAD PARA ENTREGA DE EQUIPOS. SE CIERRA ORDEN COMO VISTA FALLIDA"/>
    <s v="VISITA_TÉCNICA"/>
    <n v="0"/>
    <s v="TIPO I"/>
    <s v="TERRESTRE"/>
    <s v="COGOLLO VERTEL EDER LUIS"/>
    <n v="1"/>
    <n v="44559.563999999998"/>
    <n v="44559.563999999998"/>
  </r>
  <r>
    <s v="CALI"/>
    <x v="1"/>
    <x v="1"/>
    <n v="76001"/>
    <s v="TA-25-899505"/>
    <n v="65166"/>
    <s v="ORDEN DE CAMBIO"/>
    <s v="VALLE DEL CAUCA"/>
    <s v="CALI"/>
    <s v="PTM CALI NARU STORE"/>
    <s v="REDEBAN"/>
    <s v="FO-25-1297596"/>
    <d v="2025-07-29T08:00:00"/>
    <d v="2025-07-30T09:20:43"/>
    <m/>
    <s v="CIERRE"/>
    <s v="RECUPERACION DE EQUIPOS"/>
    <s v="AGREGADOR"/>
    <s v="COMCARD - PTM"/>
    <s v="ILOCALIZADO"/>
    <s v="CB CERRADO - DESOCUPADO"/>
    <s v="30-07-2025 SE LLEGA A SITIO Y WE ENCUENTRA EL LOCAL CERRADO, SE INTENTA COMUNICACIÓN Y NO ES POSIBLE._x000a_SE PREGUNTA A NEGOCIOS LOCALES Y MANIFIESTAN QUE HACE TIEMPO NO ABREN EL COMERCIO EN CUESTIÓN."/>
    <s v="VISITA_TÉCNICA"/>
    <n v="0"/>
    <s v="TIPO I"/>
    <s v="TERRESTRE"/>
    <s v="TORRES GARCIA JENDRY JOSE"/>
    <n v="1"/>
    <n v="44559.563999999998"/>
    <n v="44559.563999999998"/>
  </r>
  <r>
    <s v="BOGOTA"/>
    <x v="0"/>
    <x v="0"/>
    <n v="11001"/>
    <s v="TA-25-890149"/>
    <n v="25734"/>
    <s v="ORDEN DE CAMBIO"/>
    <s v="CUNDINAMARCA"/>
    <s v="BOGOTA"/>
    <s v="BARRIO SUBA 2 BOGOTA"/>
    <s v="REDEBAN"/>
    <s v="FO-25-1296212"/>
    <d v="2025-07-24T14:01:00"/>
    <d v="2025-07-30T12:23:56"/>
    <m/>
    <s v="CIERRE"/>
    <s v="CIERRE"/>
    <s v="CB UNO A UNO"/>
    <s v="CB UNO A UNO"/>
    <s v="ILOCALIZADO"/>
    <s v="CB CERRADO - DESOCUPADO"/>
    <s v="30-07-2025 SE LLEGA A DIRECCIÓN EN LA CUAL YA NO SE ENCUENTRA EL CB SE REALIZA CONTACTO TELEFÓNICO A NÚMERO REGISTRADO 3152244492 EN EL CUAL NO SE TIENE REPUSTA DE DONDE ESTÁN LOS DATÁFONOS"/>
    <s v="VISITA_TÉCNICA"/>
    <n v="0"/>
    <s v="TIPO I"/>
    <s v="TERRESTRE"/>
    <s v="ORTIZ MARTINEZ STIVEN"/>
    <n v="2"/>
    <n v="44559.563999999998"/>
    <n v="89119.127999999997"/>
  </r>
  <r>
    <s v="CALI"/>
    <x v="1"/>
    <x v="1"/>
    <n v="76834"/>
    <s v="TA-25-889056"/>
    <n v="61527"/>
    <s v="ORDEN DE CAMBIO"/>
    <s v="VALLE DEL CAUCA"/>
    <s v="TULUA"/>
    <s v="BARRIO SENDEROS DE VILLA LILIA"/>
    <s v="REDEBAN"/>
    <s v="FO-25-1278525"/>
    <d v="2025-07-24T08:00:00"/>
    <d v="2025-07-31T09:01:00"/>
    <m/>
    <s v="CIERRE"/>
    <s v="RECUPERACION DE EQUIPOS"/>
    <s v="CB UNO A UNO"/>
    <s v="CB UNO A UNO"/>
    <s v="NO_EXITOSO"/>
    <s v="AGENDADO"/>
    <s v="30-07-2025 SE LLAMA AL NÚMERO DE CONTACTO E INFORMAN QUE LA PERSONA ENCARGADA DEL CORRESPONSAL NO SE ENCUENTRA EN LA CIUDAD Y SE DEBE PROGRAMAR CUANDO ELLA ESTÉ EN LA CIUDAD. PIDEN COMUNICAR NUEVAMENTE LA PRÓXIMA SEMANA PARA PROGRAMAR VISITA."/>
    <s v="SOPORTE_TELEFÓNICO"/>
    <n v="0"/>
    <s v="TIPO II"/>
    <s v="TERRESTRE"/>
    <s v="BOLAÑOS TABORDA JORGE ENRIQUE"/>
    <n v="0"/>
    <n v="37904.612000000001"/>
    <n v="37904.612000000001"/>
  </r>
  <r>
    <s v="BOGOTA"/>
    <x v="0"/>
    <x v="0"/>
    <n v="11001"/>
    <s v="TA-25-899546"/>
    <n v="70015"/>
    <s v="ORDEN DE CAMBIO"/>
    <s v="CUNDINAMARCA"/>
    <s v="BOGOTA"/>
    <s v="PTM BOGOTA  DROGUERIA ELECTRA"/>
    <s v="REDEBAN"/>
    <s v="FO-25-1297607"/>
    <d v="2025-07-29T08:00:00"/>
    <d v="2025-07-31T10:36:00"/>
    <m/>
    <s v="CIERRE"/>
    <s v="RECUPERACION DE EQUIPOS"/>
    <s v="AGREGADOR"/>
    <s v="COMCARD - PTM"/>
    <s v="ILOCALIZADO"/>
    <s v="CB CERRADO - DESOCUPADO"/>
    <s v="30-07-2025 SE LLEGA A COMERCIO EL CUAL SE ENCUENTRA CERRADO SE REALIZA INTENTOS DE COMUNICACIÓN CON CLIENTE A NÚMERO REGISTRADO 3045406688  NADIE CONTESTA "/>
    <s v="VISITA_TÉCNICA"/>
    <n v="0"/>
    <s v="TIPO I"/>
    <s v="TERRESTRE"/>
    <s v="ORTIZ MARTINEZ STIVEN"/>
    <n v="1"/>
    <n v="44559.563999999998"/>
    <n v="44559.563999999998"/>
  </r>
  <r>
    <s v="BOGOTA"/>
    <x v="0"/>
    <x v="0"/>
    <n v="11001"/>
    <s v="TA-25-899555"/>
    <n v="69187"/>
    <s v="ORDEN DE CAMBIO"/>
    <s v="CUNDINAMARCA"/>
    <s v="BOGOTA"/>
    <s v="BARRIO SANTA RITA BOGOTA 4"/>
    <s v="REDEBAN"/>
    <s v="FO-25-1297661"/>
    <d v="2025-07-29T08:00:00"/>
    <d v="2025-07-31T10:52:00"/>
    <m/>
    <s v="CIERRE"/>
    <s v="RECUPERACION DE EQUIPOS"/>
    <s v="CB UNO A UNO"/>
    <s v="CB UNO A UNO"/>
    <s v="ILOCALIZADO"/>
    <s v="CB CERRADO - DESOCUPADO"/>
    <s v="30-07-2025 SE REALIZA VISITA DE CAMPO EVIDENCIANDO QUÉ COMERCIO NO EXISTE EN DIRECCIÓN INDICADA EN RUTA SE INTENTA COMUNICACIÓN A  LA LÍNEA 3203042873 / 3015969596 NO HAY RESPUESTA, SE INFORMA A  SUPERVISOR QUIEN AUTORIZA CIERRE DE VISITA."/>
    <s v="VISITA_TÉCNICA"/>
    <n v="0"/>
    <s v="TIPO I"/>
    <s v="TERRESTRE"/>
    <s v="LOZADA ROJAS CHRISTIAN ANDRES"/>
    <n v="1"/>
    <n v="44559.563999999998"/>
    <n v="44559.563999999998"/>
  </r>
  <r>
    <s v="IBAGUE"/>
    <x v="3"/>
    <x v="3"/>
    <n v="73001"/>
    <s v="TA-25-906326"/>
    <n v="26012"/>
    <s v="ORDEN DE CAMBIO"/>
    <s v="TOLIMA"/>
    <s v="IBAGUE"/>
    <s v="BARRIO URB TOPACIO IBAGUE"/>
    <s v="REDEBAN"/>
    <s v="FO-25-1308278"/>
    <d v="2025-07-30T15:59:00"/>
    <d v="2025-07-31T11:05:04"/>
    <m/>
    <s v="CIERRE"/>
    <s v="CIERRE"/>
    <s v="CB UNO A UNO"/>
    <s v="CB UNO A UNO"/>
    <s v="ILOCALIZADO"/>
    <s v="CB CERRADO - DESOCUPADO"/>
    <s v="31-07-2025 SE VISITA COMERCIO PERO SE ENCUENTRA CERRADO, SE VÁLIDA CONTACTO TELEFÓNICO AL NÚMERO 3007082090 SIN NINGÚN RESULTADO. LOS VECINOS INDICAN QUE EL COMERCIO EXISTE."/>
    <s v="VISITA_TÉCNICA"/>
    <s v="NONE"/>
    <s v="TIPO I"/>
    <s v="TERRESTRE"/>
    <s v="BARRAGAN TAFUR EDWIN ESTEBAN"/>
    <n v="1"/>
    <n v="44559.563999999998"/>
    <n v="44559.563999999998"/>
  </r>
  <r>
    <s v="BOGOTA"/>
    <x v="0"/>
    <x v="0"/>
    <n v="11001"/>
    <s v="TA-25-903366"/>
    <n v="70798"/>
    <s v="ORDEN DE CAMBIO"/>
    <s v="CUNDINAMARCA"/>
    <s v="BOGOTA"/>
    <s v="BOGOTA RESTREPO"/>
    <s v="REDEBAN"/>
    <s v="FO-25-1303386"/>
    <d v="2025-07-30T08:00:00"/>
    <d v="2025-07-31T12:59:34"/>
    <m/>
    <s v="CIERRE"/>
    <s v="CIERRE"/>
    <s v="CB UNO A UNO"/>
    <s v="CB UNO A UNO"/>
    <s v="NO_EXITOSO"/>
    <s v="CB NO ENTREGA EQUIPO"/>
    <s v="31-07-2025 SE VISITA CB PARA  CIERRE DE PUNTO DONDE AL LLEGAR CLIENTE CONFIRMA QUE NO ENTREGA EQUIPOS YA QUE NO ESTÁN EN EL COMERCIO DEBIDO A QUE EL CLIENTE FUE A GENERAR LA COMPENSACIÓN CORRESPONDIENTE AL CB Y SOLICITAR LA REACTIVACIÓN DEL MISMO SE FINALIZA CIERRE SIN MÁS NOVEDAD "/>
    <s v="VISITA_TÉCNICA"/>
    <s v="NONE"/>
    <s v="TIPO I"/>
    <s v="TERRESTRE"/>
    <s v="ROMERO ROJAS BREIDY JHOHAN"/>
    <n v="1"/>
    <n v="44559.563999999998"/>
    <n v="44559.563999999998"/>
  </r>
  <r>
    <m/>
    <x v="6"/>
    <x v="7"/>
    <m/>
    <m/>
    <m/>
    <m/>
    <m/>
    <m/>
    <m/>
    <m/>
    <m/>
    <m/>
    <m/>
    <m/>
    <m/>
    <m/>
    <m/>
    <m/>
    <m/>
    <m/>
    <m/>
    <m/>
    <m/>
    <m/>
    <m/>
    <m/>
    <m/>
    <m/>
    <n v="16375994.819999965"/>
  </r>
  <r>
    <m/>
    <x v="6"/>
    <x v="7"/>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98F422-378D-4B3A-9EF3-E354DDA3582B}" name="TablaDinámica1" cacheId="120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D11" firstHeaderRow="0" firstDataRow="1" firstDataCol="2"/>
  <pivotFields count="30">
    <pivotField compact="0" outline="0" showAll="0"/>
    <pivotField axis="axisRow" compact="0" outline="0" showAll="0" defaultSubtotal="0">
      <items count="8">
        <item x="1"/>
        <item x="2"/>
        <item x="4"/>
        <item x="3"/>
        <item x="5"/>
        <item x="0"/>
        <item h="1" x="6"/>
        <item h="1" m="1" x="7"/>
      </items>
    </pivotField>
    <pivotField axis="axisRow" compact="0" outline="0" showAll="0">
      <items count="9">
        <item x="2"/>
        <item x="4"/>
        <item x="1"/>
        <item x="0"/>
        <item x="5"/>
        <item x="3"/>
        <item x="6"/>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 fld="29" showDataAs="percentOfTotal" baseField="0" baseItem="0" numFmtId="10"/>
    <dataField name="Suma de VALOR TOTAL2" fld="29" baseField="0" baseItem="0" numFmtId="168"/>
  </dataFields>
  <formats count="3">
    <format dxfId="1">
      <pivotArea outline="0" fieldPosition="0">
        <references count="1">
          <reference field="4294967294" count="1" selected="0">
            <x v="0"/>
          </reference>
        </references>
      </pivotArea>
    </format>
    <format dxfId="2">
      <pivotArea dataOnly="0" labelOnly="1" outline="0" fieldPosition="0">
        <references count="1">
          <reference field="4294967294" count="1">
            <x v="0"/>
          </reference>
        </references>
      </pivotArea>
    </format>
    <format dxfId="3">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tabSelected="1" workbookViewId="0">
      <selection sqref="A1:J10"/>
    </sheetView>
  </sheetViews>
  <sheetFormatPr defaultColWidth="11.42578125" defaultRowHeight="14.45"/>
  <cols>
    <col min="1" max="1" width="31" customWidth="1"/>
    <col min="4" max="4" width="13.7109375" bestFit="1" customWidth="1"/>
    <col min="5" max="5" width="4" customWidth="1"/>
    <col min="6" max="6" width="21.5703125" customWidth="1"/>
    <col min="7" max="7" width="30" customWidth="1"/>
    <col min="9" max="9" width="16.42578125" bestFit="1" customWidth="1"/>
    <col min="15" max="15" width="20.140625" customWidth="1"/>
  </cols>
  <sheetData>
    <row r="1" spans="1:10">
      <c r="A1" s="89" t="s">
        <v>0</v>
      </c>
      <c r="B1" s="89"/>
      <c r="C1" s="89"/>
      <c r="D1" s="89"/>
      <c r="F1" s="82" t="s">
        <v>1</v>
      </c>
      <c r="G1" s="83"/>
      <c r="H1" s="83"/>
      <c r="I1" s="83"/>
      <c r="J1" s="84"/>
    </row>
    <row r="2" spans="1:10">
      <c r="A2" s="89" t="s">
        <v>2</v>
      </c>
      <c r="B2" s="89"/>
      <c r="C2" s="89"/>
      <c r="D2" s="89"/>
      <c r="F2" s="85" t="str">
        <f>A3</f>
        <v>JULIO 2025</v>
      </c>
      <c r="G2" s="86"/>
      <c r="H2" s="86"/>
      <c r="I2" s="86"/>
      <c r="J2" s="87"/>
    </row>
    <row r="3" spans="1:10">
      <c r="A3" s="90" t="s">
        <v>3</v>
      </c>
      <c r="B3" s="90"/>
      <c r="C3" s="90"/>
      <c r="D3" s="90"/>
      <c r="F3" s="13"/>
      <c r="G3" s="13"/>
      <c r="H3" s="13"/>
      <c r="I3" s="14"/>
      <c r="J3" s="14"/>
    </row>
    <row r="4" spans="1:10">
      <c r="A4" s="9"/>
      <c r="B4" s="96"/>
      <c r="C4" s="97"/>
      <c r="D4" s="9"/>
      <c r="F4" s="24" t="s">
        <v>4</v>
      </c>
      <c r="G4" s="19" t="s">
        <v>5</v>
      </c>
      <c r="H4" s="19" t="s">
        <v>6</v>
      </c>
      <c r="I4" s="19" t="s">
        <v>7</v>
      </c>
      <c r="J4" s="20" t="s">
        <v>6</v>
      </c>
    </row>
    <row r="5" spans="1:10" ht="15">
      <c r="A5" s="18" t="s">
        <v>4</v>
      </c>
      <c r="B5" s="92" t="s">
        <v>8</v>
      </c>
      <c r="C5" s="94"/>
      <c r="D5" s="18" t="s">
        <v>6</v>
      </c>
      <c r="F5" s="49" t="s">
        <v>9</v>
      </c>
      <c r="G5" s="49" t="s">
        <v>10</v>
      </c>
      <c r="H5" s="15">
        <v>300000</v>
      </c>
      <c r="I5" s="16">
        <f>H5*0.12</f>
        <v>36000</v>
      </c>
      <c r="J5" s="16">
        <f>H5+I5</f>
        <v>336000</v>
      </c>
    </row>
    <row r="6" spans="1:10">
      <c r="A6" s="63" t="str">
        <f>CONCATENATE("CIERRES NO EXITOSOS ",A3)</f>
        <v>CIERRES NO EXITOSOS JULIO 2025</v>
      </c>
      <c r="B6" s="98">
        <f>COUNTA(CIERRES!A:A)-1</f>
        <v>162</v>
      </c>
      <c r="C6" s="99"/>
      <c r="D6" s="64">
        <f>CIERRES!AD164</f>
        <v>16375994.819999965</v>
      </c>
      <c r="F6" s="55"/>
      <c r="G6" s="55"/>
      <c r="H6" s="56"/>
      <c r="I6" s="57">
        <f>H6*0.12</f>
        <v>0</v>
      </c>
      <c r="J6" s="57">
        <f>H6+I6</f>
        <v>0</v>
      </c>
    </row>
    <row r="7" spans="1:10">
      <c r="A7" s="10" t="s">
        <v>11</v>
      </c>
      <c r="B7" s="88">
        <v>0</v>
      </c>
      <c r="C7" s="88"/>
      <c r="D7" s="11">
        <f>J10</f>
        <v>336000</v>
      </c>
      <c r="F7" s="23"/>
      <c r="G7" s="23"/>
      <c r="H7" s="52"/>
      <c r="I7" s="53">
        <f>H7*0.12</f>
        <v>0</v>
      </c>
      <c r="J7" s="53">
        <f>H7+I7</f>
        <v>0</v>
      </c>
    </row>
    <row r="8" spans="1:10">
      <c r="A8" s="95" t="s">
        <v>12</v>
      </c>
      <c r="B8" s="95"/>
      <c r="C8" s="95"/>
      <c r="D8" s="46">
        <f>SUM(D6:D7)</f>
        <v>16711994.819999965</v>
      </c>
      <c r="F8" s="23"/>
      <c r="G8" s="54"/>
      <c r="H8" s="52"/>
      <c r="I8" s="53"/>
      <c r="J8" s="53"/>
    </row>
    <row r="9" spans="1:10">
      <c r="A9" s="91" t="s">
        <v>13</v>
      </c>
      <c r="B9" s="91"/>
      <c r="C9" s="91"/>
      <c r="D9" s="12">
        <f>D8*0.19</f>
        <v>3175279.0157999932</v>
      </c>
      <c r="F9" s="23"/>
      <c r="G9" s="54"/>
      <c r="H9" s="52"/>
      <c r="I9" s="53"/>
      <c r="J9" s="53"/>
    </row>
    <row r="10" spans="1:10">
      <c r="A10" s="92" t="s">
        <v>6</v>
      </c>
      <c r="B10" s="93"/>
      <c r="C10" s="94"/>
      <c r="D10" s="21">
        <f>SUM(D8:D9)</f>
        <v>19887273.835799959</v>
      </c>
      <c r="F10" s="25" t="s">
        <v>6</v>
      </c>
      <c r="G10" s="58"/>
      <c r="H10" s="59">
        <f>SUM(H5:H7)</f>
        <v>300000</v>
      </c>
      <c r="I10" s="59">
        <f>SUM(I5:I7)</f>
        <v>36000</v>
      </c>
      <c r="J10" s="59">
        <f>SUM(J5:J7)</f>
        <v>336000</v>
      </c>
    </row>
  </sheetData>
  <mergeCells count="12">
    <mergeCell ref="A9:C9"/>
    <mergeCell ref="A10:C10"/>
    <mergeCell ref="A8:C8"/>
    <mergeCell ref="B4:C4"/>
    <mergeCell ref="B5:C5"/>
    <mergeCell ref="B6:C6"/>
    <mergeCell ref="F1:J1"/>
    <mergeCell ref="F2:J2"/>
    <mergeCell ref="B7:C7"/>
    <mergeCell ref="A1:D1"/>
    <mergeCell ref="A2:D2"/>
    <mergeCell ref="A3:D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selection activeCell="C22" sqref="C22"/>
    </sheetView>
  </sheetViews>
  <sheetFormatPr defaultColWidth="11.42578125" defaultRowHeight="14.45"/>
  <cols>
    <col min="1" max="1" width="15" bestFit="1" customWidth="1"/>
    <col min="2" max="2" width="22.7109375" bestFit="1" customWidth="1"/>
    <col min="3" max="3" width="42" customWidth="1"/>
    <col min="4" max="4" width="14.42578125" customWidth="1"/>
  </cols>
  <sheetData>
    <row r="1" spans="1:4">
      <c r="A1" s="100" t="s">
        <v>14</v>
      </c>
      <c r="B1" s="100"/>
      <c r="C1" s="100"/>
      <c r="D1" s="45" t="s">
        <v>15</v>
      </c>
    </row>
    <row r="2" spans="1:4">
      <c r="A2" s="1" t="s">
        <v>16</v>
      </c>
      <c r="B2" s="1" t="s">
        <v>17</v>
      </c>
      <c r="C2" s="44" t="s">
        <v>18</v>
      </c>
      <c r="D2" s="43">
        <v>5.1999999999999998E-2</v>
      </c>
    </row>
    <row r="3" spans="1:4">
      <c r="A3" s="2" t="s">
        <v>19</v>
      </c>
      <c r="B3" s="2" t="s">
        <v>20</v>
      </c>
      <c r="C3" s="47">
        <f>42357*(1+$D$2)</f>
        <v>44559.563999999998</v>
      </c>
      <c r="D3" s="42"/>
    </row>
    <row r="4" spans="1:4">
      <c r="A4" s="2" t="s">
        <v>21</v>
      </c>
      <c r="B4" s="2" t="s">
        <v>22</v>
      </c>
      <c r="C4" s="47">
        <f>127767*(1+$D$2)</f>
        <v>134410.88400000002</v>
      </c>
      <c r="D4" s="42"/>
    </row>
    <row r="5" spans="1:4">
      <c r="A5" s="2" t="s">
        <v>23</v>
      </c>
      <c r="B5" s="2" t="s">
        <v>24</v>
      </c>
      <c r="C5" s="47">
        <f>211886*(1+$D$2)</f>
        <v>222904.07200000001</v>
      </c>
      <c r="D5" s="42"/>
    </row>
    <row r="6" spans="1:4">
      <c r="A6" s="2" t="s">
        <v>25</v>
      </c>
      <c r="B6" s="2" t="s">
        <v>26</v>
      </c>
      <c r="C6" s="47">
        <f>441834*(1+$D$2)</f>
        <v>464809.36800000002</v>
      </c>
      <c r="D6" s="42"/>
    </row>
    <row r="7" spans="1:4" ht="24.75" customHeight="1">
      <c r="A7" s="2" t="s">
        <v>27</v>
      </c>
      <c r="B7" s="2" t="s">
        <v>28</v>
      </c>
      <c r="C7" s="3" t="s">
        <v>29</v>
      </c>
      <c r="D7" s="42"/>
    </row>
    <row r="8" spans="1:4">
      <c r="A8" s="4"/>
      <c r="B8" s="5"/>
      <c r="C8" s="6"/>
    </row>
    <row r="9" spans="1:4">
      <c r="A9" s="7" t="s">
        <v>30</v>
      </c>
      <c r="B9" s="48">
        <f>36031*(1+$D$2)</f>
        <v>37904.612000000001</v>
      </c>
      <c r="C9" s="8"/>
    </row>
  </sheetData>
  <mergeCells count="1">
    <mergeCell ref="A1:C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D87C1-98F8-4E35-87EF-7DADBAA268DD}">
  <dimension ref="A3:E11"/>
  <sheetViews>
    <sheetView workbookViewId="0">
      <selection activeCell="D28" sqref="D28"/>
    </sheetView>
  </sheetViews>
  <sheetFormatPr defaultColWidth="8.85546875" defaultRowHeight="14.45"/>
  <cols>
    <col min="1" max="1" width="32.85546875" bestFit="1" customWidth="1"/>
    <col min="2" max="2" width="30.140625" bestFit="1" customWidth="1"/>
    <col min="3" max="3" width="8" style="39" bestFit="1" customWidth="1"/>
    <col min="4" max="4" width="21.7109375" bestFit="1" customWidth="1"/>
  </cols>
  <sheetData>
    <row r="3" spans="1:5">
      <c r="A3" s="38" t="s">
        <v>31</v>
      </c>
      <c r="B3" s="38" t="s">
        <v>32</v>
      </c>
      <c r="C3" s="39" t="s">
        <v>33</v>
      </c>
      <c r="D3" t="s">
        <v>34</v>
      </c>
      <c r="E3" t="s">
        <v>35</v>
      </c>
    </row>
    <row r="4" spans="1:5">
      <c r="A4" t="s">
        <v>36</v>
      </c>
      <c r="B4" t="s">
        <v>37</v>
      </c>
      <c r="C4" s="40">
        <v>2.0593793031011724E-2</v>
      </c>
      <c r="D4" s="41">
        <v>337243.848</v>
      </c>
      <c r="E4" t="str">
        <f>VLOOKUP(B4,'CENTRO DE COSTOS'!B:C,2,0)</f>
        <v>Redeban Eje Cafetero (Pereira)</v>
      </c>
    </row>
    <row r="5" spans="1:5">
      <c r="B5" t="s">
        <v>38</v>
      </c>
      <c r="C5" s="40">
        <v>0.12905852201533613</v>
      </c>
      <c r="D5" s="41">
        <v>2113461.6880000001</v>
      </c>
      <c r="E5" t="str">
        <f>VLOOKUP(B5,'CENTRO DE COSTOS'!B:C,2,0)</f>
        <v>Redeban Suroccidente (Cali)</v>
      </c>
    </row>
    <row r="6" spans="1:5">
      <c r="A6" t="s">
        <v>39</v>
      </c>
      <c r="B6" t="s">
        <v>40</v>
      </c>
      <c r="C6" s="40">
        <v>0.11050911458458806</v>
      </c>
      <c r="D6" s="41">
        <v>1809696.6880000003</v>
      </c>
      <c r="E6" t="str">
        <f>VLOOKUP(B6,'CENTRO DE COSTOS'!B:C,2,0)</f>
        <v>Redeban Costa (Barranqullla)</v>
      </c>
    </row>
    <row r="7" spans="1:5">
      <c r="A7" t="s">
        <v>41</v>
      </c>
      <c r="B7" t="s">
        <v>42</v>
      </c>
      <c r="C7" s="40">
        <v>0.2427354578266776</v>
      </c>
      <c r="D7" s="41">
        <v>3975034.6</v>
      </c>
      <c r="E7" t="str">
        <f>VLOOKUP(B7,'CENTRO DE COSTOS'!B:C,2,0)</f>
        <v>Redeban Noroccidente (Medellín)</v>
      </c>
    </row>
    <row r="8" spans="1:5">
      <c r="A8" t="s">
        <v>43</v>
      </c>
      <c r="B8" t="s">
        <v>44</v>
      </c>
      <c r="C8" s="40">
        <v>0.22036304161459175</v>
      </c>
      <c r="D8" s="41">
        <v>3608664.0279999981</v>
      </c>
      <c r="E8" t="str">
        <f>VLOOKUP(B8,'CENTRO DE COSTOS'!B:C,2,0)</f>
        <v>Redeban Oriente (Otros)</v>
      </c>
    </row>
    <row r="9" spans="1:5">
      <c r="A9" t="s">
        <v>45</v>
      </c>
      <c r="B9" t="s">
        <v>46</v>
      </c>
      <c r="C9" s="40">
        <v>8.5136929959043581E-2</v>
      </c>
      <c r="D9" s="41">
        <v>1394201.9240000001</v>
      </c>
      <c r="E9" t="str">
        <f>VLOOKUP(B9,'CENTRO DE COSTOS'!B:C,2,0)</f>
        <v>Redeban Santander</v>
      </c>
    </row>
    <row r="10" spans="1:5">
      <c r="A10" t="s">
        <v>47</v>
      </c>
      <c r="B10" t="s">
        <v>48</v>
      </c>
      <c r="C10" s="40">
        <v>0.19160314096875117</v>
      </c>
      <c r="D10" s="41">
        <v>3137692.0439999984</v>
      </c>
      <c r="E10" t="str">
        <f>VLOOKUP(B10,'CENTRO DE COSTOS'!B:C,2,0)</f>
        <v>Redeban Centro ( Bogotá)</v>
      </c>
    </row>
    <row r="11" spans="1:5">
      <c r="A11" t="s">
        <v>49</v>
      </c>
      <c r="C11" s="40">
        <v>1</v>
      </c>
      <c r="D11" s="41">
        <v>16375994.819999997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1:AD164"/>
  <sheetViews>
    <sheetView topLeftCell="L1" zoomScaleNormal="100" workbookViewId="0">
      <pane ySplit="1" topLeftCell="A2" activePane="bottomLeft" state="frozen"/>
      <selection pane="bottomLeft" activeCell="Q25" sqref="Q25"/>
    </sheetView>
  </sheetViews>
  <sheetFormatPr defaultColWidth="11.42578125" defaultRowHeight="14.45"/>
  <cols>
    <col min="1" max="1" width="15.42578125" style="66" bestFit="1" customWidth="1"/>
    <col min="2" max="3" width="13.140625" style="66" customWidth="1"/>
    <col min="4" max="4" width="11.85546875" style="66" customWidth="1"/>
    <col min="5" max="5" width="11.42578125" style="66" customWidth="1"/>
    <col min="6" max="6" width="11.5703125" style="66" bestFit="1" customWidth="1"/>
    <col min="7" max="7" width="11.42578125" style="66" customWidth="1"/>
    <col min="8" max="8" width="17.42578125" style="66" bestFit="1" customWidth="1"/>
    <col min="9" max="9" width="12.42578125" style="66" bestFit="1" customWidth="1"/>
    <col min="10" max="10" width="32" style="66" bestFit="1" customWidth="1"/>
    <col min="11" max="11" width="11.42578125" style="66"/>
    <col min="12" max="12" width="11.42578125" style="66" customWidth="1"/>
    <col min="13" max="14" width="17.28515625" style="66" customWidth="1"/>
    <col min="16" max="19" width="11.42578125" style="66"/>
    <col min="20" max="21" width="16.28515625" style="66" customWidth="1"/>
    <col min="22" max="22" width="11.5703125" style="66" bestFit="1" customWidth="1"/>
    <col min="23" max="23" width="12" style="66" bestFit="1" customWidth="1"/>
    <col min="24" max="24" width="11.5703125" style="66" bestFit="1" customWidth="1"/>
    <col min="25" max="25" width="12.85546875" style="66" bestFit="1" customWidth="1"/>
    <col min="26" max="26" width="11.42578125" style="67"/>
    <col min="27" max="27" width="28.140625" style="66" bestFit="1" customWidth="1"/>
    <col min="28" max="29" width="11.5703125" style="66" bestFit="1" customWidth="1"/>
    <col min="30" max="30" width="12.28515625" style="66" bestFit="1" customWidth="1"/>
    <col min="31" max="16384" width="11.42578125" style="66"/>
  </cols>
  <sheetData>
    <row r="1" spans="1:30" s="62" customFormat="1" ht="30.75" customHeight="1">
      <c r="A1" s="68" t="s">
        <v>50</v>
      </c>
      <c r="B1" s="68" t="s">
        <v>31</v>
      </c>
      <c r="C1" s="68" t="s">
        <v>32</v>
      </c>
      <c r="D1" s="68" t="s">
        <v>51</v>
      </c>
      <c r="E1" s="68" t="s">
        <v>52</v>
      </c>
      <c r="F1" s="68" t="s">
        <v>53</v>
      </c>
      <c r="G1" s="69" t="s">
        <v>54</v>
      </c>
      <c r="H1" s="68" t="s">
        <v>55</v>
      </c>
      <c r="I1" s="68" t="s">
        <v>56</v>
      </c>
      <c r="J1" s="68" t="s">
        <v>57</v>
      </c>
      <c r="K1" s="68" t="s">
        <v>58</v>
      </c>
      <c r="L1" s="68" t="s">
        <v>59</v>
      </c>
      <c r="M1" s="68" t="s">
        <v>60</v>
      </c>
      <c r="N1" s="68" t="s">
        <v>61</v>
      </c>
      <c r="O1" s="70" t="s">
        <v>62</v>
      </c>
      <c r="P1" s="68" t="s">
        <v>63</v>
      </c>
      <c r="Q1" s="68" t="s">
        <v>64</v>
      </c>
      <c r="R1" s="71" t="s">
        <v>65</v>
      </c>
      <c r="S1" s="71" t="s">
        <v>66</v>
      </c>
      <c r="T1" s="72" t="s">
        <v>67</v>
      </c>
      <c r="U1" s="68" t="s">
        <v>68</v>
      </c>
      <c r="V1" s="68" t="s">
        <v>69</v>
      </c>
      <c r="W1" s="68" t="s">
        <v>70</v>
      </c>
      <c r="X1" s="68" t="s">
        <v>71</v>
      </c>
      <c r="Y1" s="68" t="s">
        <v>72</v>
      </c>
      <c r="Z1" s="68" t="s">
        <v>73</v>
      </c>
      <c r="AA1" s="72" t="s">
        <v>74</v>
      </c>
      <c r="AB1" s="68" t="s">
        <v>75</v>
      </c>
      <c r="AC1" s="61" t="s">
        <v>76</v>
      </c>
      <c r="AD1" s="61" t="s">
        <v>77</v>
      </c>
    </row>
    <row r="2" spans="1:30" s="81" customFormat="1" ht="13.15">
      <c r="A2" s="73" t="s">
        <v>78</v>
      </c>
      <c r="B2" s="50" t="str">
        <f>VLOOKUP(A2,'CENTRO DE COSTOS'!A:D,4,FALSE)</f>
        <v>WILLIAM ASDRUBAL ROZO ROZO</v>
      </c>
      <c r="C2" s="50" t="str">
        <f>VLOOKUP(A2,'CENTRO DE COSTOS'!A:C,2,FALSE)</f>
        <v>0004-0004</v>
      </c>
      <c r="D2" s="74">
        <v>25736</v>
      </c>
      <c r="E2" s="74" t="s">
        <v>79</v>
      </c>
      <c r="F2" s="73">
        <v>68733</v>
      </c>
      <c r="G2" s="74" t="s">
        <v>80</v>
      </c>
      <c r="H2" s="73" t="s">
        <v>81</v>
      </c>
      <c r="I2" s="73" t="s">
        <v>82</v>
      </c>
      <c r="J2" s="73" t="s">
        <v>83</v>
      </c>
      <c r="K2" s="74" t="s">
        <v>84</v>
      </c>
      <c r="L2" s="75" t="s">
        <v>85</v>
      </c>
      <c r="M2" s="75">
        <v>45836.333333333336</v>
      </c>
      <c r="N2" s="76">
        <v>45839.467013888891</v>
      </c>
      <c r="O2" s="10"/>
      <c r="P2" s="77" t="s">
        <v>86</v>
      </c>
      <c r="Q2" s="74" t="s">
        <v>87</v>
      </c>
      <c r="R2" s="78" t="s">
        <v>88</v>
      </c>
      <c r="S2" s="73" t="s">
        <v>88</v>
      </c>
      <c r="T2" s="79" t="s">
        <v>89</v>
      </c>
      <c r="U2" s="79" t="s">
        <v>90</v>
      </c>
      <c r="V2" s="78" t="s">
        <v>91</v>
      </c>
      <c r="W2" s="74" t="s">
        <v>92</v>
      </c>
      <c r="X2" s="60">
        <v>0</v>
      </c>
      <c r="Y2" s="80" t="s">
        <v>93</v>
      </c>
      <c r="Z2" s="80" t="s">
        <v>94</v>
      </c>
      <c r="AA2" s="74" t="s">
        <v>95</v>
      </c>
      <c r="AB2" s="74">
        <v>1</v>
      </c>
      <c r="AC2" s="51">
        <f>IF(AND(W2="SOPORTE_TELEFÓNICO",OR(U2="SIN CONTACTO CON EL CB",U2="NÚMEROS DE CONTACTO ERRADOS")),0,IF(W2="SOPORTE_TELEFÓNICO",'BASE DE LIQUIDACION 2025'!$B$9,IF(Y2="TIPO I",'BASE DE LIQUIDACION 2025'!$C$3,IF(Y2="TIPO II",'BASE DE LIQUIDACION 2025'!$C$4,IF(Y2="TIPO III",'BASE DE LIQUIDACION 2025'!$C$5,'BASE DE LIQUIDACION 2025'!$C$6)))))</f>
        <v>134410.88400000002</v>
      </c>
      <c r="AD2" s="51">
        <f>IF(W2="SOPORTE_TELEFÓNICO",AC2,CIERRES!AB2*CIERRES!AC2)</f>
        <v>134410.88400000002</v>
      </c>
    </row>
    <row r="3" spans="1:30" s="81" customFormat="1" ht="13.15">
      <c r="A3" s="73" t="s">
        <v>96</v>
      </c>
      <c r="B3" s="50" t="str">
        <f>VLOOKUP(A3,'CENTRO DE COSTOS'!A:D,4,FALSE)</f>
        <v>DIEGO FERNANDO HENAO CARDONA</v>
      </c>
      <c r="C3" s="50" t="str">
        <f>VLOOKUP(A3,'CENTRO DE COSTOS'!A:C,2,FALSE)</f>
        <v>0004-0003</v>
      </c>
      <c r="D3" s="74">
        <v>52001</v>
      </c>
      <c r="E3" s="74" t="s">
        <v>97</v>
      </c>
      <c r="F3" s="73">
        <v>76203</v>
      </c>
      <c r="G3" s="74" t="s">
        <v>80</v>
      </c>
      <c r="H3" s="73" t="s">
        <v>98</v>
      </c>
      <c r="I3" s="73" t="s">
        <v>96</v>
      </c>
      <c r="J3" s="73" t="s">
        <v>99</v>
      </c>
      <c r="K3" s="74" t="s">
        <v>84</v>
      </c>
      <c r="L3" s="75" t="s">
        <v>100</v>
      </c>
      <c r="M3" s="75">
        <v>45836.333333333336</v>
      </c>
      <c r="N3" s="75">
        <v>45839.552129629628</v>
      </c>
      <c r="O3" s="10"/>
      <c r="P3" s="74" t="s">
        <v>86</v>
      </c>
      <c r="Q3" s="74" t="s">
        <v>86</v>
      </c>
      <c r="R3" s="78" t="s">
        <v>88</v>
      </c>
      <c r="S3" s="73" t="s">
        <v>88</v>
      </c>
      <c r="T3" s="79" t="s">
        <v>89</v>
      </c>
      <c r="U3" s="79" t="s">
        <v>90</v>
      </c>
      <c r="V3" s="78" t="s">
        <v>101</v>
      </c>
      <c r="W3" s="74" t="s">
        <v>92</v>
      </c>
      <c r="X3" s="60">
        <v>0</v>
      </c>
      <c r="Y3" s="80" t="s">
        <v>102</v>
      </c>
      <c r="Z3" s="80" t="s">
        <v>94</v>
      </c>
      <c r="AA3" s="74" t="s">
        <v>103</v>
      </c>
      <c r="AB3" s="74">
        <v>1</v>
      </c>
      <c r="AC3" s="51">
        <f>IF(AND(W3="SOPORTE_TELEFÓNICO",OR(U3="SIN CONTACTO CON EL CB",U3="NÚMEROS DE CONTACTO ERRADOS")),0,IF(W3="SOPORTE_TELEFÓNICO",'BASE DE LIQUIDACION 2025'!$B$9,IF(Y3="TIPO I",'BASE DE LIQUIDACION 2025'!$C$3,IF(Y3="TIPO II",'BASE DE LIQUIDACION 2025'!$C$4,IF(Y3="TIPO III",'BASE DE LIQUIDACION 2025'!$C$5,'BASE DE LIQUIDACION 2025'!$C$6)))))</f>
        <v>44559.563999999998</v>
      </c>
      <c r="AD3" s="51">
        <f>IF(W3="SOPORTE_TELEFÓNICO",AC3,CIERRES!AB3*CIERRES!AC3)</f>
        <v>44559.563999999998</v>
      </c>
    </row>
    <row r="4" spans="1:30" s="81" customFormat="1" ht="13.15">
      <c r="A4" s="73" t="s">
        <v>104</v>
      </c>
      <c r="B4" s="50" t="str">
        <f>VLOOKUP(A4,'CENTRO DE COSTOS'!A:D,4,FALSE)</f>
        <v>DIEGO FERNANDO HENAO CARDONA</v>
      </c>
      <c r="C4" s="50" t="str">
        <f>VLOOKUP(A4,'CENTRO DE COSTOS'!A:C,2,FALSE)</f>
        <v>0004-0003</v>
      </c>
      <c r="D4" s="74">
        <v>19698</v>
      </c>
      <c r="E4" s="74" t="s">
        <v>105</v>
      </c>
      <c r="F4" s="73">
        <v>61823</v>
      </c>
      <c r="G4" s="74" t="s">
        <v>80</v>
      </c>
      <c r="H4" s="73" t="s">
        <v>106</v>
      </c>
      <c r="I4" s="73" t="s">
        <v>107</v>
      </c>
      <c r="J4" s="73" t="s">
        <v>108</v>
      </c>
      <c r="K4" s="74" t="s">
        <v>84</v>
      </c>
      <c r="L4" s="75" t="s">
        <v>109</v>
      </c>
      <c r="M4" s="75">
        <v>45836.333333333336</v>
      </c>
      <c r="N4" s="75">
        <v>45839.572025462963</v>
      </c>
      <c r="O4" s="10"/>
      <c r="P4" s="74" t="s">
        <v>86</v>
      </c>
      <c r="Q4" s="74" t="s">
        <v>86</v>
      </c>
      <c r="R4" s="78" t="s">
        <v>88</v>
      </c>
      <c r="S4" s="73" t="s">
        <v>88</v>
      </c>
      <c r="T4" s="79" t="s">
        <v>89</v>
      </c>
      <c r="U4" s="79" t="s">
        <v>110</v>
      </c>
      <c r="V4" s="78" t="s">
        <v>111</v>
      </c>
      <c r="W4" s="74" t="s">
        <v>92</v>
      </c>
      <c r="X4" s="60">
        <v>0</v>
      </c>
      <c r="Y4" s="80" t="s">
        <v>93</v>
      </c>
      <c r="Z4" s="80" t="s">
        <v>94</v>
      </c>
      <c r="AA4" s="74" t="s">
        <v>112</v>
      </c>
      <c r="AB4" s="74">
        <v>1</v>
      </c>
      <c r="AC4" s="51">
        <f>IF(AND(W4="SOPORTE_TELEFÓNICO",OR(U4="SIN CONTACTO CON EL CB",U4="NÚMEROS DE CONTACTO ERRADOS")),0,IF(W4="SOPORTE_TELEFÓNICO",'BASE DE LIQUIDACION 2025'!$B$9,IF(Y4="TIPO I",'BASE DE LIQUIDACION 2025'!$C$3,IF(Y4="TIPO II",'BASE DE LIQUIDACION 2025'!$C$4,IF(Y4="TIPO III",'BASE DE LIQUIDACION 2025'!$C$5,'BASE DE LIQUIDACION 2025'!$C$6)))))</f>
        <v>134410.88400000002</v>
      </c>
      <c r="AD4" s="51">
        <f>IF(W4="SOPORTE_TELEFÓNICO",AC4,CIERRES!AB4*CIERRES!AC4)</f>
        <v>134410.88400000002</v>
      </c>
    </row>
    <row r="5" spans="1:30" s="81" customFormat="1" ht="13.15">
      <c r="A5" s="73" t="s">
        <v>113</v>
      </c>
      <c r="B5" s="50" t="str">
        <f>VLOOKUP(A5,'CENTRO DE COSTOS'!A:D,4,FALSE)</f>
        <v>JOSE MAURICIO HERNANDEZ ROJAS</v>
      </c>
      <c r="C5" s="50" t="str">
        <f>VLOOKUP(A5,'CENTRO DE COSTOS'!A:C,2,FALSE)</f>
        <v>0004-0001</v>
      </c>
      <c r="D5" s="74">
        <v>23001</v>
      </c>
      <c r="E5" s="74" t="s">
        <v>114</v>
      </c>
      <c r="F5" s="73">
        <v>52374</v>
      </c>
      <c r="G5" s="74" t="s">
        <v>80</v>
      </c>
      <c r="H5" s="73" t="s">
        <v>115</v>
      </c>
      <c r="I5" s="73" t="s">
        <v>113</v>
      </c>
      <c r="J5" s="73" t="s">
        <v>116</v>
      </c>
      <c r="K5" s="74" t="s">
        <v>84</v>
      </c>
      <c r="L5" s="75" t="s">
        <v>117</v>
      </c>
      <c r="M5" s="75">
        <v>45836.333333333336</v>
      </c>
      <c r="N5" s="75">
        <v>45839.592361111114</v>
      </c>
      <c r="O5" s="10"/>
      <c r="P5" s="74" t="s">
        <v>86</v>
      </c>
      <c r="Q5" s="74" t="s">
        <v>86</v>
      </c>
      <c r="R5" s="78" t="s">
        <v>88</v>
      </c>
      <c r="S5" s="73" t="s">
        <v>88</v>
      </c>
      <c r="T5" s="79" t="s">
        <v>118</v>
      </c>
      <c r="U5" s="79" t="s">
        <v>119</v>
      </c>
      <c r="V5" s="78" t="s">
        <v>120</v>
      </c>
      <c r="W5" s="74" t="s">
        <v>92</v>
      </c>
      <c r="X5" s="60">
        <v>0</v>
      </c>
      <c r="Y5" s="80" t="s">
        <v>102</v>
      </c>
      <c r="Z5" s="80" t="s">
        <v>94</v>
      </c>
      <c r="AA5" s="74" t="s">
        <v>121</v>
      </c>
      <c r="AB5" s="74">
        <v>1</v>
      </c>
      <c r="AC5" s="51">
        <f>IF(AND(W5="SOPORTE_TELEFÓNICO",OR(U5="SIN CONTACTO CON EL CB",U5="NÚMEROS DE CONTACTO ERRADOS")),0,IF(W5="SOPORTE_TELEFÓNICO",'BASE DE LIQUIDACION 2025'!$B$9,IF(Y5="TIPO I",'BASE DE LIQUIDACION 2025'!$C$3,IF(Y5="TIPO II",'BASE DE LIQUIDACION 2025'!$C$4,IF(Y5="TIPO III",'BASE DE LIQUIDACION 2025'!$C$5,'BASE DE LIQUIDACION 2025'!$C$6)))))</f>
        <v>44559.563999999998</v>
      </c>
      <c r="AD5" s="51">
        <f>IF(W5="SOPORTE_TELEFÓNICO",AC5,CIERRES!AB5*CIERRES!AC5)</f>
        <v>44559.563999999998</v>
      </c>
    </row>
    <row r="6" spans="1:30" s="81" customFormat="1" ht="13.15">
      <c r="A6" s="73" t="s">
        <v>122</v>
      </c>
      <c r="B6" s="50" t="str">
        <f>VLOOKUP(A6,'CENTRO DE COSTOS'!A:D,4,FALSE)</f>
        <v>JOSE MAURICIO HERNANDEZ ROJAS</v>
      </c>
      <c r="C6" s="50" t="str">
        <f>VLOOKUP(A6,'CENTRO DE COSTOS'!A:C,2,FALSE)</f>
        <v>0004-0001</v>
      </c>
      <c r="D6" s="74">
        <v>47707</v>
      </c>
      <c r="E6" s="74" t="s">
        <v>123</v>
      </c>
      <c r="F6" s="73">
        <v>11452</v>
      </c>
      <c r="G6" s="74" t="s">
        <v>80</v>
      </c>
      <c r="H6" s="73" t="s">
        <v>124</v>
      </c>
      <c r="I6" s="73" t="s">
        <v>125</v>
      </c>
      <c r="J6" s="73" t="s">
        <v>126</v>
      </c>
      <c r="K6" s="74" t="s">
        <v>84</v>
      </c>
      <c r="L6" s="75" t="s">
        <v>127</v>
      </c>
      <c r="M6" s="75">
        <v>45836.333333333336</v>
      </c>
      <c r="N6" s="75">
        <v>45839.617662037039</v>
      </c>
      <c r="O6" s="10"/>
      <c r="P6" s="74" t="s">
        <v>86</v>
      </c>
      <c r="Q6" s="74" t="s">
        <v>86</v>
      </c>
      <c r="R6" s="78" t="s">
        <v>88</v>
      </c>
      <c r="S6" s="73" t="s">
        <v>88</v>
      </c>
      <c r="T6" s="79" t="s">
        <v>118</v>
      </c>
      <c r="U6" s="79" t="s">
        <v>119</v>
      </c>
      <c r="V6" s="78" t="s">
        <v>128</v>
      </c>
      <c r="W6" s="74" t="s">
        <v>92</v>
      </c>
      <c r="X6" s="60">
        <v>0</v>
      </c>
      <c r="Y6" s="80" t="s">
        <v>129</v>
      </c>
      <c r="Z6" s="80" t="s">
        <v>94</v>
      </c>
      <c r="AA6" s="74" t="s">
        <v>130</v>
      </c>
      <c r="AB6" s="74">
        <v>1</v>
      </c>
      <c r="AC6" s="51">
        <f>IF(AND(W6="SOPORTE_TELEFÓNICO",OR(U6="SIN CONTACTO CON EL CB",U6="NÚMEROS DE CONTACTO ERRADOS")),0,IF(W6="SOPORTE_TELEFÓNICO",'BASE DE LIQUIDACION 2025'!$B$9,IF(Y6="TIPO I",'BASE DE LIQUIDACION 2025'!$C$3,IF(Y6="TIPO II",'BASE DE LIQUIDACION 2025'!$C$4,IF(Y6="TIPO III",'BASE DE LIQUIDACION 2025'!$C$5,'BASE DE LIQUIDACION 2025'!$C$6)))))</f>
        <v>464809.36800000002</v>
      </c>
      <c r="AD6" s="51">
        <f>IF(W6="SOPORTE_TELEFÓNICO",AC6,CIERRES!AB6*CIERRES!AC6)</f>
        <v>464809.36800000002</v>
      </c>
    </row>
    <row r="7" spans="1:30" s="81" customFormat="1" ht="13.15">
      <c r="A7" s="73" t="s">
        <v>131</v>
      </c>
      <c r="B7" s="50" t="str">
        <f>VLOOKUP(A7,'CENTRO DE COSTOS'!A:D,4,FALSE)</f>
        <v>KEVIN ALEXIS CORZO BUSTOS</v>
      </c>
      <c r="C7" s="50" t="str">
        <f>VLOOKUP(A7,'CENTRO DE COSTOS'!A:C,2,FALSE)</f>
        <v>0004-0007</v>
      </c>
      <c r="D7" s="74">
        <v>95015</v>
      </c>
      <c r="E7" s="74" t="s">
        <v>132</v>
      </c>
      <c r="F7" s="73">
        <v>46949</v>
      </c>
      <c r="G7" s="74" t="s">
        <v>80</v>
      </c>
      <c r="H7" s="73" t="s">
        <v>133</v>
      </c>
      <c r="I7" s="73" t="s">
        <v>134</v>
      </c>
      <c r="J7" s="73" t="s">
        <v>135</v>
      </c>
      <c r="K7" s="74" t="s">
        <v>84</v>
      </c>
      <c r="L7" s="75" t="s">
        <v>136</v>
      </c>
      <c r="M7" s="75">
        <v>45836.333333333336</v>
      </c>
      <c r="N7" s="75">
        <v>45840.34375</v>
      </c>
      <c r="O7" s="10"/>
      <c r="P7" s="74" t="s">
        <v>86</v>
      </c>
      <c r="Q7" s="74" t="s">
        <v>86</v>
      </c>
      <c r="R7" s="78" t="s">
        <v>88</v>
      </c>
      <c r="S7" s="73" t="s">
        <v>88</v>
      </c>
      <c r="T7" s="79" t="s">
        <v>118</v>
      </c>
      <c r="U7" s="79" t="s">
        <v>119</v>
      </c>
      <c r="V7" s="78" t="s">
        <v>137</v>
      </c>
      <c r="W7" s="74" t="s">
        <v>138</v>
      </c>
      <c r="X7" s="60">
        <v>0</v>
      </c>
      <c r="Y7" s="80" t="s">
        <v>139</v>
      </c>
      <c r="Z7" s="80" t="s">
        <v>140</v>
      </c>
      <c r="AA7" s="74" t="s">
        <v>141</v>
      </c>
      <c r="AB7" s="74">
        <v>0</v>
      </c>
      <c r="AC7" s="51">
        <f>IF(AND(W7="SOPORTE_TELEFÓNICO",OR(U7="SIN CONTACTO CON EL CB",U7="NÚMEROS DE CONTACTO ERRADOS")),0,IF(W7="SOPORTE_TELEFÓNICO",'BASE DE LIQUIDACION 2025'!$B$9,IF(Y7="TIPO I",'BASE DE LIQUIDACION 2025'!$C$3,IF(Y7="TIPO II",'BASE DE LIQUIDACION 2025'!$C$4,IF(Y7="TIPO III",'BASE DE LIQUIDACION 2025'!$C$5,'BASE DE LIQUIDACION 2025'!$C$6)))))</f>
        <v>37904.612000000001</v>
      </c>
      <c r="AD7" s="51">
        <f>IF(W7="SOPORTE_TELEFÓNICO",AC7,CIERRES!AB7*CIERRES!AC7)</f>
        <v>37904.612000000001</v>
      </c>
    </row>
    <row r="8" spans="1:30" s="81" customFormat="1" ht="13.15">
      <c r="A8" s="73" t="s">
        <v>142</v>
      </c>
      <c r="B8" s="50" t="str">
        <f>VLOOKUP(A8,'CENTRO DE COSTOS'!A:D,4,FALSE)</f>
        <v>DIEGO FERNANDO HENAO CARDONA</v>
      </c>
      <c r="C8" s="50" t="str">
        <f>VLOOKUP(A8,'CENTRO DE COSTOS'!A:C,2,FALSE)</f>
        <v>0004-0002</v>
      </c>
      <c r="D8" s="74">
        <v>76147</v>
      </c>
      <c r="E8" s="74" t="s">
        <v>143</v>
      </c>
      <c r="F8" s="73">
        <v>71044</v>
      </c>
      <c r="G8" s="74" t="s">
        <v>80</v>
      </c>
      <c r="H8" s="73" t="s">
        <v>144</v>
      </c>
      <c r="I8" s="73" t="s">
        <v>145</v>
      </c>
      <c r="J8" s="73" t="s">
        <v>146</v>
      </c>
      <c r="K8" s="74" t="s">
        <v>84</v>
      </c>
      <c r="L8" s="75" t="s">
        <v>147</v>
      </c>
      <c r="M8" s="75">
        <v>45832.598611111112</v>
      </c>
      <c r="N8" s="75">
        <v>45840.395277777781</v>
      </c>
      <c r="O8" s="10"/>
      <c r="P8" s="74" t="s">
        <v>86</v>
      </c>
      <c r="Q8" s="74" t="s">
        <v>86</v>
      </c>
      <c r="R8" s="78" t="s">
        <v>148</v>
      </c>
      <c r="S8" s="73" t="s">
        <v>149</v>
      </c>
      <c r="T8" s="79" t="s">
        <v>118</v>
      </c>
      <c r="U8" s="79" t="s">
        <v>119</v>
      </c>
      <c r="V8" s="78" t="s">
        <v>150</v>
      </c>
      <c r="W8" s="74" t="s">
        <v>138</v>
      </c>
      <c r="X8" s="60">
        <v>0</v>
      </c>
      <c r="Y8" s="80" t="s">
        <v>102</v>
      </c>
      <c r="Z8" s="80" t="s">
        <v>94</v>
      </c>
      <c r="AA8" s="74" t="s">
        <v>151</v>
      </c>
      <c r="AB8" s="74">
        <v>0</v>
      </c>
      <c r="AC8" s="51">
        <f>IF(AND(W8="SOPORTE_TELEFÓNICO",OR(U8="SIN CONTACTO CON EL CB",U8="NÚMEROS DE CONTACTO ERRADOS")),0,IF(W8="SOPORTE_TELEFÓNICO",'BASE DE LIQUIDACION 2025'!$B$9,IF(Y8="TIPO I",'BASE DE LIQUIDACION 2025'!$C$3,IF(Y8="TIPO II",'BASE DE LIQUIDACION 2025'!$C$4,IF(Y8="TIPO III",'BASE DE LIQUIDACION 2025'!$C$5,'BASE DE LIQUIDACION 2025'!$C$6)))))</f>
        <v>37904.612000000001</v>
      </c>
      <c r="AD8" s="51">
        <f>IF(W8="SOPORTE_TELEFÓNICO",AC8,CIERRES!AB8*CIERRES!AC8)</f>
        <v>37904.612000000001</v>
      </c>
    </row>
    <row r="9" spans="1:30" s="81" customFormat="1" ht="13.15">
      <c r="A9" s="73" t="s">
        <v>113</v>
      </c>
      <c r="B9" s="50" t="str">
        <f>VLOOKUP(A9,'CENTRO DE COSTOS'!A:D,4,FALSE)</f>
        <v>JOSE MAURICIO HERNANDEZ ROJAS</v>
      </c>
      <c r="C9" s="50" t="str">
        <f>VLOOKUP(A9,'CENTRO DE COSTOS'!A:C,2,FALSE)</f>
        <v>0004-0001</v>
      </c>
      <c r="D9" s="74">
        <v>23417</v>
      </c>
      <c r="E9" s="74" t="s">
        <v>152</v>
      </c>
      <c r="F9" s="73">
        <v>67036</v>
      </c>
      <c r="G9" s="74" t="s">
        <v>80</v>
      </c>
      <c r="H9" s="73" t="s">
        <v>115</v>
      </c>
      <c r="I9" s="73" t="s">
        <v>153</v>
      </c>
      <c r="J9" s="73" t="s">
        <v>154</v>
      </c>
      <c r="K9" s="74" t="s">
        <v>84</v>
      </c>
      <c r="L9" s="75" t="s">
        <v>155</v>
      </c>
      <c r="M9" s="75">
        <v>45836.333333333336</v>
      </c>
      <c r="N9" s="75">
        <v>45840.517361111109</v>
      </c>
      <c r="O9" s="10"/>
      <c r="P9" s="74" t="s">
        <v>86</v>
      </c>
      <c r="Q9" s="74" t="s">
        <v>86</v>
      </c>
      <c r="R9" s="78" t="s">
        <v>88</v>
      </c>
      <c r="S9" s="73" t="s">
        <v>88</v>
      </c>
      <c r="T9" s="79" t="s">
        <v>118</v>
      </c>
      <c r="U9" s="79" t="s">
        <v>119</v>
      </c>
      <c r="V9" s="78" t="s">
        <v>156</v>
      </c>
      <c r="W9" s="74" t="s">
        <v>92</v>
      </c>
      <c r="X9" s="60" t="s">
        <v>157</v>
      </c>
      <c r="Y9" s="80" t="s">
        <v>93</v>
      </c>
      <c r="Z9" s="80" t="s">
        <v>94</v>
      </c>
      <c r="AA9" s="74" t="s">
        <v>158</v>
      </c>
      <c r="AB9" s="74">
        <v>1</v>
      </c>
      <c r="AC9" s="51">
        <f>IF(AND(W9="SOPORTE_TELEFÓNICO",OR(U9="SIN CONTACTO CON EL CB",U9="NÚMEROS DE CONTACTO ERRADOS")),0,IF(W9="SOPORTE_TELEFÓNICO",'BASE DE LIQUIDACION 2025'!$B$9,IF(Y9="TIPO I",'BASE DE LIQUIDACION 2025'!$C$3,IF(Y9="TIPO II",'BASE DE LIQUIDACION 2025'!$C$4,IF(Y9="TIPO III",'BASE DE LIQUIDACION 2025'!$C$5,'BASE DE LIQUIDACION 2025'!$C$6)))))</f>
        <v>134410.88400000002</v>
      </c>
      <c r="AD9" s="51">
        <f>IF(W9="SOPORTE_TELEFÓNICO",AC9,CIERRES!AB9*CIERRES!AC9)</f>
        <v>134410.88400000002</v>
      </c>
    </row>
    <row r="10" spans="1:30" s="81" customFormat="1" ht="13.15">
      <c r="A10" s="73" t="s">
        <v>159</v>
      </c>
      <c r="B10" s="50" t="str">
        <f>VLOOKUP(A10,'CENTRO DE COSTOS'!A:D,4,FALSE)</f>
        <v>JUAN SEBASTIÁN RÍOS CASTRILLÓN</v>
      </c>
      <c r="C10" s="50" t="str">
        <f>VLOOKUP(A10,'CENTRO DE COSTOS'!A:C,2,FALSE)</f>
        <v>0004-0005</v>
      </c>
      <c r="D10" s="74">
        <v>5591</v>
      </c>
      <c r="E10" s="74" t="s">
        <v>160</v>
      </c>
      <c r="F10" s="73">
        <v>57196</v>
      </c>
      <c r="G10" s="74" t="s">
        <v>80</v>
      </c>
      <c r="H10" s="73" t="s">
        <v>161</v>
      </c>
      <c r="I10" s="73" t="s">
        <v>162</v>
      </c>
      <c r="J10" s="73" t="s">
        <v>163</v>
      </c>
      <c r="K10" s="74" t="s">
        <v>84</v>
      </c>
      <c r="L10" s="75" t="s">
        <v>164</v>
      </c>
      <c r="M10" s="75">
        <v>45836.333333333336</v>
      </c>
      <c r="N10" s="75">
        <v>45841.507905092592</v>
      </c>
      <c r="O10" s="10"/>
      <c r="P10" s="74" t="s">
        <v>86</v>
      </c>
      <c r="Q10" s="74" t="s">
        <v>87</v>
      </c>
      <c r="R10" s="78" t="s">
        <v>88</v>
      </c>
      <c r="S10" s="73" t="s">
        <v>88</v>
      </c>
      <c r="T10" s="79" t="s">
        <v>118</v>
      </c>
      <c r="U10" s="79" t="s">
        <v>119</v>
      </c>
      <c r="V10" s="78" t="s">
        <v>165</v>
      </c>
      <c r="W10" s="74" t="s">
        <v>92</v>
      </c>
      <c r="X10" s="60">
        <v>0</v>
      </c>
      <c r="Y10" s="80" t="s">
        <v>129</v>
      </c>
      <c r="Z10" s="80" t="s">
        <v>94</v>
      </c>
      <c r="AA10" s="74" t="s">
        <v>166</v>
      </c>
      <c r="AB10" s="74">
        <v>1</v>
      </c>
      <c r="AC10" s="51">
        <f>IF(AND(W10="SOPORTE_TELEFÓNICO",OR(U10="SIN CONTACTO CON EL CB",U10="NÚMEROS DE CONTACTO ERRADOS")),0,IF(W10="SOPORTE_TELEFÓNICO",'BASE DE LIQUIDACION 2025'!$B$9,IF(Y10="TIPO I",'BASE DE LIQUIDACION 2025'!$C$3,IF(Y10="TIPO II",'BASE DE LIQUIDACION 2025'!$C$4,IF(Y10="TIPO III",'BASE DE LIQUIDACION 2025'!$C$5,'BASE DE LIQUIDACION 2025'!$C$6)))))</f>
        <v>464809.36800000002</v>
      </c>
      <c r="AD10" s="51">
        <f>IF(W10="SOPORTE_TELEFÓNICO",AC10,CIERRES!AB10*CIERRES!AC10)</f>
        <v>464809.36800000002</v>
      </c>
    </row>
    <row r="11" spans="1:30" s="81" customFormat="1" ht="13.15">
      <c r="A11" s="73" t="s">
        <v>78</v>
      </c>
      <c r="B11" s="50" t="str">
        <f>VLOOKUP(A11,'CENTRO DE COSTOS'!A:D,4,FALSE)</f>
        <v>WILLIAM ASDRUBAL ROZO ROZO</v>
      </c>
      <c r="C11" s="50" t="str">
        <f>VLOOKUP(A11,'CENTRO DE COSTOS'!A:C,2,FALSE)</f>
        <v>0004-0004</v>
      </c>
      <c r="D11" s="74">
        <v>25885</v>
      </c>
      <c r="E11" s="74" t="s">
        <v>167</v>
      </c>
      <c r="F11" s="73">
        <v>78439</v>
      </c>
      <c r="G11" s="74" t="s">
        <v>80</v>
      </c>
      <c r="H11" s="73" t="s">
        <v>81</v>
      </c>
      <c r="I11" s="73" t="s">
        <v>168</v>
      </c>
      <c r="J11" s="73" t="s">
        <v>169</v>
      </c>
      <c r="K11" s="74" t="s">
        <v>84</v>
      </c>
      <c r="L11" s="75" t="s">
        <v>170</v>
      </c>
      <c r="M11" s="75">
        <v>45836.333333333336</v>
      </c>
      <c r="N11" s="75">
        <v>45842.466354166667</v>
      </c>
      <c r="O11" s="10"/>
      <c r="P11" s="74" t="s">
        <v>86</v>
      </c>
      <c r="Q11" s="74" t="s">
        <v>86</v>
      </c>
      <c r="R11" s="78" t="s">
        <v>88</v>
      </c>
      <c r="S11" s="73" t="s">
        <v>88</v>
      </c>
      <c r="T11" s="79" t="s">
        <v>118</v>
      </c>
      <c r="U11" s="79" t="s">
        <v>119</v>
      </c>
      <c r="V11" s="78" t="s">
        <v>171</v>
      </c>
      <c r="W11" s="74" t="s">
        <v>92</v>
      </c>
      <c r="X11" s="60">
        <v>0</v>
      </c>
      <c r="Y11" s="80" t="s">
        <v>129</v>
      </c>
      <c r="Z11" s="80" t="s">
        <v>94</v>
      </c>
      <c r="AA11" s="74" t="s">
        <v>172</v>
      </c>
      <c r="AB11" s="74">
        <v>1</v>
      </c>
      <c r="AC11" s="51">
        <f>IF(AND(W11="SOPORTE_TELEFÓNICO",OR(U11="SIN CONTACTO CON EL CB",U11="NÚMEROS DE CONTACTO ERRADOS")),0,IF(W11="SOPORTE_TELEFÓNICO",'BASE DE LIQUIDACION 2025'!$B$9,IF(Y11="TIPO I",'BASE DE LIQUIDACION 2025'!$C$3,IF(Y11="TIPO II",'BASE DE LIQUIDACION 2025'!$C$4,IF(Y11="TIPO III",'BASE DE LIQUIDACION 2025'!$C$5,'BASE DE LIQUIDACION 2025'!$C$6)))))</f>
        <v>464809.36800000002</v>
      </c>
      <c r="AD11" s="51">
        <f>IF(W11="SOPORTE_TELEFÓNICO",AC11,CIERRES!AB11*CIERRES!AC11)</f>
        <v>464809.36800000002</v>
      </c>
    </row>
    <row r="12" spans="1:30" s="81" customFormat="1" ht="13.15">
      <c r="A12" s="73" t="s">
        <v>104</v>
      </c>
      <c r="B12" s="50" t="str">
        <f>VLOOKUP(A12,'CENTRO DE COSTOS'!A:D,4,FALSE)</f>
        <v>DIEGO FERNANDO HENAO CARDONA</v>
      </c>
      <c r="C12" s="50" t="str">
        <f>VLOOKUP(A12,'CENTRO DE COSTOS'!A:C,2,FALSE)</f>
        <v>0004-0003</v>
      </c>
      <c r="D12" s="74">
        <v>19256</v>
      </c>
      <c r="E12" s="74" t="s">
        <v>173</v>
      </c>
      <c r="F12" s="73">
        <v>32966</v>
      </c>
      <c r="G12" s="74" t="s">
        <v>80</v>
      </c>
      <c r="H12" s="73" t="s">
        <v>106</v>
      </c>
      <c r="I12" s="73" t="s">
        <v>174</v>
      </c>
      <c r="J12" s="73" t="s">
        <v>175</v>
      </c>
      <c r="K12" s="74" t="s">
        <v>84</v>
      </c>
      <c r="L12" s="75" t="s">
        <v>176</v>
      </c>
      <c r="M12" s="75">
        <v>45836.333333333336</v>
      </c>
      <c r="N12" s="75">
        <v>45842.545289351852</v>
      </c>
      <c r="O12" s="10"/>
      <c r="P12" s="74" t="s">
        <v>86</v>
      </c>
      <c r="Q12" s="74" t="s">
        <v>87</v>
      </c>
      <c r="R12" s="78" t="s">
        <v>88</v>
      </c>
      <c r="S12" s="73" t="s">
        <v>88</v>
      </c>
      <c r="T12" s="79" t="s">
        <v>118</v>
      </c>
      <c r="U12" s="79" t="s">
        <v>119</v>
      </c>
      <c r="V12" s="78" t="s">
        <v>177</v>
      </c>
      <c r="W12" s="74" t="s">
        <v>138</v>
      </c>
      <c r="X12" s="60">
        <v>0</v>
      </c>
      <c r="Y12" s="80" t="s">
        <v>178</v>
      </c>
      <c r="Z12" s="80" t="s">
        <v>94</v>
      </c>
      <c r="AA12" s="74" t="s">
        <v>179</v>
      </c>
      <c r="AB12" s="74">
        <v>0</v>
      </c>
      <c r="AC12" s="51">
        <f>IF(AND(W12="SOPORTE_TELEFÓNICO",OR(U12="SIN CONTACTO CON EL CB",U12="NÚMEROS DE CONTACTO ERRADOS")),0,IF(W12="SOPORTE_TELEFÓNICO",'BASE DE LIQUIDACION 2025'!$B$9,IF(Y12="TIPO I",'BASE DE LIQUIDACION 2025'!$C$3,IF(Y12="TIPO II",'BASE DE LIQUIDACION 2025'!$C$4,IF(Y12="TIPO III",'BASE DE LIQUIDACION 2025'!$C$5,'BASE DE LIQUIDACION 2025'!$C$6)))))</f>
        <v>37904.612000000001</v>
      </c>
      <c r="AD12" s="51">
        <f>IF(W12="SOPORTE_TELEFÓNICO",AC12,CIERRES!AB12*CIERRES!AC12)</f>
        <v>37904.612000000001</v>
      </c>
    </row>
    <row r="13" spans="1:30" s="81" customFormat="1" ht="13.15">
      <c r="A13" s="73" t="s">
        <v>78</v>
      </c>
      <c r="B13" s="50" t="str">
        <f>VLOOKUP(A13,'CENTRO DE COSTOS'!A:D,4,FALSE)</f>
        <v>WILLIAM ASDRUBAL ROZO ROZO</v>
      </c>
      <c r="C13" s="50" t="str">
        <f>VLOOKUP(A13,'CENTRO DE COSTOS'!A:C,2,FALSE)</f>
        <v>0004-0004</v>
      </c>
      <c r="D13" s="74">
        <v>25126</v>
      </c>
      <c r="E13" s="74" t="s">
        <v>180</v>
      </c>
      <c r="F13" s="73">
        <v>69256</v>
      </c>
      <c r="G13" s="74" t="s">
        <v>80</v>
      </c>
      <c r="H13" s="73" t="s">
        <v>81</v>
      </c>
      <c r="I13" s="73" t="s">
        <v>181</v>
      </c>
      <c r="J13" s="73" t="s">
        <v>182</v>
      </c>
      <c r="K13" s="74" t="s">
        <v>84</v>
      </c>
      <c r="L13" s="75" t="s">
        <v>183</v>
      </c>
      <c r="M13" s="75">
        <v>45836.333333333336</v>
      </c>
      <c r="N13" s="75">
        <v>45842.562013888892</v>
      </c>
      <c r="O13" s="10"/>
      <c r="P13" s="74" t="s">
        <v>86</v>
      </c>
      <c r="Q13" s="74" t="s">
        <v>86</v>
      </c>
      <c r="R13" s="78" t="s">
        <v>88</v>
      </c>
      <c r="S13" s="73" t="s">
        <v>88</v>
      </c>
      <c r="T13" s="79" t="s">
        <v>118</v>
      </c>
      <c r="U13" s="79" t="s">
        <v>119</v>
      </c>
      <c r="V13" s="78" t="s">
        <v>184</v>
      </c>
      <c r="W13" s="74" t="s">
        <v>92</v>
      </c>
      <c r="X13" s="60">
        <v>0</v>
      </c>
      <c r="Y13" s="80" t="s">
        <v>93</v>
      </c>
      <c r="Z13" s="80" t="s">
        <v>94</v>
      </c>
      <c r="AA13" s="74" t="s">
        <v>185</v>
      </c>
      <c r="AB13" s="74">
        <v>2</v>
      </c>
      <c r="AC13" s="51">
        <f>IF(AND(W13="SOPORTE_TELEFÓNICO",OR(U13="SIN CONTACTO CON EL CB",U13="NÚMEROS DE CONTACTO ERRADOS")),0,IF(W13="SOPORTE_TELEFÓNICO",'BASE DE LIQUIDACION 2025'!$B$9,IF(Y13="TIPO I",'BASE DE LIQUIDACION 2025'!$C$3,IF(Y13="TIPO II",'BASE DE LIQUIDACION 2025'!$C$4,IF(Y13="TIPO III",'BASE DE LIQUIDACION 2025'!$C$5,'BASE DE LIQUIDACION 2025'!$C$6)))))</f>
        <v>134410.88400000002</v>
      </c>
      <c r="AD13" s="51">
        <f>IF(W13="SOPORTE_TELEFÓNICO",AC13,CIERRES!AB13*CIERRES!AC13)</f>
        <v>268821.76800000004</v>
      </c>
    </row>
    <row r="14" spans="1:30" s="81" customFormat="1" ht="13.15">
      <c r="A14" s="73" t="s">
        <v>186</v>
      </c>
      <c r="B14" s="50" t="str">
        <f>VLOOKUP(A14,'CENTRO DE COSTOS'!A:D,4,FALSE)</f>
        <v>MIGUEL JULIÁN HERNÁNDEZ GUARÍN</v>
      </c>
      <c r="C14" s="50" t="str">
        <f>VLOOKUP(A14,'CENTRO DE COSTOS'!A:C,2,FALSE)</f>
        <v>0004-0008</v>
      </c>
      <c r="D14" s="74">
        <v>15238</v>
      </c>
      <c r="E14" s="74" t="s">
        <v>187</v>
      </c>
      <c r="F14" s="73">
        <v>71876</v>
      </c>
      <c r="G14" s="74" t="s">
        <v>80</v>
      </c>
      <c r="H14" s="73" t="s">
        <v>188</v>
      </c>
      <c r="I14" s="73" t="s">
        <v>189</v>
      </c>
      <c r="J14" s="73" t="s">
        <v>190</v>
      </c>
      <c r="K14" s="74" t="s">
        <v>84</v>
      </c>
      <c r="L14" s="75" t="s">
        <v>191</v>
      </c>
      <c r="M14" s="75">
        <v>45842.333333333336</v>
      </c>
      <c r="N14" s="75">
        <v>45842.590925925928</v>
      </c>
      <c r="O14" s="10"/>
      <c r="P14" s="74" t="s">
        <v>86</v>
      </c>
      <c r="Q14" s="74" t="s">
        <v>86</v>
      </c>
      <c r="R14" s="78" t="s">
        <v>88</v>
      </c>
      <c r="S14" s="73" t="s">
        <v>88</v>
      </c>
      <c r="T14" s="79" t="s">
        <v>118</v>
      </c>
      <c r="U14" s="79" t="s">
        <v>119</v>
      </c>
      <c r="V14" s="78" t="s">
        <v>192</v>
      </c>
      <c r="W14" s="74" t="s">
        <v>138</v>
      </c>
      <c r="X14" s="60">
        <v>0</v>
      </c>
      <c r="Y14" s="80" t="s">
        <v>93</v>
      </c>
      <c r="Z14" s="80" t="s">
        <v>94</v>
      </c>
      <c r="AA14" s="74" t="s">
        <v>193</v>
      </c>
      <c r="AB14" s="74">
        <v>0</v>
      </c>
      <c r="AC14" s="51">
        <f>IF(AND(W14="SOPORTE_TELEFÓNICO",OR(U14="SIN CONTACTO CON EL CB",U14="NÚMEROS DE CONTACTO ERRADOS")),0,IF(W14="SOPORTE_TELEFÓNICO",'BASE DE LIQUIDACION 2025'!$B$9,IF(Y14="TIPO I",'BASE DE LIQUIDACION 2025'!$C$3,IF(Y14="TIPO II",'BASE DE LIQUIDACION 2025'!$C$4,IF(Y14="TIPO III",'BASE DE LIQUIDACION 2025'!$C$5,'BASE DE LIQUIDACION 2025'!$C$6)))))</f>
        <v>37904.612000000001</v>
      </c>
      <c r="AD14" s="51">
        <f>IF(W14="SOPORTE_TELEFÓNICO",AC14,CIERRES!AB14*CIERRES!AC14)</f>
        <v>37904.612000000001</v>
      </c>
    </row>
    <row r="15" spans="1:30" s="81" customFormat="1" ht="13.15">
      <c r="A15" s="73" t="s">
        <v>194</v>
      </c>
      <c r="B15" s="50" t="str">
        <f>VLOOKUP(A15,'CENTRO DE COSTOS'!A:D,4,FALSE)</f>
        <v>KEVIN ALEXIS CORZO BUSTOS</v>
      </c>
      <c r="C15" s="50" t="str">
        <f>VLOOKUP(A15,'CENTRO DE COSTOS'!A:C,2,FALSE)</f>
        <v>0004-0007</v>
      </c>
      <c r="D15" s="74">
        <v>73001</v>
      </c>
      <c r="E15" s="74" t="s">
        <v>195</v>
      </c>
      <c r="F15" s="73">
        <v>48235</v>
      </c>
      <c r="G15" s="74" t="s">
        <v>80</v>
      </c>
      <c r="H15" s="73" t="s">
        <v>196</v>
      </c>
      <c r="I15" s="73" t="s">
        <v>194</v>
      </c>
      <c r="J15" s="73" t="s">
        <v>197</v>
      </c>
      <c r="K15" s="74" t="s">
        <v>84</v>
      </c>
      <c r="L15" s="75" t="s">
        <v>198</v>
      </c>
      <c r="M15" s="75">
        <v>45842.333333333336</v>
      </c>
      <c r="N15" s="75">
        <v>45842.685914351852</v>
      </c>
      <c r="O15" s="10"/>
      <c r="P15" s="74" t="s">
        <v>86</v>
      </c>
      <c r="Q15" s="74" t="s">
        <v>86</v>
      </c>
      <c r="R15" s="78" t="s">
        <v>148</v>
      </c>
      <c r="S15" s="73" t="s">
        <v>149</v>
      </c>
      <c r="T15" s="79" t="s">
        <v>89</v>
      </c>
      <c r="U15" s="79" t="s">
        <v>90</v>
      </c>
      <c r="V15" s="78" t="s">
        <v>199</v>
      </c>
      <c r="W15" s="74" t="s">
        <v>92</v>
      </c>
      <c r="X15" s="60">
        <v>0</v>
      </c>
      <c r="Y15" s="80" t="s">
        <v>102</v>
      </c>
      <c r="Z15" s="80" t="s">
        <v>94</v>
      </c>
      <c r="AA15" s="74" t="s">
        <v>200</v>
      </c>
      <c r="AB15" s="74">
        <v>1</v>
      </c>
      <c r="AC15" s="51">
        <f>IF(AND(W15="SOPORTE_TELEFÓNICO",OR(U15="SIN CONTACTO CON EL CB",U15="NÚMEROS DE CONTACTO ERRADOS")),0,IF(W15="SOPORTE_TELEFÓNICO",'BASE DE LIQUIDACION 2025'!$B$9,IF(Y15="TIPO I",'BASE DE LIQUIDACION 2025'!$C$3,IF(Y15="TIPO II",'BASE DE LIQUIDACION 2025'!$C$4,IF(Y15="TIPO III",'BASE DE LIQUIDACION 2025'!$C$5,'BASE DE LIQUIDACION 2025'!$C$6)))))</f>
        <v>44559.563999999998</v>
      </c>
      <c r="AD15" s="51">
        <f>IF(W15="SOPORTE_TELEFÓNICO",AC15,CIERRES!AB15*CIERRES!AC15)</f>
        <v>44559.563999999998</v>
      </c>
    </row>
    <row r="16" spans="1:30" s="81" customFormat="1" ht="13.15">
      <c r="A16" s="73" t="s">
        <v>104</v>
      </c>
      <c r="B16" s="50" t="str">
        <f>VLOOKUP(A16,'CENTRO DE COSTOS'!A:D,4,FALSE)</f>
        <v>DIEGO FERNANDO HENAO CARDONA</v>
      </c>
      <c r="C16" s="50" t="str">
        <f>VLOOKUP(A16,'CENTRO DE COSTOS'!A:C,2,FALSE)</f>
        <v>0004-0003</v>
      </c>
      <c r="D16" s="74">
        <v>19001</v>
      </c>
      <c r="E16" s="74" t="s">
        <v>201</v>
      </c>
      <c r="F16" s="73">
        <v>43981</v>
      </c>
      <c r="G16" s="74" t="s">
        <v>80</v>
      </c>
      <c r="H16" s="73" t="s">
        <v>106</v>
      </c>
      <c r="I16" s="73" t="s">
        <v>202</v>
      </c>
      <c r="J16" s="73" t="s">
        <v>203</v>
      </c>
      <c r="K16" s="74" t="s">
        <v>84</v>
      </c>
      <c r="L16" s="75" t="s">
        <v>204</v>
      </c>
      <c r="M16" s="75">
        <v>45842.333333333336</v>
      </c>
      <c r="N16" s="75">
        <v>45843.378101851849</v>
      </c>
      <c r="O16" s="10"/>
      <c r="P16" s="74" t="s">
        <v>86</v>
      </c>
      <c r="Q16" s="74" t="s">
        <v>86</v>
      </c>
      <c r="R16" s="78" t="s">
        <v>88</v>
      </c>
      <c r="S16" s="73" t="s">
        <v>88</v>
      </c>
      <c r="T16" s="79" t="s">
        <v>118</v>
      </c>
      <c r="U16" s="79" t="s">
        <v>119</v>
      </c>
      <c r="V16" s="78" t="s">
        <v>205</v>
      </c>
      <c r="W16" s="74" t="s">
        <v>138</v>
      </c>
      <c r="X16" s="60">
        <v>0</v>
      </c>
      <c r="Y16" s="80" t="s">
        <v>178</v>
      </c>
      <c r="Z16" s="80" t="s">
        <v>94</v>
      </c>
      <c r="AA16" s="74" t="s">
        <v>179</v>
      </c>
      <c r="AB16" s="74">
        <v>0</v>
      </c>
      <c r="AC16" s="51">
        <f>IF(AND(W16="SOPORTE_TELEFÓNICO",OR(U16="SIN CONTACTO CON EL CB",U16="NÚMEROS DE CONTACTO ERRADOS")),0,IF(W16="SOPORTE_TELEFÓNICO",'BASE DE LIQUIDACION 2025'!$B$9,IF(Y16="TIPO I",'BASE DE LIQUIDACION 2025'!$C$3,IF(Y16="TIPO II",'BASE DE LIQUIDACION 2025'!$C$4,IF(Y16="TIPO III",'BASE DE LIQUIDACION 2025'!$C$5,'BASE DE LIQUIDACION 2025'!$C$6)))))</f>
        <v>37904.612000000001</v>
      </c>
      <c r="AD16" s="51">
        <f>IF(W16="SOPORTE_TELEFÓNICO",AC16,CIERRES!AB16*CIERRES!AC16)</f>
        <v>37904.612000000001</v>
      </c>
    </row>
    <row r="17" spans="1:30" s="81" customFormat="1" ht="13.15">
      <c r="A17" s="73" t="s">
        <v>131</v>
      </c>
      <c r="B17" s="50" t="str">
        <f>VLOOKUP(A17,'CENTRO DE COSTOS'!A:D,4,FALSE)</f>
        <v>KEVIN ALEXIS CORZO BUSTOS</v>
      </c>
      <c r="C17" s="50" t="str">
        <f>VLOOKUP(A17,'CENTRO DE COSTOS'!A:C,2,FALSE)</f>
        <v>0004-0007</v>
      </c>
      <c r="D17" s="74">
        <v>50001</v>
      </c>
      <c r="E17" s="74" t="s">
        <v>206</v>
      </c>
      <c r="F17" s="73">
        <v>78305</v>
      </c>
      <c r="G17" s="74" t="s">
        <v>80</v>
      </c>
      <c r="H17" s="73" t="s">
        <v>207</v>
      </c>
      <c r="I17" s="73" t="s">
        <v>131</v>
      </c>
      <c r="J17" s="73" t="s">
        <v>208</v>
      </c>
      <c r="K17" s="74" t="s">
        <v>84</v>
      </c>
      <c r="L17" s="75" t="s">
        <v>209</v>
      </c>
      <c r="M17" s="75">
        <v>45842.333333333336</v>
      </c>
      <c r="N17" s="75">
        <v>45843.445752314823</v>
      </c>
      <c r="O17" s="10"/>
      <c r="P17" s="74" t="s">
        <v>86</v>
      </c>
      <c r="Q17" s="74" t="s">
        <v>86</v>
      </c>
      <c r="R17" s="78" t="s">
        <v>88</v>
      </c>
      <c r="S17" s="73" t="s">
        <v>88</v>
      </c>
      <c r="T17" s="79" t="s">
        <v>89</v>
      </c>
      <c r="U17" s="79" t="s">
        <v>90</v>
      </c>
      <c r="V17" s="78" t="s">
        <v>210</v>
      </c>
      <c r="W17" s="74" t="s">
        <v>92</v>
      </c>
      <c r="X17" s="60">
        <v>0</v>
      </c>
      <c r="Y17" s="80" t="s">
        <v>102</v>
      </c>
      <c r="Z17" s="80" t="s">
        <v>94</v>
      </c>
      <c r="AA17" s="74" t="s">
        <v>211</v>
      </c>
      <c r="AB17" s="74">
        <v>1</v>
      </c>
      <c r="AC17" s="51">
        <f>IF(AND(W17="SOPORTE_TELEFÓNICO",OR(U17="SIN CONTACTO CON EL CB",U17="NÚMEROS DE CONTACTO ERRADOS")),0,IF(W17="SOPORTE_TELEFÓNICO",'BASE DE LIQUIDACION 2025'!$B$9,IF(Y17="TIPO I",'BASE DE LIQUIDACION 2025'!$C$3,IF(Y17="TIPO II",'BASE DE LIQUIDACION 2025'!$C$4,IF(Y17="TIPO III",'BASE DE LIQUIDACION 2025'!$C$5,'BASE DE LIQUIDACION 2025'!$C$6)))))</f>
        <v>44559.563999999998</v>
      </c>
      <c r="AD17" s="51">
        <f>IF(W17="SOPORTE_TELEFÓNICO",AC17,CIERRES!AB17*CIERRES!AC17)</f>
        <v>44559.563999999998</v>
      </c>
    </row>
    <row r="18" spans="1:30" s="81" customFormat="1" ht="13.15">
      <c r="A18" s="73" t="s">
        <v>142</v>
      </c>
      <c r="B18" s="50" t="str">
        <f>VLOOKUP(A18,'CENTRO DE COSTOS'!A:D,4,FALSE)</f>
        <v>DIEGO FERNANDO HENAO CARDONA</v>
      </c>
      <c r="C18" s="50" t="str">
        <f>VLOOKUP(A18,'CENTRO DE COSTOS'!A:C,2,FALSE)</f>
        <v>0004-0002</v>
      </c>
      <c r="D18" s="74">
        <v>66001</v>
      </c>
      <c r="E18" s="74" t="s">
        <v>212</v>
      </c>
      <c r="F18" s="73">
        <v>68391</v>
      </c>
      <c r="G18" s="74" t="s">
        <v>80</v>
      </c>
      <c r="H18" s="73" t="s">
        <v>213</v>
      </c>
      <c r="I18" s="73" t="s">
        <v>142</v>
      </c>
      <c r="J18" s="73" t="s">
        <v>214</v>
      </c>
      <c r="K18" s="74" t="s">
        <v>84</v>
      </c>
      <c r="L18" s="75" t="s">
        <v>215</v>
      </c>
      <c r="M18" s="75">
        <v>45836.333333333336</v>
      </c>
      <c r="N18" s="75">
        <v>45843.600636574083</v>
      </c>
      <c r="O18" s="10"/>
      <c r="P18" s="74" t="s">
        <v>86</v>
      </c>
      <c r="Q18" s="74" t="s">
        <v>86</v>
      </c>
      <c r="R18" s="78" t="s">
        <v>88</v>
      </c>
      <c r="S18" s="73" t="s">
        <v>88</v>
      </c>
      <c r="T18" s="79" t="s">
        <v>118</v>
      </c>
      <c r="U18" s="79" t="s">
        <v>119</v>
      </c>
      <c r="V18" s="78" t="s">
        <v>216</v>
      </c>
      <c r="W18" s="74" t="s">
        <v>92</v>
      </c>
      <c r="X18" s="60" t="s">
        <v>217</v>
      </c>
      <c r="Y18" s="80" t="s">
        <v>102</v>
      </c>
      <c r="Z18" s="80" t="s">
        <v>94</v>
      </c>
      <c r="AA18" s="74" t="s">
        <v>151</v>
      </c>
      <c r="AB18" s="74">
        <v>1</v>
      </c>
      <c r="AC18" s="51">
        <f>IF(AND(W18="SOPORTE_TELEFÓNICO",OR(U18="SIN CONTACTO CON EL CB",U18="NÚMEROS DE CONTACTO ERRADOS")),0,IF(W18="SOPORTE_TELEFÓNICO",'BASE DE LIQUIDACION 2025'!$B$9,IF(Y18="TIPO I",'BASE DE LIQUIDACION 2025'!$C$3,IF(Y18="TIPO II",'BASE DE LIQUIDACION 2025'!$C$4,IF(Y18="TIPO III",'BASE DE LIQUIDACION 2025'!$C$5,'BASE DE LIQUIDACION 2025'!$C$6)))))</f>
        <v>44559.563999999998</v>
      </c>
      <c r="AD18" s="51">
        <f>IF(W18="SOPORTE_TELEFÓNICO",AC18,CIERRES!AB18*CIERRES!AC18)</f>
        <v>44559.563999999998</v>
      </c>
    </row>
    <row r="19" spans="1:30" s="81" customFormat="1" ht="13.15">
      <c r="A19" s="73" t="s">
        <v>218</v>
      </c>
      <c r="B19" s="50" t="str">
        <f>VLOOKUP(A19,'CENTRO DE COSTOS'!A:D,4,FALSE)</f>
        <v>JOSE MAURICIO HERNANDEZ ROJAS</v>
      </c>
      <c r="C19" s="50" t="str">
        <f>VLOOKUP(A19,'CENTRO DE COSTOS'!A:C,2,FALSE)</f>
        <v>0004-0001</v>
      </c>
      <c r="D19" s="74">
        <v>8758</v>
      </c>
      <c r="E19" s="74" t="s">
        <v>219</v>
      </c>
      <c r="F19" s="73">
        <v>71519</v>
      </c>
      <c r="G19" s="74" t="s">
        <v>80</v>
      </c>
      <c r="H19" s="73" t="s">
        <v>220</v>
      </c>
      <c r="I19" s="73" t="s">
        <v>221</v>
      </c>
      <c r="J19" s="73" t="s">
        <v>222</v>
      </c>
      <c r="K19" s="74" t="s">
        <v>84</v>
      </c>
      <c r="L19" s="75" t="s">
        <v>223</v>
      </c>
      <c r="M19" s="75">
        <v>45836.333333333336</v>
      </c>
      <c r="N19" s="75">
        <v>45844.376712962963</v>
      </c>
      <c r="O19" s="10"/>
      <c r="P19" s="74" t="s">
        <v>86</v>
      </c>
      <c r="Q19" s="74" t="s">
        <v>86</v>
      </c>
      <c r="R19" s="78" t="s">
        <v>88</v>
      </c>
      <c r="S19" s="73" t="s">
        <v>88</v>
      </c>
      <c r="T19" s="79" t="s">
        <v>89</v>
      </c>
      <c r="U19" s="79" t="s">
        <v>90</v>
      </c>
      <c r="V19" s="78" t="s">
        <v>224</v>
      </c>
      <c r="W19" s="74" t="s">
        <v>92</v>
      </c>
      <c r="X19" s="60" t="s">
        <v>225</v>
      </c>
      <c r="Y19" s="80" t="s">
        <v>102</v>
      </c>
      <c r="Z19" s="80" t="s">
        <v>94</v>
      </c>
      <c r="AA19" s="74" t="s">
        <v>226</v>
      </c>
      <c r="AB19" s="74">
        <v>1</v>
      </c>
      <c r="AC19" s="51">
        <f>IF(AND(W19="SOPORTE_TELEFÓNICO",OR(U19="SIN CONTACTO CON EL CB",U19="NÚMEROS DE CONTACTO ERRADOS")),0,IF(W19="SOPORTE_TELEFÓNICO",'BASE DE LIQUIDACION 2025'!$B$9,IF(Y19="TIPO I",'BASE DE LIQUIDACION 2025'!$C$3,IF(Y19="TIPO II",'BASE DE LIQUIDACION 2025'!$C$4,IF(Y19="TIPO III",'BASE DE LIQUIDACION 2025'!$C$5,'BASE DE LIQUIDACION 2025'!$C$6)))))</f>
        <v>44559.563999999998</v>
      </c>
      <c r="AD19" s="51">
        <f>IF(W19="SOPORTE_TELEFÓNICO",AC19,CIERRES!AB19*CIERRES!AC19)</f>
        <v>44559.563999999998</v>
      </c>
    </row>
    <row r="20" spans="1:30" s="81" customFormat="1" ht="13.15">
      <c r="A20" s="73" t="s">
        <v>104</v>
      </c>
      <c r="B20" s="50" t="str">
        <f>VLOOKUP(A20,'CENTRO DE COSTOS'!A:D,4,FALSE)</f>
        <v>DIEGO FERNANDO HENAO CARDONA</v>
      </c>
      <c r="C20" s="50" t="str">
        <f>VLOOKUP(A20,'CENTRO DE COSTOS'!A:C,2,FALSE)</f>
        <v>0004-0003</v>
      </c>
      <c r="D20" s="74">
        <v>19001</v>
      </c>
      <c r="E20" s="74" t="s">
        <v>227</v>
      </c>
      <c r="F20" s="73">
        <v>49086</v>
      </c>
      <c r="G20" s="74" t="s">
        <v>80</v>
      </c>
      <c r="H20" s="73" t="s">
        <v>106</v>
      </c>
      <c r="I20" s="73" t="s">
        <v>202</v>
      </c>
      <c r="J20" s="73" t="s">
        <v>228</v>
      </c>
      <c r="K20" s="74" t="s">
        <v>84</v>
      </c>
      <c r="L20" s="75" t="s">
        <v>229</v>
      </c>
      <c r="M20" s="75">
        <v>45836.333333333336</v>
      </c>
      <c r="N20" s="75">
        <v>45845.204861111109</v>
      </c>
      <c r="O20" s="10"/>
      <c r="P20" s="74" t="s">
        <v>86</v>
      </c>
      <c r="Q20" s="74" t="s">
        <v>86</v>
      </c>
      <c r="R20" s="78" t="s">
        <v>88</v>
      </c>
      <c r="S20" s="73" t="s">
        <v>88</v>
      </c>
      <c r="T20" s="79" t="s">
        <v>89</v>
      </c>
      <c r="U20" s="79" t="s">
        <v>90</v>
      </c>
      <c r="V20" s="78" t="s">
        <v>230</v>
      </c>
      <c r="W20" s="74" t="s">
        <v>92</v>
      </c>
      <c r="X20" s="60" t="s">
        <v>231</v>
      </c>
      <c r="Y20" s="80" t="s">
        <v>178</v>
      </c>
      <c r="Z20" s="80" t="s">
        <v>94</v>
      </c>
      <c r="AA20" s="74" t="s">
        <v>232</v>
      </c>
      <c r="AB20" s="74">
        <v>1</v>
      </c>
      <c r="AC20" s="51">
        <f>IF(AND(W20="SOPORTE_TELEFÓNICO",OR(U20="SIN CONTACTO CON EL CB",U20="NÚMEROS DE CONTACTO ERRADOS")),0,IF(W20="SOPORTE_TELEFÓNICO",'BASE DE LIQUIDACION 2025'!$B$9,IF(Y20="TIPO I",'BASE DE LIQUIDACION 2025'!$C$3,IF(Y20="TIPO II",'BASE DE LIQUIDACION 2025'!$C$4,IF(Y20="TIPO III",'BASE DE LIQUIDACION 2025'!$C$5,'BASE DE LIQUIDACION 2025'!$C$6)))))</f>
        <v>222904.07200000001</v>
      </c>
      <c r="AD20" s="51">
        <f>IF(W20="SOPORTE_TELEFÓNICO",AC20,CIERRES!AB20*CIERRES!AC20)</f>
        <v>222904.07200000001</v>
      </c>
    </row>
    <row r="21" spans="1:30" s="81" customFormat="1" ht="13.15">
      <c r="A21" s="73" t="s">
        <v>194</v>
      </c>
      <c r="B21" s="50" t="str">
        <f>VLOOKUP(A21,'CENTRO DE COSTOS'!A:D,4,FALSE)</f>
        <v>KEVIN ALEXIS CORZO BUSTOS</v>
      </c>
      <c r="C21" s="50" t="str">
        <f>VLOOKUP(A21,'CENTRO DE COSTOS'!A:C,2,FALSE)</f>
        <v>0004-0007</v>
      </c>
      <c r="D21" s="74">
        <v>73001</v>
      </c>
      <c r="E21" s="74" t="s">
        <v>233</v>
      </c>
      <c r="F21" s="73">
        <v>69181</v>
      </c>
      <c r="G21" s="74" t="s">
        <v>80</v>
      </c>
      <c r="H21" s="73" t="s">
        <v>196</v>
      </c>
      <c r="I21" s="73" t="s">
        <v>194</v>
      </c>
      <c r="J21" s="73" t="s">
        <v>234</v>
      </c>
      <c r="K21" s="74" t="s">
        <v>84</v>
      </c>
      <c r="L21" s="75" t="s">
        <v>235</v>
      </c>
      <c r="M21" s="75">
        <v>45842.69027777778</v>
      </c>
      <c r="N21" s="75">
        <v>45845.469652777778</v>
      </c>
      <c r="O21" s="10"/>
      <c r="P21" s="74" t="s">
        <v>86</v>
      </c>
      <c r="Q21" s="74" t="s">
        <v>87</v>
      </c>
      <c r="R21" s="78" t="s">
        <v>88</v>
      </c>
      <c r="S21" s="73" t="s">
        <v>88</v>
      </c>
      <c r="T21" s="79" t="s">
        <v>89</v>
      </c>
      <c r="U21" s="79" t="s">
        <v>90</v>
      </c>
      <c r="V21" s="78" t="s">
        <v>236</v>
      </c>
      <c r="W21" s="74" t="s">
        <v>92</v>
      </c>
      <c r="X21" s="60" t="s">
        <v>237</v>
      </c>
      <c r="Y21" s="80" t="s">
        <v>102</v>
      </c>
      <c r="Z21" s="80" t="s">
        <v>94</v>
      </c>
      <c r="AA21" s="74" t="s">
        <v>238</v>
      </c>
      <c r="AB21" s="74">
        <v>1</v>
      </c>
      <c r="AC21" s="51">
        <f>IF(AND(W21="SOPORTE_TELEFÓNICO",OR(U21="SIN CONTACTO CON EL CB",U21="NÚMEROS DE CONTACTO ERRADOS")),0,IF(W21="SOPORTE_TELEFÓNICO",'BASE DE LIQUIDACION 2025'!$B$9,IF(Y21="TIPO I",'BASE DE LIQUIDACION 2025'!$C$3,IF(Y21="TIPO II",'BASE DE LIQUIDACION 2025'!$C$4,IF(Y21="TIPO III",'BASE DE LIQUIDACION 2025'!$C$5,'BASE DE LIQUIDACION 2025'!$C$6)))))</f>
        <v>44559.563999999998</v>
      </c>
      <c r="AD21" s="51">
        <f>IF(W21="SOPORTE_TELEFÓNICO",AC21,CIERRES!AB21*CIERRES!AC21)</f>
        <v>44559.563999999998</v>
      </c>
    </row>
    <row r="22" spans="1:30" s="81" customFormat="1" ht="13.15">
      <c r="A22" s="73" t="s">
        <v>78</v>
      </c>
      <c r="B22" s="50" t="str">
        <f>VLOOKUP(A22,'CENTRO DE COSTOS'!A:D,4,FALSE)</f>
        <v>WILLIAM ASDRUBAL ROZO ROZO</v>
      </c>
      <c r="C22" s="50" t="str">
        <f>VLOOKUP(A22,'CENTRO DE COSTOS'!A:C,2,FALSE)</f>
        <v>0004-0004</v>
      </c>
      <c r="D22" s="74">
        <v>11001</v>
      </c>
      <c r="E22" s="74" t="s">
        <v>239</v>
      </c>
      <c r="F22" s="73">
        <v>22764</v>
      </c>
      <c r="G22" s="74" t="s">
        <v>80</v>
      </c>
      <c r="H22" s="73" t="s">
        <v>81</v>
      </c>
      <c r="I22" s="73" t="s">
        <v>78</v>
      </c>
      <c r="J22" s="73" t="s">
        <v>240</v>
      </c>
      <c r="K22" s="74" t="s">
        <v>84</v>
      </c>
      <c r="L22" s="75" t="s">
        <v>241</v>
      </c>
      <c r="M22" s="75">
        <v>45842.333333333336</v>
      </c>
      <c r="N22" s="75">
        <v>45845.587372685193</v>
      </c>
      <c r="O22" s="10"/>
      <c r="P22" s="74" t="s">
        <v>86</v>
      </c>
      <c r="Q22" s="74" t="s">
        <v>87</v>
      </c>
      <c r="R22" s="78" t="s">
        <v>88</v>
      </c>
      <c r="S22" s="73" t="s">
        <v>88</v>
      </c>
      <c r="T22" s="79" t="s">
        <v>89</v>
      </c>
      <c r="U22" s="79" t="s">
        <v>90</v>
      </c>
      <c r="V22" s="78" t="s">
        <v>242</v>
      </c>
      <c r="W22" s="74" t="s">
        <v>92</v>
      </c>
      <c r="X22" s="60">
        <v>0</v>
      </c>
      <c r="Y22" s="80" t="s">
        <v>102</v>
      </c>
      <c r="Z22" s="80" t="s">
        <v>94</v>
      </c>
      <c r="AA22" s="74" t="s">
        <v>185</v>
      </c>
      <c r="AB22" s="74">
        <v>1</v>
      </c>
      <c r="AC22" s="51">
        <f>IF(AND(W22="SOPORTE_TELEFÓNICO",OR(U22="SIN CONTACTO CON EL CB",U22="NÚMEROS DE CONTACTO ERRADOS")),0,IF(W22="SOPORTE_TELEFÓNICO",'BASE DE LIQUIDACION 2025'!$B$9,IF(Y22="TIPO I",'BASE DE LIQUIDACION 2025'!$C$3,IF(Y22="TIPO II",'BASE DE LIQUIDACION 2025'!$C$4,IF(Y22="TIPO III",'BASE DE LIQUIDACION 2025'!$C$5,'BASE DE LIQUIDACION 2025'!$C$6)))))</f>
        <v>44559.563999999998</v>
      </c>
      <c r="AD22" s="51">
        <f>IF(W22="SOPORTE_TELEFÓNICO",AC22,CIERRES!AB22*CIERRES!AC22)</f>
        <v>44559.563999999998</v>
      </c>
    </row>
    <row r="23" spans="1:30" s="81" customFormat="1" ht="13.15">
      <c r="A23" s="73" t="s">
        <v>243</v>
      </c>
      <c r="B23" s="50" t="str">
        <f>VLOOKUP(A23,'CENTRO DE COSTOS'!A:D,4,FALSE)</f>
        <v>KEVIN ALEXIS CORZO BUSTOS</v>
      </c>
      <c r="C23" s="50" t="str">
        <f>VLOOKUP(A23,'CENTRO DE COSTOS'!A:C,2,FALSE)</f>
        <v>0004-0007</v>
      </c>
      <c r="D23" s="74">
        <v>18001</v>
      </c>
      <c r="E23" s="74" t="s">
        <v>244</v>
      </c>
      <c r="F23" s="73">
        <v>78426</v>
      </c>
      <c r="G23" s="74" t="s">
        <v>80</v>
      </c>
      <c r="H23" s="73" t="s">
        <v>245</v>
      </c>
      <c r="I23" s="73" t="s">
        <v>246</v>
      </c>
      <c r="J23" s="73" t="s">
        <v>247</v>
      </c>
      <c r="K23" s="74" t="s">
        <v>84</v>
      </c>
      <c r="L23" s="75" t="s">
        <v>248</v>
      </c>
      <c r="M23" s="75">
        <v>45842.333333333336</v>
      </c>
      <c r="N23" s="75">
        <v>45845.612430555557</v>
      </c>
      <c r="O23" s="10"/>
      <c r="P23" s="74" t="s">
        <v>86</v>
      </c>
      <c r="Q23" s="74" t="s">
        <v>86</v>
      </c>
      <c r="R23" s="78" t="s">
        <v>88</v>
      </c>
      <c r="S23" s="73" t="s">
        <v>88</v>
      </c>
      <c r="T23" s="79" t="s">
        <v>249</v>
      </c>
      <c r="U23" s="79" t="s">
        <v>250</v>
      </c>
      <c r="V23" s="78" t="s">
        <v>251</v>
      </c>
      <c r="W23" s="74" t="s">
        <v>92</v>
      </c>
      <c r="X23" s="60" t="s">
        <v>252</v>
      </c>
      <c r="Y23" s="80" t="s">
        <v>129</v>
      </c>
      <c r="Z23" s="80" t="s">
        <v>94</v>
      </c>
      <c r="AA23" s="74" t="s">
        <v>253</v>
      </c>
      <c r="AB23" s="74">
        <v>1</v>
      </c>
      <c r="AC23" s="51">
        <f>IF(AND(W23="SOPORTE_TELEFÓNICO",OR(U23="SIN CONTACTO CON EL CB",U23="NÚMEROS DE CONTACTO ERRADOS")),0,IF(W23="SOPORTE_TELEFÓNICO",'BASE DE LIQUIDACION 2025'!$B$9,IF(Y23="TIPO I",'BASE DE LIQUIDACION 2025'!$C$3,IF(Y23="TIPO II",'BASE DE LIQUIDACION 2025'!$C$4,IF(Y23="TIPO III",'BASE DE LIQUIDACION 2025'!$C$5,'BASE DE LIQUIDACION 2025'!$C$6)))))</f>
        <v>464809.36800000002</v>
      </c>
      <c r="AD23" s="51">
        <f>IF(W23="SOPORTE_TELEFÓNICO",AC23,CIERRES!AB23*CIERRES!AC23)</f>
        <v>464809.36800000002</v>
      </c>
    </row>
    <row r="24" spans="1:30" s="81" customFormat="1" ht="13.15">
      <c r="A24" s="73" t="s">
        <v>78</v>
      </c>
      <c r="B24" s="50" t="str">
        <f>VLOOKUP(A24,'CENTRO DE COSTOS'!A:D,4,FALSE)</f>
        <v>WILLIAM ASDRUBAL ROZO ROZO</v>
      </c>
      <c r="C24" s="50" t="str">
        <f>VLOOKUP(A24,'CENTRO DE COSTOS'!A:C,2,FALSE)</f>
        <v>0004-0004</v>
      </c>
      <c r="D24" s="74">
        <v>11001</v>
      </c>
      <c r="E24" s="74" t="s">
        <v>254</v>
      </c>
      <c r="F24" s="73">
        <v>54832</v>
      </c>
      <c r="G24" s="74" t="s">
        <v>80</v>
      </c>
      <c r="H24" s="73" t="s">
        <v>81</v>
      </c>
      <c r="I24" s="73" t="s">
        <v>78</v>
      </c>
      <c r="J24" s="73" t="s">
        <v>255</v>
      </c>
      <c r="K24" s="74" t="s">
        <v>84</v>
      </c>
      <c r="L24" s="75" t="s">
        <v>256</v>
      </c>
      <c r="M24" s="75">
        <v>45842.333333333336</v>
      </c>
      <c r="N24" s="75">
        <v>45845.643819444442</v>
      </c>
      <c r="O24" s="10"/>
      <c r="P24" s="74" t="s">
        <v>86</v>
      </c>
      <c r="Q24" s="74" t="s">
        <v>86</v>
      </c>
      <c r="R24" s="78" t="s">
        <v>257</v>
      </c>
      <c r="S24" s="73" t="s">
        <v>258</v>
      </c>
      <c r="T24" s="79" t="s">
        <v>89</v>
      </c>
      <c r="U24" s="79" t="s">
        <v>90</v>
      </c>
      <c r="V24" s="78" t="s">
        <v>259</v>
      </c>
      <c r="W24" s="74" t="s">
        <v>92</v>
      </c>
      <c r="X24" s="60">
        <v>0</v>
      </c>
      <c r="Y24" s="80" t="s">
        <v>102</v>
      </c>
      <c r="Z24" s="80" t="s">
        <v>94</v>
      </c>
      <c r="AA24" s="74" t="s">
        <v>95</v>
      </c>
      <c r="AB24" s="74">
        <v>1</v>
      </c>
      <c r="AC24" s="51">
        <f>IF(AND(W24="SOPORTE_TELEFÓNICO",OR(U24="SIN CONTACTO CON EL CB",U24="NÚMEROS DE CONTACTO ERRADOS")),0,IF(W24="SOPORTE_TELEFÓNICO",'BASE DE LIQUIDACION 2025'!$B$9,IF(Y24="TIPO I",'BASE DE LIQUIDACION 2025'!$C$3,IF(Y24="TIPO II",'BASE DE LIQUIDACION 2025'!$C$4,IF(Y24="TIPO III",'BASE DE LIQUIDACION 2025'!$C$5,'BASE DE LIQUIDACION 2025'!$C$6)))))</f>
        <v>44559.563999999998</v>
      </c>
      <c r="AD24" s="51">
        <f>IF(W24="SOPORTE_TELEFÓNICO",AC24,CIERRES!AB24*CIERRES!AC24)</f>
        <v>44559.563999999998</v>
      </c>
    </row>
    <row r="25" spans="1:30" s="81" customFormat="1" ht="13.15">
      <c r="A25" s="73" t="s">
        <v>159</v>
      </c>
      <c r="B25" s="50" t="str">
        <f>VLOOKUP(A25,'CENTRO DE COSTOS'!A:D,4,FALSE)</f>
        <v>JUAN SEBASTIÁN RÍOS CASTRILLÓN</v>
      </c>
      <c r="C25" s="50" t="str">
        <f>VLOOKUP(A25,'CENTRO DE COSTOS'!A:C,2,FALSE)</f>
        <v>0004-0005</v>
      </c>
      <c r="D25" s="74">
        <v>5313</v>
      </c>
      <c r="E25" s="74" t="s">
        <v>260</v>
      </c>
      <c r="F25" s="73">
        <v>62141</v>
      </c>
      <c r="G25" s="74" t="s">
        <v>80</v>
      </c>
      <c r="H25" s="73" t="s">
        <v>161</v>
      </c>
      <c r="I25" s="73" t="s">
        <v>261</v>
      </c>
      <c r="J25" s="73" t="s">
        <v>262</v>
      </c>
      <c r="K25" s="74" t="s">
        <v>84</v>
      </c>
      <c r="L25" s="75" t="s">
        <v>263</v>
      </c>
      <c r="M25" s="75">
        <v>45842.69027777778</v>
      </c>
      <c r="N25" s="75">
        <v>45846.400694444441</v>
      </c>
      <c r="O25" s="10"/>
      <c r="P25" s="74" t="s">
        <v>86</v>
      </c>
      <c r="Q25" s="74" t="s">
        <v>86</v>
      </c>
      <c r="R25" s="78" t="s">
        <v>88</v>
      </c>
      <c r="S25" s="73" t="s">
        <v>88</v>
      </c>
      <c r="T25" s="79" t="s">
        <v>89</v>
      </c>
      <c r="U25" s="79" t="s">
        <v>90</v>
      </c>
      <c r="V25" s="78" t="s">
        <v>264</v>
      </c>
      <c r="W25" s="74" t="s">
        <v>92</v>
      </c>
      <c r="X25" s="60">
        <v>0</v>
      </c>
      <c r="Y25" s="80" t="s">
        <v>93</v>
      </c>
      <c r="Z25" s="80" t="s">
        <v>94</v>
      </c>
      <c r="AA25" s="74" t="s">
        <v>166</v>
      </c>
      <c r="AB25" s="74">
        <v>1</v>
      </c>
      <c r="AC25" s="51">
        <f>IF(AND(W25="SOPORTE_TELEFÓNICO",OR(U25="SIN CONTACTO CON EL CB",U25="NÚMEROS DE CONTACTO ERRADOS")),0,IF(W25="SOPORTE_TELEFÓNICO",'BASE DE LIQUIDACION 2025'!$B$9,IF(Y25="TIPO I",'BASE DE LIQUIDACION 2025'!$C$3,IF(Y25="TIPO II",'BASE DE LIQUIDACION 2025'!$C$4,IF(Y25="TIPO III",'BASE DE LIQUIDACION 2025'!$C$5,'BASE DE LIQUIDACION 2025'!$C$6)))))</f>
        <v>134410.88400000002</v>
      </c>
      <c r="AD25" s="51">
        <f>IF(W25="SOPORTE_TELEFÓNICO",AC25,CIERRES!AB25*CIERRES!AC25)</f>
        <v>134410.88400000002</v>
      </c>
    </row>
    <row r="26" spans="1:30" s="81" customFormat="1" ht="13.15">
      <c r="A26" s="73" t="s">
        <v>104</v>
      </c>
      <c r="B26" s="50" t="str">
        <f>VLOOKUP(A26,'CENTRO DE COSTOS'!A:D,4,FALSE)</f>
        <v>DIEGO FERNANDO HENAO CARDONA</v>
      </c>
      <c r="C26" s="50" t="str">
        <f>VLOOKUP(A26,'CENTRO DE COSTOS'!A:C,2,FALSE)</f>
        <v>0004-0003</v>
      </c>
      <c r="D26" s="74">
        <v>76001</v>
      </c>
      <c r="E26" s="74" t="s">
        <v>265</v>
      </c>
      <c r="F26" s="73">
        <v>34502</v>
      </c>
      <c r="G26" s="74" t="s">
        <v>80</v>
      </c>
      <c r="H26" s="73" t="s">
        <v>144</v>
      </c>
      <c r="I26" s="73" t="s">
        <v>104</v>
      </c>
      <c r="J26" s="73" t="s">
        <v>266</v>
      </c>
      <c r="K26" s="74" t="s">
        <v>84</v>
      </c>
      <c r="L26" s="75" t="s">
        <v>267</v>
      </c>
      <c r="M26" s="75">
        <v>45842.69027777778</v>
      </c>
      <c r="N26" s="75">
        <v>45846.415972222225</v>
      </c>
      <c r="O26" s="10"/>
      <c r="P26" s="74" t="s">
        <v>86</v>
      </c>
      <c r="Q26" s="74" t="s">
        <v>87</v>
      </c>
      <c r="R26" s="78" t="s">
        <v>88</v>
      </c>
      <c r="S26" s="73" t="s">
        <v>88</v>
      </c>
      <c r="T26" s="79" t="s">
        <v>268</v>
      </c>
      <c r="U26" s="79" t="s">
        <v>269</v>
      </c>
      <c r="V26" s="78" t="s">
        <v>270</v>
      </c>
      <c r="W26" s="74" t="s">
        <v>92</v>
      </c>
      <c r="X26" s="60" t="s">
        <v>271</v>
      </c>
      <c r="Y26" s="80" t="s">
        <v>102</v>
      </c>
      <c r="Z26" s="80" t="s">
        <v>94</v>
      </c>
      <c r="AA26" s="74" t="s">
        <v>272</v>
      </c>
      <c r="AB26" s="74">
        <v>1</v>
      </c>
      <c r="AC26" s="51">
        <f>IF(AND(W26="SOPORTE_TELEFÓNICO",OR(U26="SIN CONTACTO CON EL CB",U26="NÚMEROS DE CONTACTO ERRADOS")),0,IF(W26="SOPORTE_TELEFÓNICO",'BASE DE LIQUIDACION 2025'!$B$9,IF(Y26="TIPO I",'BASE DE LIQUIDACION 2025'!$C$3,IF(Y26="TIPO II",'BASE DE LIQUIDACION 2025'!$C$4,IF(Y26="TIPO III",'BASE DE LIQUIDACION 2025'!$C$5,'BASE DE LIQUIDACION 2025'!$C$6)))))</f>
        <v>44559.563999999998</v>
      </c>
      <c r="AD26" s="51">
        <f>IF(W26="SOPORTE_TELEFÓNICO",AC26,CIERRES!AB26*CIERRES!AC26)</f>
        <v>44559.563999999998</v>
      </c>
    </row>
    <row r="27" spans="1:30" s="81" customFormat="1" ht="13.15">
      <c r="A27" s="73" t="s">
        <v>104</v>
      </c>
      <c r="B27" s="50" t="str">
        <f>VLOOKUP(A27,'CENTRO DE COSTOS'!A:D,4,FALSE)</f>
        <v>DIEGO FERNANDO HENAO CARDONA</v>
      </c>
      <c r="C27" s="50" t="str">
        <f>VLOOKUP(A27,'CENTRO DE COSTOS'!A:C,2,FALSE)</f>
        <v>0004-0003</v>
      </c>
      <c r="D27" s="74">
        <v>76130</v>
      </c>
      <c r="E27" s="74" t="s">
        <v>273</v>
      </c>
      <c r="F27" s="73">
        <v>47874</v>
      </c>
      <c r="G27" s="74" t="s">
        <v>80</v>
      </c>
      <c r="H27" s="73" t="s">
        <v>144</v>
      </c>
      <c r="I27" s="73" t="s">
        <v>274</v>
      </c>
      <c r="J27" s="73" t="s">
        <v>275</v>
      </c>
      <c r="K27" s="74" t="s">
        <v>84</v>
      </c>
      <c r="L27" s="75" t="s">
        <v>276</v>
      </c>
      <c r="M27" s="75">
        <v>45842.333333333336</v>
      </c>
      <c r="N27" s="75">
        <v>45848.387384259258</v>
      </c>
      <c r="O27" s="10"/>
      <c r="P27" s="74" t="s">
        <v>86</v>
      </c>
      <c r="Q27" s="74" t="s">
        <v>86</v>
      </c>
      <c r="R27" s="78" t="s">
        <v>148</v>
      </c>
      <c r="S27" s="73" t="s">
        <v>149</v>
      </c>
      <c r="T27" s="79" t="s">
        <v>118</v>
      </c>
      <c r="U27" s="79" t="s">
        <v>119</v>
      </c>
      <c r="V27" s="78" t="s">
        <v>277</v>
      </c>
      <c r="W27" s="74" t="s">
        <v>138</v>
      </c>
      <c r="X27" s="60">
        <v>0</v>
      </c>
      <c r="Y27" s="80" t="s">
        <v>93</v>
      </c>
      <c r="Z27" s="80" t="s">
        <v>94</v>
      </c>
      <c r="AA27" s="74" t="s">
        <v>179</v>
      </c>
      <c r="AB27" s="74">
        <v>0</v>
      </c>
      <c r="AC27" s="51">
        <f>IF(AND(W27="SOPORTE_TELEFÓNICO",OR(U27="SIN CONTACTO CON EL CB",U27="NÚMEROS DE CONTACTO ERRADOS")),0,IF(W27="SOPORTE_TELEFÓNICO",'BASE DE LIQUIDACION 2025'!$B$9,IF(Y27="TIPO I",'BASE DE LIQUIDACION 2025'!$C$3,IF(Y27="TIPO II",'BASE DE LIQUIDACION 2025'!$C$4,IF(Y27="TIPO III",'BASE DE LIQUIDACION 2025'!$C$5,'BASE DE LIQUIDACION 2025'!$C$6)))))</f>
        <v>37904.612000000001</v>
      </c>
      <c r="AD27" s="51">
        <f>IF(W27="SOPORTE_TELEFÓNICO",AC27,CIERRES!AB27*CIERRES!AC27)</f>
        <v>37904.612000000001</v>
      </c>
    </row>
    <row r="28" spans="1:30" s="81" customFormat="1" ht="13.15">
      <c r="A28" s="73" t="s">
        <v>131</v>
      </c>
      <c r="B28" s="50" t="str">
        <f>VLOOKUP(A28,'CENTRO DE COSTOS'!A:D,4,FALSE)</f>
        <v>KEVIN ALEXIS CORZO BUSTOS</v>
      </c>
      <c r="C28" s="50" t="str">
        <f>VLOOKUP(A28,'CENTRO DE COSTOS'!A:C,2,FALSE)</f>
        <v>0004-0007</v>
      </c>
      <c r="D28" s="74">
        <v>50568</v>
      </c>
      <c r="E28" s="74" t="s">
        <v>278</v>
      </c>
      <c r="F28" s="73">
        <v>72483</v>
      </c>
      <c r="G28" s="74" t="s">
        <v>80</v>
      </c>
      <c r="H28" s="73" t="s">
        <v>207</v>
      </c>
      <c r="I28" s="73" t="s">
        <v>279</v>
      </c>
      <c r="J28" s="73" t="s">
        <v>280</v>
      </c>
      <c r="K28" s="74" t="s">
        <v>84</v>
      </c>
      <c r="L28" s="75" t="s">
        <v>281</v>
      </c>
      <c r="M28" s="75">
        <v>45847.543055555558</v>
      </c>
      <c r="N28" s="75">
        <v>45848.425462962958</v>
      </c>
      <c r="O28" s="10"/>
      <c r="P28" s="74" t="s">
        <v>86</v>
      </c>
      <c r="Q28" s="74" t="s">
        <v>86</v>
      </c>
      <c r="R28" s="78" t="s">
        <v>88</v>
      </c>
      <c r="S28" s="73" t="s">
        <v>88</v>
      </c>
      <c r="T28" s="79" t="s">
        <v>89</v>
      </c>
      <c r="U28" s="79" t="s">
        <v>90</v>
      </c>
      <c r="V28" s="78" t="s">
        <v>282</v>
      </c>
      <c r="W28" s="74" t="s">
        <v>92</v>
      </c>
      <c r="X28" s="60">
        <v>0</v>
      </c>
      <c r="Y28" s="80" t="s">
        <v>178</v>
      </c>
      <c r="Z28" s="80" t="s">
        <v>94</v>
      </c>
      <c r="AA28" s="74" t="s">
        <v>211</v>
      </c>
      <c r="AB28" s="74">
        <v>1</v>
      </c>
      <c r="AC28" s="51">
        <f>IF(AND(W28="SOPORTE_TELEFÓNICO",OR(U28="SIN CONTACTO CON EL CB",U28="NÚMEROS DE CONTACTO ERRADOS")),0,IF(W28="SOPORTE_TELEFÓNICO",'BASE DE LIQUIDACION 2025'!$B$9,IF(Y28="TIPO I",'BASE DE LIQUIDACION 2025'!$C$3,IF(Y28="TIPO II",'BASE DE LIQUIDACION 2025'!$C$4,IF(Y28="TIPO III",'BASE DE LIQUIDACION 2025'!$C$5,'BASE DE LIQUIDACION 2025'!$C$6)))))</f>
        <v>222904.07200000001</v>
      </c>
      <c r="AD28" s="51">
        <f>IF(W28="SOPORTE_TELEFÓNICO",AC28,CIERRES!AB28*CIERRES!AC28)</f>
        <v>222904.07200000001</v>
      </c>
    </row>
    <row r="29" spans="1:30" s="81" customFormat="1" ht="13.15">
      <c r="A29" s="73" t="s">
        <v>104</v>
      </c>
      <c r="B29" s="50" t="str">
        <f>VLOOKUP(A29,'CENTRO DE COSTOS'!A:D,4,FALSE)</f>
        <v>DIEGO FERNANDO HENAO CARDONA</v>
      </c>
      <c r="C29" s="50" t="str">
        <f>VLOOKUP(A29,'CENTRO DE COSTOS'!A:C,2,FALSE)</f>
        <v>0004-0003</v>
      </c>
      <c r="D29" s="74">
        <v>76001</v>
      </c>
      <c r="E29" s="74" t="s">
        <v>283</v>
      </c>
      <c r="F29" s="73">
        <v>58164</v>
      </c>
      <c r="G29" s="74" t="s">
        <v>80</v>
      </c>
      <c r="H29" s="73" t="s">
        <v>144</v>
      </c>
      <c r="I29" s="73" t="s">
        <v>104</v>
      </c>
      <c r="J29" s="73" t="s">
        <v>284</v>
      </c>
      <c r="K29" s="74" t="s">
        <v>84</v>
      </c>
      <c r="L29" s="75" t="s">
        <v>285</v>
      </c>
      <c r="M29" s="75">
        <v>45847.452777777777</v>
      </c>
      <c r="N29" s="75">
        <v>45848.472534722219</v>
      </c>
      <c r="O29" s="10"/>
      <c r="P29" s="74" t="s">
        <v>86</v>
      </c>
      <c r="Q29" s="74" t="s">
        <v>86</v>
      </c>
      <c r="R29" s="78" t="s">
        <v>148</v>
      </c>
      <c r="S29" s="73" t="s">
        <v>286</v>
      </c>
      <c r="T29" s="79" t="s">
        <v>89</v>
      </c>
      <c r="U29" s="79" t="s">
        <v>90</v>
      </c>
      <c r="V29" s="78" t="s">
        <v>287</v>
      </c>
      <c r="W29" s="74" t="s">
        <v>92</v>
      </c>
      <c r="X29" s="60" t="s">
        <v>288</v>
      </c>
      <c r="Y29" s="80" t="s">
        <v>102</v>
      </c>
      <c r="Z29" s="80" t="s">
        <v>94</v>
      </c>
      <c r="AA29" s="74" t="s">
        <v>272</v>
      </c>
      <c r="AB29" s="74">
        <v>1</v>
      </c>
      <c r="AC29" s="51">
        <f>IF(AND(W29="SOPORTE_TELEFÓNICO",OR(U29="SIN CONTACTO CON EL CB",U29="NÚMEROS DE CONTACTO ERRADOS")),0,IF(W29="SOPORTE_TELEFÓNICO",'BASE DE LIQUIDACION 2025'!$B$9,IF(Y29="TIPO I",'BASE DE LIQUIDACION 2025'!$C$3,IF(Y29="TIPO II",'BASE DE LIQUIDACION 2025'!$C$4,IF(Y29="TIPO III",'BASE DE LIQUIDACION 2025'!$C$5,'BASE DE LIQUIDACION 2025'!$C$6)))))</f>
        <v>44559.563999999998</v>
      </c>
      <c r="AD29" s="51">
        <f>IF(W29="SOPORTE_TELEFÓNICO",AC29,CIERRES!AB29*CIERRES!AC29)</f>
        <v>44559.563999999998</v>
      </c>
    </row>
    <row r="30" spans="1:30" s="81" customFormat="1" ht="13.15">
      <c r="A30" s="73" t="s">
        <v>194</v>
      </c>
      <c r="B30" s="50" t="str">
        <f>VLOOKUP(A30,'CENTRO DE COSTOS'!A:D,4,FALSE)</f>
        <v>KEVIN ALEXIS CORZO BUSTOS</v>
      </c>
      <c r="C30" s="50" t="str">
        <f>VLOOKUP(A30,'CENTRO DE COSTOS'!A:C,2,FALSE)</f>
        <v>0004-0007</v>
      </c>
      <c r="D30" s="74">
        <v>17380</v>
      </c>
      <c r="E30" s="74" t="s">
        <v>289</v>
      </c>
      <c r="F30" s="73">
        <v>44954</v>
      </c>
      <c r="G30" s="74" t="s">
        <v>80</v>
      </c>
      <c r="H30" s="73" t="s">
        <v>290</v>
      </c>
      <c r="I30" s="73" t="s">
        <v>291</v>
      </c>
      <c r="J30" s="73" t="s">
        <v>292</v>
      </c>
      <c r="K30" s="74" t="s">
        <v>84</v>
      </c>
      <c r="L30" s="75" t="s">
        <v>293</v>
      </c>
      <c r="M30" s="75">
        <v>45847.452777777777</v>
      </c>
      <c r="N30" s="75">
        <v>45848.682638888888</v>
      </c>
      <c r="O30" s="10"/>
      <c r="P30" s="74" t="s">
        <v>86</v>
      </c>
      <c r="Q30" s="74" t="s">
        <v>86</v>
      </c>
      <c r="R30" s="78" t="s">
        <v>148</v>
      </c>
      <c r="S30" s="73" t="s">
        <v>149</v>
      </c>
      <c r="T30" s="79" t="s">
        <v>118</v>
      </c>
      <c r="U30" s="79" t="s">
        <v>119</v>
      </c>
      <c r="V30" s="78" t="s">
        <v>294</v>
      </c>
      <c r="W30" s="74" t="s">
        <v>138</v>
      </c>
      <c r="X30" s="60">
        <v>0</v>
      </c>
      <c r="Y30" s="80" t="s">
        <v>178</v>
      </c>
      <c r="Z30" s="80" t="s">
        <v>94</v>
      </c>
      <c r="AA30" s="74" t="s">
        <v>238</v>
      </c>
      <c r="AB30" s="74">
        <v>0</v>
      </c>
      <c r="AC30" s="51">
        <f>IF(AND(W30="SOPORTE_TELEFÓNICO",OR(U30="SIN CONTACTO CON EL CB",U30="NÚMEROS DE CONTACTO ERRADOS")),0,IF(W30="SOPORTE_TELEFÓNICO",'BASE DE LIQUIDACION 2025'!$B$9,IF(Y30="TIPO I",'BASE DE LIQUIDACION 2025'!$C$3,IF(Y30="TIPO II",'BASE DE LIQUIDACION 2025'!$C$4,IF(Y30="TIPO III",'BASE DE LIQUIDACION 2025'!$C$5,'BASE DE LIQUIDACION 2025'!$C$6)))))</f>
        <v>37904.612000000001</v>
      </c>
      <c r="AD30" s="51">
        <f>IF(W30="SOPORTE_TELEFÓNICO",AC30,CIERRES!AB30*CIERRES!AC30)</f>
        <v>37904.612000000001</v>
      </c>
    </row>
    <row r="31" spans="1:30" s="81" customFormat="1" ht="13.15">
      <c r="A31" s="73" t="s">
        <v>243</v>
      </c>
      <c r="B31" s="50" t="str">
        <f>VLOOKUP(A31,'CENTRO DE COSTOS'!A:D,4,FALSE)</f>
        <v>KEVIN ALEXIS CORZO BUSTOS</v>
      </c>
      <c r="C31" s="50" t="str">
        <f>VLOOKUP(A31,'CENTRO DE COSTOS'!A:C,2,FALSE)</f>
        <v>0004-0007</v>
      </c>
      <c r="D31" s="74">
        <v>41001</v>
      </c>
      <c r="E31" s="74" t="s">
        <v>295</v>
      </c>
      <c r="F31" s="73">
        <v>45438</v>
      </c>
      <c r="G31" s="74" t="s">
        <v>80</v>
      </c>
      <c r="H31" s="73" t="s">
        <v>296</v>
      </c>
      <c r="I31" s="73" t="s">
        <v>243</v>
      </c>
      <c r="J31" s="73" t="s">
        <v>297</v>
      </c>
      <c r="K31" s="74" t="s">
        <v>84</v>
      </c>
      <c r="L31" s="75" t="s">
        <v>298</v>
      </c>
      <c r="M31" s="75">
        <v>45847.452777777777</v>
      </c>
      <c r="N31" s="75">
        <v>45848.700694444444</v>
      </c>
      <c r="O31" s="10"/>
      <c r="P31" s="74" t="s">
        <v>86</v>
      </c>
      <c r="Q31" s="74" t="s">
        <v>86</v>
      </c>
      <c r="R31" s="78" t="s">
        <v>148</v>
      </c>
      <c r="S31" s="73" t="s">
        <v>149</v>
      </c>
      <c r="T31" s="79" t="s">
        <v>118</v>
      </c>
      <c r="U31" s="79" t="s">
        <v>119</v>
      </c>
      <c r="V31" s="78" t="s">
        <v>299</v>
      </c>
      <c r="W31" s="74" t="s">
        <v>92</v>
      </c>
      <c r="X31" s="60" t="s">
        <v>300</v>
      </c>
      <c r="Y31" s="80" t="s">
        <v>102</v>
      </c>
      <c r="Z31" s="80" t="s">
        <v>94</v>
      </c>
      <c r="AA31" s="74" t="s">
        <v>301</v>
      </c>
      <c r="AB31" s="74">
        <v>1</v>
      </c>
      <c r="AC31" s="51">
        <f>IF(AND(W31="SOPORTE_TELEFÓNICO",OR(U31="SIN CONTACTO CON EL CB",U31="NÚMEROS DE CONTACTO ERRADOS")),0,IF(W31="SOPORTE_TELEFÓNICO",'BASE DE LIQUIDACION 2025'!$B$9,IF(Y31="TIPO I",'BASE DE LIQUIDACION 2025'!$C$3,IF(Y31="TIPO II",'BASE DE LIQUIDACION 2025'!$C$4,IF(Y31="TIPO III",'BASE DE LIQUIDACION 2025'!$C$5,'BASE DE LIQUIDACION 2025'!$C$6)))))</f>
        <v>44559.563999999998</v>
      </c>
      <c r="AD31" s="51">
        <f>IF(W31="SOPORTE_TELEFÓNICO",AC31,CIERRES!AB31*CIERRES!AC31)</f>
        <v>44559.563999999998</v>
      </c>
    </row>
    <row r="32" spans="1:30" s="81" customFormat="1" ht="13.15">
      <c r="A32" s="73" t="s">
        <v>302</v>
      </c>
      <c r="B32" s="50" t="str">
        <f>VLOOKUP(A32,'CENTRO DE COSTOS'!A:D,4,FALSE)</f>
        <v>MIGUEL JULIÁN HERNÁNDEZ GUARÍN</v>
      </c>
      <c r="C32" s="50" t="str">
        <f>VLOOKUP(A32,'CENTRO DE COSTOS'!A:C,2,FALSE)</f>
        <v>0004-0008</v>
      </c>
      <c r="D32" s="74">
        <v>68755</v>
      </c>
      <c r="E32" s="74" t="s">
        <v>303</v>
      </c>
      <c r="F32" s="73">
        <v>67285</v>
      </c>
      <c r="G32" s="74" t="s">
        <v>80</v>
      </c>
      <c r="H32" s="73" t="s">
        <v>304</v>
      </c>
      <c r="I32" s="73" t="s">
        <v>305</v>
      </c>
      <c r="J32" s="73" t="s">
        <v>306</v>
      </c>
      <c r="K32" s="74" t="s">
        <v>84</v>
      </c>
      <c r="L32" s="75" t="s">
        <v>307</v>
      </c>
      <c r="M32" s="75">
        <v>45847.543055555558</v>
      </c>
      <c r="N32" s="75">
        <v>45848.707638888889</v>
      </c>
      <c r="O32" s="10"/>
      <c r="P32" s="74" t="s">
        <v>86</v>
      </c>
      <c r="Q32" s="74" t="s">
        <v>86</v>
      </c>
      <c r="R32" s="78" t="s">
        <v>88</v>
      </c>
      <c r="S32" s="73" t="s">
        <v>88</v>
      </c>
      <c r="T32" s="79" t="s">
        <v>249</v>
      </c>
      <c r="U32" s="79" t="s">
        <v>250</v>
      </c>
      <c r="V32" s="78" t="s">
        <v>308</v>
      </c>
      <c r="W32" s="74" t="s">
        <v>138</v>
      </c>
      <c r="X32" s="60">
        <v>0</v>
      </c>
      <c r="Y32" s="80" t="s">
        <v>178</v>
      </c>
      <c r="Z32" s="80" t="s">
        <v>94</v>
      </c>
      <c r="AA32" s="74" t="s">
        <v>309</v>
      </c>
      <c r="AB32" s="74">
        <v>0</v>
      </c>
      <c r="AC32" s="51">
        <f>IF(AND(W32="SOPORTE_TELEFÓNICO",OR(U32="SIN CONTACTO CON EL CB",U32="NÚMEROS DE CONTACTO ERRADOS")),0,IF(W32="SOPORTE_TELEFÓNICO",'BASE DE LIQUIDACION 2025'!$B$9,IF(Y32="TIPO I",'BASE DE LIQUIDACION 2025'!$C$3,IF(Y32="TIPO II",'BASE DE LIQUIDACION 2025'!$C$4,IF(Y32="TIPO III",'BASE DE LIQUIDACION 2025'!$C$5,'BASE DE LIQUIDACION 2025'!$C$6)))))</f>
        <v>37904.612000000001</v>
      </c>
      <c r="AD32" s="51">
        <f>IF(W32="SOPORTE_TELEFÓNICO",AC32,CIERRES!AB32*CIERRES!AC32)</f>
        <v>37904.612000000001</v>
      </c>
    </row>
    <row r="33" spans="1:30" s="81" customFormat="1" ht="13.15">
      <c r="A33" s="73" t="s">
        <v>159</v>
      </c>
      <c r="B33" s="50" t="str">
        <f>VLOOKUP(A33,'CENTRO DE COSTOS'!A:D,4,FALSE)</f>
        <v>JUAN SEBASTIÁN RÍOS CASTRILLÓN</v>
      </c>
      <c r="C33" s="50" t="str">
        <f>VLOOKUP(A33,'CENTRO DE COSTOS'!A:C,2,FALSE)</f>
        <v>0004-0005</v>
      </c>
      <c r="D33" s="74">
        <v>15572</v>
      </c>
      <c r="E33" s="74" t="s">
        <v>310</v>
      </c>
      <c r="F33" s="73">
        <v>52844</v>
      </c>
      <c r="G33" s="74" t="s">
        <v>80</v>
      </c>
      <c r="H33" s="73" t="s">
        <v>188</v>
      </c>
      <c r="I33" s="73" t="s">
        <v>311</v>
      </c>
      <c r="J33" s="73" t="s">
        <v>312</v>
      </c>
      <c r="K33" s="74" t="s">
        <v>84</v>
      </c>
      <c r="L33" s="75" t="s">
        <v>313</v>
      </c>
      <c r="M33" s="75">
        <v>45847.452777777777</v>
      </c>
      <c r="N33" s="75">
        <v>45848.717361111114</v>
      </c>
      <c r="O33" s="10"/>
      <c r="P33" s="74" t="s">
        <v>86</v>
      </c>
      <c r="Q33" s="74" t="s">
        <v>86</v>
      </c>
      <c r="R33" s="78" t="s">
        <v>148</v>
      </c>
      <c r="S33" s="73" t="s">
        <v>149</v>
      </c>
      <c r="T33" s="79" t="s">
        <v>118</v>
      </c>
      <c r="U33" s="79" t="s">
        <v>119</v>
      </c>
      <c r="V33" s="78" t="s">
        <v>314</v>
      </c>
      <c r="W33" s="74" t="s">
        <v>92</v>
      </c>
      <c r="X33" s="60" t="s">
        <v>315</v>
      </c>
      <c r="Y33" s="80" t="s">
        <v>129</v>
      </c>
      <c r="Z33" s="80" t="s">
        <v>94</v>
      </c>
      <c r="AA33" s="74" t="s">
        <v>316</v>
      </c>
      <c r="AB33" s="74">
        <v>1</v>
      </c>
      <c r="AC33" s="51">
        <f>IF(AND(W33="SOPORTE_TELEFÓNICO",OR(U33="SIN CONTACTO CON EL CB",U33="NÚMEROS DE CONTACTO ERRADOS")),0,IF(W33="SOPORTE_TELEFÓNICO",'BASE DE LIQUIDACION 2025'!$B$9,IF(Y33="TIPO I",'BASE DE LIQUIDACION 2025'!$C$3,IF(Y33="TIPO II",'BASE DE LIQUIDACION 2025'!$C$4,IF(Y33="TIPO III",'BASE DE LIQUIDACION 2025'!$C$5,'BASE DE LIQUIDACION 2025'!$C$6)))))</f>
        <v>464809.36800000002</v>
      </c>
      <c r="AD33" s="51">
        <f>IF(W33="SOPORTE_TELEFÓNICO",AC33,CIERRES!AB33*CIERRES!AC33)</f>
        <v>464809.36800000002</v>
      </c>
    </row>
    <row r="34" spans="1:30" s="81" customFormat="1" ht="13.15">
      <c r="A34" s="73" t="s">
        <v>317</v>
      </c>
      <c r="B34" s="50" t="str">
        <f>VLOOKUP(A34,'CENTRO DE COSTOS'!A:D,4,FALSE)</f>
        <v>KEVIN ALEXIS CORZO BUSTOS</v>
      </c>
      <c r="C34" s="50" t="str">
        <f>VLOOKUP(A34,'CENTRO DE COSTOS'!A:C,2,FALSE)</f>
        <v>0004-0007</v>
      </c>
      <c r="D34" s="74">
        <v>85001</v>
      </c>
      <c r="E34" s="74" t="s">
        <v>318</v>
      </c>
      <c r="F34" s="73">
        <v>77381</v>
      </c>
      <c r="G34" s="74" t="s">
        <v>80</v>
      </c>
      <c r="H34" s="73" t="s">
        <v>319</v>
      </c>
      <c r="I34" s="73" t="s">
        <v>317</v>
      </c>
      <c r="J34" s="73" t="s">
        <v>320</v>
      </c>
      <c r="K34" s="74" t="s">
        <v>84</v>
      </c>
      <c r="L34" s="75" t="s">
        <v>321</v>
      </c>
      <c r="M34" s="75">
        <v>45842.69027777778</v>
      </c>
      <c r="N34" s="75">
        <v>45849.480555555558</v>
      </c>
      <c r="O34" s="10"/>
      <c r="P34" s="74" t="s">
        <v>86</v>
      </c>
      <c r="Q34" s="74" t="s">
        <v>86</v>
      </c>
      <c r="R34" s="78" t="s">
        <v>88</v>
      </c>
      <c r="S34" s="73" t="s">
        <v>88</v>
      </c>
      <c r="T34" s="79" t="s">
        <v>118</v>
      </c>
      <c r="U34" s="79" t="s">
        <v>322</v>
      </c>
      <c r="V34" s="78" t="s">
        <v>323</v>
      </c>
      <c r="W34" s="74" t="s">
        <v>92</v>
      </c>
      <c r="X34" s="60" t="s">
        <v>324</v>
      </c>
      <c r="Y34" s="80" t="s">
        <v>102</v>
      </c>
      <c r="Z34" s="80" t="s">
        <v>94</v>
      </c>
      <c r="AA34" s="74" t="s">
        <v>325</v>
      </c>
      <c r="AB34" s="74">
        <v>1</v>
      </c>
      <c r="AC34" s="51">
        <f>IF(AND(W34="SOPORTE_TELEFÓNICO",OR(U34="SIN CONTACTO CON EL CB",U34="NÚMEROS DE CONTACTO ERRADOS")),0,IF(W34="SOPORTE_TELEFÓNICO",'BASE DE LIQUIDACION 2025'!$B$9,IF(Y34="TIPO I",'BASE DE LIQUIDACION 2025'!$C$3,IF(Y34="TIPO II",'BASE DE LIQUIDACION 2025'!$C$4,IF(Y34="TIPO III",'BASE DE LIQUIDACION 2025'!$C$5,'BASE DE LIQUIDACION 2025'!$C$6)))))</f>
        <v>44559.563999999998</v>
      </c>
      <c r="AD34" s="51">
        <f>IF(W34="SOPORTE_TELEFÓNICO",AC34,CIERRES!AB34*CIERRES!AC34)</f>
        <v>44559.563999999998</v>
      </c>
    </row>
    <row r="35" spans="1:30" s="81" customFormat="1" ht="13.15">
      <c r="A35" s="73" t="s">
        <v>159</v>
      </c>
      <c r="B35" s="50" t="str">
        <f>VLOOKUP(A35,'CENTRO DE COSTOS'!A:D,4,FALSE)</f>
        <v>JUAN SEBASTIÁN RÍOS CASTRILLÓN</v>
      </c>
      <c r="C35" s="50" t="str">
        <f>VLOOKUP(A35,'CENTRO DE COSTOS'!A:C,2,FALSE)</f>
        <v>0004-0005</v>
      </c>
      <c r="D35" s="74">
        <v>5591</v>
      </c>
      <c r="E35" s="74" t="s">
        <v>326</v>
      </c>
      <c r="F35" s="73">
        <v>49149</v>
      </c>
      <c r="G35" s="74" t="s">
        <v>80</v>
      </c>
      <c r="H35" s="73" t="s">
        <v>161</v>
      </c>
      <c r="I35" s="73" t="s">
        <v>162</v>
      </c>
      <c r="J35" s="73" t="s">
        <v>327</v>
      </c>
      <c r="K35" s="74" t="s">
        <v>84</v>
      </c>
      <c r="L35" s="75" t="s">
        <v>328</v>
      </c>
      <c r="M35" s="75">
        <v>45847.452777777777</v>
      </c>
      <c r="N35" s="75">
        <v>45849.541666666664</v>
      </c>
      <c r="O35" s="10"/>
      <c r="P35" s="74" t="s">
        <v>86</v>
      </c>
      <c r="Q35" s="74" t="s">
        <v>86</v>
      </c>
      <c r="R35" s="78" t="s">
        <v>148</v>
      </c>
      <c r="S35" s="73" t="s">
        <v>149</v>
      </c>
      <c r="T35" s="79" t="s">
        <v>118</v>
      </c>
      <c r="U35" s="79" t="s">
        <v>119</v>
      </c>
      <c r="V35" s="78" t="s">
        <v>329</v>
      </c>
      <c r="W35" s="74" t="s">
        <v>92</v>
      </c>
      <c r="X35" s="60" t="s">
        <v>330</v>
      </c>
      <c r="Y35" s="80" t="s">
        <v>129</v>
      </c>
      <c r="Z35" s="80" t="s">
        <v>94</v>
      </c>
      <c r="AA35" s="74" t="s">
        <v>316</v>
      </c>
      <c r="AB35" s="74">
        <v>1</v>
      </c>
      <c r="AC35" s="51">
        <f>IF(AND(W35="SOPORTE_TELEFÓNICO",OR(U35="SIN CONTACTO CON EL CB",U35="NÚMEROS DE CONTACTO ERRADOS")),0,IF(W35="SOPORTE_TELEFÓNICO",'BASE DE LIQUIDACION 2025'!$B$9,IF(Y35="TIPO I",'BASE DE LIQUIDACION 2025'!$C$3,IF(Y35="TIPO II",'BASE DE LIQUIDACION 2025'!$C$4,IF(Y35="TIPO III",'BASE DE LIQUIDACION 2025'!$C$5,'BASE DE LIQUIDACION 2025'!$C$6)))))</f>
        <v>464809.36800000002</v>
      </c>
      <c r="AD35" s="51">
        <f>IF(W35="SOPORTE_TELEFÓNICO",AC35,CIERRES!AB35*CIERRES!AC35)</f>
        <v>464809.36800000002</v>
      </c>
    </row>
    <row r="36" spans="1:30" s="81" customFormat="1" ht="13.15">
      <c r="A36" s="73" t="s">
        <v>78</v>
      </c>
      <c r="B36" s="50" t="str">
        <f>VLOOKUP(A36,'CENTRO DE COSTOS'!A:D,4,FALSE)</f>
        <v>WILLIAM ASDRUBAL ROZO ROZO</v>
      </c>
      <c r="C36" s="50" t="str">
        <f>VLOOKUP(A36,'CENTRO DE COSTOS'!A:C,2,FALSE)</f>
        <v>0004-0004</v>
      </c>
      <c r="D36" s="74">
        <v>25785</v>
      </c>
      <c r="E36" s="74" t="s">
        <v>331</v>
      </c>
      <c r="F36" s="73">
        <v>51358</v>
      </c>
      <c r="G36" s="74" t="s">
        <v>80</v>
      </c>
      <c r="H36" s="73" t="s">
        <v>81</v>
      </c>
      <c r="I36" s="73" t="s">
        <v>332</v>
      </c>
      <c r="J36" s="73" t="s">
        <v>333</v>
      </c>
      <c r="K36" s="74" t="s">
        <v>84</v>
      </c>
      <c r="L36" s="75" t="s">
        <v>334</v>
      </c>
      <c r="M36" s="75">
        <v>45845.638888888891</v>
      </c>
      <c r="N36" s="75">
        <v>45849.717361111114</v>
      </c>
      <c r="O36" s="10"/>
      <c r="P36" s="74" t="s">
        <v>86</v>
      </c>
      <c r="Q36" s="74" t="s">
        <v>335</v>
      </c>
      <c r="R36" s="78" t="s">
        <v>257</v>
      </c>
      <c r="S36" s="73" t="s">
        <v>258</v>
      </c>
      <c r="T36" s="79" t="s">
        <v>118</v>
      </c>
      <c r="U36" s="79" t="s">
        <v>119</v>
      </c>
      <c r="V36" s="78" t="s">
        <v>336</v>
      </c>
      <c r="W36" s="74" t="s">
        <v>92</v>
      </c>
      <c r="X36" s="60" t="s">
        <v>330</v>
      </c>
      <c r="Y36" s="80" t="s">
        <v>93</v>
      </c>
      <c r="Z36" s="80" t="s">
        <v>94</v>
      </c>
      <c r="AA36" s="74" t="s">
        <v>337</v>
      </c>
      <c r="AB36" s="74">
        <v>1</v>
      </c>
      <c r="AC36" s="51">
        <f>IF(AND(W36="SOPORTE_TELEFÓNICO",OR(U36="SIN CONTACTO CON EL CB",U36="NÚMEROS DE CONTACTO ERRADOS")),0,IF(W36="SOPORTE_TELEFÓNICO",'BASE DE LIQUIDACION 2025'!$B$9,IF(Y36="TIPO I",'BASE DE LIQUIDACION 2025'!$C$3,IF(Y36="TIPO II",'BASE DE LIQUIDACION 2025'!$C$4,IF(Y36="TIPO III",'BASE DE LIQUIDACION 2025'!$C$5,'BASE DE LIQUIDACION 2025'!$C$6)))))</f>
        <v>134410.88400000002</v>
      </c>
      <c r="AD36" s="51">
        <f>IF(W36="SOPORTE_TELEFÓNICO",AC36,CIERRES!AB36*CIERRES!AC36)</f>
        <v>134410.88400000002</v>
      </c>
    </row>
    <row r="37" spans="1:30" s="81" customFormat="1" ht="13.15">
      <c r="A37" s="73" t="s">
        <v>113</v>
      </c>
      <c r="B37" s="50" t="str">
        <f>VLOOKUP(A37,'CENTRO DE COSTOS'!A:D,4,FALSE)</f>
        <v>JOSE MAURICIO HERNANDEZ ROJAS</v>
      </c>
      <c r="C37" s="50" t="str">
        <f>VLOOKUP(A37,'CENTRO DE COSTOS'!A:C,2,FALSE)</f>
        <v>0004-0001</v>
      </c>
      <c r="D37" s="74">
        <v>23079</v>
      </c>
      <c r="E37" s="74" t="s">
        <v>338</v>
      </c>
      <c r="F37" s="73">
        <v>62995</v>
      </c>
      <c r="G37" s="74" t="s">
        <v>80</v>
      </c>
      <c r="H37" s="73" t="s">
        <v>115</v>
      </c>
      <c r="I37" s="73" t="s">
        <v>339</v>
      </c>
      <c r="J37" s="73" t="s">
        <v>340</v>
      </c>
      <c r="K37" s="74" t="s">
        <v>84</v>
      </c>
      <c r="L37" s="75" t="s">
        <v>341</v>
      </c>
      <c r="M37" s="75">
        <v>45845.65347222222</v>
      </c>
      <c r="N37" s="75">
        <v>45849.718055555553</v>
      </c>
      <c r="O37" s="10"/>
      <c r="P37" s="74" t="s">
        <v>86</v>
      </c>
      <c r="Q37" s="74" t="s">
        <v>86</v>
      </c>
      <c r="R37" s="78" t="s">
        <v>88</v>
      </c>
      <c r="S37" s="73" t="s">
        <v>88</v>
      </c>
      <c r="T37" s="79" t="s">
        <v>89</v>
      </c>
      <c r="U37" s="79" t="s">
        <v>90</v>
      </c>
      <c r="V37" s="78" t="s">
        <v>342</v>
      </c>
      <c r="W37" s="74" t="s">
        <v>92</v>
      </c>
      <c r="X37" s="60" t="s">
        <v>343</v>
      </c>
      <c r="Y37" s="80" t="s">
        <v>93</v>
      </c>
      <c r="Z37" s="80" t="s">
        <v>94</v>
      </c>
      <c r="AA37" s="74" t="s">
        <v>344</v>
      </c>
      <c r="AB37" s="74">
        <v>1</v>
      </c>
      <c r="AC37" s="51">
        <f>IF(AND(W37="SOPORTE_TELEFÓNICO",OR(U37="SIN CONTACTO CON EL CB",U37="NÚMEROS DE CONTACTO ERRADOS")),0,IF(W37="SOPORTE_TELEFÓNICO",'BASE DE LIQUIDACION 2025'!$B$9,IF(Y37="TIPO I",'BASE DE LIQUIDACION 2025'!$C$3,IF(Y37="TIPO II",'BASE DE LIQUIDACION 2025'!$C$4,IF(Y37="TIPO III",'BASE DE LIQUIDACION 2025'!$C$5,'BASE DE LIQUIDACION 2025'!$C$6)))))</f>
        <v>134410.88400000002</v>
      </c>
      <c r="AD37" s="51">
        <f>IF(W37="SOPORTE_TELEFÓNICO",AC37,CIERRES!AB37*CIERRES!AC37)</f>
        <v>134410.88400000002</v>
      </c>
    </row>
    <row r="38" spans="1:30" s="81" customFormat="1" ht="13.15">
      <c r="A38" s="73" t="s">
        <v>186</v>
      </c>
      <c r="B38" s="50" t="str">
        <f>VLOOKUP(A38,'CENTRO DE COSTOS'!A:D,4,FALSE)</f>
        <v>MIGUEL JULIÁN HERNÁNDEZ GUARÍN</v>
      </c>
      <c r="C38" s="50" t="str">
        <f>VLOOKUP(A38,'CENTRO DE COSTOS'!A:C,2,FALSE)</f>
        <v>0004-0008</v>
      </c>
      <c r="D38" s="74">
        <v>15238</v>
      </c>
      <c r="E38" s="74" t="s">
        <v>345</v>
      </c>
      <c r="F38" s="73">
        <v>75698</v>
      </c>
      <c r="G38" s="74" t="s">
        <v>80</v>
      </c>
      <c r="H38" s="73" t="s">
        <v>188</v>
      </c>
      <c r="I38" s="73" t="s">
        <v>189</v>
      </c>
      <c r="J38" s="73" t="s">
        <v>346</v>
      </c>
      <c r="K38" s="74" t="s">
        <v>84</v>
      </c>
      <c r="L38" s="75" t="s">
        <v>347</v>
      </c>
      <c r="M38" s="75">
        <v>45845.65347222222</v>
      </c>
      <c r="N38" s="75">
        <v>45849.722222222219</v>
      </c>
      <c r="O38" s="10"/>
      <c r="P38" s="74" t="s">
        <v>86</v>
      </c>
      <c r="Q38" s="74" t="s">
        <v>86</v>
      </c>
      <c r="R38" s="78" t="s">
        <v>88</v>
      </c>
      <c r="S38" s="73" t="s">
        <v>88</v>
      </c>
      <c r="T38" s="79" t="s">
        <v>268</v>
      </c>
      <c r="U38" s="79" t="s">
        <v>269</v>
      </c>
      <c r="V38" s="78" t="s">
        <v>348</v>
      </c>
      <c r="W38" s="74" t="s">
        <v>92</v>
      </c>
      <c r="X38" s="60" t="s">
        <v>349</v>
      </c>
      <c r="Y38" s="80" t="s">
        <v>93</v>
      </c>
      <c r="Z38" s="80" t="s">
        <v>94</v>
      </c>
      <c r="AA38" s="74" t="s">
        <v>350</v>
      </c>
      <c r="AB38" s="74">
        <v>1</v>
      </c>
      <c r="AC38" s="51">
        <f>IF(AND(W38="SOPORTE_TELEFÓNICO",OR(U38="SIN CONTACTO CON EL CB",U38="NÚMEROS DE CONTACTO ERRADOS")),0,IF(W38="SOPORTE_TELEFÓNICO",'BASE DE LIQUIDACION 2025'!$B$9,IF(Y38="TIPO I",'BASE DE LIQUIDACION 2025'!$C$3,IF(Y38="TIPO II",'BASE DE LIQUIDACION 2025'!$C$4,IF(Y38="TIPO III",'BASE DE LIQUIDACION 2025'!$C$5,'BASE DE LIQUIDACION 2025'!$C$6)))))</f>
        <v>134410.88400000002</v>
      </c>
      <c r="AD38" s="51">
        <f>IF(W38="SOPORTE_TELEFÓNICO",AC38,CIERRES!AB38*CIERRES!AC38)</f>
        <v>134410.88400000002</v>
      </c>
    </row>
    <row r="39" spans="1:30" s="81" customFormat="1" ht="13.15">
      <c r="A39" s="73" t="s">
        <v>104</v>
      </c>
      <c r="B39" s="50" t="str">
        <f>VLOOKUP(A39,'CENTRO DE COSTOS'!A:D,4,FALSE)</f>
        <v>DIEGO FERNANDO HENAO CARDONA</v>
      </c>
      <c r="C39" s="50" t="str">
        <f>VLOOKUP(A39,'CENTRO DE COSTOS'!A:C,2,FALSE)</f>
        <v>0004-0003</v>
      </c>
      <c r="D39" s="74">
        <v>76001</v>
      </c>
      <c r="E39" s="74" t="s">
        <v>351</v>
      </c>
      <c r="F39" s="73">
        <v>40257</v>
      </c>
      <c r="G39" s="74" t="s">
        <v>80</v>
      </c>
      <c r="H39" s="73" t="s">
        <v>144</v>
      </c>
      <c r="I39" s="73" t="s">
        <v>104</v>
      </c>
      <c r="J39" s="73" t="s">
        <v>352</v>
      </c>
      <c r="K39" s="74" t="s">
        <v>84</v>
      </c>
      <c r="L39" s="75" t="s">
        <v>353</v>
      </c>
      <c r="M39" s="75">
        <v>45845.65347222222</v>
      </c>
      <c r="N39" s="75">
        <v>45849.744444444441</v>
      </c>
      <c r="O39" s="10"/>
      <c r="P39" s="74" t="s">
        <v>86</v>
      </c>
      <c r="Q39" s="74" t="s">
        <v>86</v>
      </c>
      <c r="R39" s="78" t="s">
        <v>148</v>
      </c>
      <c r="S39" s="73" t="s">
        <v>286</v>
      </c>
      <c r="T39" s="79" t="s">
        <v>268</v>
      </c>
      <c r="U39" s="79" t="s">
        <v>269</v>
      </c>
      <c r="V39" s="78" t="s">
        <v>354</v>
      </c>
      <c r="W39" s="74" t="s">
        <v>92</v>
      </c>
      <c r="X39" s="60" t="s">
        <v>355</v>
      </c>
      <c r="Y39" s="80" t="s">
        <v>102</v>
      </c>
      <c r="Z39" s="80" t="s">
        <v>94</v>
      </c>
      <c r="AA39" s="74" t="s">
        <v>356</v>
      </c>
      <c r="AB39" s="74">
        <v>1</v>
      </c>
      <c r="AC39" s="51">
        <f>IF(AND(W39="SOPORTE_TELEFÓNICO",OR(U39="SIN CONTACTO CON EL CB",U39="NÚMEROS DE CONTACTO ERRADOS")),0,IF(W39="SOPORTE_TELEFÓNICO",'BASE DE LIQUIDACION 2025'!$B$9,IF(Y39="TIPO I",'BASE DE LIQUIDACION 2025'!$C$3,IF(Y39="TIPO II",'BASE DE LIQUIDACION 2025'!$C$4,IF(Y39="TIPO III",'BASE DE LIQUIDACION 2025'!$C$5,'BASE DE LIQUIDACION 2025'!$C$6)))))</f>
        <v>44559.563999999998</v>
      </c>
      <c r="AD39" s="51">
        <f>IF(W39="SOPORTE_TELEFÓNICO",AC39,CIERRES!AB39*CIERRES!AC39)</f>
        <v>44559.563999999998</v>
      </c>
    </row>
    <row r="40" spans="1:30" s="81" customFormat="1" ht="13.15">
      <c r="A40" s="73" t="s">
        <v>357</v>
      </c>
      <c r="B40" s="50" t="str">
        <f>VLOOKUP(A40,'CENTRO DE COSTOS'!A:D,4,FALSE)</f>
        <v>MIGUEL JULIÁN HERNÁNDEZ GUARÍN</v>
      </c>
      <c r="C40" s="50" t="str">
        <f>VLOOKUP(A40,'CENTRO DE COSTOS'!A:C,2,FALSE)</f>
        <v>0004-0008</v>
      </c>
      <c r="D40" s="74">
        <v>54405</v>
      </c>
      <c r="E40" s="74" t="s">
        <v>358</v>
      </c>
      <c r="F40" s="73">
        <v>77857</v>
      </c>
      <c r="G40" s="74" t="s">
        <v>80</v>
      </c>
      <c r="H40" s="73" t="s">
        <v>359</v>
      </c>
      <c r="I40" s="73" t="s">
        <v>360</v>
      </c>
      <c r="J40" s="73" t="s">
        <v>361</v>
      </c>
      <c r="K40" s="74" t="s">
        <v>84</v>
      </c>
      <c r="L40" s="75" t="s">
        <v>362</v>
      </c>
      <c r="M40" s="75">
        <v>45847.452777777777</v>
      </c>
      <c r="N40" s="75">
        <v>45849.74722222222</v>
      </c>
      <c r="O40" s="10"/>
      <c r="P40" s="74" t="s">
        <v>86</v>
      </c>
      <c r="Q40" s="74" t="s">
        <v>86</v>
      </c>
      <c r="R40" s="78" t="s">
        <v>148</v>
      </c>
      <c r="S40" s="73" t="s">
        <v>286</v>
      </c>
      <c r="T40" s="79" t="s">
        <v>89</v>
      </c>
      <c r="U40" s="79" t="s">
        <v>90</v>
      </c>
      <c r="V40" s="78" t="s">
        <v>363</v>
      </c>
      <c r="W40" s="74" t="s">
        <v>92</v>
      </c>
      <c r="X40" s="60" t="s">
        <v>330</v>
      </c>
      <c r="Y40" s="80" t="s">
        <v>102</v>
      </c>
      <c r="Z40" s="80" t="s">
        <v>94</v>
      </c>
      <c r="AA40" s="74" t="s">
        <v>364</v>
      </c>
      <c r="AB40" s="74">
        <v>1</v>
      </c>
      <c r="AC40" s="51">
        <f>IF(AND(W40="SOPORTE_TELEFÓNICO",OR(U40="SIN CONTACTO CON EL CB",U40="NÚMEROS DE CONTACTO ERRADOS")),0,IF(W40="SOPORTE_TELEFÓNICO",'BASE DE LIQUIDACION 2025'!$B$9,IF(Y40="TIPO I",'BASE DE LIQUIDACION 2025'!$C$3,IF(Y40="TIPO II",'BASE DE LIQUIDACION 2025'!$C$4,IF(Y40="TIPO III",'BASE DE LIQUIDACION 2025'!$C$5,'BASE DE LIQUIDACION 2025'!$C$6)))))</f>
        <v>44559.563999999998</v>
      </c>
      <c r="AD40" s="51">
        <f>IF(W40="SOPORTE_TELEFÓNICO",AC40,CIERRES!AB40*CIERRES!AC40)</f>
        <v>44559.563999999998</v>
      </c>
    </row>
    <row r="41" spans="1:30" s="81" customFormat="1" ht="13.15">
      <c r="A41" s="73" t="s">
        <v>186</v>
      </c>
      <c r="B41" s="50" t="str">
        <f>VLOOKUP(A41,'CENTRO DE COSTOS'!A:D,4,FALSE)</f>
        <v>MIGUEL JULIÁN HERNÁNDEZ GUARÍN</v>
      </c>
      <c r="C41" s="50" t="str">
        <f>VLOOKUP(A41,'CENTRO DE COSTOS'!A:C,2,FALSE)</f>
        <v>0004-0008</v>
      </c>
      <c r="D41" s="74">
        <v>15001</v>
      </c>
      <c r="E41" s="74" t="s">
        <v>365</v>
      </c>
      <c r="F41" s="73">
        <v>66790</v>
      </c>
      <c r="G41" s="74" t="s">
        <v>80</v>
      </c>
      <c r="H41" s="73" t="s">
        <v>188</v>
      </c>
      <c r="I41" s="73" t="s">
        <v>186</v>
      </c>
      <c r="J41" s="73" t="s">
        <v>366</v>
      </c>
      <c r="K41" s="74" t="s">
        <v>84</v>
      </c>
      <c r="L41" s="75" t="s">
        <v>367</v>
      </c>
      <c r="M41" s="75">
        <v>45849.484722222223</v>
      </c>
      <c r="N41" s="75">
        <v>45849.775694444441</v>
      </c>
      <c r="O41" s="10"/>
      <c r="P41" s="74" t="s">
        <v>86</v>
      </c>
      <c r="Q41" s="74" t="s">
        <v>86</v>
      </c>
      <c r="R41" s="78" t="s">
        <v>88</v>
      </c>
      <c r="S41" s="73" t="s">
        <v>88</v>
      </c>
      <c r="T41" s="79" t="s">
        <v>118</v>
      </c>
      <c r="U41" s="79" t="s">
        <v>119</v>
      </c>
      <c r="V41" s="78" t="s">
        <v>368</v>
      </c>
      <c r="W41" s="74" t="s">
        <v>92</v>
      </c>
      <c r="X41" s="60" t="s">
        <v>369</v>
      </c>
      <c r="Y41" s="80" t="s">
        <v>102</v>
      </c>
      <c r="Z41" s="80" t="s">
        <v>94</v>
      </c>
      <c r="AA41" s="74" t="s">
        <v>370</v>
      </c>
      <c r="AB41" s="74">
        <v>1</v>
      </c>
      <c r="AC41" s="51">
        <f>IF(AND(W41="SOPORTE_TELEFÓNICO",OR(U41="SIN CONTACTO CON EL CB",U41="NÚMEROS DE CONTACTO ERRADOS")),0,IF(W41="SOPORTE_TELEFÓNICO",'BASE DE LIQUIDACION 2025'!$B$9,IF(Y41="TIPO I",'BASE DE LIQUIDACION 2025'!$C$3,IF(Y41="TIPO II",'BASE DE LIQUIDACION 2025'!$C$4,IF(Y41="TIPO III",'BASE DE LIQUIDACION 2025'!$C$5,'BASE DE LIQUIDACION 2025'!$C$6)))))</f>
        <v>44559.563999999998</v>
      </c>
      <c r="AD41" s="51">
        <f>IF(W41="SOPORTE_TELEFÓNICO",AC41,CIERRES!AB41*CIERRES!AC41)</f>
        <v>44559.563999999998</v>
      </c>
    </row>
    <row r="42" spans="1:30" s="81" customFormat="1" ht="13.15">
      <c r="A42" s="73" t="s">
        <v>357</v>
      </c>
      <c r="B42" s="50" t="str">
        <f>VLOOKUP(A42,'CENTRO DE COSTOS'!A:D,4,FALSE)</f>
        <v>MIGUEL JULIÁN HERNÁNDEZ GUARÍN</v>
      </c>
      <c r="C42" s="50" t="str">
        <f>VLOOKUP(A42,'CENTRO DE COSTOS'!A:C,2,FALSE)</f>
        <v>0004-0008</v>
      </c>
      <c r="D42" s="74">
        <v>54001</v>
      </c>
      <c r="E42" s="74" t="s">
        <v>371</v>
      </c>
      <c r="F42" s="73">
        <v>66424</v>
      </c>
      <c r="G42" s="74" t="s">
        <v>80</v>
      </c>
      <c r="H42" s="73" t="s">
        <v>359</v>
      </c>
      <c r="I42" s="73" t="s">
        <v>357</v>
      </c>
      <c r="J42" s="73" t="s">
        <v>372</v>
      </c>
      <c r="K42" s="74" t="s">
        <v>84</v>
      </c>
      <c r="L42" s="75" t="s">
        <v>373</v>
      </c>
      <c r="M42" s="75">
        <v>45849.484722222223</v>
      </c>
      <c r="N42" s="75">
        <v>45849.788888888892</v>
      </c>
      <c r="O42" s="10"/>
      <c r="P42" s="74" t="s">
        <v>86</v>
      </c>
      <c r="Q42" s="74" t="s">
        <v>86</v>
      </c>
      <c r="R42" s="78" t="s">
        <v>88</v>
      </c>
      <c r="S42" s="73" t="s">
        <v>88</v>
      </c>
      <c r="T42" s="79" t="s">
        <v>89</v>
      </c>
      <c r="U42" s="79" t="s">
        <v>90</v>
      </c>
      <c r="V42" s="78" t="s">
        <v>374</v>
      </c>
      <c r="W42" s="74" t="s">
        <v>92</v>
      </c>
      <c r="X42" s="60">
        <v>0</v>
      </c>
      <c r="Y42" s="80" t="s">
        <v>102</v>
      </c>
      <c r="Z42" s="80" t="s">
        <v>94</v>
      </c>
      <c r="AA42" s="74" t="s">
        <v>375</v>
      </c>
      <c r="AB42" s="74">
        <v>1</v>
      </c>
      <c r="AC42" s="51">
        <f>IF(AND(W42="SOPORTE_TELEFÓNICO",OR(U42="SIN CONTACTO CON EL CB",U42="NÚMEROS DE CONTACTO ERRADOS")),0,IF(W42="SOPORTE_TELEFÓNICO",'BASE DE LIQUIDACION 2025'!$B$9,IF(Y42="TIPO I",'BASE DE LIQUIDACION 2025'!$C$3,IF(Y42="TIPO II",'BASE DE LIQUIDACION 2025'!$C$4,IF(Y42="TIPO III",'BASE DE LIQUIDACION 2025'!$C$5,'BASE DE LIQUIDACION 2025'!$C$6)))))</f>
        <v>44559.563999999998</v>
      </c>
      <c r="AD42" s="51">
        <f>IF(W42="SOPORTE_TELEFÓNICO",AC42,CIERRES!AB42*CIERRES!AC42)</f>
        <v>44559.563999999998</v>
      </c>
    </row>
    <row r="43" spans="1:30" s="81" customFormat="1" ht="13.15">
      <c r="A43" s="73" t="s">
        <v>302</v>
      </c>
      <c r="B43" s="50" t="str">
        <f>VLOOKUP(A43,'CENTRO DE COSTOS'!A:D,4,FALSE)</f>
        <v>MIGUEL JULIÁN HERNÁNDEZ GUARÍN</v>
      </c>
      <c r="C43" s="50" t="str">
        <f>VLOOKUP(A43,'CENTRO DE COSTOS'!A:C,2,FALSE)</f>
        <v>0004-0008</v>
      </c>
      <c r="D43" s="74">
        <v>68001</v>
      </c>
      <c r="E43" s="74" t="s">
        <v>376</v>
      </c>
      <c r="F43" s="73">
        <v>41962</v>
      </c>
      <c r="G43" s="74" t="s">
        <v>80</v>
      </c>
      <c r="H43" s="73" t="s">
        <v>304</v>
      </c>
      <c r="I43" s="73" t="s">
        <v>302</v>
      </c>
      <c r="J43" s="73" t="s">
        <v>377</v>
      </c>
      <c r="K43" s="74" t="s">
        <v>84</v>
      </c>
      <c r="L43" s="75" t="s">
        <v>378</v>
      </c>
      <c r="M43" s="75">
        <v>45849.484722222223</v>
      </c>
      <c r="N43" s="75">
        <v>45849.791666666664</v>
      </c>
      <c r="O43" s="10"/>
      <c r="P43" s="74" t="s">
        <v>86</v>
      </c>
      <c r="Q43" s="74" t="s">
        <v>86</v>
      </c>
      <c r="R43" s="78" t="s">
        <v>148</v>
      </c>
      <c r="S43" s="73" t="s">
        <v>286</v>
      </c>
      <c r="T43" s="79" t="s">
        <v>118</v>
      </c>
      <c r="U43" s="79" t="s">
        <v>119</v>
      </c>
      <c r="V43" s="78" t="s">
        <v>379</v>
      </c>
      <c r="W43" s="74" t="s">
        <v>92</v>
      </c>
      <c r="X43" s="60" t="s">
        <v>380</v>
      </c>
      <c r="Y43" s="80" t="s">
        <v>102</v>
      </c>
      <c r="Z43" s="80" t="s">
        <v>94</v>
      </c>
      <c r="AA43" s="74" t="s">
        <v>381</v>
      </c>
      <c r="AB43" s="74">
        <v>1</v>
      </c>
      <c r="AC43" s="51">
        <f>IF(AND(W43="SOPORTE_TELEFÓNICO",OR(U43="SIN CONTACTO CON EL CB",U43="NÚMEROS DE CONTACTO ERRADOS")),0,IF(W43="SOPORTE_TELEFÓNICO",'BASE DE LIQUIDACION 2025'!$B$9,IF(Y43="TIPO I",'BASE DE LIQUIDACION 2025'!$C$3,IF(Y43="TIPO II",'BASE DE LIQUIDACION 2025'!$C$4,IF(Y43="TIPO III",'BASE DE LIQUIDACION 2025'!$C$5,'BASE DE LIQUIDACION 2025'!$C$6)))))</f>
        <v>44559.563999999998</v>
      </c>
      <c r="AD43" s="51">
        <f>IF(W43="SOPORTE_TELEFÓNICO",AC43,CIERRES!AB43*CIERRES!AC43)</f>
        <v>44559.563999999998</v>
      </c>
    </row>
    <row r="44" spans="1:30" s="81" customFormat="1" ht="13.15">
      <c r="A44" s="73" t="s">
        <v>159</v>
      </c>
      <c r="B44" s="50" t="str">
        <f>VLOOKUP(A44,'CENTRO DE COSTOS'!A:D,4,FALSE)</f>
        <v>JUAN SEBASTIÁN RÍOS CASTRILLÓN</v>
      </c>
      <c r="C44" s="50" t="str">
        <f>VLOOKUP(A44,'CENTRO DE COSTOS'!A:C,2,FALSE)</f>
        <v>0004-0005</v>
      </c>
      <c r="D44" s="74">
        <v>5001</v>
      </c>
      <c r="E44" s="74" t="s">
        <v>382</v>
      </c>
      <c r="F44" s="73">
        <v>55025</v>
      </c>
      <c r="G44" s="74" t="s">
        <v>80</v>
      </c>
      <c r="H44" s="73" t="s">
        <v>161</v>
      </c>
      <c r="I44" s="73" t="s">
        <v>159</v>
      </c>
      <c r="J44" s="73" t="s">
        <v>383</v>
      </c>
      <c r="K44" s="74" t="s">
        <v>84</v>
      </c>
      <c r="L44" s="75" t="s">
        <v>384</v>
      </c>
      <c r="M44" s="75">
        <v>45849.484722222223</v>
      </c>
      <c r="N44" s="75">
        <v>45850.380555555559</v>
      </c>
      <c r="O44" s="10"/>
      <c r="P44" s="74" t="s">
        <v>86</v>
      </c>
      <c r="Q44" s="74" t="s">
        <v>87</v>
      </c>
      <c r="R44" s="78" t="s">
        <v>88</v>
      </c>
      <c r="S44" s="73" t="s">
        <v>88</v>
      </c>
      <c r="T44" s="79" t="s">
        <v>89</v>
      </c>
      <c r="U44" s="79" t="s">
        <v>90</v>
      </c>
      <c r="V44" s="78" t="s">
        <v>385</v>
      </c>
      <c r="W44" s="74" t="s">
        <v>92</v>
      </c>
      <c r="X44" s="60" t="s">
        <v>386</v>
      </c>
      <c r="Y44" s="80" t="s">
        <v>102</v>
      </c>
      <c r="Z44" s="80" t="s">
        <v>94</v>
      </c>
      <c r="AA44" s="74" t="s">
        <v>387</v>
      </c>
      <c r="AB44" s="74">
        <v>1</v>
      </c>
      <c r="AC44" s="51">
        <f>IF(AND(W44="SOPORTE_TELEFÓNICO",OR(U44="SIN CONTACTO CON EL CB",U44="NÚMEROS DE CONTACTO ERRADOS")),0,IF(W44="SOPORTE_TELEFÓNICO",'BASE DE LIQUIDACION 2025'!$B$9,IF(Y44="TIPO I",'BASE DE LIQUIDACION 2025'!$C$3,IF(Y44="TIPO II",'BASE DE LIQUIDACION 2025'!$C$4,IF(Y44="TIPO III",'BASE DE LIQUIDACION 2025'!$C$5,'BASE DE LIQUIDACION 2025'!$C$6)))))</f>
        <v>44559.563999999998</v>
      </c>
      <c r="AD44" s="51">
        <f>IF(W44="SOPORTE_TELEFÓNICO",AC44,CIERRES!AB44*CIERRES!AC44)</f>
        <v>44559.563999999998</v>
      </c>
    </row>
    <row r="45" spans="1:30" s="81" customFormat="1" ht="13.15">
      <c r="A45" s="73" t="s">
        <v>131</v>
      </c>
      <c r="B45" s="50" t="str">
        <f>VLOOKUP(A45,'CENTRO DE COSTOS'!A:D,4,FALSE)</f>
        <v>KEVIN ALEXIS CORZO BUSTOS</v>
      </c>
      <c r="C45" s="50" t="str">
        <f>VLOOKUP(A45,'CENTRO DE COSTOS'!A:C,2,FALSE)</f>
        <v>0004-0007</v>
      </c>
      <c r="D45" s="74">
        <v>50001</v>
      </c>
      <c r="E45" s="74" t="s">
        <v>388</v>
      </c>
      <c r="F45" s="73">
        <v>64155</v>
      </c>
      <c r="G45" s="74" t="s">
        <v>80</v>
      </c>
      <c r="H45" s="73" t="s">
        <v>207</v>
      </c>
      <c r="I45" s="73" t="s">
        <v>131</v>
      </c>
      <c r="J45" s="73" t="s">
        <v>389</v>
      </c>
      <c r="K45" s="74" t="s">
        <v>84</v>
      </c>
      <c r="L45" s="75" t="s">
        <v>390</v>
      </c>
      <c r="M45" s="75">
        <v>45849.484722222223</v>
      </c>
      <c r="N45" s="75">
        <v>45850.381249999999</v>
      </c>
      <c r="O45" s="10"/>
      <c r="P45" s="74" t="s">
        <v>86</v>
      </c>
      <c r="Q45" s="74" t="s">
        <v>86</v>
      </c>
      <c r="R45" s="78" t="s">
        <v>88</v>
      </c>
      <c r="S45" s="73" t="s">
        <v>88</v>
      </c>
      <c r="T45" s="79" t="s">
        <v>89</v>
      </c>
      <c r="U45" s="79" t="s">
        <v>90</v>
      </c>
      <c r="V45" s="78" t="s">
        <v>391</v>
      </c>
      <c r="W45" s="74" t="s">
        <v>92</v>
      </c>
      <c r="X45" s="60" t="s">
        <v>324</v>
      </c>
      <c r="Y45" s="80" t="s">
        <v>102</v>
      </c>
      <c r="Z45" s="80" t="s">
        <v>94</v>
      </c>
      <c r="AA45" s="74" t="s">
        <v>141</v>
      </c>
      <c r="AB45" s="74">
        <v>1</v>
      </c>
      <c r="AC45" s="51">
        <f>IF(AND(W45="SOPORTE_TELEFÓNICO",OR(U45="SIN CONTACTO CON EL CB",U45="NÚMEROS DE CONTACTO ERRADOS")),0,IF(W45="SOPORTE_TELEFÓNICO",'BASE DE LIQUIDACION 2025'!$B$9,IF(Y45="TIPO I",'BASE DE LIQUIDACION 2025'!$C$3,IF(Y45="TIPO II",'BASE DE LIQUIDACION 2025'!$C$4,IF(Y45="TIPO III",'BASE DE LIQUIDACION 2025'!$C$5,'BASE DE LIQUIDACION 2025'!$C$6)))))</f>
        <v>44559.563999999998</v>
      </c>
      <c r="AD45" s="51">
        <f>IF(W45="SOPORTE_TELEFÓNICO",AC45,CIERRES!AB45*CIERRES!AC45)</f>
        <v>44559.563999999998</v>
      </c>
    </row>
    <row r="46" spans="1:30" s="81" customFormat="1" ht="13.15">
      <c r="A46" s="73" t="s">
        <v>131</v>
      </c>
      <c r="B46" s="50" t="str">
        <f>VLOOKUP(A46,'CENTRO DE COSTOS'!A:D,4,FALSE)</f>
        <v>KEVIN ALEXIS CORZO BUSTOS</v>
      </c>
      <c r="C46" s="50" t="str">
        <f>VLOOKUP(A46,'CENTRO DE COSTOS'!A:C,2,FALSE)</f>
        <v>0004-0007</v>
      </c>
      <c r="D46" s="74">
        <v>50001</v>
      </c>
      <c r="E46" s="74" t="s">
        <v>392</v>
      </c>
      <c r="F46" s="73">
        <v>72605</v>
      </c>
      <c r="G46" s="74" t="s">
        <v>80</v>
      </c>
      <c r="H46" s="73" t="s">
        <v>207</v>
      </c>
      <c r="I46" s="73" t="s">
        <v>131</v>
      </c>
      <c r="J46" s="73" t="s">
        <v>393</v>
      </c>
      <c r="K46" s="74" t="s">
        <v>84</v>
      </c>
      <c r="L46" s="75" t="s">
        <v>394</v>
      </c>
      <c r="M46" s="75">
        <v>45849.484722222223</v>
      </c>
      <c r="N46" s="75">
        <v>45850.393750000003</v>
      </c>
      <c r="O46" s="10"/>
      <c r="P46" s="74" t="s">
        <v>86</v>
      </c>
      <c r="Q46" s="74" t="s">
        <v>86</v>
      </c>
      <c r="R46" s="78" t="s">
        <v>88</v>
      </c>
      <c r="S46" s="73" t="s">
        <v>88</v>
      </c>
      <c r="T46" s="79" t="s">
        <v>118</v>
      </c>
      <c r="U46" s="79" t="s">
        <v>119</v>
      </c>
      <c r="V46" s="78" t="s">
        <v>395</v>
      </c>
      <c r="W46" s="74" t="s">
        <v>92</v>
      </c>
      <c r="X46" s="60" t="s">
        <v>324</v>
      </c>
      <c r="Y46" s="80" t="s">
        <v>102</v>
      </c>
      <c r="Z46" s="80" t="s">
        <v>94</v>
      </c>
      <c r="AA46" s="74" t="s">
        <v>141</v>
      </c>
      <c r="AB46" s="74">
        <v>1</v>
      </c>
      <c r="AC46" s="51">
        <f>IF(AND(W46="SOPORTE_TELEFÓNICO",OR(U46="SIN CONTACTO CON EL CB",U46="NÚMEROS DE CONTACTO ERRADOS")),0,IF(W46="SOPORTE_TELEFÓNICO",'BASE DE LIQUIDACION 2025'!$B$9,IF(Y46="TIPO I",'BASE DE LIQUIDACION 2025'!$C$3,IF(Y46="TIPO II",'BASE DE LIQUIDACION 2025'!$C$4,IF(Y46="TIPO III",'BASE DE LIQUIDACION 2025'!$C$5,'BASE DE LIQUIDACION 2025'!$C$6)))))</f>
        <v>44559.563999999998</v>
      </c>
      <c r="AD46" s="51">
        <f>IF(W46="SOPORTE_TELEFÓNICO",AC46,CIERRES!AB46*CIERRES!AC46)</f>
        <v>44559.563999999998</v>
      </c>
    </row>
    <row r="47" spans="1:30" s="81" customFormat="1" ht="13.15">
      <c r="A47" s="73" t="s">
        <v>243</v>
      </c>
      <c r="B47" s="50" t="str">
        <f>VLOOKUP(A47,'CENTRO DE COSTOS'!A:D,4,FALSE)</f>
        <v>KEVIN ALEXIS CORZO BUSTOS</v>
      </c>
      <c r="C47" s="50" t="str">
        <f>VLOOKUP(A47,'CENTRO DE COSTOS'!A:C,2,FALSE)</f>
        <v>0004-0007</v>
      </c>
      <c r="D47" s="74">
        <v>18001</v>
      </c>
      <c r="E47" s="74" t="s">
        <v>396</v>
      </c>
      <c r="F47" s="73">
        <v>77627</v>
      </c>
      <c r="G47" s="74" t="s">
        <v>80</v>
      </c>
      <c r="H47" s="73" t="s">
        <v>245</v>
      </c>
      <c r="I47" s="73" t="s">
        <v>246</v>
      </c>
      <c r="J47" s="73" t="s">
        <v>397</v>
      </c>
      <c r="K47" s="74" t="s">
        <v>84</v>
      </c>
      <c r="L47" s="75" t="s">
        <v>398</v>
      </c>
      <c r="M47" s="75">
        <v>45849.484722222223</v>
      </c>
      <c r="N47" s="75">
        <v>45850.40902777778</v>
      </c>
      <c r="O47" s="10"/>
      <c r="P47" s="74" t="s">
        <v>86</v>
      </c>
      <c r="Q47" s="74" t="s">
        <v>86</v>
      </c>
      <c r="R47" s="78" t="s">
        <v>88</v>
      </c>
      <c r="S47" s="73" t="s">
        <v>88</v>
      </c>
      <c r="T47" s="79" t="s">
        <v>249</v>
      </c>
      <c r="U47" s="79" t="s">
        <v>250</v>
      </c>
      <c r="V47" s="78" t="s">
        <v>399</v>
      </c>
      <c r="W47" s="74" t="s">
        <v>92</v>
      </c>
      <c r="X47" s="60" t="s">
        <v>400</v>
      </c>
      <c r="Y47" s="80" t="s">
        <v>129</v>
      </c>
      <c r="Z47" s="80" t="s">
        <v>94</v>
      </c>
      <c r="AA47" s="74" t="s">
        <v>253</v>
      </c>
      <c r="AB47" s="74">
        <v>1</v>
      </c>
      <c r="AC47" s="51">
        <f>IF(AND(W47="SOPORTE_TELEFÓNICO",OR(U47="SIN CONTACTO CON EL CB",U47="NÚMEROS DE CONTACTO ERRADOS")),0,IF(W47="SOPORTE_TELEFÓNICO",'BASE DE LIQUIDACION 2025'!$B$9,IF(Y47="TIPO I",'BASE DE LIQUIDACION 2025'!$C$3,IF(Y47="TIPO II",'BASE DE LIQUIDACION 2025'!$C$4,IF(Y47="TIPO III",'BASE DE LIQUIDACION 2025'!$C$5,'BASE DE LIQUIDACION 2025'!$C$6)))))</f>
        <v>464809.36800000002</v>
      </c>
      <c r="AD47" s="51">
        <f>IF(W47="SOPORTE_TELEFÓNICO",AC47,CIERRES!AB47*CIERRES!AC47)</f>
        <v>464809.36800000002</v>
      </c>
    </row>
    <row r="48" spans="1:30" s="81" customFormat="1" ht="13.15">
      <c r="A48" s="73" t="s">
        <v>357</v>
      </c>
      <c r="B48" s="50" t="str">
        <f>VLOOKUP(A48,'CENTRO DE COSTOS'!A:D,4,FALSE)</f>
        <v>MIGUEL JULIÁN HERNÁNDEZ GUARÍN</v>
      </c>
      <c r="C48" s="50" t="str">
        <f>VLOOKUP(A48,'CENTRO DE COSTOS'!A:C,2,FALSE)</f>
        <v>0004-0008</v>
      </c>
      <c r="D48" s="74">
        <v>54001</v>
      </c>
      <c r="E48" s="74" t="s">
        <v>401</v>
      </c>
      <c r="F48" s="73">
        <v>72616</v>
      </c>
      <c r="G48" s="74" t="s">
        <v>80</v>
      </c>
      <c r="H48" s="73" t="s">
        <v>359</v>
      </c>
      <c r="I48" s="73" t="s">
        <v>357</v>
      </c>
      <c r="J48" s="73" t="s">
        <v>402</v>
      </c>
      <c r="K48" s="74" t="s">
        <v>84</v>
      </c>
      <c r="L48" s="75" t="s">
        <v>403</v>
      </c>
      <c r="M48" s="75">
        <v>45849.484722222223</v>
      </c>
      <c r="N48" s="75">
        <v>45850.415972222225</v>
      </c>
      <c r="O48" s="10"/>
      <c r="P48" s="74" t="s">
        <v>86</v>
      </c>
      <c r="Q48" s="74" t="s">
        <v>86</v>
      </c>
      <c r="R48" s="78" t="s">
        <v>88</v>
      </c>
      <c r="S48" s="73" t="s">
        <v>88</v>
      </c>
      <c r="T48" s="79" t="s">
        <v>118</v>
      </c>
      <c r="U48" s="79" t="s">
        <v>119</v>
      </c>
      <c r="V48" s="78" t="s">
        <v>404</v>
      </c>
      <c r="W48" s="74" t="s">
        <v>92</v>
      </c>
      <c r="X48" s="60" t="s">
        <v>324</v>
      </c>
      <c r="Y48" s="80" t="s">
        <v>102</v>
      </c>
      <c r="Z48" s="80" t="s">
        <v>94</v>
      </c>
      <c r="AA48" s="74" t="s">
        <v>405</v>
      </c>
      <c r="AB48" s="74">
        <v>1</v>
      </c>
      <c r="AC48" s="51">
        <f>IF(AND(W48="SOPORTE_TELEFÓNICO",OR(U48="SIN CONTACTO CON EL CB",U48="NÚMEROS DE CONTACTO ERRADOS")),0,IF(W48="SOPORTE_TELEFÓNICO",'BASE DE LIQUIDACION 2025'!$B$9,IF(Y48="TIPO I",'BASE DE LIQUIDACION 2025'!$C$3,IF(Y48="TIPO II",'BASE DE LIQUIDACION 2025'!$C$4,IF(Y48="TIPO III",'BASE DE LIQUIDACION 2025'!$C$5,'BASE DE LIQUIDACION 2025'!$C$6)))))</f>
        <v>44559.563999999998</v>
      </c>
      <c r="AD48" s="51">
        <f>IF(W48="SOPORTE_TELEFÓNICO",AC48,CIERRES!AB48*CIERRES!AC48)</f>
        <v>44559.563999999998</v>
      </c>
    </row>
    <row r="49" spans="1:30" s="81" customFormat="1" ht="13.15">
      <c r="A49" s="73" t="s">
        <v>243</v>
      </c>
      <c r="B49" s="50" t="str">
        <f>VLOOKUP(A49,'CENTRO DE COSTOS'!A:D,4,FALSE)</f>
        <v>KEVIN ALEXIS CORZO BUSTOS</v>
      </c>
      <c r="C49" s="50" t="str">
        <f>VLOOKUP(A49,'CENTRO DE COSTOS'!A:C,2,FALSE)</f>
        <v>0004-0007</v>
      </c>
      <c r="D49" s="74">
        <v>41001</v>
      </c>
      <c r="E49" s="74" t="s">
        <v>406</v>
      </c>
      <c r="F49" s="73">
        <v>77285</v>
      </c>
      <c r="G49" s="74" t="s">
        <v>80</v>
      </c>
      <c r="H49" s="73" t="s">
        <v>296</v>
      </c>
      <c r="I49" s="73" t="s">
        <v>243</v>
      </c>
      <c r="J49" s="73" t="s">
        <v>407</v>
      </c>
      <c r="K49" s="74" t="s">
        <v>84</v>
      </c>
      <c r="L49" s="75" t="s">
        <v>408</v>
      </c>
      <c r="M49" s="75">
        <v>45849.484722222223</v>
      </c>
      <c r="N49" s="75">
        <v>45850.472222222219</v>
      </c>
      <c r="O49" s="10"/>
      <c r="P49" s="74" t="s">
        <v>86</v>
      </c>
      <c r="Q49" s="74" t="s">
        <v>86</v>
      </c>
      <c r="R49" s="78" t="s">
        <v>88</v>
      </c>
      <c r="S49" s="73" t="s">
        <v>88</v>
      </c>
      <c r="T49" s="79" t="s">
        <v>89</v>
      </c>
      <c r="U49" s="79" t="s">
        <v>90</v>
      </c>
      <c r="V49" s="78" t="s">
        <v>409</v>
      </c>
      <c r="W49" s="74" t="s">
        <v>92</v>
      </c>
      <c r="X49" s="60" t="s">
        <v>324</v>
      </c>
      <c r="Y49" s="80" t="s">
        <v>102</v>
      </c>
      <c r="Z49" s="80" t="s">
        <v>94</v>
      </c>
      <c r="AA49" s="74" t="s">
        <v>410</v>
      </c>
      <c r="AB49" s="74">
        <v>1</v>
      </c>
      <c r="AC49" s="51">
        <f>IF(AND(W49="SOPORTE_TELEFÓNICO",OR(U49="SIN CONTACTO CON EL CB",U49="NÚMEROS DE CONTACTO ERRADOS")),0,IF(W49="SOPORTE_TELEFÓNICO",'BASE DE LIQUIDACION 2025'!$B$9,IF(Y49="TIPO I",'BASE DE LIQUIDACION 2025'!$C$3,IF(Y49="TIPO II",'BASE DE LIQUIDACION 2025'!$C$4,IF(Y49="TIPO III",'BASE DE LIQUIDACION 2025'!$C$5,'BASE DE LIQUIDACION 2025'!$C$6)))))</f>
        <v>44559.563999999998</v>
      </c>
      <c r="AD49" s="51">
        <f>IF(W49="SOPORTE_TELEFÓNICO",AC49,CIERRES!AB49*CIERRES!AC49)</f>
        <v>44559.563999999998</v>
      </c>
    </row>
    <row r="50" spans="1:30" s="81" customFormat="1" ht="13.15">
      <c r="A50" s="73" t="s">
        <v>142</v>
      </c>
      <c r="B50" s="50" t="str">
        <f>VLOOKUP(A50,'CENTRO DE COSTOS'!A:D,4,FALSE)</f>
        <v>DIEGO FERNANDO HENAO CARDONA</v>
      </c>
      <c r="C50" s="50" t="str">
        <f>VLOOKUP(A50,'CENTRO DE COSTOS'!A:C,2,FALSE)</f>
        <v>0004-0002</v>
      </c>
      <c r="D50" s="74">
        <v>63001</v>
      </c>
      <c r="E50" s="74" t="s">
        <v>411</v>
      </c>
      <c r="F50" s="73">
        <v>70762</v>
      </c>
      <c r="G50" s="74" t="s">
        <v>80</v>
      </c>
      <c r="H50" s="73" t="s">
        <v>412</v>
      </c>
      <c r="I50" s="73" t="s">
        <v>413</v>
      </c>
      <c r="J50" s="73" t="s">
        <v>414</v>
      </c>
      <c r="K50" s="74" t="s">
        <v>84</v>
      </c>
      <c r="L50" s="75" t="s">
        <v>415</v>
      </c>
      <c r="M50" s="75">
        <v>45847.452777777777</v>
      </c>
      <c r="N50" s="75">
        <v>45850.484027777777</v>
      </c>
      <c r="O50" s="10"/>
      <c r="P50" s="74" t="s">
        <v>86</v>
      </c>
      <c r="Q50" s="74" t="s">
        <v>86</v>
      </c>
      <c r="R50" s="78" t="s">
        <v>148</v>
      </c>
      <c r="S50" s="73" t="s">
        <v>149</v>
      </c>
      <c r="T50" s="79" t="s">
        <v>118</v>
      </c>
      <c r="U50" s="79" t="s">
        <v>119</v>
      </c>
      <c r="V50" s="78" t="s">
        <v>416</v>
      </c>
      <c r="W50" s="74" t="s">
        <v>138</v>
      </c>
      <c r="X50" s="60">
        <v>0</v>
      </c>
      <c r="Y50" s="80" t="s">
        <v>93</v>
      </c>
      <c r="Z50" s="80" t="s">
        <v>94</v>
      </c>
      <c r="AA50" s="74" t="s">
        <v>417</v>
      </c>
      <c r="AB50" s="74">
        <v>0</v>
      </c>
      <c r="AC50" s="51">
        <f>IF(AND(W50="SOPORTE_TELEFÓNICO",OR(U50="SIN CONTACTO CON EL CB",U50="NÚMEROS DE CONTACTO ERRADOS")),0,IF(W50="SOPORTE_TELEFÓNICO",'BASE DE LIQUIDACION 2025'!$B$9,IF(Y50="TIPO I",'BASE DE LIQUIDACION 2025'!$C$3,IF(Y50="TIPO II",'BASE DE LIQUIDACION 2025'!$C$4,IF(Y50="TIPO III",'BASE DE LIQUIDACION 2025'!$C$5,'BASE DE LIQUIDACION 2025'!$C$6)))))</f>
        <v>37904.612000000001</v>
      </c>
      <c r="AD50" s="51">
        <f>IF(W50="SOPORTE_TELEFÓNICO",AC50,CIERRES!AB50*CIERRES!AC50)</f>
        <v>37904.612000000001</v>
      </c>
    </row>
    <row r="51" spans="1:30" s="81" customFormat="1" ht="13.15">
      <c r="A51" s="73" t="s">
        <v>186</v>
      </c>
      <c r="B51" s="50" t="str">
        <f>VLOOKUP(A51,'CENTRO DE COSTOS'!A:D,4,FALSE)</f>
        <v>MIGUEL JULIÁN HERNÁNDEZ GUARÍN</v>
      </c>
      <c r="C51" s="50" t="str">
        <f>VLOOKUP(A51,'CENTRO DE COSTOS'!A:C,2,FALSE)</f>
        <v>0004-0008</v>
      </c>
      <c r="D51" s="74">
        <v>15001</v>
      </c>
      <c r="E51" s="74" t="s">
        <v>418</v>
      </c>
      <c r="F51" s="73">
        <v>35964</v>
      </c>
      <c r="G51" s="74" t="s">
        <v>80</v>
      </c>
      <c r="H51" s="73" t="s">
        <v>188</v>
      </c>
      <c r="I51" s="73" t="s">
        <v>186</v>
      </c>
      <c r="J51" s="73" t="s">
        <v>419</v>
      </c>
      <c r="K51" s="74" t="s">
        <v>84</v>
      </c>
      <c r="L51" s="75" t="s">
        <v>420</v>
      </c>
      <c r="M51" s="75">
        <v>45849.484722222223</v>
      </c>
      <c r="N51" s="75">
        <v>45850.576388888891</v>
      </c>
      <c r="O51" s="10"/>
      <c r="P51" s="74" t="s">
        <v>86</v>
      </c>
      <c r="Q51" s="74" t="s">
        <v>86</v>
      </c>
      <c r="R51" s="78" t="s">
        <v>88</v>
      </c>
      <c r="S51" s="73" t="s">
        <v>88</v>
      </c>
      <c r="T51" s="79" t="s">
        <v>89</v>
      </c>
      <c r="U51" s="79" t="s">
        <v>90</v>
      </c>
      <c r="V51" s="78" t="s">
        <v>421</v>
      </c>
      <c r="W51" s="74" t="s">
        <v>92</v>
      </c>
      <c r="X51" s="60" t="s">
        <v>422</v>
      </c>
      <c r="Y51" s="80" t="s">
        <v>102</v>
      </c>
      <c r="Z51" s="80" t="s">
        <v>94</v>
      </c>
      <c r="AA51" s="74" t="s">
        <v>370</v>
      </c>
      <c r="AB51" s="74">
        <v>1</v>
      </c>
      <c r="AC51" s="51">
        <f>IF(AND(W51="SOPORTE_TELEFÓNICO",OR(U51="SIN CONTACTO CON EL CB",U51="NÚMEROS DE CONTACTO ERRADOS")),0,IF(W51="SOPORTE_TELEFÓNICO",'BASE DE LIQUIDACION 2025'!$B$9,IF(Y51="TIPO I",'BASE DE LIQUIDACION 2025'!$C$3,IF(Y51="TIPO II",'BASE DE LIQUIDACION 2025'!$C$4,IF(Y51="TIPO III",'BASE DE LIQUIDACION 2025'!$C$5,'BASE DE LIQUIDACION 2025'!$C$6)))))</f>
        <v>44559.563999999998</v>
      </c>
      <c r="AD51" s="51">
        <f>IF(W51="SOPORTE_TELEFÓNICO",AC51,CIERRES!AB51*CIERRES!AC51)</f>
        <v>44559.563999999998</v>
      </c>
    </row>
    <row r="52" spans="1:30" s="81" customFormat="1" ht="13.15">
      <c r="A52" s="73" t="s">
        <v>218</v>
      </c>
      <c r="B52" s="50" t="str">
        <f>VLOOKUP(A52,'CENTRO DE COSTOS'!A:D,4,FALSE)</f>
        <v>JOSE MAURICIO HERNANDEZ ROJAS</v>
      </c>
      <c r="C52" s="50" t="str">
        <f>VLOOKUP(A52,'CENTRO DE COSTOS'!A:C,2,FALSE)</f>
        <v>0004-0001</v>
      </c>
      <c r="D52" s="74">
        <v>8758</v>
      </c>
      <c r="E52" s="74" t="s">
        <v>423</v>
      </c>
      <c r="F52" s="73">
        <v>27329</v>
      </c>
      <c r="G52" s="74" t="s">
        <v>80</v>
      </c>
      <c r="H52" s="73" t="s">
        <v>220</v>
      </c>
      <c r="I52" s="73" t="s">
        <v>221</v>
      </c>
      <c r="J52" s="73" t="s">
        <v>424</v>
      </c>
      <c r="K52" s="74" t="s">
        <v>84</v>
      </c>
      <c r="L52" s="75" t="s">
        <v>425</v>
      </c>
      <c r="M52" s="75">
        <v>45849.484722222223</v>
      </c>
      <c r="N52" s="75">
        <v>45851.493368055562</v>
      </c>
      <c r="O52" s="10"/>
      <c r="P52" s="74" t="s">
        <v>86</v>
      </c>
      <c r="Q52" s="74" t="s">
        <v>86</v>
      </c>
      <c r="R52" s="78" t="s">
        <v>88</v>
      </c>
      <c r="S52" s="73" t="s">
        <v>88</v>
      </c>
      <c r="T52" s="79" t="s">
        <v>118</v>
      </c>
      <c r="U52" s="79" t="s">
        <v>119</v>
      </c>
      <c r="V52" s="78" t="s">
        <v>426</v>
      </c>
      <c r="W52" s="74" t="s">
        <v>92</v>
      </c>
      <c r="X52" s="60" t="s">
        <v>427</v>
      </c>
      <c r="Y52" s="80" t="s">
        <v>102</v>
      </c>
      <c r="Z52" s="80" t="s">
        <v>94</v>
      </c>
      <c r="AA52" s="74" t="s">
        <v>226</v>
      </c>
      <c r="AB52" s="74">
        <v>1</v>
      </c>
      <c r="AC52" s="51">
        <f>IF(AND(W52="SOPORTE_TELEFÓNICO",OR(U52="SIN CONTACTO CON EL CB",U52="NÚMEROS DE CONTACTO ERRADOS")),0,IF(W52="SOPORTE_TELEFÓNICO",'BASE DE LIQUIDACION 2025'!$B$9,IF(Y52="TIPO I",'BASE DE LIQUIDACION 2025'!$C$3,IF(Y52="TIPO II",'BASE DE LIQUIDACION 2025'!$C$4,IF(Y52="TIPO III",'BASE DE LIQUIDACION 2025'!$C$5,'BASE DE LIQUIDACION 2025'!$C$6)))))</f>
        <v>44559.563999999998</v>
      </c>
      <c r="AD52" s="51">
        <f>IF(W52="SOPORTE_TELEFÓNICO",AC52,CIERRES!AB52*CIERRES!AC52)</f>
        <v>44559.563999999998</v>
      </c>
    </row>
    <row r="53" spans="1:30" s="81" customFormat="1" ht="13.15">
      <c r="A53" s="73" t="s">
        <v>142</v>
      </c>
      <c r="B53" s="50" t="str">
        <f>VLOOKUP(A53,'CENTRO DE COSTOS'!A:D,4,FALSE)</f>
        <v>DIEGO FERNANDO HENAO CARDONA</v>
      </c>
      <c r="C53" s="50" t="str">
        <f>VLOOKUP(A53,'CENTRO DE COSTOS'!A:C,2,FALSE)</f>
        <v>0004-0002</v>
      </c>
      <c r="D53" s="74">
        <v>66170</v>
      </c>
      <c r="E53" s="74" t="s">
        <v>428</v>
      </c>
      <c r="F53" s="73">
        <v>48233</v>
      </c>
      <c r="G53" s="74" t="s">
        <v>80</v>
      </c>
      <c r="H53" s="73" t="s">
        <v>213</v>
      </c>
      <c r="I53" s="73" t="s">
        <v>429</v>
      </c>
      <c r="J53" s="73" t="s">
        <v>430</v>
      </c>
      <c r="K53" s="74" t="s">
        <v>84</v>
      </c>
      <c r="L53" s="75" t="s">
        <v>431</v>
      </c>
      <c r="M53" s="75">
        <v>45847.452777777777</v>
      </c>
      <c r="N53" s="75">
        <v>45852.375</v>
      </c>
      <c r="O53" s="10"/>
      <c r="P53" s="74" t="s">
        <v>86</v>
      </c>
      <c r="Q53" s="74" t="s">
        <v>86</v>
      </c>
      <c r="R53" s="78" t="s">
        <v>148</v>
      </c>
      <c r="S53" s="73" t="s">
        <v>149</v>
      </c>
      <c r="T53" s="79" t="s">
        <v>89</v>
      </c>
      <c r="U53" s="79" t="s">
        <v>90</v>
      </c>
      <c r="V53" s="78" t="s">
        <v>432</v>
      </c>
      <c r="W53" s="74" t="s">
        <v>92</v>
      </c>
      <c r="X53" s="60">
        <v>0</v>
      </c>
      <c r="Y53" s="80" t="s">
        <v>102</v>
      </c>
      <c r="Z53" s="80" t="s">
        <v>94</v>
      </c>
      <c r="AA53" s="74" t="s">
        <v>433</v>
      </c>
      <c r="AB53" s="74">
        <v>1</v>
      </c>
      <c r="AC53" s="51">
        <f>IF(AND(W53="SOPORTE_TELEFÓNICO",OR(U53="SIN CONTACTO CON EL CB",U53="NÚMEROS DE CONTACTO ERRADOS")),0,IF(W53="SOPORTE_TELEFÓNICO",'BASE DE LIQUIDACION 2025'!$B$9,IF(Y53="TIPO I",'BASE DE LIQUIDACION 2025'!$C$3,IF(Y53="TIPO II",'BASE DE LIQUIDACION 2025'!$C$4,IF(Y53="TIPO III",'BASE DE LIQUIDACION 2025'!$C$5,'BASE DE LIQUIDACION 2025'!$C$6)))))</f>
        <v>44559.563999999998</v>
      </c>
      <c r="AD53" s="51">
        <f>IF(W53="SOPORTE_TELEFÓNICO",AC53,CIERRES!AB53*CIERRES!AC53)</f>
        <v>44559.563999999998</v>
      </c>
    </row>
    <row r="54" spans="1:30" s="81" customFormat="1" ht="13.15">
      <c r="A54" s="73" t="s">
        <v>357</v>
      </c>
      <c r="B54" s="50" t="str">
        <f>VLOOKUP(A54,'CENTRO DE COSTOS'!A:D,4,FALSE)</f>
        <v>MIGUEL JULIÁN HERNÁNDEZ GUARÍN</v>
      </c>
      <c r="C54" s="50" t="str">
        <f>VLOOKUP(A54,'CENTRO DE COSTOS'!A:C,2,FALSE)</f>
        <v>0004-0008</v>
      </c>
      <c r="D54" s="74">
        <v>54810</v>
      </c>
      <c r="E54" s="74" t="s">
        <v>434</v>
      </c>
      <c r="F54" s="73">
        <v>71753</v>
      </c>
      <c r="G54" s="74" t="s">
        <v>80</v>
      </c>
      <c r="H54" s="73" t="s">
        <v>359</v>
      </c>
      <c r="I54" s="73" t="s">
        <v>435</v>
      </c>
      <c r="J54" s="73" t="s">
        <v>436</v>
      </c>
      <c r="K54" s="74" t="s">
        <v>84</v>
      </c>
      <c r="L54" s="75" t="s">
        <v>437</v>
      </c>
      <c r="M54" s="75">
        <v>45845.65347222222</v>
      </c>
      <c r="N54" s="75">
        <v>45852.475694444445</v>
      </c>
      <c r="O54" s="10"/>
      <c r="P54" s="74" t="s">
        <v>86</v>
      </c>
      <c r="Q54" s="74" t="s">
        <v>86</v>
      </c>
      <c r="R54" s="78" t="s">
        <v>148</v>
      </c>
      <c r="S54" s="73" t="s">
        <v>286</v>
      </c>
      <c r="T54" s="79" t="s">
        <v>118</v>
      </c>
      <c r="U54" s="79" t="s">
        <v>119</v>
      </c>
      <c r="V54" s="78" t="s">
        <v>438</v>
      </c>
      <c r="W54" s="74" t="s">
        <v>138</v>
      </c>
      <c r="X54" s="60">
        <v>0</v>
      </c>
      <c r="Y54" s="80" t="s">
        <v>139</v>
      </c>
      <c r="Z54" s="80" t="s">
        <v>94</v>
      </c>
      <c r="AA54" s="74" t="s">
        <v>439</v>
      </c>
      <c r="AB54" s="74">
        <v>0</v>
      </c>
      <c r="AC54" s="51">
        <f>IF(AND(W54="SOPORTE_TELEFÓNICO",OR(U54="SIN CONTACTO CON EL CB",U54="NÚMEROS DE CONTACTO ERRADOS")),0,IF(W54="SOPORTE_TELEFÓNICO",'BASE DE LIQUIDACION 2025'!$B$9,IF(Y54="TIPO I",'BASE DE LIQUIDACION 2025'!$C$3,IF(Y54="TIPO II",'BASE DE LIQUIDACION 2025'!$C$4,IF(Y54="TIPO III",'BASE DE LIQUIDACION 2025'!$C$5,'BASE DE LIQUIDACION 2025'!$C$6)))))</f>
        <v>37904.612000000001</v>
      </c>
      <c r="AD54" s="51">
        <f>IF(W54="SOPORTE_TELEFÓNICO",AC54,CIERRES!AB54*CIERRES!AC54)</f>
        <v>37904.612000000001</v>
      </c>
    </row>
    <row r="55" spans="1:30" s="81" customFormat="1" ht="13.15">
      <c r="A55" s="73" t="s">
        <v>357</v>
      </c>
      <c r="B55" s="50" t="str">
        <f>VLOOKUP(A55,'CENTRO DE COSTOS'!A:D,4,FALSE)</f>
        <v>MIGUEL JULIÁN HERNÁNDEZ GUARÍN</v>
      </c>
      <c r="C55" s="50" t="str">
        <f>VLOOKUP(A55,'CENTRO DE COSTOS'!A:C,2,FALSE)</f>
        <v>0004-0008</v>
      </c>
      <c r="D55" s="74">
        <v>54001</v>
      </c>
      <c r="E55" s="74" t="s">
        <v>440</v>
      </c>
      <c r="F55" s="73">
        <v>77344</v>
      </c>
      <c r="G55" s="74" t="s">
        <v>80</v>
      </c>
      <c r="H55" s="73" t="s">
        <v>357</v>
      </c>
      <c r="I55" s="73" t="s">
        <v>359</v>
      </c>
      <c r="J55" s="73" t="s">
        <v>441</v>
      </c>
      <c r="K55" s="74" t="s">
        <v>84</v>
      </c>
      <c r="L55" s="75" t="s">
        <v>442</v>
      </c>
      <c r="M55" s="75">
        <v>45849.484722222223</v>
      </c>
      <c r="N55" s="75">
        <v>45852.484861111108</v>
      </c>
      <c r="O55" s="10"/>
      <c r="P55" s="74" t="s">
        <v>86</v>
      </c>
      <c r="Q55" s="74" t="s">
        <v>86</v>
      </c>
      <c r="R55" s="78" t="s">
        <v>88</v>
      </c>
      <c r="S55" s="73" t="s">
        <v>88</v>
      </c>
      <c r="T55" s="79" t="s">
        <v>268</v>
      </c>
      <c r="U55" s="79" t="s">
        <v>269</v>
      </c>
      <c r="V55" s="78" t="s">
        <v>443</v>
      </c>
      <c r="W55" s="74" t="s">
        <v>92</v>
      </c>
      <c r="X55" s="60" t="s">
        <v>444</v>
      </c>
      <c r="Y55" s="80" t="s">
        <v>102</v>
      </c>
      <c r="Z55" s="80" t="s">
        <v>94</v>
      </c>
      <c r="AA55" s="74" t="s">
        <v>445</v>
      </c>
      <c r="AB55" s="74">
        <v>1</v>
      </c>
      <c r="AC55" s="51">
        <f>IF(AND(W55="SOPORTE_TELEFÓNICO",OR(U55="SIN CONTACTO CON EL CB",U55="NÚMEROS DE CONTACTO ERRADOS")),0,IF(W55="SOPORTE_TELEFÓNICO",'BASE DE LIQUIDACION 2025'!$B$9,IF(Y55="TIPO I",'BASE DE LIQUIDACION 2025'!$C$3,IF(Y55="TIPO II",'BASE DE LIQUIDACION 2025'!$C$4,IF(Y55="TIPO III",'BASE DE LIQUIDACION 2025'!$C$5,'BASE DE LIQUIDACION 2025'!$C$6)))))</f>
        <v>44559.563999999998</v>
      </c>
      <c r="AD55" s="51">
        <f>IF(W55="SOPORTE_TELEFÓNICO",AC55,CIERRES!AB55*CIERRES!AC55)</f>
        <v>44559.563999999998</v>
      </c>
    </row>
    <row r="56" spans="1:30" s="81" customFormat="1" ht="13.15">
      <c r="A56" s="73" t="s">
        <v>96</v>
      </c>
      <c r="B56" s="50" t="str">
        <f>VLOOKUP(A56,'CENTRO DE COSTOS'!A:D,4,FALSE)</f>
        <v>DIEGO FERNANDO HENAO CARDONA</v>
      </c>
      <c r="C56" s="50" t="str">
        <f>VLOOKUP(A56,'CENTRO DE COSTOS'!A:C,2,FALSE)</f>
        <v>0004-0003</v>
      </c>
      <c r="D56" s="74">
        <v>86573</v>
      </c>
      <c r="E56" s="74" t="s">
        <v>446</v>
      </c>
      <c r="F56" s="73">
        <v>51784</v>
      </c>
      <c r="G56" s="74" t="s">
        <v>80</v>
      </c>
      <c r="H56" s="73" t="s">
        <v>447</v>
      </c>
      <c r="I56" s="73" t="s">
        <v>448</v>
      </c>
      <c r="J56" s="73" t="s">
        <v>449</v>
      </c>
      <c r="K56" s="74" t="s">
        <v>84</v>
      </c>
      <c r="L56" s="75" t="s">
        <v>450</v>
      </c>
      <c r="M56" s="75">
        <v>45836.333333333336</v>
      </c>
      <c r="N56" s="75">
        <v>45853.355219907397</v>
      </c>
      <c r="O56" s="10"/>
      <c r="P56" s="74" t="s">
        <v>86</v>
      </c>
      <c r="Q56" s="74" t="s">
        <v>86</v>
      </c>
      <c r="R56" s="78" t="s">
        <v>88</v>
      </c>
      <c r="S56" s="73" t="s">
        <v>88</v>
      </c>
      <c r="T56" s="79" t="s">
        <v>118</v>
      </c>
      <c r="U56" s="79" t="s">
        <v>119</v>
      </c>
      <c r="V56" s="78" t="s">
        <v>451</v>
      </c>
      <c r="W56" s="74" t="s">
        <v>138</v>
      </c>
      <c r="X56" s="60">
        <v>0</v>
      </c>
      <c r="Y56" s="80" t="s">
        <v>129</v>
      </c>
      <c r="Z56" s="80" t="s">
        <v>140</v>
      </c>
      <c r="AA56" s="74" t="s">
        <v>103</v>
      </c>
      <c r="AB56" s="74">
        <v>0</v>
      </c>
      <c r="AC56" s="51">
        <f>IF(AND(W56="SOPORTE_TELEFÓNICO",OR(U56="SIN CONTACTO CON EL CB",U56="NÚMEROS DE CONTACTO ERRADOS")),0,IF(W56="SOPORTE_TELEFÓNICO",'BASE DE LIQUIDACION 2025'!$B$9,IF(Y56="TIPO I",'BASE DE LIQUIDACION 2025'!$C$3,IF(Y56="TIPO II",'BASE DE LIQUIDACION 2025'!$C$4,IF(Y56="TIPO III",'BASE DE LIQUIDACION 2025'!$C$5,'BASE DE LIQUIDACION 2025'!$C$6)))))</f>
        <v>37904.612000000001</v>
      </c>
      <c r="AD56" s="51">
        <f>IF(W56="SOPORTE_TELEFÓNICO",AC56,CIERRES!AB56*CIERRES!AC56)</f>
        <v>37904.612000000001</v>
      </c>
    </row>
    <row r="57" spans="1:30" s="81" customFormat="1" ht="13.15">
      <c r="A57" s="73" t="s">
        <v>78</v>
      </c>
      <c r="B57" s="50" t="str">
        <f>VLOOKUP(A57,'CENTRO DE COSTOS'!A:D,4,FALSE)</f>
        <v>WILLIAM ASDRUBAL ROZO ROZO</v>
      </c>
      <c r="C57" s="50" t="str">
        <f>VLOOKUP(A57,'CENTRO DE COSTOS'!A:C,2,FALSE)</f>
        <v>0004-0004</v>
      </c>
      <c r="D57" s="74">
        <v>25297</v>
      </c>
      <c r="E57" s="74" t="s">
        <v>452</v>
      </c>
      <c r="F57" s="73">
        <v>22168</v>
      </c>
      <c r="G57" s="74" t="s">
        <v>80</v>
      </c>
      <c r="H57" s="73" t="s">
        <v>81</v>
      </c>
      <c r="I57" s="73" t="s">
        <v>453</v>
      </c>
      <c r="J57" s="73" t="s">
        <v>454</v>
      </c>
      <c r="K57" s="74" t="s">
        <v>84</v>
      </c>
      <c r="L57" s="75" t="s">
        <v>455</v>
      </c>
      <c r="M57" s="75">
        <v>45849.484722222223</v>
      </c>
      <c r="N57" s="75">
        <v>45853.356249999997</v>
      </c>
      <c r="O57" s="10"/>
      <c r="P57" s="74" t="s">
        <v>86</v>
      </c>
      <c r="Q57" s="74" t="s">
        <v>86</v>
      </c>
      <c r="R57" s="78" t="s">
        <v>88</v>
      </c>
      <c r="S57" s="73" t="s">
        <v>88</v>
      </c>
      <c r="T57" s="79" t="s">
        <v>118</v>
      </c>
      <c r="U57" s="79" t="s">
        <v>322</v>
      </c>
      <c r="V57" s="78" t="s">
        <v>456</v>
      </c>
      <c r="W57" s="74" t="s">
        <v>138</v>
      </c>
      <c r="X57" s="60">
        <v>0</v>
      </c>
      <c r="Y57" s="80" t="s">
        <v>178</v>
      </c>
      <c r="Z57" s="80" t="s">
        <v>94</v>
      </c>
      <c r="AA57" s="74" t="s">
        <v>457</v>
      </c>
      <c r="AB57" s="74">
        <v>0</v>
      </c>
      <c r="AC57" s="51">
        <f>IF(AND(W57="SOPORTE_TELEFÓNICO",OR(U57="SIN CONTACTO CON EL CB",U57="NÚMEROS DE CONTACTO ERRADOS")),0,IF(W57="SOPORTE_TELEFÓNICO",'BASE DE LIQUIDACION 2025'!$B$9,IF(Y57="TIPO I",'BASE DE LIQUIDACION 2025'!$C$3,IF(Y57="TIPO II",'BASE DE LIQUIDACION 2025'!$C$4,IF(Y57="TIPO III",'BASE DE LIQUIDACION 2025'!$C$5,'BASE DE LIQUIDACION 2025'!$C$6)))))</f>
        <v>37904.612000000001</v>
      </c>
      <c r="AD57" s="51">
        <f>IF(W57="SOPORTE_TELEFÓNICO",AC57,CIERRES!AB57*CIERRES!AC57)</f>
        <v>37904.612000000001</v>
      </c>
    </row>
    <row r="58" spans="1:30" s="81" customFormat="1" ht="13.15">
      <c r="A58" s="73" t="s">
        <v>243</v>
      </c>
      <c r="B58" s="50" t="str">
        <f>VLOOKUP(A58,'CENTRO DE COSTOS'!A:D,4,FALSE)</f>
        <v>KEVIN ALEXIS CORZO BUSTOS</v>
      </c>
      <c r="C58" s="50" t="str">
        <f>VLOOKUP(A58,'CENTRO DE COSTOS'!A:C,2,FALSE)</f>
        <v>0004-0007</v>
      </c>
      <c r="D58" s="74">
        <v>41551</v>
      </c>
      <c r="E58" s="74" t="s">
        <v>458</v>
      </c>
      <c r="F58" s="73">
        <v>59370</v>
      </c>
      <c r="G58" s="74" t="s">
        <v>80</v>
      </c>
      <c r="H58" s="73" t="s">
        <v>296</v>
      </c>
      <c r="I58" s="73" t="s">
        <v>459</v>
      </c>
      <c r="J58" s="73" t="s">
        <v>460</v>
      </c>
      <c r="K58" s="74" t="s">
        <v>84</v>
      </c>
      <c r="L58" s="75" t="s">
        <v>461</v>
      </c>
      <c r="M58" s="75">
        <v>45849.484722222223</v>
      </c>
      <c r="N58" s="75">
        <v>45853.4375</v>
      </c>
      <c r="O58" s="10"/>
      <c r="P58" s="74" t="s">
        <v>86</v>
      </c>
      <c r="Q58" s="74" t="s">
        <v>86</v>
      </c>
      <c r="R58" s="78" t="s">
        <v>88</v>
      </c>
      <c r="S58" s="73" t="s">
        <v>88</v>
      </c>
      <c r="T58" s="79" t="s">
        <v>249</v>
      </c>
      <c r="U58" s="79" t="s">
        <v>250</v>
      </c>
      <c r="V58" s="78" t="s">
        <v>462</v>
      </c>
      <c r="W58" s="74" t="s">
        <v>138</v>
      </c>
      <c r="X58" s="60">
        <v>0</v>
      </c>
      <c r="Y58" s="80" t="s">
        <v>178</v>
      </c>
      <c r="Z58" s="80" t="s">
        <v>94</v>
      </c>
      <c r="AA58" s="74" t="s">
        <v>463</v>
      </c>
      <c r="AB58" s="74">
        <v>0</v>
      </c>
      <c r="AC58" s="51">
        <f>IF(AND(W58="SOPORTE_TELEFÓNICO",OR(U58="SIN CONTACTO CON EL CB",U58="NÚMEROS DE CONTACTO ERRADOS")),0,IF(W58="SOPORTE_TELEFÓNICO",'BASE DE LIQUIDACION 2025'!$B$9,IF(Y58="TIPO I",'BASE DE LIQUIDACION 2025'!$C$3,IF(Y58="TIPO II",'BASE DE LIQUIDACION 2025'!$C$4,IF(Y58="TIPO III",'BASE DE LIQUIDACION 2025'!$C$5,'BASE DE LIQUIDACION 2025'!$C$6)))))</f>
        <v>37904.612000000001</v>
      </c>
      <c r="AD58" s="51">
        <f>IF(W58="SOPORTE_TELEFÓNICO",AC58,CIERRES!AB58*CIERRES!AC58)</f>
        <v>37904.612000000001</v>
      </c>
    </row>
    <row r="59" spans="1:30" s="81" customFormat="1" ht="13.15">
      <c r="A59" s="73" t="s">
        <v>243</v>
      </c>
      <c r="B59" s="50" t="str">
        <f>VLOOKUP(A59,'CENTRO DE COSTOS'!A:D,4,FALSE)</f>
        <v>KEVIN ALEXIS CORZO BUSTOS</v>
      </c>
      <c r="C59" s="50" t="str">
        <f>VLOOKUP(A59,'CENTRO DE COSTOS'!A:C,2,FALSE)</f>
        <v>0004-0007</v>
      </c>
      <c r="D59" s="74">
        <v>18001</v>
      </c>
      <c r="E59" s="74" t="s">
        <v>464</v>
      </c>
      <c r="F59" s="73">
        <v>77200</v>
      </c>
      <c r="G59" s="74" t="s">
        <v>80</v>
      </c>
      <c r="H59" s="73" t="s">
        <v>245</v>
      </c>
      <c r="I59" s="73" t="s">
        <v>246</v>
      </c>
      <c r="J59" s="73" t="s">
        <v>465</v>
      </c>
      <c r="K59" s="74" t="s">
        <v>84</v>
      </c>
      <c r="L59" s="75" t="s">
        <v>466</v>
      </c>
      <c r="M59" s="75">
        <v>45847.543055555558</v>
      </c>
      <c r="N59" s="75">
        <v>45853.452094907407</v>
      </c>
      <c r="O59" s="10"/>
      <c r="P59" s="74" t="s">
        <v>86</v>
      </c>
      <c r="Q59" s="74" t="s">
        <v>86</v>
      </c>
      <c r="R59" s="78" t="s">
        <v>88</v>
      </c>
      <c r="S59" s="73" t="s">
        <v>88</v>
      </c>
      <c r="T59" s="79" t="s">
        <v>268</v>
      </c>
      <c r="U59" s="79" t="s">
        <v>269</v>
      </c>
      <c r="V59" s="78" t="s">
        <v>467</v>
      </c>
      <c r="W59" s="74" t="s">
        <v>92</v>
      </c>
      <c r="X59" s="60" t="s">
        <v>468</v>
      </c>
      <c r="Y59" s="80" t="s">
        <v>129</v>
      </c>
      <c r="Z59" s="80" t="s">
        <v>94</v>
      </c>
      <c r="AA59" s="74" t="s">
        <v>253</v>
      </c>
      <c r="AB59" s="74">
        <v>1</v>
      </c>
      <c r="AC59" s="51">
        <f>IF(AND(W59="SOPORTE_TELEFÓNICO",OR(U59="SIN CONTACTO CON EL CB",U59="NÚMEROS DE CONTACTO ERRADOS")),0,IF(W59="SOPORTE_TELEFÓNICO",'BASE DE LIQUIDACION 2025'!$B$9,IF(Y59="TIPO I",'BASE DE LIQUIDACION 2025'!$C$3,IF(Y59="TIPO II",'BASE DE LIQUIDACION 2025'!$C$4,IF(Y59="TIPO III",'BASE DE LIQUIDACION 2025'!$C$5,'BASE DE LIQUIDACION 2025'!$C$6)))))</f>
        <v>464809.36800000002</v>
      </c>
      <c r="AD59" s="51">
        <f>IF(W59="SOPORTE_TELEFÓNICO",AC59,CIERRES!AB59*CIERRES!AC59)</f>
        <v>464809.36800000002</v>
      </c>
    </row>
    <row r="60" spans="1:30" s="81" customFormat="1" ht="13.15">
      <c r="A60" s="73" t="s">
        <v>159</v>
      </c>
      <c r="B60" s="50" t="str">
        <f>VLOOKUP(A60,'CENTRO DE COSTOS'!A:D,4,FALSE)</f>
        <v>JUAN SEBASTIÁN RÍOS CASTRILLÓN</v>
      </c>
      <c r="C60" s="50" t="str">
        <f>VLOOKUP(A60,'CENTRO DE COSTOS'!A:C,2,FALSE)</f>
        <v>0004-0005</v>
      </c>
      <c r="D60" s="74">
        <v>5321</v>
      </c>
      <c r="E60" s="74" t="s">
        <v>469</v>
      </c>
      <c r="F60" s="73">
        <v>45211</v>
      </c>
      <c r="G60" s="74" t="s">
        <v>80</v>
      </c>
      <c r="H60" s="73" t="s">
        <v>161</v>
      </c>
      <c r="I60" s="73" t="s">
        <v>470</v>
      </c>
      <c r="J60" s="73" t="s">
        <v>471</v>
      </c>
      <c r="K60" s="74" t="s">
        <v>84</v>
      </c>
      <c r="L60" s="75" t="s">
        <v>472</v>
      </c>
      <c r="M60" s="75">
        <v>45847.452777777777</v>
      </c>
      <c r="N60" s="75">
        <v>45853.454513888893</v>
      </c>
      <c r="O60" s="10"/>
      <c r="P60" s="74" t="s">
        <v>86</v>
      </c>
      <c r="Q60" s="74" t="s">
        <v>86</v>
      </c>
      <c r="R60" s="78" t="s">
        <v>148</v>
      </c>
      <c r="S60" s="73" t="s">
        <v>149</v>
      </c>
      <c r="T60" s="79" t="s">
        <v>118</v>
      </c>
      <c r="U60" s="79" t="s">
        <v>119</v>
      </c>
      <c r="V60" s="78" t="s">
        <v>473</v>
      </c>
      <c r="W60" s="74" t="s">
        <v>92</v>
      </c>
      <c r="X60" s="60" t="s">
        <v>474</v>
      </c>
      <c r="Y60" s="80" t="s">
        <v>93</v>
      </c>
      <c r="Z60" s="80" t="s">
        <v>94</v>
      </c>
      <c r="AA60" s="74" t="s">
        <v>475</v>
      </c>
      <c r="AB60" s="74">
        <v>1</v>
      </c>
      <c r="AC60" s="51">
        <f>IF(AND(W60="SOPORTE_TELEFÓNICO",OR(U60="SIN CONTACTO CON EL CB",U60="NÚMEROS DE CONTACTO ERRADOS")),0,IF(W60="SOPORTE_TELEFÓNICO",'BASE DE LIQUIDACION 2025'!$B$9,IF(Y60="TIPO I",'BASE DE LIQUIDACION 2025'!$C$3,IF(Y60="TIPO II",'BASE DE LIQUIDACION 2025'!$C$4,IF(Y60="TIPO III",'BASE DE LIQUIDACION 2025'!$C$5,'BASE DE LIQUIDACION 2025'!$C$6)))))</f>
        <v>134410.88400000002</v>
      </c>
      <c r="AD60" s="51">
        <f>IF(W60="SOPORTE_TELEFÓNICO",AC60,CIERRES!AB60*CIERRES!AC60)</f>
        <v>134410.88400000002</v>
      </c>
    </row>
    <row r="61" spans="1:30" s="81" customFormat="1" ht="13.15">
      <c r="A61" s="73" t="s">
        <v>78</v>
      </c>
      <c r="B61" s="50" t="str">
        <f>VLOOKUP(A61,'CENTRO DE COSTOS'!A:D,4,FALSE)</f>
        <v>WILLIAM ASDRUBAL ROZO ROZO</v>
      </c>
      <c r="C61" s="50" t="str">
        <f>VLOOKUP(A61,'CENTRO DE COSTOS'!A:C,2,FALSE)</f>
        <v>0004-0004</v>
      </c>
      <c r="D61" s="74">
        <v>11001</v>
      </c>
      <c r="E61" s="74" t="s">
        <v>476</v>
      </c>
      <c r="F61" s="73">
        <v>57736</v>
      </c>
      <c r="G61" s="74" t="s">
        <v>80</v>
      </c>
      <c r="H61" s="73" t="s">
        <v>81</v>
      </c>
      <c r="I61" s="73" t="s">
        <v>78</v>
      </c>
      <c r="J61" s="73" t="s">
        <v>477</v>
      </c>
      <c r="K61" s="74" t="s">
        <v>84</v>
      </c>
      <c r="L61" s="75" t="s">
        <v>478</v>
      </c>
      <c r="M61" s="75">
        <v>45849.484722222223</v>
      </c>
      <c r="N61" s="75">
        <v>45853.666932870372</v>
      </c>
      <c r="O61" s="10"/>
      <c r="P61" s="74" t="s">
        <v>86</v>
      </c>
      <c r="Q61" s="74" t="s">
        <v>86</v>
      </c>
      <c r="R61" s="78" t="s">
        <v>88</v>
      </c>
      <c r="S61" s="73" t="s">
        <v>88</v>
      </c>
      <c r="T61" s="79" t="s">
        <v>89</v>
      </c>
      <c r="U61" s="79" t="s">
        <v>90</v>
      </c>
      <c r="V61" s="78" t="s">
        <v>479</v>
      </c>
      <c r="W61" s="74" t="s">
        <v>92</v>
      </c>
      <c r="X61" s="60">
        <v>0</v>
      </c>
      <c r="Y61" s="80" t="s">
        <v>102</v>
      </c>
      <c r="Z61" s="80" t="s">
        <v>94</v>
      </c>
      <c r="AA61" s="74" t="s">
        <v>185</v>
      </c>
      <c r="AB61" s="74">
        <v>2</v>
      </c>
      <c r="AC61" s="51">
        <f>IF(AND(W61="SOPORTE_TELEFÓNICO",OR(U61="SIN CONTACTO CON EL CB",U61="NÚMEROS DE CONTACTO ERRADOS")),0,IF(W61="SOPORTE_TELEFÓNICO",'BASE DE LIQUIDACION 2025'!$B$9,IF(Y61="TIPO I",'BASE DE LIQUIDACION 2025'!$C$3,IF(Y61="TIPO II",'BASE DE LIQUIDACION 2025'!$C$4,IF(Y61="TIPO III",'BASE DE LIQUIDACION 2025'!$C$5,'BASE DE LIQUIDACION 2025'!$C$6)))))</f>
        <v>44559.563999999998</v>
      </c>
      <c r="AD61" s="51">
        <f>IF(W61="SOPORTE_TELEFÓNICO",AC61,CIERRES!AB61*CIERRES!AC61)</f>
        <v>89119.127999999997</v>
      </c>
    </row>
    <row r="62" spans="1:30" s="81" customFormat="1" ht="13.15">
      <c r="A62" s="73" t="s">
        <v>357</v>
      </c>
      <c r="B62" s="50" t="str">
        <f>VLOOKUP(A62,'CENTRO DE COSTOS'!A:D,4,FALSE)</f>
        <v>MIGUEL JULIÁN HERNÁNDEZ GUARÍN</v>
      </c>
      <c r="C62" s="50" t="str">
        <f>VLOOKUP(A62,'CENTRO DE COSTOS'!A:C,2,FALSE)</f>
        <v>0004-0008</v>
      </c>
      <c r="D62" s="74">
        <v>54001</v>
      </c>
      <c r="E62" s="74" t="s">
        <v>480</v>
      </c>
      <c r="F62" s="73">
        <v>71022</v>
      </c>
      <c r="G62" s="74" t="s">
        <v>80</v>
      </c>
      <c r="H62" s="73" t="s">
        <v>359</v>
      </c>
      <c r="I62" s="73" t="s">
        <v>357</v>
      </c>
      <c r="J62" s="73" t="s">
        <v>481</v>
      </c>
      <c r="K62" s="74" t="s">
        <v>84</v>
      </c>
      <c r="L62" s="75" t="s">
        <v>482</v>
      </c>
      <c r="M62" s="75">
        <v>45853.333333333336</v>
      </c>
      <c r="N62" s="75">
        <v>45854.34814814815</v>
      </c>
      <c r="O62" s="10"/>
      <c r="P62" s="74" t="s">
        <v>86</v>
      </c>
      <c r="Q62" s="74" t="s">
        <v>86</v>
      </c>
      <c r="R62" s="78" t="s">
        <v>148</v>
      </c>
      <c r="S62" s="73" t="s">
        <v>149</v>
      </c>
      <c r="T62" s="79" t="s">
        <v>89</v>
      </c>
      <c r="U62" s="79" t="s">
        <v>90</v>
      </c>
      <c r="V62" s="78" t="s">
        <v>483</v>
      </c>
      <c r="W62" s="74" t="s">
        <v>92</v>
      </c>
      <c r="X62" s="60">
        <v>0</v>
      </c>
      <c r="Y62" s="80" t="s">
        <v>102</v>
      </c>
      <c r="Z62" s="80" t="s">
        <v>94</v>
      </c>
      <c r="AA62" s="74" t="s">
        <v>364</v>
      </c>
      <c r="AB62" s="74">
        <v>1</v>
      </c>
      <c r="AC62" s="51">
        <f>IF(AND(W62="SOPORTE_TELEFÓNICO",OR(U62="SIN CONTACTO CON EL CB",U62="NÚMEROS DE CONTACTO ERRADOS")),0,IF(W62="SOPORTE_TELEFÓNICO",'BASE DE LIQUIDACION 2025'!$B$9,IF(Y62="TIPO I",'BASE DE LIQUIDACION 2025'!$C$3,IF(Y62="TIPO II",'BASE DE LIQUIDACION 2025'!$C$4,IF(Y62="TIPO III",'BASE DE LIQUIDACION 2025'!$C$5,'BASE DE LIQUIDACION 2025'!$C$6)))))</f>
        <v>44559.563999999998</v>
      </c>
      <c r="AD62" s="51">
        <f>IF(W62="SOPORTE_TELEFÓNICO",AC62,CIERRES!AB62*CIERRES!AC62)</f>
        <v>44559.563999999998</v>
      </c>
    </row>
    <row r="63" spans="1:30" s="81" customFormat="1" ht="13.15">
      <c r="A63" s="73" t="s">
        <v>104</v>
      </c>
      <c r="B63" s="50" t="str">
        <f>VLOOKUP(A63,'CENTRO DE COSTOS'!A:D,4,FALSE)</f>
        <v>DIEGO FERNANDO HENAO CARDONA</v>
      </c>
      <c r="C63" s="50" t="str">
        <f>VLOOKUP(A63,'CENTRO DE COSTOS'!A:C,2,FALSE)</f>
        <v>0004-0003</v>
      </c>
      <c r="D63" s="74">
        <v>76001</v>
      </c>
      <c r="E63" s="74" t="s">
        <v>484</v>
      </c>
      <c r="F63" s="73">
        <v>12288</v>
      </c>
      <c r="G63" s="74" t="s">
        <v>80</v>
      </c>
      <c r="H63" s="73" t="s">
        <v>144</v>
      </c>
      <c r="I63" s="73" t="s">
        <v>104</v>
      </c>
      <c r="J63" s="73" t="s">
        <v>485</v>
      </c>
      <c r="K63" s="74" t="s">
        <v>84</v>
      </c>
      <c r="L63" s="75" t="s">
        <v>486</v>
      </c>
      <c r="M63" s="75">
        <v>45849.484722222223</v>
      </c>
      <c r="N63" s="75">
        <v>45854.454398148147</v>
      </c>
      <c r="O63" s="10"/>
      <c r="P63" s="74" t="s">
        <v>86</v>
      </c>
      <c r="Q63" s="74" t="s">
        <v>86</v>
      </c>
      <c r="R63" s="78" t="s">
        <v>88</v>
      </c>
      <c r="S63" s="73" t="s">
        <v>88</v>
      </c>
      <c r="T63" s="79" t="s">
        <v>118</v>
      </c>
      <c r="U63" s="79" t="s">
        <v>119</v>
      </c>
      <c r="V63" s="78" t="s">
        <v>487</v>
      </c>
      <c r="W63" s="74" t="s">
        <v>92</v>
      </c>
      <c r="X63" s="60">
        <v>0</v>
      </c>
      <c r="Y63" s="80" t="s">
        <v>102</v>
      </c>
      <c r="Z63" s="80" t="s">
        <v>94</v>
      </c>
      <c r="AA63" s="74" t="s">
        <v>488</v>
      </c>
      <c r="AB63" s="74">
        <v>1</v>
      </c>
      <c r="AC63" s="51">
        <f>IF(AND(W63="SOPORTE_TELEFÓNICO",OR(U63="SIN CONTACTO CON EL CB",U63="NÚMEROS DE CONTACTO ERRADOS")),0,IF(W63="SOPORTE_TELEFÓNICO",'BASE DE LIQUIDACION 2025'!$B$9,IF(Y63="TIPO I",'BASE DE LIQUIDACION 2025'!$C$3,IF(Y63="TIPO II",'BASE DE LIQUIDACION 2025'!$C$4,IF(Y63="TIPO III",'BASE DE LIQUIDACION 2025'!$C$5,'BASE DE LIQUIDACION 2025'!$C$6)))))</f>
        <v>44559.563999999998</v>
      </c>
      <c r="AD63" s="51">
        <f>IF(W63="SOPORTE_TELEFÓNICO",AC63,CIERRES!AB63*CIERRES!AC63)</f>
        <v>44559.563999999998</v>
      </c>
    </row>
    <row r="64" spans="1:30" s="81" customFormat="1" ht="13.15">
      <c r="A64" s="73" t="s">
        <v>78</v>
      </c>
      <c r="B64" s="50" t="str">
        <f>VLOOKUP(A64,'CENTRO DE COSTOS'!A:D,4,FALSE)</f>
        <v>WILLIAM ASDRUBAL ROZO ROZO</v>
      </c>
      <c r="C64" s="50" t="str">
        <f>VLOOKUP(A64,'CENTRO DE COSTOS'!A:C,2,FALSE)</f>
        <v>0004-0004</v>
      </c>
      <c r="D64" s="74">
        <v>11001</v>
      </c>
      <c r="E64" s="74" t="s">
        <v>489</v>
      </c>
      <c r="F64" s="73">
        <v>78624</v>
      </c>
      <c r="G64" s="74" t="s">
        <v>80</v>
      </c>
      <c r="H64" s="73" t="s">
        <v>81</v>
      </c>
      <c r="I64" s="73" t="s">
        <v>78</v>
      </c>
      <c r="J64" s="73" t="s">
        <v>490</v>
      </c>
      <c r="K64" s="74" t="s">
        <v>84</v>
      </c>
      <c r="L64" s="75" t="s">
        <v>491</v>
      </c>
      <c r="M64" s="75">
        <v>45849.484722222223</v>
      </c>
      <c r="N64" s="75">
        <v>45854.590694444443</v>
      </c>
      <c r="O64" s="10"/>
      <c r="P64" s="74" t="s">
        <v>86</v>
      </c>
      <c r="Q64" s="74" t="s">
        <v>86</v>
      </c>
      <c r="R64" s="78" t="s">
        <v>88</v>
      </c>
      <c r="S64" s="73" t="s">
        <v>88</v>
      </c>
      <c r="T64" s="79" t="s">
        <v>268</v>
      </c>
      <c r="U64" s="79" t="s">
        <v>269</v>
      </c>
      <c r="V64" s="78" t="s">
        <v>492</v>
      </c>
      <c r="W64" s="74" t="s">
        <v>92</v>
      </c>
      <c r="X64" s="60" t="s">
        <v>493</v>
      </c>
      <c r="Y64" s="80" t="s">
        <v>102</v>
      </c>
      <c r="Z64" s="80" t="s">
        <v>94</v>
      </c>
      <c r="AA64" s="74" t="s">
        <v>172</v>
      </c>
      <c r="AB64" s="74">
        <v>1</v>
      </c>
      <c r="AC64" s="51">
        <f>IF(AND(W64="SOPORTE_TELEFÓNICO",OR(U64="SIN CONTACTO CON EL CB",U64="NÚMEROS DE CONTACTO ERRADOS")),0,IF(W64="SOPORTE_TELEFÓNICO",'BASE DE LIQUIDACION 2025'!$B$9,IF(Y64="TIPO I",'BASE DE LIQUIDACION 2025'!$C$3,IF(Y64="TIPO II",'BASE DE LIQUIDACION 2025'!$C$4,IF(Y64="TIPO III",'BASE DE LIQUIDACION 2025'!$C$5,'BASE DE LIQUIDACION 2025'!$C$6)))))</f>
        <v>44559.563999999998</v>
      </c>
      <c r="AD64" s="51">
        <f>IF(W64="SOPORTE_TELEFÓNICO",AC64,CIERRES!AB64*CIERRES!AC64)</f>
        <v>44559.563999999998</v>
      </c>
    </row>
    <row r="65" spans="1:30" s="81" customFormat="1" ht="13.15">
      <c r="A65" s="73" t="s">
        <v>96</v>
      </c>
      <c r="B65" s="50" t="str">
        <f>VLOOKUP(A65,'CENTRO DE COSTOS'!A:D,4,FALSE)</f>
        <v>DIEGO FERNANDO HENAO CARDONA</v>
      </c>
      <c r="C65" s="50" t="str">
        <f>VLOOKUP(A65,'CENTRO DE COSTOS'!A:C,2,FALSE)</f>
        <v>0004-0003</v>
      </c>
      <c r="D65" s="74">
        <v>52838</v>
      </c>
      <c r="E65" s="74" t="s">
        <v>494</v>
      </c>
      <c r="F65" s="73">
        <v>53979</v>
      </c>
      <c r="G65" s="74" t="s">
        <v>80</v>
      </c>
      <c r="H65" s="73" t="s">
        <v>98</v>
      </c>
      <c r="I65" s="73" t="s">
        <v>495</v>
      </c>
      <c r="J65" s="73" t="s">
        <v>496</v>
      </c>
      <c r="K65" s="74" t="s">
        <v>84</v>
      </c>
      <c r="L65" s="75" t="s">
        <v>497</v>
      </c>
      <c r="M65" s="75">
        <v>45853.333333333336</v>
      </c>
      <c r="N65" s="75">
        <v>45854.673368055563</v>
      </c>
      <c r="O65" s="10"/>
      <c r="P65" s="74" t="s">
        <v>86</v>
      </c>
      <c r="Q65" s="74" t="s">
        <v>87</v>
      </c>
      <c r="R65" s="78" t="s">
        <v>88</v>
      </c>
      <c r="S65" s="73" t="s">
        <v>88</v>
      </c>
      <c r="T65" s="79" t="s">
        <v>118</v>
      </c>
      <c r="U65" s="79" t="s">
        <v>119</v>
      </c>
      <c r="V65" s="78" t="s">
        <v>498</v>
      </c>
      <c r="W65" s="74" t="s">
        <v>92</v>
      </c>
      <c r="X65" s="60">
        <v>0</v>
      </c>
      <c r="Y65" s="80" t="s">
        <v>93</v>
      </c>
      <c r="Z65" s="80" t="s">
        <v>94</v>
      </c>
      <c r="AA65" s="74" t="s">
        <v>499</v>
      </c>
      <c r="AB65" s="74">
        <v>1</v>
      </c>
      <c r="AC65" s="51">
        <f>IF(AND(W65="SOPORTE_TELEFÓNICO",OR(U65="SIN CONTACTO CON EL CB",U65="NÚMEROS DE CONTACTO ERRADOS")),0,IF(W65="SOPORTE_TELEFÓNICO",'BASE DE LIQUIDACION 2025'!$B$9,IF(Y65="TIPO I",'BASE DE LIQUIDACION 2025'!$C$3,IF(Y65="TIPO II",'BASE DE LIQUIDACION 2025'!$C$4,IF(Y65="TIPO III",'BASE DE LIQUIDACION 2025'!$C$5,'BASE DE LIQUIDACION 2025'!$C$6)))))</f>
        <v>134410.88400000002</v>
      </c>
      <c r="AD65" s="51">
        <f>IF(W65="SOPORTE_TELEFÓNICO",AC65,CIERRES!AB65*CIERRES!AC65)</f>
        <v>134410.88400000002</v>
      </c>
    </row>
    <row r="66" spans="1:30" s="81" customFormat="1" ht="13.15">
      <c r="A66" s="73" t="s">
        <v>78</v>
      </c>
      <c r="B66" s="50" t="str">
        <f>VLOOKUP(A66,'CENTRO DE COSTOS'!A:D,4,FALSE)</f>
        <v>WILLIAM ASDRUBAL ROZO ROZO</v>
      </c>
      <c r="C66" s="50" t="str">
        <f>VLOOKUP(A66,'CENTRO DE COSTOS'!A:C,2,FALSE)</f>
        <v>0004-0004</v>
      </c>
      <c r="D66" s="74">
        <v>11001</v>
      </c>
      <c r="E66" s="74" t="s">
        <v>500</v>
      </c>
      <c r="F66" s="73">
        <v>50669</v>
      </c>
      <c r="G66" s="74" t="s">
        <v>80</v>
      </c>
      <c r="H66" s="73" t="s">
        <v>81</v>
      </c>
      <c r="I66" s="73" t="s">
        <v>78</v>
      </c>
      <c r="J66" s="73" t="s">
        <v>501</v>
      </c>
      <c r="K66" s="74" t="s">
        <v>84</v>
      </c>
      <c r="L66" s="75" t="s">
        <v>502</v>
      </c>
      <c r="M66" s="75">
        <v>45853.333333333336</v>
      </c>
      <c r="N66" s="75">
        <v>45854.734513888892</v>
      </c>
      <c r="O66" s="10"/>
      <c r="P66" s="74" t="s">
        <v>86</v>
      </c>
      <c r="Q66" s="74" t="s">
        <v>86</v>
      </c>
      <c r="R66" s="78" t="s">
        <v>148</v>
      </c>
      <c r="S66" s="73" t="s">
        <v>286</v>
      </c>
      <c r="T66" s="79" t="s">
        <v>268</v>
      </c>
      <c r="U66" s="79" t="s">
        <v>269</v>
      </c>
      <c r="V66" s="78" t="s">
        <v>503</v>
      </c>
      <c r="W66" s="74" t="s">
        <v>92</v>
      </c>
      <c r="X66" s="60" t="s">
        <v>504</v>
      </c>
      <c r="Y66" s="80" t="s">
        <v>102</v>
      </c>
      <c r="Z66" s="80" t="s">
        <v>94</v>
      </c>
      <c r="AA66" s="74" t="s">
        <v>505</v>
      </c>
      <c r="AB66" s="74">
        <v>1</v>
      </c>
      <c r="AC66" s="51">
        <f>IF(AND(W66="SOPORTE_TELEFÓNICO",OR(U66="SIN CONTACTO CON EL CB",U66="NÚMEROS DE CONTACTO ERRADOS")),0,IF(W66="SOPORTE_TELEFÓNICO",'BASE DE LIQUIDACION 2025'!$B$9,IF(Y66="TIPO I",'BASE DE LIQUIDACION 2025'!$C$3,IF(Y66="TIPO II",'BASE DE LIQUIDACION 2025'!$C$4,IF(Y66="TIPO III",'BASE DE LIQUIDACION 2025'!$C$5,'BASE DE LIQUIDACION 2025'!$C$6)))))</f>
        <v>44559.563999999998</v>
      </c>
      <c r="AD66" s="51">
        <f>IF(W66="SOPORTE_TELEFÓNICO",AC66,CIERRES!AB66*CIERRES!AC66)</f>
        <v>44559.563999999998</v>
      </c>
    </row>
    <row r="67" spans="1:30" s="81" customFormat="1" ht="13.15">
      <c r="A67" s="73" t="s">
        <v>78</v>
      </c>
      <c r="B67" s="50" t="str">
        <f>VLOOKUP(A67,'CENTRO DE COSTOS'!A:D,4,FALSE)</f>
        <v>WILLIAM ASDRUBAL ROZO ROZO</v>
      </c>
      <c r="C67" s="50" t="str">
        <f>VLOOKUP(A67,'CENTRO DE COSTOS'!A:C,2,FALSE)</f>
        <v>0004-0004</v>
      </c>
      <c r="D67" s="74">
        <v>11001</v>
      </c>
      <c r="E67" s="74" t="s">
        <v>506</v>
      </c>
      <c r="F67" s="73">
        <v>58583</v>
      </c>
      <c r="G67" s="74" t="s">
        <v>80</v>
      </c>
      <c r="H67" s="73" t="s">
        <v>81</v>
      </c>
      <c r="I67" s="73" t="s">
        <v>78</v>
      </c>
      <c r="J67" s="73" t="s">
        <v>507</v>
      </c>
      <c r="K67" s="74" t="s">
        <v>84</v>
      </c>
      <c r="L67" s="75" t="s">
        <v>508</v>
      </c>
      <c r="M67" s="75">
        <v>45849.484722222223</v>
      </c>
      <c r="N67" s="75">
        <v>45855.351377314822</v>
      </c>
      <c r="O67" s="10"/>
      <c r="P67" s="74" t="s">
        <v>86</v>
      </c>
      <c r="Q67" s="74" t="s">
        <v>87</v>
      </c>
      <c r="R67" s="78" t="s">
        <v>88</v>
      </c>
      <c r="S67" s="73" t="s">
        <v>88</v>
      </c>
      <c r="T67" s="79" t="s">
        <v>89</v>
      </c>
      <c r="U67" s="79" t="s">
        <v>90</v>
      </c>
      <c r="V67" s="78" t="s">
        <v>509</v>
      </c>
      <c r="W67" s="74" t="s">
        <v>92</v>
      </c>
      <c r="X67" s="60">
        <v>0</v>
      </c>
      <c r="Y67" s="80" t="s">
        <v>102</v>
      </c>
      <c r="Z67" s="80" t="s">
        <v>94</v>
      </c>
      <c r="AA67" s="74" t="s">
        <v>510</v>
      </c>
      <c r="AB67" s="74">
        <v>2</v>
      </c>
      <c r="AC67" s="51">
        <f>IF(AND(W67="SOPORTE_TELEFÓNICO",OR(U67="SIN CONTACTO CON EL CB",U67="NÚMEROS DE CONTACTO ERRADOS")),0,IF(W67="SOPORTE_TELEFÓNICO",'BASE DE LIQUIDACION 2025'!$B$9,IF(Y67="TIPO I",'BASE DE LIQUIDACION 2025'!$C$3,IF(Y67="TIPO II",'BASE DE LIQUIDACION 2025'!$C$4,IF(Y67="TIPO III",'BASE DE LIQUIDACION 2025'!$C$5,'BASE DE LIQUIDACION 2025'!$C$6)))))</f>
        <v>44559.563999999998</v>
      </c>
      <c r="AD67" s="51">
        <f>IF(W67="SOPORTE_TELEFÓNICO",AC67,CIERRES!AB67*CIERRES!AC67)</f>
        <v>89119.127999999997</v>
      </c>
    </row>
    <row r="68" spans="1:30" s="81" customFormat="1" ht="13.15">
      <c r="A68" s="73" t="s">
        <v>159</v>
      </c>
      <c r="B68" s="50" t="str">
        <f>VLOOKUP(A68,'CENTRO DE COSTOS'!A:D,4,FALSE)</f>
        <v>JUAN SEBASTIÁN RÍOS CASTRILLÓN</v>
      </c>
      <c r="C68" s="50" t="str">
        <f>VLOOKUP(A68,'CENTRO DE COSTOS'!A:C,2,FALSE)</f>
        <v>0004-0005</v>
      </c>
      <c r="D68" s="74">
        <v>27001</v>
      </c>
      <c r="E68" s="74" t="s">
        <v>511</v>
      </c>
      <c r="F68" s="73">
        <v>69593</v>
      </c>
      <c r="G68" s="74" t="s">
        <v>80</v>
      </c>
      <c r="H68" s="73" t="s">
        <v>512</v>
      </c>
      <c r="I68" s="73" t="s">
        <v>513</v>
      </c>
      <c r="J68" s="73" t="s">
        <v>514</v>
      </c>
      <c r="K68" s="74" t="s">
        <v>84</v>
      </c>
      <c r="L68" s="75" t="s">
        <v>515</v>
      </c>
      <c r="M68" s="75">
        <v>45849.484722222223</v>
      </c>
      <c r="N68" s="75">
        <v>45855.45103009259</v>
      </c>
      <c r="O68" s="10"/>
      <c r="P68" s="74" t="s">
        <v>86</v>
      </c>
      <c r="Q68" s="74" t="s">
        <v>86</v>
      </c>
      <c r="R68" s="78" t="s">
        <v>88</v>
      </c>
      <c r="S68" s="73" t="s">
        <v>88</v>
      </c>
      <c r="T68" s="79" t="s">
        <v>118</v>
      </c>
      <c r="U68" s="79" t="s">
        <v>119</v>
      </c>
      <c r="V68" s="78" t="s">
        <v>516</v>
      </c>
      <c r="W68" s="74" t="s">
        <v>92</v>
      </c>
      <c r="X68" s="60">
        <v>0</v>
      </c>
      <c r="Y68" s="80" t="s">
        <v>139</v>
      </c>
      <c r="Z68" s="80" t="s">
        <v>140</v>
      </c>
      <c r="AA68" s="74" t="s">
        <v>517</v>
      </c>
      <c r="AB68" s="74">
        <v>1</v>
      </c>
      <c r="AC68" s="51">
        <f>IF(AND(W68="SOPORTE_TELEFÓNICO",OR(U68="SIN CONTACTO CON EL CB",U68="NÚMEROS DE CONTACTO ERRADOS")),0,IF(W68="SOPORTE_TELEFÓNICO",'BASE DE LIQUIDACION 2025'!$B$9,IF(Y68="TIPO I",'BASE DE LIQUIDACION 2025'!$C$3,IF(Y68="TIPO II",'BASE DE LIQUIDACION 2025'!$C$4,IF(Y68="TIPO III",'BASE DE LIQUIDACION 2025'!$C$5,'BASE DE LIQUIDACION 2025'!$C$6)))))</f>
        <v>464809.36800000002</v>
      </c>
      <c r="AD68" s="51">
        <f>IF(W68="SOPORTE_TELEFÓNICO",AC68,CIERRES!AB68*CIERRES!AC68)</f>
        <v>464809.36800000002</v>
      </c>
    </row>
    <row r="69" spans="1:30" s="81" customFormat="1" ht="13.15">
      <c r="A69" s="73" t="s">
        <v>194</v>
      </c>
      <c r="B69" s="50" t="str">
        <f>VLOOKUP(A69,'CENTRO DE COSTOS'!A:D,4,FALSE)</f>
        <v>KEVIN ALEXIS CORZO BUSTOS</v>
      </c>
      <c r="C69" s="50" t="str">
        <f>VLOOKUP(A69,'CENTRO DE COSTOS'!A:C,2,FALSE)</f>
        <v>0004-0007</v>
      </c>
      <c r="D69" s="74">
        <v>73001</v>
      </c>
      <c r="E69" s="74" t="s">
        <v>518</v>
      </c>
      <c r="F69" s="73">
        <v>44044</v>
      </c>
      <c r="G69" s="74" t="s">
        <v>80</v>
      </c>
      <c r="H69" s="73" t="s">
        <v>196</v>
      </c>
      <c r="I69" s="73" t="s">
        <v>194</v>
      </c>
      <c r="J69" s="73" t="s">
        <v>519</v>
      </c>
      <c r="K69" s="74" t="s">
        <v>84</v>
      </c>
      <c r="L69" s="75" t="s">
        <v>520</v>
      </c>
      <c r="M69" s="75">
        <v>45855.333333333336</v>
      </c>
      <c r="N69" s="75">
        <v>45855.471122685187</v>
      </c>
      <c r="O69" s="10"/>
      <c r="P69" s="74" t="s">
        <v>86</v>
      </c>
      <c r="Q69" s="74" t="s">
        <v>86</v>
      </c>
      <c r="R69" s="78" t="s">
        <v>88</v>
      </c>
      <c r="S69" s="73" t="s">
        <v>88</v>
      </c>
      <c r="T69" s="79" t="s">
        <v>89</v>
      </c>
      <c r="U69" s="79" t="s">
        <v>90</v>
      </c>
      <c r="V69" s="78" t="s">
        <v>521</v>
      </c>
      <c r="W69" s="74" t="s">
        <v>92</v>
      </c>
      <c r="X69" s="60">
        <v>0</v>
      </c>
      <c r="Y69" s="80" t="s">
        <v>102</v>
      </c>
      <c r="Z69" s="80" t="s">
        <v>94</v>
      </c>
      <c r="AA69" s="74" t="s">
        <v>522</v>
      </c>
      <c r="AB69" s="74">
        <v>1</v>
      </c>
      <c r="AC69" s="51">
        <f>IF(AND(W69="SOPORTE_TELEFÓNICO",OR(U69="SIN CONTACTO CON EL CB",U69="NÚMEROS DE CONTACTO ERRADOS")),0,IF(W69="SOPORTE_TELEFÓNICO",'BASE DE LIQUIDACION 2025'!$B$9,IF(Y69="TIPO I",'BASE DE LIQUIDACION 2025'!$C$3,IF(Y69="TIPO II",'BASE DE LIQUIDACION 2025'!$C$4,IF(Y69="TIPO III",'BASE DE LIQUIDACION 2025'!$C$5,'BASE DE LIQUIDACION 2025'!$C$6)))))</f>
        <v>44559.563999999998</v>
      </c>
      <c r="AD69" s="51">
        <f>IF(W69="SOPORTE_TELEFÓNICO",AC69,CIERRES!AB69*CIERRES!AC69)</f>
        <v>44559.563999999998</v>
      </c>
    </row>
    <row r="70" spans="1:30" s="81" customFormat="1" ht="13.15">
      <c r="A70" s="73" t="s">
        <v>104</v>
      </c>
      <c r="B70" s="50" t="str">
        <f>VLOOKUP(A70,'CENTRO DE COSTOS'!A:D,4,FALSE)</f>
        <v>DIEGO FERNANDO HENAO CARDONA</v>
      </c>
      <c r="C70" s="50" t="str">
        <f>VLOOKUP(A70,'CENTRO DE COSTOS'!A:C,2,FALSE)</f>
        <v>0004-0003</v>
      </c>
      <c r="D70" s="74">
        <v>76001</v>
      </c>
      <c r="E70" s="74" t="s">
        <v>523</v>
      </c>
      <c r="F70" s="73">
        <v>70371</v>
      </c>
      <c r="G70" s="74" t="s">
        <v>80</v>
      </c>
      <c r="H70" s="73" t="s">
        <v>144</v>
      </c>
      <c r="I70" s="73" t="s">
        <v>104</v>
      </c>
      <c r="J70" s="73" t="s">
        <v>524</v>
      </c>
      <c r="K70" s="74" t="s">
        <v>84</v>
      </c>
      <c r="L70" s="75" t="s">
        <v>525</v>
      </c>
      <c r="M70" s="75">
        <v>45855.333333333336</v>
      </c>
      <c r="N70" s="75">
        <v>45855.481319444443</v>
      </c>
      <c r="O70" s="10"/>
      <c r="P70" s="74" t="s">
        <v>86</v>
      </c>
      <c r="Q70" s="74" t="s">
        <v>86</v>
      </c>
      <c r="R70" s="78" t="s">
        <v>88</v>
      </c>
      <c r="S70" s="73" t="s">
        <v>88</v>
      </c>
      <c r="T70" s="79" t="s">
        <v>89</v>
      </c>
      <c r="U70" s="79" t="s">
        <v>90</v>
      </c>
      <c r="V70" s="78" t="s">
        <v>526</v>
      </c>
      <c r="W70" s="74" t="s">
        <v>92</v>
      </c>
      <c r="X70" s="60" t="s">
        <v>527</v>
      </c>
      <c r="Y70" s="80" t="s">
        <v>102</v>
      </c>
      <c r="Z70" s="80" t="s">
        <v>94</v>
      </c>
      <c r="AA70" s="74" t="s">
        <v>272</v>
      </c>
      <c r="AB70" s="74">
        <v>1</v>
      </c>
      <c r="AC70" s="51">
        <f>IF(AND(W70="SOPORTE_TELEFÓNICO",OR(U70="SIN CONTACTO CON EL CB",U70="NÚMEROS DE CONTACTO ERRADOS")),0,IF(W70="SOPORTE_TELEFÓNICO",'BASE DE LIQUIDACION 2025'!$B$9,IF(Y70="TIPO I",'BASE DE LIQUIDACION 2025'!$C$3,IF(Y70="TIPO II",'BASE DE LIQUIDACION 2025'!$C$4,IF(Y70="TIPO III",'BASE DE LIQUIDACION 2025'!$C$5,'BASE DE LIQUIDACION 2025'!$C$6)))))</f>
        <v>44559.563999999998</v>
      </c>
      <c r="AD70" s="51">
        <f>IF(W70="SOPORTE_TELEFÓNICO",AC70,CIERRES!AB70*CIERRES!AC70)</f>
        <v>44559.563999999998</v>
      </c>
    </row>
    <row r="71" spans="1:30" s="81" customFormat="1" ht="13.15">
      <c r="A71" s="73" t="s">
        <v>113</v>
      </c>
      <c r="B71" s="50" t="str">
        <f>VLOOKUP(A71,'CENTRO DE COSTOS'!A:D,4,FALSE)</f>
        <v>JOSE MAURICIO HERNANDEZ ROJAS</v>
      </c>
      <c r="C71" s="50" t="str">
        <f>VLOOKUP(A71,'CENTRO DE COSTOS'!A:C,2,FALSE)</f>
        <v>0004-0001</v>
      </c>
      <c r="D71" s="74">
        <v>23001</v>
      </c>
      <c r="E71" s="74" t="s">
        <v>528</v>
      </c>
      <c r="F71" s="73">
        <v>43549</v>
      </c>
      <c r="G71" s="74" t="s">
        <v>80</v>
      </c>
      <c r="H71" s="73" t="s">
        <v>115</v>
      </c>
      <c r="I71" s="73" t="s">
        <v>113</v>
      </c>
      <c r="J71" s="73" t="s">
        <v>529</v>
      </c>
      <c r="K71" s="74" t="s">
        <v>84</v>
      </c>
      <c r="L71" s="75" t="s">
        <v>530</v>
      </c>
      <c r="M71" s="75">
        <v>45849.484722222223</v>
      </c>
      <c r="N71" s="75">
        <v>45856.3125</v>
      </c>
      <c r="O71" s="10"/>
      <c r="P71" s="74" t="s">
        <v>86</v>
      </c>
      <c r="Q71" s="74" t="s">
        <v>86</v>
      </c>
      <c r="R71" s="78" t="s">
        <v>88</v>
      </c>
      <c r="S71" s="73" t="s">
        <v>88</v>
      </c>
      <c r="T71" s="79" t="s">
        <v>89</v>
      </c>
      <c r="U71" s="79" t="s">
        <v>90</v>
      </c>
      <c r="V71" s="78" t="s">
        <v>531</v>
      </c>
      <c r="W71" s="74" t="s">
        <v>92</v>
      </c>
      <c r="X71" s="60">
        <v>0</v>
      </c>
      <c r="Y71" s="80" t="s">
        <v>102</v>
      </c>
      <c r="Z71" s="80" t="s">
        <v>94</v>
      </c>
      <c r="AA71" s="74" t="s">
        <v>344</v>
      </c>
      <c r="AB71" s="74">
        <v>1</v>
      </c>
      <c r="AC71" s="51">
        <f>IF(AND(W71="SOPORTE_TELEFÓNICO",OR(U71="SIN CONTACTO CON EL CB",U71="NÚMEROS DE CONTACTO ERRADOS")),0,IF(W71="SOPORTE_TELEFÓNICO",'BASE DE LIQUIDACION 2025'!$B$9,IF(Y71="TIPO I",'BASE DE LIQUIDACION 2025'!$C$3,IF(Y71="TIPO II",'BASE DE LIQUIDACION 2025'!$C$4,IF(Y71="TIPO III",'BASE DE LIQUIDACION 2025'!$C$5,'BASE DE LIQUIDACION 2025'!$C$6)))))</f>
        <v>44559.563999999998</v>
      </c>
      <c r="AD71" s="51">
        <f>IF(W71="SOPORTE_TELEFÓNICO",AC71,CIERRES!AB71*CIERRES!AC71)</f>
        <v>44559.563999999998</v>
      </c>
    </row>
    <row r="72" spans="1:30" s="81" customFormat="1" ht="13.15">
      <c r="A72" s="73" t="s">
        <v>78</v>
      </c>
      <c r="B72" s="50" t="str">
        <f>VLOOKUP(A72,'CENTRO DE COSTOS'!A:D,4,FALSE)</f>
        <v>WILLIAM ASDRUBAL ROZO ROZO</v>
      </c>
      <c r="C72" s="50" t="str">
        <f>VLOOKUP(A72,'CENTRO DE COSTOS'!A:C,2,FALSE)</f>
        <v>0004-0004</v>
      </c>
      <c r="D72" s="74">
        <v>25286</v>
      </c>
      <c r="E72" s="74" t="s">
        <v>532</v>
      </c>
      <c r="F72" s="73">
        <v>62043</v>
      </c>
      <c r="G72" s="74" t="s">
        <v>80</v>
      </c>
      <c r="H72" s="73" t="s">
        <v>81</v>
      </c>
      <c r="I72" s="73" t="s">
        <v>533</v>
      </c>
      <c r="J72" s="73" t="s">
        <v>534</v>
      </c>
      <c r="K72" s="74" t="s">
        <v>84</v>
      </c>
      <c r="L72" s="75" t="s">
        <v>535</v>
      </c>
      <c r="M72" s="75">
        <v>45853.333333333336</v>
      </c>
      <c r="N72" s="75">
        <v>45856.437592592592</v>
      </c>
      <c r="O72" s="10"/>
      <c r="P72" s="74" t="s">
        <v>86</v>
      </c>
      <c r="Q72" s="74" t="s">
        <v>87</v>
      </c>
      <c r="R72" s="78" t="s">
        <v>88</v>
      </c>
      <c r="S72" s="73" t="s">
        <v>88</v>
      </c>
      <c r="T72" s="79" t="s">
        <v>89</v>
      </c>
      <c r="U72" s="79" t="s">
        <v>90</v>
      </c>
      <c r="V72" s="78" t="s">
        <v>536</v>
      </c>
      <c r="W72" s="74" t="s">
        <v>92</v>
      </c>
      <c r="X72" s="60" t="s">
        <v>537</v>
      </c>
      <c r="Y72" s="80" t="s">
        <v>93</v>
      </c>
      <c r="Z72" s="80" t="s">
        <v>94</v>
      </c>
      <c r="AA72" s="74" t="s">
        <v>538</v>
      </c>
      <c r="AB72" s="74">
        <v>1</v>
      </c>
      <c r="AC72" s="51">
        <f>IF(AND(W72="SOPORTE_TELEFÓNICO",OR(U72="SIN CONTACTO CON EL CB",U72="NÚMEROS DE CONTACTO ERRADOS")),0,IF(W72="SOPORTE_TELEFÓNICO",'BASE DE LIQUIDACION 2025'!$B$9,IF(Y72="TIPO I",'BASE DE LIQUIDACION 2025'!$C$3,IF(Y72="TIPO II",'BASE DE LIQUIDACION 2025'!$C$4,IF(Y72="TIPO III",'BASE DE LIQUIDACION 2025'!$C$5,'BASE DE LIQUIDACION 2025'!$C$6)))))</f>
        <v>134410.88400000002</v>
      </c>
      <c r="AD72" s="51">
        <f>IF(W72="SOPORTE_TELEFÓNICO",AC72,CIERRES!AB72*CIERRES!AC72)</f>
        <v>134410.88400000002</v>
      </c>
    </row>
    <row r="73" spans="1:30" s="81" customFormat="1" ht="13.15">
      <c r="A73" s="73" t="s">
        <v>96</v>
      </c>
      <c r="B73" s="50" t="str">
        <f>VLOOKUP(A73,'CENTRO DE COSTOS'!A:D,4,FALSE)</f>
        <v>DIEGO FERNANDO HENAO CARDONA</v>
      </c>
      <c r="C73" s="50" t="str">
        <f>VLOOKUP(A73,'CENTRO DE COSTOS'!A:C,2,FALSE)</f>
        <v>0004-0003</v>
      </c>
      <c r="D73" s="74">
        <v>52720</v>
      </c>
      <c r="E73" s="74" t="s">
        <v>539</v>
      </c>
      <c r="F73" s="73">
        <v>76209</v>
      </c>
      <c r="G73" s="74" t="s">
        <v>80</v>
      </c>
      <c r="H73" s="73" t="s">
        <v>98</v>
      </c>
      <c r="I73" s="73" t="s">
        <v>540</v>
      </c>
      <c r="J73" s="73" t="s">
        <v>541</v>
      </c>
      <c r="K73" s="74" t="s">
        <v>84</v>
      </c>
      <c r="L73" s="75" t="s">
        <v>542</v>
      </c>
      <c r="M73" s="75">
        <v>45853.333333333336</v>
      </c>
      <c r="N73" s="75">
        <v>45856.502928240741</v>
      </c>
      <c r="O73" s="10"/>
      <c r="P73" s="74" t="s">
        <v>86</v>
      </c>
      <c r="Q73" s="74" t="s">
        <v>87</v>
      </c>
      <c r="R73" s="78" t="s">
        <v>88</v>
      </c>
      <c r="S73" s="73" t="s">
        <v>88</v>
      </c>
      <c r="T73" s="79" t="s">
        <v>118</v>
      </c>
      <c r="U73" s="79" t="s">
        <v>119</v>
      </c>
      <c r="V73" s="78" t="s">
        <v>543</v>
      </c>
      <c r="W73" s="74" t="s">
        <v>92</v>
      </c>
      <c r="X73" s="60" t="s">
        <v>544</v>
      </c>
      <c r="Y73" s="80" t="s">
        <v>93</v>
      </c>
      <c r="Z73" s="80" t="s">
        <v>94</v>
      </c>
      <c r="AA73" s="74" t="s">
        <v>545</v>
      </c>
      <c r="AB73" s="74">
        <v>1</v>
      </c>
      <c r="AC73" s="51">
        <f>IF(AND(W73="SOPORTE_TELEFÓNICO",OR(U73="SIN CONTACTO CON EL CB",U73="NÚMEROS DE CONTACTO ERRADOS")),0,IF(W73="SOPORTE_TELEFÓNICO",'BASE DE LIQUIDACION 2025'!$B$9,IF(Y73="TIPO I",'BASE DE LIQUIDACION 2025'!$C$3,IF(Y73="TIPO II",'BASE DE LIQUIDACION 2025'!$C$4,IF(Y73="TIPO III",'BASE DE LIQUIDACION 2025'!$C$5,'BASE DE LIQUIDACION 2025'!$C$6)))))</f>
        <v>134410.88400000002</v>
      </c>
      <c r="AD73" s="51">
        <f>IF(W73="SOPORTE_TELEFÓNICO",AC73,CIERRES!AB73*CIERRES!AC73)</f>
        <v>134410.88400000002</v>
      </c>
    </row>
    <row r="74" spans="1:30" s="81" customFormat="1" ht="13.15">
      <c r="A74" s="73" t="s">
        <v>113</v>
      </c>
      <c r="B74" s="50" t="str">
        <f>VLOOKUP(A74,'CENTRO DE COSTOS'!A:D,4,FALSE)</f>
        <v>JOSE MAURICIO HERNANDEZ ROJAS</v>
      </c>
      <c r="C74" s="50" t="str">
        <f>VLOOKUP(A74,'CENTRO DE COSTOS'!A:C,2,FALSE)</f>
        <v>0004-0001</v>
      </c>
      <c r="D74" s="74">
        <v>23162</v>
      </c>
      <c r="E74" s="74" t="s">
        <v>546</v>
      </c>
      <c r="F74" s="73">
        <v>77163</v>
      </c>
      <c r="G74" s="74" t="s">
        <v>80</v>
      </c>
      <c r="H74" s="73" t="s">
        <v>115</v>
      </c>
      <c r="I74" s="73" t="s">
        <v>547</v>
      </c>
      <c r="J74" s="73" t="s">
        <v>548</v>
      </c>
      <c r="K74" s="74" t="s">
        <v>84</v>
      </c>
      <c r="L74" s="75" t="s">
        <v>549</v>
      </c>
      <c r="M74" s="75">
        <v>45856.333333333336</v>
      </c>
      <c r="N74" s="75">
        <v>45856.553888888891</v>
      </c>
      <c r="O74" s="10"/>
      <c r="P74" s="74" t="s">
        <v>86</v>
      </c>
      <c r="Q74" s="74" t="s">
        <v>86</v>
      </c>
      <c r="R74" s="78" t="s">
        <v>88</v>
      </c>
      <c r="S74" s="73" t="s">
        <v>88</v>
      </c>
      <c r="T74" s="79" t="s">
        <v>118</v>
      </c>
      <c r="U74" s="79" t="s">
        <v>119</v>
      </c>
      <c r="V74" s="78" t="s">
        <v>550</v>
      </c>
      <c r="W74" s="74" t="s">
        <v>92</v>
      </c>
      <c r="X74" s="60">
        <v>0</v>
      </c>
      <c r="Y74" s="80" t="s">
        <v>102</v>
      </c>
      <c r="Z74" s="80" t="s">
        <v>94</v>
      </c>
      <c r="AA74" s="74" t="s">
        <v>551</v>
      </c>
      <c r="AB74" s="74">
        <v>1</v>
      </c>
      <c r="AC74" s="51">
        <f>IF(AND(W74="SOPORTE_TELEFÓNICO",OR(U74="SIN CONTACTO CON EL CB",U74="NÚMEROS DE CONTACTO ERRADOS")),0,IF(W74="SOPORTE_TELEFÓNICO",'BASE DE LIQUIDACION 2025'!$B$9,IF(Y74="TIPO I",'BASE DE LIQUIDACION 2025'!$C$3,IF(Y74="TIPO II",'BASE DE LIQUIDACION 2025'!$C$4,IF(Y74="TIPO III",'BASE DE LIQUIDACION 2025'!$C$5,'BASE DE LIQUIDACION 2025'!$C$6)))))</f>
        <v>44559.563999999998</v>
      </c>
      <c r="AD74" s="51">
        <f>IF(W74="SOPORTE_TELEFÓNICO",AC74,CIERRES!AB74*CIERRES!AC74)</f>
        <v>44559.563999999998</v>
      </c>
    </row>
    <row r="75" spans="1:30" s="81" customFormat="1" ht="13.15">
      <c r="A75" s="73" t="s">
        <v>113</v>
      </c>
      <c r="B75" s="50" t="str">
        <f>VLOOKUP(A75,'CENTRO DE COSTOS'!A:D,4,FALSE)</f>
        <v>JOSE MAURICIO HERNANDEZ ROJAS</v>
      </c>
      <c r="C75" s="50" t="str">
        <f>VLOOKUP(A75,'CENTRO DE COSTOS'!A:C,2,FALSE)</f>
        <v>0004-0001</v>
      </c>
      <c r="D75" s="74">
        <v>23001</v>
      </c>
      <c r="E75" s="74" t="s">
        <v>552</v>
      </c>
      <c r="F75" s="73">
        <v>49768</v>
      </c>
      <c r="G75" s="74" t="s">
        <v>80</v>
      </c>
      <c r="H75" s="73" t="s">
        <v>115</v>
      </c>
      <c r="I75" s="73" t="s">
        <v>113</v>
      </c>
      <c r="J75" s="73" t="s">
        <v>553</v>
      </c>
      <c r="K75" s="74" t="s">
        <v>84</v>
      </c>
      <c r="L75" s="75" t="s">
        <v>554</v>
      </c>
      <c r="M75" s="75">
        <v>45856.333333333336</v>
      </c>
      <c r="N75" s="75">
        <v>45856.607037037043</v>
      </c>
      <c r="O75" s="10"/>
      <c r="P75" s="74" t="s">
        <v>86</v>
      </c>
      <c r="Q75" s="74" t="s">
        <v>86</v>
      </c>
      <c r="R75" s="78" t="s">
        <v>88</v>
      </c>
      <c r="S75" s="73" t="s">
        <v>88</v>
      </c>
      <c r="T75" s="79" t="s">
        <v>89</v>
      </c>
      <c r="U75" s="79" t="s">
        <v>90</v>
      </c>
      <c r="V75" s="78" t="s">
        <v>555</v>
      </c>
      <c r="W75" s="74" t="s">
        <v>92</v>
      </c>
      <c r="X75" s="60">
        <v>0</v>
      </c>
      <c r="Y75" s="80" t="s">
        <v>102</v>
      </c>
      <c r="Z75" s="80" t="s">
        <v>94</v>
      </c>
      <c r="AA75" s="74" t="s">
        <v>551</v>
      </c>
      <c r="AB75" s="74">
        <v>1</v>
      </c>
      <c r="AC75" s="51">
        <f>IF(AND(W75="SOPORTE_TELEFÓNICO",OR(U75="SIN CONTACTO CON EL CB",U75="NÚMEROS DE CONTACTO ERRADOS")),0,IF(W75="SOPORTE_TELEFÓNICO",'BASE DE LIQUIDACION 2025'!$B$9,IF(Y75="TIPO I",'BASE DE LIQUIDACION 2025'!$C$3,IF(Y75="TIPO II",'BASE DE LIQUIDACION 2025'!$C$4,IF(Y75="TIPO III",'BASE DE LIQUIDACION 2025'!$C$5,'BASE DE LIQUIDACION 2025'!$C$6)))))</f>
        <v>44559.563999999998</v>
      </c>
      <c r="AD75" s="51">
        <f>IF(W75="SOPORTE_TELEFÓNICO",AC75,CIERRES!AB75*CIERRES!AC75)</f>
        <v>44559.563999999998</v>
      </c>
    </row>
    <row r="76" spans="1:30" s="81" customFormat="1" ht="13.15">
      <c r="A76" s="73" t="s">
        <v>194</v>
      </c>
      <c r="B76" s="50" t="str">
        <f>VLOOKUP(A76,'CENTRO DE COSTOS'!A:D,4,FALSE)</f>
        <v>KEVIN ALEXIS CORZO BUSTOS</v>
      </c>
      <c r="C76" s="50" t="str">
        <f>VLOOKUP(A76,'CENTRO DE COSTOS'!A:C,2,FALSE)</f>
        <v>0004-0007</v>
      </c>
      <c r="D76" s="74">
        <v>73001</v>
      </c>
      <c r="E76" s="74" t="s">
        <v>556</v>
      </c>
      <c r="F76" s="73">
        <v>65524</v>
      </c>
      <c r="G76" s="74" t="s">
        <v>80</v>
      </c>
      <c r="H76" s="73" t="s">
        <v>196</v>
      </c>
      <c r="I76" s="73" t="s">
        <v>194</v>
      </c>
      <c r="J76" s="73" t="s">
        <v>557</v>
      </c>
      <c r="K76" s="74" t="s">
        <v>84</v>
      </c>
      <c r="L76" s="75" t="s">
        <v>558</v>
      </c>
      <c r="M76" s="75">
        <v>45856.333333333336</v>
      </c>
      <c r="N76" s="75">
        <v>45856.616828703707</v>
      </c>
      <c r="O76" s="10"/>
      <c r="P76" s="74" t="s">
        <v>86</v>
      </c>
      <c r="Q76" s="74" t="s">
        <v>86</v>
      </c>
      <c r="R76" s="78" t="s">
        <v>148</v>
      </c>
      <c r="S76" s="73" t="s">
        <v>286</v>
      </c>
      <c r="T76" s="79" t="s">
        <v>118</v>
      </c>
      <c r="U76" s="79" t="s">
        <v>119</v>
      </c>
      <c r="V76" s="78" t="s">
        <v>559</v>
      </c>
      <c r="W76" s="74" t="s">
        <v>92</v>
      </c>
      <c r="X76" s="60">
        <v>0</v>
      </c>
      <c r="Y76" s="80" t="s">
        <v>102</v>
      </c>
      <c r="Z76" s="80" t="s">
        <v>94</v>
      </c>
      <c r="AA76" s="74" t="s">
        <v>522</v>
      </c>
      <c r="AB76" s="74">
        <v>1</v>
      </c>
      <c r="AC76" s="51">
        <f>IF(AND(W76="SOPORTE_TELEFÓNICO",OR(U76="SIN CONTACTO CON EL CB",U76="NÚMEROS DE CONTACTO ERRADOS")),0,IF(W76="SOPORTE_TELEFÓNICO",'BASE DE LIQUIDACION 2025'!$B$9,IF(Y76="TIPO I",'BASE DE LIQUIDACION 2025'!$C$3,IF(Y76="TIPO II",'BASE DE LIQUIDACION 2025'!$C$4,IF(Y76="TIPO III",'BASE DE LIQUIDACION 2025'!$C$5,'BASE DE LIQUIDACION 2025'!$C$6)))))</f>
        <v>44559.563999999998</v>
      </c>
      <c r="AD76" s="51">
        <f>IF(W76="SOPORTE_TELEFÓNICO",AC76,CIERRES!AB76*CIERRES!AC76)</f>
        <v>44559.563999999998</v>
      </c>
    </row>
    <row r="77" spans="1:30" s="81" customFormat="1" ht="13.15">
      <c r="A77" s="73" t="s">
        <v>194</v>
      </c>
      <c r="B77" s="50" t="str">
        <f>VLOOKUP(A77,'CENTRO DE COSTOS'!A:D,4,FALSE)</f>
        <v>KEVIN ALEXIS CORZO BUSTOS</v>
      </c>
      <c r="C77" s="50" t="str">
        <f>VLOOKUP(A77,'CENTRO DE COSTOS'!A:C,2,FALSE)</f>
        <v>0004-0007</v>
      </c>
      <c r="D77" s="74">
        <v>73001</v>
      </c>
      <c r="E77" s="74" t="s">
        <v>560</v>
      </c>
      <c r="F77" s="73">
        <v>69876</v>
      </c>
      <c r="G77" s="74" t="s">
        <v>80</v>
      </c>
      <c r="H77" s="73" t="s">
        <v>196</v>
      </c>
      <c r="I77" s="73" t="s">
        <v>194</v>
      </c>
      <c r="J77" s="73" t="s">
        <v>561</v>
      </c>
      <c r="K77" s="74" t="s">
        <v>84</v>
      </c>
      <c r="L77" s="75" t="s">
        <v>562</v>
      </c>
      <c r="M77" s="75">
        <v>45856.333333333336</v>
      </c>
      <c r="N77" s="75">
        <v>45856.659490740742</v>
      </c>
      <c r="O77" s="10"/>
      <c r="P77" s="74" t="s">
        <v>86</v>
      </c>
      <c r="Q77" s="74" t="s">
        <v>86</v>
      </c>
      <c r="R77" s="78" t="s">
        <v>148</v>
      </c>
      <c r="S77" s="73" t="s">
        <v>286</v>
      </c>
      <c r="T77" s="79" t="s">
        <v>118</v>
      </c>
      <c r="U77" s="79" t="s">
        <v>119</v>
      </c>
      <c r="V77" s="78" t="s">
        <v>563</v>
      </c>
      <c r="W77" s="74" t="s">
        <v>92</v>
      </c>
      <c r="X77" s="60">
        <v>0</v>
      </c>
      <c r="Y77" s="80" t="s">
        <v>102</v>
      </c>
      <c r="Z77" s="80" t="s">
        <v>94</v>
      </c>
      <c r="AA77" s="74" t="s">
        <v>522</v>
      </c>
      <c r="AB77" s="74">
        <v>1</v>
      </c>
      <c r="AC77" s="51">
        <f>IF(AND(W77="SOPORTE_TELEFÓNICO",OR(U77="SIN CONTACTO CON EL CB",U77="NÚMEROS DE CONTACTO ERRADOS")),0,IF(W77="SOPORTE_TELEFÓNICO",'BASE DE LIQUIDACION 2025'!$B$9,IF(Y77="TIPO I",'BASE DE LIQUIDACION 2025'!$C$3,IF(Y77="TIPO II",'BASE DE LIQUIDACION 2025'!$C$4,IF(Y77="TIPO III",'BASE DE LIQUIDACION 2025'!$C$5,'BASE DE LIQUIDACION 2025'!$C$6)))))</f>
        <v>44559.563999999998</v>
      </c>
      <c r="AD77" s="51">
        <f>IF(W77="SOPORTE_TELEFÓNICO",AC77,CIERRES!AB77*CIERRES!AC77)</f>
        <v>44559.563999999998</v>
      </c>
    </row>
    <row r="78" spans="1:30" s="81" customFormat="1" ht="13.15">
      <c r="A78" s="73" t="s">
        <v>78</v>
      </c>
      <c r="B78" s="50" t="str">
        <f>VLOOKUP(A78,'CENTRO DE COSTOS'!A:D,4,FALSE)</f>
        <v>WILLIAM ASDRUBAL ROZO ROZO</v>
      </c>
      <c r="C78" s="50" t="str">
        <f>VLOOKUP(A78,'CENTRO DE COSTOS'!A:C,2,FALSE)</f>
        <v>0004-0004</v>
      </c>
      <c r="D78" s="74">
        <v>11001</v>
      </c>
      <c r="E78" s="74" t="s">
        <v>564</v>
      </c>
      <c r="F78" s="73">
        <v>68172</v>
      </c>
      <c r="G78" s="74" t="s">
        <v>80</v>
      </c>
      <c r="H78" s="73" t="s">
        <v>81</v>
      </c>
      <c r="I78" s="73" t="s">
        <v>78</v>
      </c>
      <c r="J78" s="73" t="s">
        <v>565</v>
      </c>
      <c r="K78" s="74" t="s">
        <v>84</v>
      </c>
      <c r="L78" s="75" t="s">
        <v>566</v>
      </c>
      <c r="M78" s="75">
        <v>45853.333333333336</v>
      </c>
      <c r="N78" s="75">
        <v>45856.684849537043</v>
      </c>
      <c r="O78" s="10"/>
      <c r="P78" s="74" t="s">
        <v>86</v>
      </c>
      <c r="Q78" s="74" t="s">
        <v>86</v>
      </c>
      <c r="R78" s="78" t="s">
        <v>88</v>
      </c>
      <c r="S78" s="73" t="s">
        <v>88</v>
      </c>
      <c r="T78" s="79" t="s">
        <v>268</v>
      </c>
      <c r="U78" s="79" t="s">
        <v>269</v>
      </c>
      <c r="V78" s="78" t="s">
        <v>567</v>
      </c>
      <c r="W78" s="74" t="s">
        <v>92</v>
      </c>
      <c r="X78" s="60" t="s">
        <v>568</v>
      </c>
      <c r="Y78" s="80" t="s">
        <v>102</v>
      </c>
      <c r="Z78" s="80" t="s">
        <v>94</v>
      </c>
      <c r="AA78" s="74" t="s">
        <v>569</v>
      </c>
      <c r="AB78" s="74">
        <v>1</v>
      </c>
      <c r="AC78" s="51">
        <f>IF(AND(W78="SOPORTE_TELEFÓNICO",OR(U78="SIN CONTACTO CON EL CB",U78="NÚMEROS DE CONTACTO ERRADOS")),0,IF(W78="SOPORTE_TELEFÓNICO",'BASE DE LIQUIDACION 2025'!$B$9,IF(Y78="TIPO I",'BASE DE LIQUIDACION 2025'!$C$3,IF(Y78="TIPO II",'BASE DE LIQUIDACION 2025'!$C$4,IF(Y78="TIPO III",'BASE DE LIQUIDACION 2025'!$C$5,'BASE DE LIQUIDACION 2025'!$C$6)))))</f>
        <v>44559.563999999998</v>
      </c>
      <c r="AD78" s="51">
        <f>IF(W78="SOPORTE_TELEFÓNICO",AC78,CIERRES!AB78*CIERRES!AC78)</f>
        <v>44559.563999999998</v>
      </c>
    </row>
    <row r="79" spans="1:30" s="81" customFormat="1" ht="13.15">
      <c r="A79" s="73" t="s">
        <v>78</v>
      </c>
      <c r="B79" s="50" t="str">
        <f>VLOOKUP(A79,'CENTRO DE COSTOS'!A:D,4,FALSE)</f>
        <v>WILLIAM ASDRUBAL ROZO ROZO</v>
      </c>
      <c r="C79" s="50" t="str">
        <f>VLOOKUP(A79,'CENTRO DE COSTOS'!A:C,2,FALSE)</f>
        <v>0004-0004</v>
      </c>
      <c r="D79" s="74">
        <v>11001</v>
      </c>
      <c r="E79" s="74" t="s">
        <v>570</v>
      </c>
      <c r="F79" s="73">
        <v>10167</v>
      </c>
      <c r="G79" s="74" t="s">
        <v>80</v>
      </c>
      <c r="H79" s="73" t="s">
        <v>81</v>
      </c>
      <c r="I79" s="73" t="s">
        <v>78</v>
      </c>
      <c r="J79" s="73" t="s">
        <v>565</v>
      </c>
      <c r="K79" s="74" t="s">
        <v>84</v>
      </c>
      <c r="L79" s="75" t="s">
        <v>571</v>
      </c>
      <c r="M79" s="75">
        <v>45853.333333333336</v>
      </c>
      <c r="N79" s="75">
        <v>45856.715104166673</v>
      </c>
      <c r="O79" s="10"/>
      <c r="P79" s="74" t="s">
        <v>86</v>
      </c>
      <c r="Q79" s="74" t="s">
        <v>87</v>
      </c>
      <c r="R79" s="78" t="s">
        <v>88</v>
      </c>
      <c r="S79" s="73" t="s">
        <v>88</v>
      </c>
      <c r="T79" s="79" t="s">
        <v>89</v>
      </c>
      <c r="U79" s="79" t="s">
        <v>90</v>
      </c>
      <c r="V79" s="78" t="s">
        <v>572</v>
      </c>
      <c r="W79" s="74" t="s">
        <v>92</v>
      </c>
      <c r="X79" s="60">
        <v>0</v>
      </c>
      <c r="Y79" s="80" t="s">
        <v>102</v>
      </c>
      <c r="Z79" s="80" t="s">
        <v>94</v>
      </c>
      <c r="AA79" s="74" t="s">
        <v>573</v>
      </c>
      <c r="AB79" s="74">
        <v>1</v>
      </c>
      <c r="AC79" s="51">
        <f>IF(AND(W79="SOPORTE_TELEFÓNICO",OR(U79="SIN CONTACTO CON EL CB",U79="NÚMEROS DE CONTACTO ERRADOS")),0,IF(W79="SOPORTE_TELEFÓNICO",'BASE DE LIQUIDACION 2025'!$B$9,IF(Y79="TIPO I",'BASE DE LIQUIDACION 2025'!$C$3,IF(Y79="TIPO II",'BASE DE LIQUIDACION 2025'!$C$4,IF(Y79="TIPO III",'BASE DE LIQUIDACION 2025'!$C$5,'BASE DE LIQUIDACION 2025'!$C$6)))))</f>
        <v>44559.563999999998</v>
      </c>
      <c r="AD79" s="51">
        <f>IF(W79="SOPORTE_TELEFÓNICO",AC79,CIERRES!AB79*CIERRES!AC79)</f>
        <v>44559.563999999998</v>
      </c>
    </row>
    <row r="80" spans="1:30" s="81" customFormat="1" ht="13.15">
      <c r="A80" s="73" t="s">
        <v>113</v>
      </c>
      <c r="B80" s="50" t="str">
        <f>VLOOKUP(A80,'CENTRO DE COSTOS'!A:D,4,FALSE)</f>
        <v>JOSE MAURICIO HERNANDEZ ROJAS</v>
      </c>
      <c r="C80" s="50" t="str">
        <f>VLOOKUP(A80,'CENTRO DE COSTOS'!A:C,2,FALSE)</f>
        <v>0004-0001</v>
      </c>
      <c r="D80" s="74">
        <v>23001</v>
      </c>
      <c r="E80" s="74" t="s">
        <v>574</v>
      </c>
      <c r="F80" s="73">
        <v>25760</v>
      </c>
      <c r="G80" s="74" t="s">
        <v>80</v>
      </c>
      <c r="H80" s="73" t="s">
        <v>115</v>
      </c>
      <c r="I80" s="73" t="s">
        <v>113</v>
      </c>
      <c r="J80" s="73" t="s">
        <v>575</v>
      </c>
      <c r="K80" s="74" t="s">
        <v>84</v>
      </c>
      <c r="L80" s="75" t="s">
        <v>576</v>
      </c>
      <c r="M80" s="75">
        <v>45855.333333333336</v>
      </c>
      <c r="N80" s="75">
        <v>45856.770324074067</v>
      </c>
      <c r="O80" s="10"/>
      <c r="P80" s="74" t="s">
        <v>86</v>
      </c>
      <c r="Q80" s="74" t="s">
        <v>86</v>
      </c>
      <c r="R80" s="78" t="s">
        <v>88</v>
      </c>
      <c r="S80" s="73" t="s">
        <v>88</v>
      </c>
      <c r="T80" s="79" t="s">
        <v>268</v>
      </c>
      <c r="U80" s="79" t="s">
        <v>269</v>
      </c>
      <c r="V80" s="78" t="s">
        <v>577</v>
      </c>
      <c r="W80" s="74" t="s">
        <v>92</v>
      </c>
      <c r="X80" s="60" t="s">
        <v>578</v>
      </c>
      <c r="Y80" s="80" t="s">
        <v>102</v>
      </c>
      <c r="Z80" s="80" t="s">
        <v>94</v>
      </c>
      <c r="AA80" s="74" t="s">
        <v>579</v>
      </c>
      <c r="AB80" s="74">
        <v>1</v>
      </c>
      <c r="AC80" s="51">
        <f>IF(AND(W80="SOPORTE_TELEFÓNICO",OR(U80="SIN CONTACTO CON EL CB",U80="NÚMEROS DE CONTACTO ERRADOS")),0,IF(W80="SOPORTE_TELEFÓNICO",'BASE DE LIQUIDACION 2025'!$B$9,IF(Y80="TIPO I",'BASE DE LIQUIDACION 2025'!$C$3,IF(Y80="TIPO II",'BASE DE LIQUIDACION 2025'!$C$4,IF(Y80="TIPO III",'BASE DE LIQUIDACION 2025'!$C$5,'BASE DE LIQUIDACION 2025'!$C$6)))))</f>
        <v>44559.563999999998</v>
      </c>
      <c r="AD80" s="51">
        <f>IF(W80="SOPORTE_TELEFÓNICO",AC80,CIERRES!AB80*CIERRES!AC80)</f>
        <v>44559.563999999998</v>
      </c>
    </row>
    <row r="81" spans="1:30" s="81" customFormat="1" ht="13.15">
      <c r="A81" s="73" t="s">
        <v>131</v>
      </c>
      <c r="B81" s="50" t="str">
        <f>VLOOKUP(A81,'CENTRO DE COSTOS'!A:D,4,FALSE)</f>
        <v>KEVIN ALEXIS CORZO BUSTOS</v>
      </c>
      <c r="C81" s="50" t="str">
        <f>VLOOKUP(A81,'CENTRO DE COSTOS'!A:C,2,FALSE)</f>
        <v>0004-0007</v>
      </c>
      <c r="D81" s="74">
        <v>50001</v>
      </c>
      <c r="E81" s="74" t="s">
        <v>580</v>
      </c>
      <c r="F81" s="73">
        <v>70251</v>
      </c>
      <c r="G81" s="74" t="s">
        <v>80</v>
      </c>
      <c r="H81" s="73" t="s">
        <v>207</v>
      </c>
      <c r="I81" s="73" t="s">
        <v>131</v>
      </c>
      <c r="J81" s="73" t="s">
        <v>581</v>
      </c>
      <c r="K81" s="74" t="s">
        <v>84</v>
      </c>
      <c r="L81" s="75" t="s">
        <v>582</v>
      </c>
      <c r="M81" s="75">
        <v>45855.333333333336</v>
      </c>
      <c r="N81" s="75">
        <v>45857.390740740739</v>
      </c>
      <c r="O81" s="10"/>
      <c r="P81" s="74" t="s">
        <v>86</v>
      </c>
      <c r="Q81" s="74" t="s">
        <v>86</v>
      </c>
      <c r="R81" s="78" t="s">
        <v>88</v>
      </c>
      <c r="S81" s="73" t="s">
        <v>88</v>
      </c>
      <c r="T81" s="79" t="s">
        <v>89</v>
      </c>
      <c r="U81" s="79" t="s">
        <v>90</v>
      </c>
      <c r="V81" s="78" t="s">
        <v>583</v>
      </c>
      <c r="W81" s="74" t="s">
        <v>92</v>
      </c>
      <c r="X81" s="60" t="s">
        <v>584</v>
      </c>
      <c r="Y81" s="80" t="s">
        <v>102</v>
      </c>
      <c r="Z81" s="80" t="s">
        <v>94</v>
      </c>
      <c r="AA81" s="74" t="s">
        <v>585</v>
      </c>
      <c r="AB81" s="74">
        <v>1</v>
      </c>
      <c r="AC81" s="51">
        <f>IF(AND(W81="SOPORTE_TELEFÓNICO",OR(U81="SIN CONTACTO CON EL CB",U81="NÚMEROS DE CONTACTO ERRADOS")),0,IF(W81="SOPORTE_TELEFÓNICO",'BASE DE LIQUIDACION 2025'!$B$9,IF(Y81="TIPO I",'BASE DE LIQUIDACION 2025'!$C$3,IF(Y81="TIPO II",'BASE DE LIQUIDACION 2025'!$C$4,IF(Y81="TIPO III",'BASE DE LIQUIDACION 2025'!$C$5,'BASE DE LIQUIDACION 2025'!$C$6)))))</f>
        <v>44559.563999999998</v>
      </c>
      <c r="AD81" s="51">
        <f>IF(W81="SOPORTE_TELEFÓNICO",AC81,CIERRES!AB81*CIERRES!AC81)</f>
        <v>44559.563999999998</v>
      </c>
    </row>
    <row r="82" spans="1:30" s="81" customFormat="1" ht="13.15">
      <c r="A82" s="73" t="s">
        <v>104</v>
      </c>
      <c r="B82" s="50" t="str">
        <f>VLOOKUP(A82,'CENTRO DE COSTOS'!A:D,4,FALSE)</f>
        <v>DIEGO FERNANDO HENAO CARDONA</v>
      </c>
      <c r="C82" s="50" t="str">
        <f>VLOOKUP(A82,'CENTRO DE COSTOS'!A:C,2,FALSE)</f>
        <v>0004-0003</v>
      </c>
      <c r="D82" s="74">
        <v>19001</v>
      </c>
      <c r="E82" s="74" t="s">
        <v>586</v>
      </c>
      <c r="F82" s="73">
        <v>76647</v>
      </c>
      <c r="G82" s="74" t="s">
        <v>80</v>
      </c>
      <c r="H82" s="73" t="s">
        <v>106</v>
      </c>
      <c r="I82" s="73" t="s">
        <v>202</v>
      </c>
      <c r="J82" s="73" t="s">
        <v>587</v>
      </c>
      <c r="K82" s="74" t="s">
        <v>84</v>
      </c>
      <c r="L82" s="75" t="s">
        <v>588</v>
      </c>
      <c r="M82" s="75">
        <v>45853.333333333336</v>
      </c>
      <c r="N82" s="75">
        <v>45857.400243055563</v>
      </c>
      <c r="O82" s="10"/>
      <c r="P82" s="74" t="s">
        <v>86</v>
      </c>
      <c r="Q82" s="74" t="s">
        <v>87</v>
      </c>
      <c r="R82" s="78" t="s">
        <v>88</v>
      </c>
      <c r="S82" s="73" t="s">
        <v>88</v>
      </c>
      <c r="T82" s="79" t="s">
        <v>89</v>
      </c>
      <c r="U82" s="79" t="s">
        <v>90</v>
      </c>
      <c r="V82" s="78" t="s">
        <v>589</v>
      </c>
      <c r="W82" s="74" t="s">
        <v>92</v>
      </c>
      <c r="X82" s="60" t="s">
        <v>590</v>
      </c>
      <c r="Y82" s="80" t="s">
        <v>178</v>
      </c>
      <c r="Z82" s="80" t="s">
        <v>94</v>
      </c>
      <c r="AA82" s="74" t="s">
        <v>232</v>
      </c>
      <c r="AB82" s="74">
        <v>1</v>
      </c>
      <c r="AC82" s="51">
        <f>IF(AND(W82="SOPORTE_TELEFÓNICO",OR(U82="SIN CONTACTO CON EL CB",U82="NÚMEROS DE CONTACTO ERRADOS")),0,IF(W82="SOPORTE_TELEFÓNICO",'BASE DE LIQUIDACION 2025'!$B$9,IF(Y82="TIPO I",'BASE DE LIQUIDACION 2025'!$C$3,IF(Y82="TIPO II",'BASE DE LIQUIDACION 2025'!$C$4,IF(Y82="TIPO III",'BASE DE LIQUIDACION 2025'!$C$5,'BASE DE LIQUIDACION 2025'!$C$6)))))</f>
        <v>222904.07200000001</v>
      </c>
      <c r="AD82" s="51">
        <f>IF(W82="SOPORTE_TELEFÓNICO",AC82,CIERRES!AB82*CIERRES!AC82)</f>
        <v>222904.07200000001</v>
      </c>
    </row>
    <row r="83" spans="1:30" s="81" customFormat="1" ht="13.15">
      <c r="A83" s="73" t="s">
        <v>78</v>
      </c>
      <c r="B83" s="50" t="str">
        <f>VLOOKUP(A83,'CENTRO DE COSTOS'!A:D,4,FALSE)</f>
        <v>WILLIAM ASDRUBAL ROZO ROZO</v>
      </c>
      <c r="C83" s="50" t="str">
        <f>VLOOKUP(A83,'CENTRO DE COSTOS'!A:C,2,FALSE)</f>
        <v>0004-0004</v>
      </c>
      <c r="D83" s="74">
        <v>11001</v>
      </c>
      <c r="E83" s="74" t="s">
        <v>591</v>
      </c>
      <c r="F83" s="73">
        <v>75361</v>
      </c>
      <c r="G83" s="74" t="s">
        <v>80</v>
      </c>
      <c r="H83" s="73" t="s">
        <v>81</v>
      </c>
      <c r="I83" s="73" t="s">
        <v>78</v>
      </c>
      <c r="J83" s="73" t="s">
        <v>592</v>
      </c>
      <c r="K83" s="74" t="s">
        <v>84</v>
      </c>
      <c r="L83" s="75" t="s">
        <v>593</v>
      </c>
      <c r="M83" s="75">
        <v>45856.333333333336</v>
      </c>
      <c r="N83" s="75">
        <v>45857.403495370367</v>
      </c>
      <c r="O83" s="10"/>
      <c r="P83" s="74" t="s">
        <v>86</v>
      </c>
      <c r="Q83" s="74" t="s">
        <v>86</v>
      </c>
      <c r="R83" s="78" t="s">
        <v>88</v>
      </c>
      <c r="S83" s="73" t="s">
        <v>88</v>
      </c>
      <c r="T83" s="79" t="s">
        <v>118</v>
      </c>
      <c r="U83" s="79" t="s">
        <v>119</v>
      </c>
      <c r="V83" s="78" t="s">
        <v>594</v>
      </c>
      <c r="W83" s="74" t="s">
        <v>92</v>
      </c>
      <c r="X83" s="60" t="s">
        <v>595</v>
      </c>
      <c r="Y83" s="80" t="s">
        <v>102</v>
      </c>
      <c r="Z83" s="80" t="s">
        <v>94</v>
      </c>
      <c r="AA83" s="74" t="s">
        <v>172</v>
      </c>
      <c r="AB83" s="74">
        <v>1</v>
      </c>
      <c r="AC83" s="51">
        <f>IF(AND(W83="SOPORTE_TELEFÓNICO",OR(U83="SIN CONTACTO CON EL CB",U83="NÚMEROS DE CONTACTO ERRADOS")),0,IF(W83="SOPORTE_TELEFÓNICO",'BASE DE LIQUIDACION 2025'!$B$9,IF(Y83="TIPO I",'BASE DE LIQUIDACION 2025'!$C$3,IF(Y83="TIPO II",'BASE DE LIQUIDACION 2025'!$C$4,IF(Y83="TIPO III",'BASE DE LIQUIDACION 2025'!$C$5,'BASE DE LIQUIDACION 2025'!$C$6)))))</f>
        <v>44559.563999999998</v>
      </c>
      <c r="AD83" s="51">
        <f>IF(W83="SOPORTE_TELEFÓNICO",AC83,CIERRES!AB83*CIERRES!AC83)</f>
        <v>44559.563999999998</v>
      </c>
    </row>
    <row r="84" spans="1:30" s="81" customFormat="1" ht="13.15">
      <c r="A84" s="73" t="s">
        <v>78</v>
      </c>
      <c r="B84" s="50" t="str">
        <f>VLOOKUP(A84,'CENTRO DE COSTOS'!A:D,4,FALSE)</f>
        <v>WILLIAM ASDRUBAL ROZO ROZO</v>
      </c>
      <c r="C84" s="50" t="str">
        <f>VLOOKUP(A84,'CENTRO DE COSTOS'!A:C,2,FALSE)</f>
        <v>0004-0004</v>
      </c>
      <c r="D84" s="74">
        <v>11001</v>
      </c>
      <c r="E84" s="74" t="s">
        <v>596</v>
      </c>
      <c r="F84" s="73">
        <v>76941</v>
      </c>
      <c r="G84" s="74" t="s">
        <v>80</v>
      </c>
      <c r="H84" s="73" t="s">
        <v>81</v>
      </c>
      <c r="I84" s="73" t="s">
        <v>78</v>
      </c>
      <c r="J84" s="73" t="s">
        <v>597</v>
      </c>
      <c r="K84" s="74" t="s">
        <v>84</v>
      </c>
      <c r="L84" s="75" t="s">
        <v>598</v>
      </c>
      <c r="M84" s="75">
        <v>45856.333333333336</v>
      </c>
      <c r="N84" s="75">
        <v>45857.426134259258</v>
      </c>
      <c r="O84" s="10"/>
      <c r="P84" s="74" t="s">
        <v>86</v>
      </c>
      <c r="Q84" s="74" t="s">
        <v>86</v>
      </c>
      <c r="R84" s="78" t="s">
        <v>88</v>
      </c>
      <c r="S84" s="73" t="s">
        <v>88</v>
      </c>
      <c r="T84" s="79" t="s">
        <v>118</v>
      </c>
      <c r="U84" s="79" t="s">
        <v>119</v>
      </c>
      <c r="V84" s="78" t="s">
        <v>599</v>
      </c>
      <c r="W84" s="74" t="s">
        <v>92</v>
      </c>
      <c r="X84" s="60" t="s">
        <v>600</v>
      </c>
      <c r="Y84" s="80" t="s">
        <v>102</v>
      </c>
      <c r="Z84" s="80" t="s">
        <v>94</v>
      </c>
      <c r="AA84" s="74" t="s">
        <v>172</v>
      </c>
      <c r="AB84" s="74">
        <v>1</v>
      </c>
      <c r="AC84" s="51">
        <f>IF(AND(W84="SOPORTE_TELEFÓNICO",OR(U84="SIN CONTACTO CON EL CB",U84="NÚMEROS DE CONTACTO ERRADOS")),0,IF(W84="SOPORTE_TELEFÓNICO",'BASE DE LIQUIDACION 2025'!$B$9,IF(Y84="TIPO I",'BASE DE LIQUIDACION 2025'!$C$3,IF(Y84="TIPO II",'BASE DE LIQUIDACION 2025'!$C$4,IF(Y84="TIPO III",'BASE DE LIQUIDACION 2025'!$C$5,'BASE DE LIQUIDACION 2025'!$C$6)))))</f>
        <v>44559.563999999998</v>
      </c>
      <c r="AD84" s="51">
        <f>IF(W84="SOPORTE_TELEFÓNICO",AC84,CIERRES!AB84*CIERRES!AC84)</f>
        <v>44559.563999999998</v>
      </c>
    </row>
    <row r="85" spans="1:30" s="81" customFormat="1" ht="13.15">
      <c r="A85" s="73" t="s">
        <v>243</v>
      </c>
      <c r="B85" s="50" t="str">
        <f>VLOOKUP(A85,'CENTRO DE COSTOS'!A:D,4,FALSE)</f>
        <v>KEVIN ALEXIS CORZO BUSTOS</v>
      </c>
      <c r="C85" s="50" t="str">
        <f>VLOOKUP(A85,'CENTRO DE COSTOS'!A:C,2,FALSE)</f>
        <v>0004-0007</v>
      </c>
      <c r="D85" s="74">
        <v>41001</v>
      </c>
      <c r="E85" s="74" t="s">
        <v>601</v>
      </c>
      <c r="F85" s="73">
        <v>56850</v>
      </c>
      <c r="G85" s="74" t="s">
        <v>80</v>
      </c>
      <c r="H85" s="73" t="s">
        <v>296</v>
      </c>
      <c r="I85" s="73" t="s">
        <v>243</v>
      </c>
      <c r="J85" s="73" t="s">
        <v>602</v>
      </c>
      <c r="K85" s="74" t="s">
        <v>84</v>
      </c>
      <c r="L85" s="75" t="s">
        <v>603</v>
      </c>
      <c r="M85" s="75">
        <v>45855.333333333336</v>
      </c>
      <c r="N85" s="75">
        <v>45857.450821759259</v>
      </c>
      <c r="O85" s="10"/>
      <c r="P85" s="74" t="s">
        <v>86</v>
      </c>
      <c r="Q85" s="74" t="s">
        <v>86</v>
      </c>
      <c r="R85" s="78" t="s">
        <v>88</v>
      </c>
      <c r="S85" s="73" t="s">
        <v>88</v>
      </c>
      <c r="T85" s="79" t="s">
        <v>268</v>
      </c>
      <c r="U85" s="79" t="s">
        <v>269</v>
      </c>
      <c r="V85" s="78" t="s">
        <v>604</v>
      </c>
      <c r="W85" s="74" t="s">
        <v>92</v>
      </c>
      <c r="X85" s="60" t="s">
        <v>605</v>
      </c>
      <c r="Y85" s="80" t="s">
        <v>102</v>
      </c>
      <c r="Z85" s="80" t="s">
        <v>94</v>
      </c>
      <c r="AA85" s="74" t="s">
        <v>463</v>
      </c>
      <c r="AB85" s="74">
        <v>1</v>
      </c>
      <c r="AC85" s="51">
        <f>IF(AND(W85="SOPORTE_TELEFÓNICO",OR(U85="SIN CONTACTO CON EL CB",U85="NÚMEROS DE CONTACTO ERRADOS")),0,IF(W85="SOPORTE_TELEFÓNICO",'BASE DE LIQUIDACION 2025'!$B$9,IF(Y85="TIPO I",'BASE DE LIQUIDACION 2025'!$C$3,IF(Y85="TIPO II",'BASE DE LIQUIDACION 2025'!$C$4,IF(Y85="TIPO III",'BASE DE LIQUIDACION 2025'!$C$5,'BASE DE LIQUIDACION 2025'!$C$6)))))</f>
        <v>44559.563999999998</v>
      </c>
      <c r="AD85" s="51">
        <f>IF(W85="SOPORTE_TELEFÓNICO",AC85,CIERRES!AB85*CIERRES!AC85)</f>
        <v>44559.563999999998</v>
      </c>
    </row>
    <row r="86" spans="1:30" s="81" customFormat="1" ht="13.15">
      <c r="A86" s="73" t="s">
        <v>194</v>
      </c>
      <c r="B86" s="50" t="str">
        <f>VLOOKUP(A86,'CENTRO DE COSTOS'!A:D,4,FALSE)</f>
        <v>KEVIN ALEXIS CORZO BUSTOS</v>
      </c>
      <c r="C86" s="50" t="str">
        <f>VLOOKUP(A86,'CENTRO DE COSTOS'!A:C,2,FALSE)</f>
        <v>0004-0007</v>
      </c>
      <c r="D86" s="74">
        <v>73001</v>
      </c>
      <c r="E86" s="74" t="s">
        <v>606</v>
      </c>
      <c r="F86" s="73">
        <v>69180</v>
      </c>
      <c r="G86" s="74" t="s">
        <v>80</v>
      </c>
      <c r="H86" s="73" t="s">
        <v>196</v>
      </c>
      <c r="I86" s="73" t="s">
        <v>194</v>
      </c>
      <c r="J86" s="73" t="s">
        <v>607</v>
      </c>
      <c r="K86" s="74" t="s">
        <v>84</v>
      </c>
      <c r="L86" s="75" t="s">
        <v>608</v>
      </c>
      <c r="M86" s="75">
        <v>45856.638194444444</v>
      </c>
      <c r="N86" s="75">
        <v>45857.469166666669</v>
      </c>
      <c r="O86" s="10"/>
      <c r="P86" s="74" t="s">
        <v>86</v>
      </c>
      <c r="Q86" s="74" t="s">
        <v>86</v>
      </c>
      <c r="R86" s="78" t="s">
        <v>88</v>
      </c>
      <c r="S86" s="73" t="s">
        <v>88</v>
      </c>
      <c r="T86" s="79" t="s">
        <v>118</v>
      </c>
      <c r="U86" s="79" t="s">
        <v>119</v>
      </c>
      <c r="V86" s="78" t="s">
        <v>609</v>
      </c>
      <c r="W86" s="74" t="s">
        <v>92</v>
      </c>
      <c r="X86" s="60" t="s">
        <v>610</v>
      </c>
      <c r="Y86" s="80" t="s">
        <v>102</v>
      </c>
      <c r="Z86" s="80" t="s">
        <v>94</v>
      </c>
      <c r="AA86" s="74" t="s">
        <v>200</v>
      </c>
      <c r="AB86" s="74">
        <v>1</v>
      </c>
      <c r="AC86" s="51">
        <f>IF(AND(W86="SOPORTE_TELEFÓNICO",OR(U86="SIN CONTACTO CON EL CB",U86="NÚMEROS DE CONTACTO ERRADOS")),0,IF(W86="SOPORTE_TELEFÓNICO",'BASE DE LIQUIDACION 2025'!$B$9,IF(Y86="TIPO I",'BASE DE LIQUIDACION 2025'!$C$3,IF(Y86="TIPO II",'BASE DE LIQUIDACION 2025'!$C$4,IF(Y86="TIPO III",'BASE DE LIQUIDACION 2025'!$C$5,'BASE DE LIQUIDACION 2025'!$C$6)))))</f>
        <v>44559.563999999998</v>
      </c>
      <c r="AD86" s="51">
        <f>IF(W86="SOPORTE_TELEFÓNICO",AC86,CIERRES!AB86*CIERRES!AC86)</f>
        <v>44559.563999999998</v>
      </c>
    </row>
    <row r="87" spans="1:30" s="81" customFormat="1" ht="13.15">
      <c r="A87" s="73" t="s">
        <v>78</v>
      </c>
      <c r="B87" s="50" t="str">
        <f>VLOOKUP(A87,'CENTRO DE COSTOS'!A:D,4,FALSE)</f>
        <v>WILLIAM ASDRUBAL ROZO ROZO</v>
      </c>
      <c r="C87" s="50" t="str">
        <f>VLOOKUP(A87,'CENTRO DE COSTOS'!A:C,2,FALSE)</f>
        <v>0004-0004</v>
      </c>
      <c r="D87" s="74">
        <v>11001</v>
      </c>
      <c r="E87" s="74" t="s">
        <v>611</v>
      </c>
      <c r="F87" s="73">
        <v>52038</v>
      </c>
      <c r="G87" s="74" t="s">
        <v>80</v>
      </c>
      <c r="H87" s="73" t="s">
        <v>81</v>
      </c>
      <c r="I87" s="73" t="s">
        <v>78</v>
      </c>
      <c r="J87" s="73" t="s">
        <v>612</v>
      </c>
      <c r="K87" s="74" t="s">
        <v>84</v>
      </c>
      <c r="L87" s="75" t="s">
        <v>613</v>
      </c>
      <c r="M87" s="75">
        <v>45853.67291666667</v>
      </c>
      <c r="N87" s="75">
        <v>45857.503703703696</v>
      </c>
      <c r="O87" s="10"/>
      <c r="P87" s="74" t="s">
        <v>86</v>
      </c>
      <c r="Q87" s="74" t="s">
        <v>87</v>
      </c>
      <c r="R87" s="78" t="s">
        <v>614</v>
      </c>
      <c r="S87" s="73" t="s">
        <v>614</v>
      </c>
      <c r="T87" s="79" t="s">
        <v>268</v>
      </c>
      <c r="U87" s="79" t="s">
        <v>269</v>
      </c>
      <c r="V87" s="78" t="s">
        <v>615</v>
      </c>
      <c r="W87" s="74" t="s">
        <v>92</v>
      </c>
      <c r="X87" s="60" t="s">
        <v>616</v>
      </c>
      <c r="Y87" s="80" t="s">
        <v>102</v>
      </c>
      <c r="Z87" s="80" t="s">
        <v>94</v>
      </c>
      <c r="AA87" s="74" t="s">
        <v>573</v>
      </c>
      <c r="AB87" s="74">
        <v>1</v>
      </c>
      <c r="AC87" s="51">
        <f>IF(AND(W87="SOPORTE_TELEFÓNICO",OR(U87="SIN CONTACTO CON EL CB",U87="NÚMEROS DE CONTACTO ERRADOS")),0,IF(W87="SOPORTE_TELEFÓNICO",'BASE DE LIQUIDACION 2025'!$B$9,IF(Y87="TIPO I",'BASE DE LIQUIDACION 2025'!$C$3,IF(Y87="TIPO II",'BASE DE LIQUIDACION 2025'!$C$4,IF(Y87="TIPO III",'BASE DE LIQUIDACION 2025'!$C$5,'BASE DE LIQUIDACION 2025'!$C$6)))))</f>
        <v>44559.563999999998</v>
      </c>
      <c r="AD87" s="51">
        <f>IF(W87="SOPORTE_TELEFÓNICO",AC87,CIERRES!AB87*CIERRES!AC87)</f>
        <v>44559.563999999998</v>
      </c>
    </row>
    <row r="88" spans="1:30" s="81" customFormat="1" ht="13.15">
      <c r="A88" s="73" t="s">
        <v>186</v>
      </c>
      <c r="B88" s="50" t="str">
        <f>VLOOKUP(A88,'CENTRO DE COSTOS'!A:D,4,FALSE)</f>
        <v>MIGUEL JULIÁN HERNÁNDEZ GUARÍN</v>
      </c>
      <c r="C88" s="50" t="str">
        <f>VLOOKUP(A88,'CENTRO DE COSTOS'!A:C,2,FALSE)</f>
        <v>0004-0008</v>
      </c>
      <c r="D88" s="74">
        <v>15176</v>
      </c>
      <c r="E88" s="74" t="s">
        <v>617</v>
      </c>
      <c r="F88" s="73">
        <v>24895</v>
      </c>
      <c r="G88" s="74" t="s">
        <v>80</v>
      </c>
      <c r="H88" s="73" t="s">
        <v>188</v>
      </c>
      <c r="I88" s="73" t="s">
        <v>618</v>
      </c>
      <c r="J88" s="73" t="s">
        <v>619</v>
      </c>
      <c r="K88" s="74" t="s">
        <v>84</v>
      </c>
      <c r="L88" s="75" t="s">
        <v>620</v>
      </c>
      <c r="M88" s="75">
        <v>45856.333333333336</v>
      </c>
      <c r="N88" s="75">
        <v>45859.438888888886</v>
      </c>
      <c r="O88" s="10"/>
      <c r="P88" s="74" t="s">
        <v>86</v>
      </c>
      <c r="Q88" s="74" t="s">
        <v>86</v>
      </c>
      <c r="R88" s="78" t="s">
        <v>88</v>
      </c>
      <c r="S88" s="73" t="s">
        <v>88</v>
      </c>
      <c r="T88" s="79" t="s">
        <v>249</v>
      </c>
      <c r="U88" s="79" t="s">
        <v>250</v>
      </c>
      <c r="V88" s="78" t="s">
        <v>621</v>
      </c>
      <c r="W88" s="74" t="s">
        <v>138</v>
      </c>
      <c r="X88" s="60">
        <v>0</v>
      </c>
      <c r="Y88" s="80" t="s">
        <v>178</v>
      </c>
      <c r="Z88" s="80" t="s">
        <v>94</v>
      </c>
      <c r="AA88" s="74" t="s">
        <v>622</v>
      </c>
      <c r="AB88" s="74">
        <v>0</v>
      </c>
      <c r="AC88" s="51">
        <f>IF(AND(W88="SOPORTE_TELEFÓNICO",OR(U88="SIN CONTACTO CON EL CB",U88="NÚMEROS DE CONTACTO ERRADOS")),0,IF(W88="SOPORTE_TELEFÓNICO",'BASE DE LIQUIDACION 2025'!$B$9,IF(Y88="TIPO I",'BASE DE LIQUIDACION 2025'!$C$3,IF(Y88="TIPO II",'BASE DE LIQUIDACION 2025'!$C$4,IF(Y88="TIPO III",'BASE DE LIQUIDACION 2025'!$C$5,'BASE DE LIQUIDACION 2025'!$C$6)))))</f>
        <v>37904.612000000001</v>
      </c>
      <c r="AD88" s="51">
        <f>IF(W88="SOPORTE_TELEFÓNICO",AC88,CIERRES!AB88*CIERRES!AC88)</f>
        <v>37904.612000000001</v>
      </c>
    </row>
    <row r="89" spans="1:30" s="81" customFormat="1" ht="13.15">
      <c r="A89" s="73" t="s">
        <v>159</v>
      </c>
      <c r="B89" s="50" t="str">
        <f>VLOOKUP(A89,'CENTRO DE COSTOS'!A:D,4,FALSE)</f>
        <v>JUAN SEBASTIÁN RÍOS CASTRILLÓN</v>
      </c>
      <c r="C89" s="50" t="str">
        <f>VLOOKUP(A89,'CENTRO DE COSTOS'!A:C,2,FALSE)</f>
        <v>0004-0005</v>
      </c>
      <c r="D89" s="74">
        <v>5001</v>
      </c>
      <c r="E89" s="74" t="s">
        <v>623</v>
      </c>
      <c r="F89" s="73">
        <v>74931</v>
      </c>
      <c r="G89" s="74" t="s">
        <v>80</v>
      </c>
      <c r="H89" s="73" t="s">
        <v>161</v>
      </c>
      <c r="I89" s="73" t="s">
        <v>159</v>
      </c>
      <c r="J89" s="73" t="s">
        <v>624</v>
      </c>
      <c r="K89" s="74" t="s">
        <v>84</v>
      </c>
      <c r="L89" s="75" t="s">
        <v>625</v>
      </c>
      <c r="M89" s="75">
        <v>45853.333333333336</v>
      </c>
      <c r="N89" s="75">
        <v>45859.488888888889</v>
      </c>
      <c r="O89" s="10"/>
      <c r="P89" s="74" t="s">
        <v>86</v>
      </c>
      <c r="Q89" s="74" t="s">
        <v>86</v>
      </c>
      <c r="R89" s="78" t="s">
        <v>148</v>
      </c>
      <c r="S89" s="73" t="s">
        <v>149</v>
      </c>
      <c r="T89" s="79" t="s">
        <v>89</v>
      </c>
      <c r="U89" s="79" t="s">
        <v>90</v>
      </c>
      <c r="V89" s="78" t="s">
        <v>626</v>
      </c>
      <c r="W89" s="74" t="s">
        <v>92</v>
      </c>
      <c r="X89" s="60" t="s">
        <v>627</v>
      </c>
      <c r="Y89" s="80" t="s">
        <v>102</v>
      </c>
      <c r="Z89" s="80" t="s">
        <v>94</v>
      </c>
      <c r="AA89" s="74" t="s">
        <v>475</v>
      </c>
      <c r="AB89" s="74">
        <v>1</v>
      </c>
      <c r="AC89" s="51">
        <f>IF(AND(W89="SOPORTE_TELEFÓNICO",OR(U89="SIN CONTACTO CON EL CB",U89="NÚMEROS DE CONTACTO ERRADOS")),0,IF(W89="SOPORTE_TELEFÓNICO",'BASE DE LIQUIDACION 2025'!$B$9,IF(Y89="TIPO I",'BASE DE LIQUIDACION 2025'!$C$3,IF(Y89="TIPO II",'BASE DE LIQUIDACION 2025'!$C$4,IF(Y89="TIPO III",'BASE DE LIQUIDACION 2025'!$C$5,'BASE DE LIQUIDACION 2025'!$C$6)))))</f>
        <v>44559.563999999998</v>
      </c>
      <c r="AD89" s="51">
        <f>IF(W89="SOPORTE_TELEFÓNICO",AC89,CIERRES!AB89*CIERRES!AC89)</f>
        <v>44559.563999999998</v>
      </c>
    </row>
    <row r="90" spans="1:30" s="81" customFormat="1" ht="13.15">
      <c r="A90" s="73" t="s">
        <v>302</v>
      </c>
      <c r="B90" s="50" t="str">
        <f>VLOOKUP(A90,'CENTRO DE COSTOS'!A:D,4,FALSE)</f>
        <v>MIGUEL JULIÁN HERNÁNDEZ GUARÍN</v>
      </c>
      <c r="C90" s="50" t="str">
        <f>VLOOKUP(A90,'CENTRO DE COSTOS'!A:C,2,FALSE)</f>
        <v>0004-0008</v>
      </c>
      <c r="D90" s="74">
        <v>68001</v>
      </c>
      <c r="E90" s="74" t="s">
        <v>628</v>
      </c>
      <c r="F90" s="73">
        <v>66430</v>
      </c>
      <c r="G90" s="74" t="s">
        <v>80</v>
      </c>
      <c r="H90" s="73" t="s">
        <v>304</v>
      </c>
      <c r="I90" s="73" t="s">
        <v>302</v>
      </c>
      <c r="J90" s="73" t="s">
        <v>629</v>
      </c>
      <c r="K90" s="74" t="s">
        <v>84</v>
      </c>
      <c r="L90" s="75" t="s">
        <v>630</v>
      </c>
      <c r="M90" s="75">
        <v>45856.333333333336</v>
      </c>
      <c r="N90" s="75">
        <v>45859.515972222223</v>
      </c>
      <c r="O90" s="10"/>
      <c r="P90" s="74" t="s">
        <v>86</v>
      </c>
      <c r="Q90" s="74" t="s">
        <v>86</v>
      </c>
      <c r="R90" s="78" t="s">
        <v>88</v>
      </c>
      <c r="S90" s="73" t="s">
        <v>88</v>
      </c>
      <c r="T90" s="79" t="s">
        <v>268</v>
      </c>
      <c r="U90" s="79" t="s">
        <v>269</v>
      </c>
      <c r="V90" s="78" t="s">
        <v>631</v>
      </c>
      <c r="W90" s="74" t="s">
        <v>92</v>
      </c>
      <c r="X90" s="60" t="s">
        <v>632</v>
      </c>
      <c r="Y90" s="80" t="s">
        <v>102</v>
      </c>
      <c r="Z90" s="80" t="s">
        <v>94</v>
      </c>
      <c r="AA90" s="74" t="s">
        <v>633</v>
      </c>
      <c r="AB90" s="74">
        <v>1</v>
      </c>
      <c r="AC90" s="51">
        <f>IF(AND(W90="SOPORTE_TELEFÓNICO",OR(U90="SIN CONTACTO CON EL CB",U90="NÚMEROS DE CONTACTO ERRADOS")),0,IF(W90="SOPORTE_TELEFÓNICO",'BASE DE LIQUIDACION 2025'!$B$9,IF(Y90="TIPO I",'BASE DE LIQUIDACION 2025'!$C$3,IF(Y90="TIPO II",'BASE DE LIQUIDACION 2025'!$C$4,IF(Y90="TIPO III",'BASE DE LIQUIDACION 2025'!$C$5,'BASE DE LIQUIDACION 2025'!$C$6)))))</f>
        <v>44559.563999999998</v>
      </c>
      <c r="AD90" s="51">
        <f>IF(W90="SOPORTE_TELEFÓNICO",AC90,CIERRES!AB90*CIERRES!AC90)</f>
        <v>44559.563999999998</v>
      </c>
    </row>
    <row r="91" spans="1:30" s="81" customFormat="1" ht="13.15">
      <c r="A91" s="73" t="s">
        <v>159</v>
      </c>
      <c r="B91" s="50" t="str">
        <f>VLOOKUP(A91,'CENTRO DE COSTOS'!A:D,4,FALSE)</f>
        <v>JUAN SEBASTIÁN RÍOS CASTRILLÓN</v>
      </c>
      <c r="C91" s="50" t="str">
        <f>VLOOKUP(A91,'CENTRO DE COSTOS'!A:C,2,FALSE)</f>
        <v>0004-0005</v>
      </c>
      <c r="D91" s="74">
        <v>5044</v>
      </c>
      <c r="E91" s="74" t="s">
        <v>634</v>
      </c>
      <c r="F91" s="73">
        <v>67295</v>
      </c>
      <c r="G91" s="74" t="s">
        <v>80</v>
      </c>
      <c r="H91" s="73" t="s">
        <v>161</v>
      </c>
      <c r="I91" s="73" t="s">
        <v>635</v>
      </c>
      <c r="J91" s="73" t="s">
        <v>636</v>
      </c>
      <c r="K91" s="74" t="s">
        <v>84</v>
      </c>
      <c r="L91" s="75" t="s">
        <v>637</v>
      </c>
      <c r="M91" s="75">
        <v>45849.484722222223</v>
      </c>
      <c r="N91" s="75">
        <v>45859.521527777775</v>
      </c>
      <c r="O91" s="10"/>
      <c r="P91" s="74" t="s">
        <v>86</v>
      </c>
      <c r="Q91" s="74" t="s">
        <v>86</v>
      </c>
      <c r="R91" s="78" t="s">
        <v>88</v>
      </c>
      <c r="S91" s="73" t="s">
        <v>88</v>
      </c>
      <c r="T91" s="79" t="s">
        <v>249</v>
      </c>
      <c r="U91" s="79" t="s">
        <v>250</v>
      </c>
      <c r="V91" s="78" t="s">
        <v>638</v>
      </c>
      <c r="W91" s="74" t="s">
        <v>138</v>
      </c>
      <c r="X91" s="60">
        <v>0</v>
      </c>
      <c r="Y91" s="80" t="s">
        <v>178</v>
      </c>
      <c r="Z91" s="80" t="s">
        <v>94</v>
      </c>
      <c r="AA91" s="74" t="s">
        <v>639</v>
      </c>
      <c r="AB91" s="74">
        <v>0</v>
      </c>
      <c r="AC91" s="51">
        <f>IF(AND(W91="SOPORTE_TELEFÓNICO",OR(U91="SIN CONTACTO CON EL CB",U91="NÚMEROS DE CONTACTO ERRADOS")),0,IF(W91="SOPORTE_TELEFÓNICO",'BASE DE LIQUIDACION 2025'!$B$9,IF(Y91="TIPO I",'BASE DE LIQUIDACION 2025'!$C$3,IF(Y91="TIPO II",'BASE DE LIQUIDACION 2025'!$C$4,IF(Y91="TIPO III",'BASE DE LIQUIDACION 2025'!$C$5,'BASE DE LIQUIDACION 2025'!$C$6)))))</f>
        <v>37904.612000000001</v>
      </c>
      <c r="AD91" s="51">
        <f>IF(W91="SOPORTE_TELEFÓNICO",AC91,CIERRES!AB91*CIERRES!AC91)</f>
        <v>37904.612000000001</v>
      </c>
    </row>
    <row r="92" spans="1:30" s="81" customFormat="1" ht="13.15">
      <c r="A92" s="73" t="s">
        <v>78</v>
      </c>
      <c r="B92" s="50" t="str">
        <f>VLOOKUP(A92,'CENTRO DE COSTOS'!A:D,4,FALSE)</f>
        <v>WILLIAM ASDRUBAL ROZO ROZO</v>
      </c>
      <c r="C92" s="50" t="str">
        <f>VLOOKUP(A92,'CENTRO DE COSTOS'!A:C,2,FALSE)</f>
        <v>0004-0004</v>
      </c>
      <c r="D92" s="74">
        <v>25126</v>
      </c>
      <c r="E92" s="74" t="s">
        <v>640</v>
      </c>
      <c r="F92" s="73">
        <v>50092</v>
      </c>
      <c r="G92" s="74" t="s">
        <v>80</v>
      </c>
      <c r="H92" s="73" t="s">
        <v>81</v>
      </c>
      <c r="I92" s="73" t="s">
        <v>181</v>
      </c>
      <c r="J92" s="73" t="s">
        <v>641</v>
      </c>
      <c r="K92" s="74" t="s">
        <v>84</v>
      </c>
      <c r="L92" s="75" t="s">
        <v>642</v>
      </c>
      <c r="M92" s="75">
        <v>45856.333333333336</v>
      </c>
      <c r="N92" s="75">
        <v>45859.606944444444</v>
      </c>
      <c r="O92" s="10"/>
      <c r="P92" s="74" t="s">
        <v>86</v>
      </c>
      <c r="Q92" s="74" t="s">
        <v>86</v>
      </c>
      <c r="R92" s="78" t="s">
        <v>148</v>
      </c>
      <c r="S92" s="73" t="s">
        <v>286</v>
      </c>
      <c r="T92" s="79" t="s">
        <v>268</v>
      </c>
      <c r="U92" s="79" t="s">
        <v>269</v>
      </c>
      <c r="V92" s="78" t="s">
        <v>643</v>
      </c>
      <c r="W92" s="74" t="s">
        <v>92</v>
      </c>
      <c r="X92" s="60" t="s">
        <v>644</v>
      </c>
      <c r="Y92" s="80" t="s">
        <v>93</v>
      </c>
      <c r="Z92" s="80" t="s">
        <v>94</v>
      </c>
      <c r="AA92" s="74" t="s">
        <v>172</v>
      </c>
      <c r="AB92" s="74">
        <v>2</v>
      </c>
      <c r="AC92" s="51">
        <f>IF(AND(W92="SOPORTE_TELEFÓNICO",OR(U92="SIN CONTACTO CON EL CB",U92="NÚMEROS DE CONTACTO ERRADOS")),0,IF(W92="SOPORTE_TELEFÓNICO",'BASE DE LIQUIDACION 2025'!$B$9,IF(Y92="TIPO I",'BASE DE LIQUIDACION 2025'!$C$3,IF(Y92="TIPO II",'BASE DE LIQUIDACION 2025'!$C$4,IF(Y92="TIPO III",'BASE DE LIQUIDACION 2025'!$C$5,'BASE DE LIQUIDACION 2025'!$C$6)))))</f>
        <v>134410.88400000002</v>
      </c>
      <c r="AD92" s="51">
        <f>IF(W92="SOPORTE_TELEFÓNICO",AC92,CIERRES!AB92*CIERRES!AC92)</f>
        <v>268821.76800000004</v>
      </c>
    </row>
    <row r="93" spans="1:30" s="81" customFormat="1" ht="13.15">
      <c r="A93" s="73" t="s">
        <v>104</v>
      </c>
      <c r="B93" s="50" t="str">
        <f>VLOOKUP(A93,'CENTRO DE COSTOS'!A:D,4,FALSE)</f>
        <v>DIEGO FERNANDO HENAO CARDONA</v>
      </c>
      <c r="C93" s="50" t="str">
        <f>VLOOKUP(A93,'CENTRO DE COSTOS'!A:C,2,FALSE)</f>
        <v>0004-0003</v>
      </c>
      <c r="D93" s="74">
        <v>76001</v>
      </c>
      <c r="E93" s="74" t="s">
        <v>645</v>
      </c>
      <c r="F93" s="73">
        <v>52906</v>
      </c>
      <c r="G93" s="74" t="s">
        <v>80</v>
      </c>
      <c r="H93" s="73" t="s">
        <v>144</v>
      </c>
      <c r="I93" s="73" t="s">
        <v>104</v>
      </c>
      <c r="J93" s="73" t="s">
        <v>646</v>
      </c>
      <c r="K93" s="74" t="s">
        <v>84</v>
      </c>
      <c r="L93" s="75" t="s">
        <v>647</v>
      </c>
      <c r="M93" s="75">
        <v>45855.333333333336</v>
      </c>
      <c r="N93" s="75">
        <v>45859.655555555553</v>
      </c>
      <c r="O93" s="10"/>
      <c r="P93" s="74" t="s">
        <v>86</v>
      </c>
      <c r="Q93" s="74" t="s">
        <v>86</v>
      </c>
      <c r="R93" s="78" t="s">
        <v>88</v>
      </c>
      <c r="S93" s="73" t="s">
        <v>88</v>
      </c>
      <c r="T93" s="79" t="s">
        <v>118</v>
      </c>
      <c r="U93" s="79" t="s">
        <v>119</v>
      </c>
      <c r="V93" s="78" t="s">
        <v>648</v>
      </c>
      <c r="W93" s="74" t="s">
        <v>138</v>
      </c>
      <c r="X93" s="60">
        <v>0</v>
      </c>
      <c r="Y93" s="80" t="s">
        <v>102</v>
      </c>
      <c r="Z93" s="80" t="s">
        <v>94</v>
      </c>
      <c r="AA93" s="74" t="s">
        <v>179</v>
      </c>
      <c r="AB93" s="74">
        <v>0</v>
      </c>
      <c r="AC93" s="51">
        <f>IF(AND(W93="SOPORTE_TELEFÓNICO",OR(U93="SIN CONTACTO CON EL CB",U93="NÚMEROS DE CONTACTO ERRADOS")),0,IF(W93="SOPORTE_TELEFÓNICO",'BASE DE LIQUIDACION 2025'!$B$9,IF(Y93="TIPO I",'BASE DE LIQUIDACION 2025'!$C$3,IF(Y93="TIPO II",'BASE DE LIQUIDACION 2025'!$C$4,IF(Y93="TIPO III",'BASE DE LIQUIDACION 2025'!$C$5,'BASE DE LIQUIDACION 2025'!$C$6)))))</f>
        <v>37904.612000000001</v>
      </c>
      <c r="AD93" s="51">
        <f>IF(W93="SOPORTE_TELEFÓNICO",AC93,CIERRES!AB93*CIERRES!AC93)</f>
        <v>37904.612000000001</v>
      </c>
    </row>
    <row r="94" spans="1:30" s="81" customFormat="1" ht="13.15">
      <c r="A94" s="73" t="s">
        <v>649</v>
      </c>
      <c r="B94" s="50" t="str">
        <f>VLOOKUP(A94,'CENTRO DE COSTOS'!A:D,4,FALSE)</f>
        <v>JOSE MAURICIO HERNANDEZ ROJAS</v>
      </c>
      <c r="C94" s="50" t="str">
        <f>VLOOKUP(A94,'CENTRO DE COSTOS'!A:C,2,FALSE)</f>
        <v>0004-0001</v>
      </c>
      <c r="D94" s="74">
        <v>13074</v>
      </c>
      <c r="E94" s="74" t="s">
        <v>650</v>
      </c>
      <c r="F94" s="73">
        <v>49948</v>
      </c>
      <c r="G94" s="74" t="s">
        <v>80</v>
      </c>
      <c r="H94" s="73" t="s">
        <v>651</v>
      </c>
      <c r="I94" s="73" t="s">
        <v>652</v>
      </c>
      <c r="J94" s="73" t="s">
        <v>653</v>
      </c>
      <c r="K94" s="74" t="s">
        <v>84</v>
      </c>
      <c r="L94" s="75" t="s">
        <v>654</v>
      </c>
      <c r="M94" s="75">
        <v>45856.333333333336</v>
      </c>
      <c r="N94" s="75">
        <v>45859.659722222219</v>
      </c>
      <c r="O94" s="10"/>
      <c r="P94" s="74" t="s">
        <v>86</v>
      </c>
      <c r="Q94" s="74" t="s">
        <v>86</v>
      </c>
      <c r="R94" s="78" t="s">
        <v>88</v>
      </c>
      <c r="S94" s="73" t="s">
        <v>88</v>
      </c>
      <c r="T94" s="79" t="s">
        <v>118</v>
      </c>
      <c r="U94" s="79" t="s">
        <v>119</v>
      </c>
      <c r="V94" s="78" t="s">
        <v>655</v>
      </c>
      <c r="W94" s="74" t="s">
        <v>138</v>
      </c>
      <c r="X94" s="60">
        <v>0</v>
      </c>
      <c r="Y94" s="80" t="s">
        <v>129</v>
      </c>
      <c r="Z94" s="80" t="s">
        <v>94</v>
      </c>
      <c r="AA94" s="74" t="s">
        <v>656</v>
      </c>
      <c r="AB94" s="74">
        <v>0</v>
      </c>
      <c r="AC94" s="51">
        <f>IF(AND(W94="SOPORTE_TELEFÓNICO",OR(U94="SIN CONTACTO CON EL CB",U94="NÚMEROS DE CONTACTO ERRADOS")),0,IF(W94="SOPORTE_TELEFÓNICO",'BASE DE LIQUIDACION 2025'!$B$9,IF(Y94="TIPO I",'BASE DE LIQUIDACION 2025'!$C$3,IF(Y94="TIPO II",'BASE DE LIQUIDACION 2025'!$C$4,IF(Y94="TIPO III",'BASE DE LIQUIDACION 2025'!$C$5,'BASE DE LIQUIDACION 2025'!$C$6)))))</f>
        <v>37904.612000000001</v>
      </c>
      <c r="AD94" s="51">
        <f>IF(W94="SOPORTE_TELEFÓNICO",AC94,CIERRES!AB94*CIERRES!AC94)</f>
        <v>37904.612000000001</v>
      </c>
    </row>
    <row r="95" spans="1:30" s="81" customFormat="1" ht="13.15">
      <c r="A95" s="73" t="s">
        <v>649</v>
      </c>
      <c r="B95" s="50" t="str">
        <f>VLOOKUP(A95,'CENTRO DE COSTOS'!A:D,4,FALSE)</f>
        <v>JOSE MAURICIO HERNANDEZ ROJAS</v>
      </c>
      <c r="C95" s="50" t="str">
        <f>VLOOKUP(A95,'CENTRO DE COSTOS'!A:C,2,FALSE)</f>
        <v>0004-0001</v>
      </c>
      <c r="D95" s="74">
        <v>13074</v>
      </c>
      <c r="E95" s="74" t="s">
        <v>657</v>
      </c>
      <c r="F95" s="73">
        <v>49949</v>
      </c>
      <c r="G95" s="74" t="s">
        <v>80</v>
      </c>
      <c r="H95" s="73" t="s">
        <v>651</v>
      </c>
      <c r="I95" s="73" t="s">
        <v>652</v>
      </c>
      <c r="J95" s="73" t="s">
        <v>653</v>
      </c>
      <c r="K95" s="74" t="s">
        <v>84</v>
      </c>
      <c r="L95" s="75" t="s">
        <v>658</v>
      </c>
      <c r="M95" s="75">
        <v>45856.333333333336</v>
      </c>
      <c r="N95" s="75">
        <v>45859.662499999999</v>
      </c>
      <c r="O95" s="10"/>
      <c r="P95" s="74" t="s">
        <v>86</v>
      </c>
      <c r="Q95" s="74" t="s">
        <v>86</v>
      </c>
      <c r="R95" s="78" t="s">
        <v>88</v>
      </c>
      <c r="S95" s="73" t="s">
        <v>88</v>
      </c>
      <c r="T95" s="79" t="s">
        <v>118</v>
      </c>
      <c r="U95" s="79" t="s">
        <v>119</v>
      </c>
      <c r="V95" s="78" t="s">
        <v>655</v>
      </c>
      <c r="W95" s="74" t="s">
        <v>138</v>
      </c>
      <c r="X95" s="60">
        <v>0</v>
      </c>
      <c r="Y95" s="80" t="s">
        <v>129</v>
      </c>
      <c r="Z95" s="80" t="s">
        <v>94</v>
      </c>
      <c r="AA95" s="74" t="s">
        <v>656</v>
      </c>
      <c r="AB95" s="74">
        <v>0</v>
      </c>
      <c r="AC95" s="51">
        <f>IF(AND(W95="SOPORTE_TELEFÓNICO",OR(U95="SIN CONTACTO CON EL CB",U95="NÚMEROS DE CONTACTO ERRADOS")),0,IF(W95="SOPORTE_TELEFÓNICO",'BASE DE LIQUIDACION 2025'!$B$9,IF(Y95="TIPO I",'BASE DE LIQUIDACION 2025'!$C$3,IF(Y95="TIPO II",'BASE DE LIQUIDACION 2025'!$C$4,IF(Y95="TIPO III",'BASE DE LIQUIDACION 2025'!$C$5,'BASE DE LIQUIDACION 2025'!$C$6)))))</f>
        <v>37904.612000000001</v>
      </c>
      <c r="AD95" s="51">
        <f>IF(W95="SOPORTE_TELEFÓNICO",AC95,CIERRES!AB95*CIERRES!AC95)</f>
        <v>37904.612000000001</v>
      </c>
    </row>
    <row r="96" spans="1:30" s="81" customFormat="1" ht="13.15">
      <c r="A96" s="73" t="s">
        <v>194</v>
      </c>
      <c r="B96" s="50" t="str">
        <f>VLOOKUP(A96,'CENTRO DE COSTOS'!A:D,4,FALSE)</f>
        <v>KEVIN ALEXIS CORZO BUSTOS</v>
      </c>
      <c r="C96" s="50" t="str">
        <f>VLOOKUP(A96,'CENTRO DE COSTOS'!A:C,2,FALSE)</f>
        <v>0004-0007</v>
      </c>
      <c r="D96" s="74">
        <v>73168</v>
      </c>
      <c r="E96" s="74" t="s">
        <v>659</v>
      </c>
      <c r="F96" s="73">
        <v>59719</v>
      </c>
      <c r="G96" s="74" t="s">
        <v>80</v>
      </c>
      <c r="H96" s="73" t="s">
        <v>196</v>
      </c>
      <c r="I96" s="73" t="s">
        <v>660</v>
      </c>
      <c r="J96" s="73" t="s">
        <v>661</v>
      </c>
      <c r="K96" s="74" t="s">
        <v>84</v>
      </c>
      <c r="L96" s="75" t="s">
        <v>662</v>
      </c>
      <c r="M96" s="75">
        <v>45856.333333333336</v>
      </c>
      <c r="N96" s="75">
        <v>45859.74722222222</v>
      </c>
      <c r="O96" s="10"/>
      <c r="P96" s="74" t="s">
        <v>86</v>
      </c>
      <c r="Q96" s="74" t="s">
        <v>86</v>
      </c>
      <c r="R96" s="78" t="s">
        <v>88</v>
      </c>
      <c r="S96" s="73" t="s">
        <v>88</v>
      </c>
      <c r="T96" s="79" t="s">
        <v>249</v>
      </c>
      <c r="U96" s="79" t="s">
        <v>250</v>
      </c>
      <c r="V96" s="74" t="s">
        <v>663</v>
      </c>
      <c r="W96" s="74" t="s">
        <v>138</v>
      </c>
      <c r="X96" s="60">
        <v>0</v>
      </c>
      <c r="Y96" s="80" t="s">
        <v>178</v>
      </c>
      <c r="Z96" s="80" t="s">
        <v>94</v>
      </c>
      <c r="AA96" s="74" t="s">
        <v>200</v>
      </c>
      <c r="AB96" s="74">
        <v>0</v>
      </c>
      <c r="AC96" s="51">
        <f>IF(AND(W96="SOPORTE_TELEFÓNICO",OR(U96="SIN CONTACTO CON EL CB",U96="NÚMEROS DE CONTACTO ERRADOS")),0,IF(W96="SOPORTE_TELEFÓNICO",'BASE DE LIQUIDACION 2025'!$B$9,IF(Y96="TIPO I",'BASE DE LIQUIDACION 2025'!$C$3,IF(Y96="TIPO II",'BASE DE LIQUIDACION 2025'!$C$4,IF(Y96="TIPO III",'BASE DE LIQUIDACION 2025'!$C$5,'BASE DE LIQUIDACION 2025'!$C$6)))))</f>
        <v>37904.612000000001</v>
      </c>
      <c r="AD96" s="51">
        <f>IF(W96="SOPORTE_TELEFÓNICO",AC96,CIERRES!AB96*CIERRES!AC96)</f>
        <v>37904.612000000001</v>
      </c>
    </row>
    <row r="97" spans="1:30" s="81" customFormat="1" ht="13.15">
      <c r="A97" s="73" t="s">
        <v>664</v>
      </c>
      <c r="B97" s="50" t="str">
        <f>VLOOKUP(A97,'CENTRO DE COSTOS'!A:D,4,FALSE)</f>
        <v>JUAN SEBASTIÁN RÍOS CASTRILLÓN</v>
      </c>
      <c r="C97" s="50" t="str">
        <f>VLOOKUP(A97,'CENTRO DE COSTOS'!A:C,2,FALSE)</f>
        <v>0004-0005</v>
      </c>
      <c r="D97" s="74">
        <v>5147</v>
      </c>
      <c r="E97" s="74" t="s">
        <v>665</v>
      </c>
      <c r="F97" s="73">
        <v>77105</v>
      </c>
      <c r="G97" s="74" t="s">
        <v>80</v>
      </c>
      <c r="H97" s="73" t="s">
        <v>161</v>
      </c>
      <c r="I97" s="73" t="s">
        <v>666</v>
      </c>
      <c r="J97" s="73" t="s">
        <v>667</v>
      </c>
      <c r="K97" s="74" t="s">
        <v>84</v>
      </c>
      <c r="L97" s="75" t="s">
        <v>668</v>
      </c>
      <c r="M97" s="75">
        <v>45856.638194444444</v>
      </c>
      <c r="N97" s="75">
        <v>45859.748611111114</v>
      </c>
      <c r="O97" s="10"/>
      <c r="P97" s="74" t="s">
        <v>86</v>
      </c>
      <c r="Q97" s="74" t="s">
        <v>86</v>
      </c>
      <c r="R97" s="78" t="s">
        <v>88</v>
      </c>
      <c r="S97" s="73" t="s">
        <v>88</v>
      </c>
      <c r="T97" s="79" t="s">
        <v>249</v>
      </c>
      <c r="U97" s="79" t="s">
        <v>250</v>
      </c>
      <c r="V97" s="74" t="s">
        <v>663</v>
      </c>
      <c r="W97" s="74" t="s">
        <v>138</v>
      </c>
      <c r="X97" s="60">
        <v>0</v>
      </c>
      <c r="Y97" s="80" t="s">
        <v>102</v>
      </c>
      <c r="Z97" s="80" t="s">
        <v>94</v>
      </c>
      <c r="AA97" s="74" t="s">
        <v>669</v>
      </c>
      <c r="AB97" s="74">
        <v>0</v>
      </c>
      <c r="AC97" s="51">
        <f>IF(AND(W97="SOPORTE_TELEFÓNICO",OR(U97="SIN CONTACTO CON EL CB",U97="NÚMEROS DE CONTACTO ERRADOS")),0,IF(W97="SOPORTE_TELEFÓNICO",'BASE DE LIQUIDACION 2025'!$B$9,IF(Y97="TIPO I",'BASE DE LIQUIDACION 2025'!$C$3,IF(Y97="TIPO II",'BASE DE LIQUIDACION 2025'!$C$4,IF(Y97="TIPO III",'BASE DE LIQUIDACION 2025'!$C$5,'BASE DE LIQUIDACION 2025'!$C$6)))))</f>
        <v>37904.612000000001</v>
      </c>
      <c r="AD97" s="51">
        <f>IF(W97="SOPORTE_TELEFÓNICO",AC97,CIERRES!AB97*CIERRES!AC97)</f>
        <v>37904.612000000001</v>
      </c>
    </row>
    <row r="98" spans="1:30" s="81" customFormat="1" ht="13.15">
      <c r="A98" s="73" t="s">
        <v>78</v>
      </c>
      <c r="B98" s="50" t="str">
        <f>VLOOKUP(A98,'CENTRO DE COSTOS'!A:D,4,FALSE)</f>
        <v>WILLIAM ASDRUBAL ROZO ROZO</v>
      </c>
      <c r="C98" s="50" t="str">
        <f>VLOOKUP(A98,'CENTRO DE COSTOS'!A:C,2,FALSE)</f>
        <v>0004-0004</v>
      </c>
      <c r="D98" s="74">
        <v>25754</v>
      </c>
      <c r="E98" s="74" t="s">
        <v>670</v>
      </c>
      <c r="F98" s="73">
        <v>54868</v>
      </c>
      <c r="G98" s="74" t="s">
        <v>80</v>
      </c>
      <c r="H98" s="73" t="s">
        <v>81</v>
      </c>
      <c r="I98" s="73" t="s">
        <v>671</v>
      </c>
      <c r="J98" s="73" t="s">
        <v>672</v>
      </c>
      <c r="K98" s="74" t="s">
        <v>84</v>
      </c>
      <c r="L98" s="75" t="s">
        <v>673</v>
      </c>
      <c r="M98" s="75">
        <v>45853.333333333336</v>
      </c>
      <c r="N98" s="75">
        <v>45859.770833333336</v>
      </c>
      <c r="O98" s="10"/>
      <c r="P98" s="74" t="s">
        <v>86</v>
      </c>
      <c r="Q98" s="74" t="s">
        <v>87</v>
      </c>
      <c r="R98" s="78" t="s">
        <v>88</v>
      </c>
      <c r="S98" s="73" t="s">
        <v>88</v>
      </c>
      <c r="T98" s="79" t="s">
        <v>89</v>
      </c>
      <c r="U98" s="79" t="s">
        <v>90</v>
      </c>
      <c r="V98" s="78" t="s">
        <v>674</v>
      </c>
      <c r="W98" s="74" t="s">
        <v>92</v>
      </c>
      <c r="X98" s="74">
        <v>0</v>
      </c>
      <c r="Y98" s="80" t="s">
        <v>102</v>
      </c>
      <c r="Z98" s="80" t="s">
        <v>94</v>
      </c>
      <c r="AA98" s="74" t="s">
        <v>457</v>
      </c>
      <c r="AB98" s="74">
        <v>1</v>
      </c>
      <c r="AC98" s="51">
        <f>IF(AND(W98="SOPORTE_TELEFÓNICO",OR(U98="SIN CONTACTO CON EL CB",U98="NÚMEROS DE CONTACTO ERRADOS")),0,IF(W98="SOPORTE_TELEFÓNICO",'BASE DE LIQUIDACION 2025'!$B$9,IF(Y98="TIPO I",'BASE DE LIQUIDACION 2025'!$C$3,IF(Y98="TIPO II",'BASE DE LIQUIDACION 2025'!$C$4,IF(Y98="TIPO III",'BASE DE LIQUIDACION 2025'!$C$5,'BASE DE LIQUIDACION 2025'!$C$6)))))</f>
        <v>44559.563999999998</v>
      </c>
      <c r="AD98" s="51">
        <f>IF(W98="SOPORTE_TELEFÓNICO",AC98,CIERRES!AB98*CIERRES!AC98)</f>
        <v>44559.563999999998</v>
      </c>
    </row>
    <row r="99" spans="1:30" s="81" customFormat="1" ht="13.15">
      <c r="A99" s="73" t="s">
        <v>159</v>
      </c>
      <c r="B99" s="50" t="str">
        <f>VLOOKUP(A99,'CENTRO DE COSTOS'!A:D,4,FALSE)</f>
        <v>JUAN SEBASTIÁN RÍOS CASTRILLÓN</v>
      </c>
      <c r="C99" s="50" t="str">
        <f>VLOOKUP(A99,'CENTRO DE COSTOS'!A:C,2,FALSE)</f>
        <v>0004-0005</v>
      </c>
      <c r="D99" s="74">
        <v>5390</v>
      </c>
      <c r="E99" s="74" t="s">
        <v>675</v>
      </c>
      <c r="F99" s="73">
        <v>52872</v>
      </c>
      <c r="G99" s="74" t="s">
        <v>80</v>
      </c>
      <c r="H99" s="73" t="s">
        <v>161</v>
      </c>
      <c r="I99" s="73" t="s">
        <v>676</v>
      </c>
      <c r="J99" s="73" t="s">
        <v>677</v>
      </c>
      <c r="K99" s="74" t="s">
        <v>84</v>
      </c>
      <c r="L99" s="75" t="s">
        <v>678</v>
      </c>
      <c r="M99" s="75">
        <v>45853.333333333336</v>
      </c>
      <c r="N99" s="75">
        <v>45859.775694444441</v>
      </c>
      <c r="O99" s="10"/>
      <c r="P99" s="74" t="s">
        <v>86</v>
      </c>
      <c r="Q99" s="74" t="s">
        <v>86</v>
      </c>
      <c r="R99" s="78" t="s">
        <v>88</v>
      </c>
      <c r="S99" s="73" t="s">
        <v>88</v>
      </c>
      <c r="T99" s="79" t="s">
        <v>89</v>
      </c>
      <c r="U99" s="79" t="s">
        <v>90</v>
      </c>
      <c r="V99" s="78" t="s">
        <v>679</v>
      </c>
      <c r="W99" s="74" t="s">
        <v>92</v>
      </c>
      <c r="X99" s="60">
        <v>0</v>
      </c>
      <c r="Y99" s="80" t="s">
        <v>93</v>
      </c>
      <c r="Z99" s="80" t="s">
        <v>94</v>
      </c>
      <c r="AA99" s="74" t="s">
        <v>680</v>
      </c>
      <c r="AB99" s="74">
        <v>1</v>
      </c>
      <c r="AC99" s="51">
        <f>IF(AND(W99="SOPORTE_TELEFÓNICO",OR(U99="SIN CONTACTO CON EL CB",U99="NÚMEROS DE CONTACTO ERRADOS")),0,IF(W99="SOPORTE_TELEFÓNICO",'BASE DE LIQUIDACION 2025'!$B$9,IF(Y99="TIPO I",'BASE DE LIQUIDACION 2025'!$C$3,IF(Y99="TIPO II",'BASE DE LIQUIDACION 2025'!$C$4,IF(Y99="TIPO III",'BASE DE LIQUIDACION 2025'!$C$5,'BASE DE LIQUIDACION 2025'!$C$6)))))</f>
        <v>134410.88400000002</v>
      </c>
      <c r="AD99" s="51">
        <f>IF(W99="SOPORTE_TELEFÓNICO",AC99,CIERRES!AB99*CIERRES!AC99)</f>
        <v>134410.88400000002</v>
      </c>
    </row>
    <row r="100" spans="1:30" s="81" customFormat="1" ht="13.15">
      <c r="A100" s="73" t="s">
        <v>159</v>
      </c>
      <c r="B100" s="50" t="str">
        <f>VLOOKUP(A100,'CENTRO DE COSTOS'!A:D,4,FALSE)</f>
        <v>JUAN SEBASTIÁN RÍOS CASTRILLÓN</v>
      </c>
      <c r="C100" s="50" t="str">
        <f>VLOOKUP(A100,'CENTRO DE COSTOS'!A:C,2,FALSE)</f>
        <v>0004-0005</v>
      </c>
      <c r="D100" s="74">
        <v>5615</v>
      </c>
      <c r="E100" s="74" t="s">
        <v>681</v>
      </c>
      <c r="F100" s="73">
        <v>70990</v>
      </c>
      <c r="G100" s="74" t="s">
        <v>80</v>
      </c>
      <c r="H100" s="73" t="s">
        <v>161</v>
      </c>
      <c r="I100" s="73" t="s">
        <v>682</v>
      </c>
      <c r="J100" s="73" t="s">
        <v>683</v>
      </c>
      <c r="K100" s="74" t="s">
        <v>84</v>
      </c>
      <c r="L100" s="75" t="s">
        <v>684</v>
      </c>
      <c r="M100" s="75">
        <v>45855.333333333336</v>
      </c>
      <c r="N100" s="75">
        <v>45860.535127314812</v>
      </c>
      <c r="O100" s="10"/>
      <c r="P100" s="74" t="s">
        <v>86</v>
      </c>
      <c r="Q100" s="74" t="s">
        <v>87</v>
      </c>
      <c r="R100" s="78" t="s">
        <v>88</v>
      </c>
      <c r="S100" s="73" t="s">
        <v>88</v>
      </c>
      <c r="T100" s="79" t="s">
        <v>118</v>
      </c>
      <c r="U100" s="79" t="s">
        <v>119</v>
      </c>
      <c r="V100" s="78" t="s">
        <v>685</v>
      </c>
      <c r="W100" s="74" t="s">
        <v>92</v>
      </c>
      <c r="X100" s="60">
        <v>0</v>
      </c>
      <c r="Y100" s="80" t="s">
        <v>93</v>
      </c>
      <c r="Z100" s="80" t="s">
        <v>94</v>
      </c>
      <c r="AA100" s="74" t="s">
        <v>680</v>
      </c>
      <c r="AB100" s="74">
        <v>1</v>
      </c>
      <c r="AC100" s="51">
        <f>IF(AND(W100="SOPORTE_TELEFÓNICO",OR(U100="SIN CONTACTO CON EL CB",U100="NÚMEROS DE CONTACTO ERRADOS")),0,IF(W100="SOPORTE_TELEFÓNICO",'BASE DE LIQUIDACION 2025'!$B$9,IF(Y100="TIPO I",'BASE DE LIQUIDACION 2025'!$C$3,IF(Y100="TIPO II",'BASE DE LIQUIDACION 2025'!$C$4,IF(Y100="TIPO III",'BASE DE LIQUIDACION 2025'!$C$5,'BASE DE LIQUIDACION 2025'!$C$6)))))</f>
        <v>134410.88400000002</v>
      </c>
      <c r="AD100" s="51">
        <f>IF(W100="SOPORTE_TELEFÓNICO",AC100,CIERRES!AB100*CIERRES!AC100)</f>
        <v>134410.88400000002</v>
      </c>
    </row>
    <row r="101" spans="1:30" s="81" customFormat="1" ht="13.15">
      <c r="A101" s="73" t="s">
        <v>302</v>
      </c>
      <c r="B101" s="50" t="str">
        <f>VLOOKUP(A101,'CENTRO DE COSTOS'!A:D,4,FALSE)</f>
        <v>MIGUEL JULIÁN HERNÁNDEZ GUARÍN</v>
      </c>
      <c r="C101" s="50" t="str">
        <f>VLOOKUP(A101,'CENTRO DE COSTOS'!A:C,2,FALSE)</f>
        <v>0004-0008</v>
      </c>
      <c r="D101" s="74">
        <v>68081</v>
      </c>
      <c r="E101" s="74" t="s">
        <v>686</v>
      </c>
      <c r="F101" s="73">
        <v>60363</v>
      </c>
      <c r="G101" s="74" t="s">
        <v>80</v>
      </c>
      <c r="H101" s="73" t="s">
        <v>304</v>
      </c>
      <c r="I101" s="73" t="s">
        <v>687</v>
      </c>
      <c r="J101" s="73" t="s">
        <v>688</v>
      </c>
      <c r="K101" s="74" t="s">
        <v>84</v>
      </c>
      <c r="L101" s="75" t="s">
        <v>689</v>
      </c>
      <c r="M101" s="75">
        <v>45856.333333333336</v>
      </c>
      <c r="N101" s="75">
        <v>45860.56453703704</v>
      </c>
      <c r="O101" s="10"/>
      <c r="P101" s="74" t="s">
        <v>86</v>
      </c>
      <c r="Q101" s="74" t="s">
        <v>86</v>
      </c>
      <c r="R101" s="78" t="s">
        <v>88</v>
      </c>
      <c r="S101" s="73" t="s">
        <v>88</v>
      </c>
      <c r="T101" s="79" t="s">
        <v>89</v>
      </c>
      <c r="U101" s="79" t="s">
        <v>90</v>
      </c>
      <c r="V101" s="78" t="s">
        <v>690</v>
      </c>
      <c r="W101" s="74" t="s">
        <v>92</v>
      </c>
      <c r="X101" s="60" t="s">
        <v>691</v>
      </c>
      <c r="Y101" s="80" t="s">
        <v>178</v>
      </c>
      <c r="Z101" s="80" t="s">
        <v>94</v>
      </c>
      <c r="AA101" s="74" t="s">
        <v>309</v>
      </c>
      <c r="AB101" s="74">
        <v>1</v>
      </c>
      <c r="AC101" s="51">
        <f>IF(AND(W101="SOPORTE_TELEFÓNICO",OR(U101="SIN CONTACTO CON EL CB",U101="NÚMEROS DE CONTACTO ERRADOS")),0,IF(W101="SOPORTE_TELEFÓNICO",'BASE DE LIQUIDACION 2025'!$B$9,IF(Y101="TIPO I",'BASE DE LIQUIDACION 2025'!$C$3,IF(Y101="TIPO II",'BASE DE LIQUIDACION 2025'!$C$4,IF(Y101="TIPO III",'BASE DE LIQUIDACION 2025'!$C$5,'BASE DE LIQUIDACION 2025'!$C$6)))))</f>
        <v>222904.07200000001</v>
      </c>
      <c r="AD101" s="51">
        <f>IF(W101="SOPORTE_TELEFÓNICO",AC101,CIERRES!AB101*CIERRES!AC101)</f>
        <v>222904.07200000001</v>
      </c>
    </row>
    <row r="102" spans="1:30" s="81" customFormat="1" ht="13.15">
      <c r="A102" s="73" t="s">
        <v>159</v>
      </c>
      <c r="B102" s="50" t="str">
        <f>VLOOKUP(A102,'CENTRO DE COSTOS'!A:D,4,FALSE)</f>
        <v>JUAN SEBASTIÁN RÍOS CASTRILLÓN</v>
      </c>
      <c r="C102" s="50" t="str">
        <f>VLOOKUP(A102,'CENTRO DE COSTOS'!A:C,2,FALSE)</f>
        <v>0004-0005</v>
      </c>
      <c r="D102" s="74">
        <v>5129</v>
      </c>
      <c r="E102" s="74" t="s">
        <v>692</v>
      </c>
      <c r="F102" s="73">
        <v>75151</v>
      </c>
      <c r="G102" s="74" t="s">
        <v>80</v>
      </c>
      <c r="H102" s="73" t="s">
        <v>161</v>
      </c>
      <c r="I102" s="73" t="s">
        <v>290</v>
      </c>
      <c r="J102" s="73" t="s">
        <v>693</v>
      </c>
      <c r="K102" s="74" t="s">
        <v>84</v>
      </c>
      <c r="L102" s="75" t="s">
        <v>694</v>
      </c>
      <c r="M102" s="75">
        <v>45856.333333333336</v>
      </c>
      <c r="N102" s="75">
        <v>45860.592986111107</v>
      </c>
      <c r="O102" s="10"/>
      <c r="P102" s="74" t="s">
        <v>86</v>
      </c>
      <c r="Q102" s="74" t="s">
        <v>86</v>
      </c>
      <c r="R102" s="78" t="s">
        <v>88</v>
      </c>
      <c r="S102" s="73" t="s">
        <v>88</v>
      </c>
      <c r="T102" s="79" t="s">
        <v>118</v>
      </c>
      <c r="U102" s="79" t="s">
        <v>119</v>
      </c>
      <c r="V102" s="78" t="s">
        <v>695</v>
      </c>
      <c r="W102" s="74" t="s">
        <v>92</v>
      </c>
      <c r="X102" s="60" t="s">
        <v>696</v>
      </c>
      <c r="Y102" s="80" t="s">
        <v>102</v>
      </c>
      <c r="Z102" s="80" t="s">
        <v>94</v>
      </c>
      <c r="AA102" s="74" t="s">
        <v>697</v>
      </c>
      <c r="AB102" s="74">
        <v>1</v>
      </c>
      <c r="AC102" s="51">
        <f>IF(AND(W102="SOPORTE_TELEFÓNICO",OR(U102="SIN CONTACTO CON EL CB",U102="NÚMEROS DE CONTACTO ERRADOS")),0,IF(W102="SOPORTE_TELEFÓNICO",'BASE DE LIQUIDACION 2025'!$B$9,IF(Y102="TIPO I",'BASE DE LIQUIDACION 2025'!$C$3,IF(Y102="TIPO II",'BASE DE LIQUIDACION 2025'!$C$4,IF(Y102="TIPO III",'BASE DE LIQUIDACION 2025'!$C$5,'BASE DE LIQUIDACION 2025'!$C$6)))))</f>
        <v>44559.563999999998</v>
      </c>
      <c r="AD102" s="51">
        <f>IF(W102="SOPORTE_TELEFÓNICO",AC102,CIERRES!AB102*CIERRES!AC102)</f>
        <v>44559.563999999998</v>
      </c>
    </row>
    <row r="103" spans="1:30" s="81" customFormat="1" ht="13.15">
      <c r="A103" s="73" t="s">
        <v>78</v>
      </c>
      <c r="B103" s="50" t="str">
        <f>VLOOKUP(A103,'CENTRO DE COSTOS'!A:D,4,FALSE)</f>
        <v>WILLIAM ASDRUBAL ROZO ROZO</v>
      </c>
      <c r="C103" s="50" t="str">
        <f>VLOOKUP(A103,'CENTRO DE COSTOS'!A:C,2,FALSE)</f>
        <v>0004-0004</v>
      </c>
      <c r="D103" s="74">
        <v>25269</v>
      </c>
      <c r="E103" s="74" t="s">
        <v>698</v>
      </c>
      <c r="F103" s="73">
        <v>70878</v>
      </c>
      <c r="G103" s="74" t="s">
        <v>80</v>
      </c>
      <c r="H103" s="73" t="s">
        <v>81</v>
      </c>
      <c r="I103" s="73" t="s">
        <v>699</v>
      </c>
      <c r="J103" s="73" t="s">
        <v>700</v>
      </c>
      <c r="K103" s="74" t="s">
        <v>84</v>
      </c>
      <c r="L103" s="75" t="s">
        <v>701</v>
      </c>
      <c r="M103" s="75">
        <v>45856.333333333336</v>
      </c>
      <c r="N103" s="75">
        <v>45860.611759259264</v>
      </c>
      <c r="O103" s="10"/>
      <c r="P103" s="74" t="s">
        <v>86</v>
      </c>
      <c r="Q103" s="74" t="s">
        <v>86</v>
      </c>
      <c r="R103" s="78" t="s">
        <v>148</v>
      </c>
      <c r="S103" s="73" t="s">
        <v>286</v>
      </c>
      <c r="T103" s="79" t="s">
        <v>89</v>
      </c>
      <c r="U103" s="79" t="s">
        <v>90</v>
      </c>
      <c r="V103" s="78" t="s">
        <v>702</v>
      </c>
      <c r="W103" s="74" t="s">
        <v>92</v>
      </c>
      <c r="X103" s="60">
        <v>0</v>
      </c>
      <c r="Y103" s="80" t="s">
        <v>93</v>
      </c>
      <c r="Z103" s="80" t="s">
        <v>94</v>
      </c>
      <c r="AA103" s="74" t="s">
        <v>337</v>
      </c>
      <c r="AB103" s="74">
        <v>1</v>
      </c>
      <c r="AC103" s="51">
        <f>IF(AND(W103="SOPORTE_TELEFÓNICO",OR(U103="SIN CONTACTO CON EL CB",U103="NÚMEROS DE CONTACTO ERRADOS")),0,IF(W103="SOPORTE_TELEFÓNICO",'BASE DE LIQUIDACION 2025'!$B$9,IF(Y103="TIPO I",'BASE DE LIQUIDACION 2025'!$C$3,IF(Y103="TIPO II",'BASE DE LIQUIDACION 2025'!$C$4,IF(Y103="TIPO III",'BASE DE LIQUIDACION 2025'!$C$5,'BASE DE LIQUIDACION 2025'!$C$6)))))</f>
        <v>134410.88400000002</v>
      </c>
      <c r="AD103" s="51">
        <f>IF(W103="SOPORTE_TELEFÓNICO",AC103,CIERRES!AB103*CIERRES!AC103)</f>
        <v>134410.88400000002</v>
      </c>
    </row>
    <row r="104" spans="1:30" s="81" customFormat="1" ht="13.15">
      <c r="A104" s="73" t="s">
        <v>194</v>
      </c>
      <c r="B104" s="50" t="str">
        <f>VLOOKUP(A104,'CENTRO DE COSTOS'!A:D,4,FALSE)</f>
        <v>KEVIN ALEXIS CORZO BUSTOS</v>
      </c>
      <c r="C104" s="50" t="str">
        <f>VLOOKUP(A104,'CENTRO DE COSTOS'!A:C,2,FALSE)</f>
        <v>0004-0007</v>
      </c>
      <c r="D104" s="74">
        <v>17380</v>
      </c>
      <c r="E104" s="74" t="s">
        <v>703</v>
      </c>
      <c r="F104" s="73">
        <v>38469</v>
      </c>
      <c r="G104" s="74" t="s">
        <v>80</v>
      </c>
      <c r="H104" s="73" t="s">
        <v>290</v>
      </c>
      <c r="I104" s="73" t="s">
        <v>291</v>
      </c>
      <c r="J104" s="73" t="s">
        <v>704</v>
      </c>
      <c r="K104" s="74" t="s">
        <v>84</v>
      </c>
      <c r="L104" s="75" t="s">
        <v>705</v>
      </c>
      <c r="M104" s="75">
        <v>45855.333333333336</v>
      </c>
      <c r="N104" s="75">
        <v>45860.656875000001</v>
      </c>
      <c r="O104" s="10"/>
      <c r="P104" s="74" t="s">
        <v>86</v>
      </c>
      <c r="Q104" s="74" t="s">
        <v>86</v>
      </c>
      <c r="R104" s="78" t="s">
        <v>88</v>
      </c>
      <c r="S104" s="73" t="s">
        <v>88</v>
      </c>
      <c r="T104" s="79" t="s">
        <v>89</v>
      </c>
      <c r="U104" s="79" t="s">
        <v>90</v>
      </c>
      <c r="V104" s="78" t="s">
        <v>706</v>
      </c>
      <c r="W104" s="74" t="s">
        <v>92</v>
      </c>
      <c r="X104" s="60" t="s">
        <v>707</v>
      </c>
      <c r="Y104" s="80" t="s">
        <v>178</v>
      </c>
      <c r="Z104" s="80" t="s">
        <v>94</v>
      </c>
      <c r="AA104" s="74" t="s">
        <v>238</v>
      </c>
      <c r="AB104" s="74">
        <v>1</v>
      </c>
      <c r="AC104" s="51">
        <f>IF(AND(W104="SOPORTE_TELEFÓNICO",OR(U104="SIN CONTACTO CON EL CB",U104="NÚMEROS DE CONTACTO ERRADOS")),0,IF(W104="SOPORTE_TELEFÓNICO",'BASE DE LIQUIDACION 2025'!$B$9,IF(Y104="TIPO I",'BASE DE LIQUIDACION 2025'!$C$3,IF(Y104="TIPO II",'BASE DE LIQUIDACION 2025'!$C$4,IF(Y104="TIPO III",'BASE DE LIQUIDACION 2025'!$C$5,'BASE DE LIQUIDACION 2025'!$C$6)))))</f>
        <v>222904.07200000001</v>
      </c>
      <c r="AD104" s="51">
        <f>IF(W104="SOPORTE_TELEFÓNICO",AC104,CIERRES!AB104*CIERRES!AC104)</f>
        <v>222904.07200000001</v>
      </c>
    </row>
    <row r="105" spans="1:30" s="81" customFormat="1" ht="13.15">
      <c r="A105" s="73" t="s">
        <v>96</v>
      </c>
      <c r="B105" s="50" t="str">
        <f>VLOOKUP(A105,'CENTRO DE COSTOS'!A:D,4,FALSE)</f>
        <v>DIEGO FERNANDO HENAO CARDONA</v>
      </c>
      <c r="C105" s="50" t="str">
        <f>VLOOKUP(A105,'CENTRO DE COSTOS'!A:C,2,FALSE)</f>
        <v>0004-0003</v>
      </c>
      <c r="D105" s="74">
        <v>52378</v>
      </c>
      <c r="E105" s="74" t="s">
        <v>708</v>
      </c>
      <c r="F105" s="73">
        <v>77357</v>
      </c>
      <c r="G105" s="74" t="s">
        <v>80</v>
      </c>
      <c r="H105" s="73" t="s">
        <v>98</v>
      </c>
      <c r="I105" s="73" t="s">
        <v>709</v>
      </c>
      <c r="J105" s="73" t="s">
        <v>710</v>
      </c>
      <c r="K105" s="74" t="s">
        <v>84</v>
      </c>
      <c r="L105" s="75" t="s">
        <v>711</v>
      </c>
      <c r="M105" s="75">
        <v>45856.333333333336</v>
      </c>
      <c r="N105" s="75">
        <v>45860.664305555547</v>
      </c>
      <c r="O105" s="10"/>
      <c r="P105" s="74" t="s">
        <v>86</v>
      </c>
      <c r="Q105" s="74" t="s">
        <v>86</v>
      </c>
      <c r="R105" s="78" t="s">
        <v>88</v>
      </c>
      <c r="S105" s="73" t="s">
        <v>88</v>
      </c>
      <c r="T105" s="79" t="s">
        <v>118</v>
      </c>
      <c r="U105" s="79" t="s">
        <v>119</v>
      </c>
      <c r="V105" s="78" t="s">
        <v>712</v>
      </c>
      <c r="W105" s="74" t="s">
        <v>138</v>
      </c>
      <c r="X105" s="60">
        <v>0</v>
      </c>
      <c r="Y105" s="80" t="s">
        <v>178</v>
      </c>
      <c r="Z105" s="80" t="s">
        <v>94</v>
      </c>
      <c r="AA105" s="74" t="s">
        <v>179</v>
      </c>
      <c r="AB105" s="74">
        <v>0</v>
      </c>
      <c r="AC105" s="51">
        <f>IF(AND(W105="SOPORTE_TELEFÓNICO",OR(U105="SIN CONTACTO CON EL CB",U105="NÚMEROS DE CONTACTO ERRADOS")),0,IF(W105="SOPORTE_TELEFÓNICO",'BASE DE LIQUIDACION 2025'!$B$9,IF(Y105="TIPO I",'BASE DE LIQUIDACION 2025'!$C$3,IF(Y105="TIPO II",'BASE DE LIQUIDACION 2025'!$C$4,IF(Y105="TIPO III",'BASE DE LIQUIDACION 2025'!$C$5,'BASE DE LIQUIDACION 2025'!$C$6)))))</f>
        <v>37904.612000000001</v>
      </c>
      <c r="AD105" s="51">
        <f>IF(W105="SOPORTE_TELEFÓNICO",AC105,CIERRES!AB105*CIERRES!AC105)</f>
        <v>37904.612000000001</v>
      </c>
    </row>
    <row r="106" spans="1:30" s="81" customFormat="1" ht="13.15">
      <c r="A106" s="73" t="s">
        <v>243</v>
      </c>
      <c r="B106" s="50" t="str">
        <f>VLOOKUP(A106,'CENTRO DE COSTOS'!A:D,4,FALSE)</f>
        <v>KEVIN ALEXIS CORZO BUSTOS</v>
      </c>
      <c r="C106" s="50" t="str">
        <f>VLOOKUP(A106,'CENTRO DE COSTOS'!A:C,2,FALSE)</f>
        <v>0004-0007</v>
      </c>
      <c r="D106" s="74">
        <v>18001</v>
      </c>
      <c r="E106" s="74" t="s">
        <v>713</v>
      </c>
      <c r="F106" s="73">
        <v>77627</v>
      </c>
      <c r="G106" s="74" t="s">
        <v>80</v>
      </c>
      <c r="H106" s="73" t="s">
        <v>245</v>
      </c>
      <c r="I106" s="73" t="s">
        <v>246</v>
      </c>
      <c r="J106" s="73" t="s">
        <v>397</v>
      </c>
      <c r="K106" s="74" t="s">
        <v>84</v>
      </c>
      <c r="L106" s="75" t="s">
        <v>714</v>
      </c>
      <c r="M106" s="75">
        <v>45859.660416666666</v>
      </c>
      <c r="N106" s="75">
        <v>45860.719733796293</v>
      </c>
      <c r="O106" s="10"/>
      <c r="P106" s="74" t="s">
        <v>86</v>
      </c>
      <c r="Q106" s="74" t="s">
        <v>87</v>
      </c>
      <c r="R106" s="78" t="s">
        <v>88</v>
      </c>
      <c r="S106" s="73" t="s">
        <v>88</v>
      </c>
      <c r="T106" s="79" t="s">
        <v>249</v>
      </c>
      <c r="U106" s="79" t="s">
        <v>250</v>
      </c>
      <c r="V106" s="78">
        <v>0</v>
      </c>
      <c r="W106" s="74" t="s">
        <v>138</v>
      </c>
      <c r="X106" s="60">
        <v>0</v>
      </c>
      <c r="Y106" s="80" t="s">
        <v>129</v>
      </c>
      <c r="Z106" s="80" t="s">
        <v>94</v>
      </c>
      <c r="AA106" s="74" t="s">
        <v>715</v>
      </c>
      <c r="AB106" s="74">
        <v>0</v>
      </c>
      <c r="AC106" s="51">
        <f>IF(AND(W106="SOPORTE_TELEFÓNICO",OR(U106="SIN CONTACTO CON EL CB",U106="NÚMEROS DE CONTACTO ERRADOS")),0,IF(W106="SOPORTE_TELEFÓNICO",'BASE DE LIQUIDACION 2025'!$B$9,IF(Y106="TIPO I",'BASE DE LIQUIDACION 2025'!$C$3,IF(Y106="TIPO II",'BASE DE LIQUIDACION 2025'!$C$4,IF(Y106="TIPO III",'BASE DE LIQUIDACION 2025'!$C$5,'BASE DE LIQUIDACION 2025'!$C$6)))))</f>
        <v>37904.612000000001</v>
      </c>
      <c r="AD106" s="51">
        <f>IF(W106="SOPORTE_TELEFÓNICO",AC106,CIERRES!AB106*CIERRES!AC106)</f>
        <v>37904.612000000001</v>
      </c>
    </row>
    <row r="107" spans="1:30" s="81" customFormat="1" ht="13.15">
      <c r="A107" s="73" t="s">
        <v>104</v>
      </c>
      <c r="B107" s="50" t="str">
        <f>VLOOKUP(A107,'CENTRO DE COSTOS'!A:D,4,FALSE)</f>
        <v>DIEGO FERNANDO HENAO CARDONA</v>
      </c>
      <c r="C107" s="50" t="str">
        <f>VLOOKUP(A107,'CENTRO DE COSTOS'!A:C,2,FALSE)</f>
        <v>0004-0003</v>
      </c>
      <c r="D107" s="74">
        <v>76001</v>
      </c>
      <c r="E107" s="74" t="s">
        <v>716</v>
      </c>
      <c r="F107" s="73">
        <v>47249</v>
      </c>
      <c r="G107" s="74" t="s">
        <v>80</v>
      </c>
      <c r="H107" s="73" t="s">
        <v>144</v>
      </c>
      <c r="I107" s="73" t="s">
        <v>104</v>
      </c>
      <c r="J107" s="73" t="s">
        <v>717</v>
      </c>
      <c r="K107" s="74" t="s">
        <v>84</v>
      </c>
      <c r="L107" s="75" t="s">
        <v>718</v>
      </c>
      <c r="M107" s="75">
        <v>45861.333333333336</v>
      </c>
      <c r="N107" s="75">
        <v>45861.517361111109</v>
      </c>
      <c r="O107" s="10"/>
      <c r="P107" s="74" t="s">
        <v>86</v>
      </c>
      <c r="Q107" s="74" t="s">
        <v>87</v>
      </c>
      <c r="R107" s="78" t="s">
        <v>148</v>
      </c>
      <c r="S107" s="73" t="s">
        <v>286</v>
      </c>
      <c r="T107" s="79" t="s">
        <v>89</v>
      </c>
      <c r="U107" s="79" t="s">
        <v>90</v>
      </c>
      <c r="V107" s="78" t="s">
        <v>719</v>
      </c>
      <c r="W107" s="74" t="s">
        <v>92</v>
      </c>
      <c r="X107" s="60" t="s">
        <v>720</v>
      </c>
      <c r="Y107" s="80" t="s">
        <v>102</v>
      </c>
      <c r="Z107" s="80" t="s">
        <v>94</v>
      </c>
      <c r="AA107" s="74" t="s">
        <v>272</v>
      </c>
      <c r="AB107" s="74">
        <v>1</v>
      </c>
      <c r="AC107" s="51">
        <f>IF(AND(W107="SOPORTE_TELEFÓNICO",OR(U107="SIN CONTACTO CON EL CB",U107="NÚMEROS DE CONTACTO ERRADOS")),0,IF(W107="SOPORTE_TELEFÓNICO",'BASE DE LIQUIDACION 2025'!$B$9,IF(Y107="TIPO I",'BASE DE LIQUIDACION 2025'!$C$3,IF(Y107="TIPO II",'BASE DE LIQUIDACION 2025'!$C$4,IF(Y107="TIPO III",'BASE DE LIQUIDACION 2025'!$C$5,'BASE DE LIQUIDACION 2025'!$C$6)))))</f>
        <v>44559.563999999998</v>
      </c>
      <c r="AD107" s="51">
        <f>IF(W107="SOPORTE_TELEFÓNICO",AC107,CIERRES!AB107*CIERRES!AC107)</f>
        <v>44559.563999999998</v>
      </c>
    </row>
    <row r="108" spans="1:30" s="81" customFormat="1" ht="13.15">
      <c r="A108" s="73" t="s">
        <v>243</v>
      </c>
      <c r="B108" s="50" t="str">
        <f>VLOOKUP(A108,'CENTRO DE COSTOS'!A:D,4,FALSE)</f>
        <v>KEVIN ALEXIS CORZO BUSTOS</v>
      </c>
      <c r="C108" s="50" t="str">
        <f>VLOOKUP(A108,'CENTRO DE COSTOS'!A:C,2,FALSE)</f>
        <v>0004-0007</v>
      </c>
      <c r="D108" s="74">
        <v>41551</v>
      </c>
      <c r="E108" s="74" t="s">
        <v>721</v>
      </c>
      <c r="F108" s="73">
        <v>46267</v>
      </c>
      <c r="G108" s="74" t="s">
        <v>80</v>
      </c>
      <c r="H108" s="73" t="s">
        <v>296</v>
      </c>
      <c r="I108" s="73" t="s">
        <v>459</v>
      </c>
      <c r="J108" s="73" t="s">
        <v>722</v>
      </c>
      <c r="K108" s="74" t="s">
        <v>84</v>
      </c>
      <c r="L108" s="75" t="s">
        <v>723</v>
      </c>
      <c r="M108" s="75">
        <v>45856.638194444444</v>
      </c>
      <c r="N108" s="75">
        <v>45861.522222222222</v>
      </c>
      <c r="O108" s="10"/>
      <c r="P108" s="74" t="s">
        <v>86</v>
      </c>
      <c r="Q108" s="74" t="s">
        <v>86</v>
      </c>
      <c r="R108" s="78" t="s">
        <v>724</v>
      </c>
      <c r="S108" s="73" t="s">
        <v>725</v>
      </c>
      <c r="T108" s="79" t="s">
        <v>268</v>
      </c>
      <c r="U108" s="79" t="s">
        <v>269</v>
      </c>
      <c r="V108" s="78" t="s">
        <v>726</v>
      </c>
      <c r="W108" s="74" t="s">
        <v>92</v>
      </c>
      <c r="X108" s="60" t="s">
        <v>727</v>
      </c>
      <c r="Y108" s="80" t="s">
        <v>178</v>
      </c>
      <c r="Z108" s="80" t="s">
        <v>94</v>
      </c>
      <c r="AA108" s="74" t="s">
        <v>463</v>
      </c>
      <c r="AB108" s="74">
        <v>1</v>
      </c>
      <c r="AC108" s="51">
        <f>IF(AND(W108="SOPORTE_TELEFÓNICO",OR(U108="SIN CONTACTO CON EL CB",U108="NÚMEROS DE CONTACTO ERRADOS")),0,IF(W108="SOPORTE_TELEFÓNICO",'BASE DE LIQUIDACION 2025'!$B$9,IF(Y108="TIPO I",'BASE DE LIQUIDACION 2025'!$C$3,IF(Y108="TIPO II",'BASE DE LIQUIDACION 2025'!$C$4,IF(Y108="TIPO III",'BASE DE LIQUIDACION 2025'!$C$5,'BASE DE LIQUIDACION 2025'!$C$6)))))</f>
        <v>222904.07200000001</v>
      </c>
      <c r="AD108" s="51">
        <f>IF(W108="SOPORTE_TELEFÓNICO",AC108,CIERRES!AB108*CIERRES!AC108)</f>
        <v>222904.07200000001</v>
      </c>
    </row>
    <row r="109" spans="1:30" s="81" customFormat="1" ht="13.15">
      <c r="A109" s="73" t="s">
        <v>142</v>
      </c>
      <c r="B109" s="50" t="str">
        <f>VLOOKUP(A109,'CENTRO DE COSTOS'!A:D,4,FALSE)</f>
        <v>DIEGO FERNANDO HENAO CARDONA</v>
      </c>
      <c r="C109" s="50" t="str">
        <f>VLOOKUP(A109,'CENTRO DE COSTOS'!A:C,2,FALSE)</f>
        <v>0004-0002</v>
      </c>
      <c r="D109" s="74">
        <v>73520</v>
      </c>
      <c r="E109" s="74" t="s">
        <v>728</v>
      </c>
      <c r="F109" s="73">
        <v>76552</v>
      </c>
      <c r="G109" s="74" t="s">
        <v>80</v>
      </c>
      <c r="H109" s="73" t="s">
        <v>196</v>
      </c>
      <c r="I109" s="73" t="s">
        <v>729</v>
      </c>
      <c r="J109" s="73" t="s">
        <v>730</v>
      </c>
      <c r="K109" s="74" t="s">
        <v>84</v>
      </c>
      <c r="L109" s="75" t="s">
        <v>731</v>
      </c>
      <c r="M109" s="75">
        <v>45853.333333333336</v>
      </c>
      <c r="N109" s="75">
        <v>45861.579861111109</v>
      </c>
      <c r="O109" s="10"/>
      <c r="P109" s="74" t="s">
        <v>86</v>
      </c>
      <c r="Q109" s="74" t="s">
        <v>86</v>
      </c>
      <c r="R109" s="78" t="s">
        <v>148</v>
      </c>
      <c r="S109" s="73" t="s">
        <v>286</v>
      </c>
      <c r="T109" s="79" t="s">
        <v>118</v>
      </c>
      <c r="U109" s="79" t="s">
        <v>119</v>
      </c>
      <c r="V109" s="78" t="s">
        <v>732</v>
      </c>
      <c r="W109" s="74" t="s">
        <v>138</v>
      </c>
      <c r="X109" s="60">
        <v>0</v>
      </c>
      <c r="Y109" s="80" t="s">
        <v>178</v>
      </c>
      <c r="Z109" s="80" t="s">
        <v>94</v>
      </c>
      <c r="AA109" s="74" t="s">
        <v>238</v>
      </c>
      <c r="AB109" s="74">
        <v>0</v>
      </c>
      <c r="AC109" s="51">
        <f>IF(AND(W109="SOPORTE_TELEFÓNICO",OR(U109="SIN CONTACTO CON EL CB",U109="NÚMEROS DE CONTACTO ERRADOS")),0,IF(W109="SOPORTE_TELEFÓNICO",'BASE DE LIQUIDACION 2025'!$B$9,IF(Y109="TIPO I",'BASE DE LIQUIDACION 2025'!$C$3,IF(Y109="TIPO II",'BASE DE LIQUIDACION 2025'!$C$4,IF(Y109="TIPO III",'BASE DE LIQUIDACION 2025'!$C$5,'BASE DE LIQUIDACION 2025'!$C$6)))))</f>
        <v>37904.612000000001</v>
      </c>
      <c r="AD109" s="51">
        <f>IF(W109="SOPORTE_TELEFÓNICO",AC109,CIERRES!AB109*CIERRES!AC109)</f>
        <v>37904.612000000001</v>
      </c>
    </row>
    <row r="110" spans="1:30" s="81" customFormat="1" ht="13.15">
      <c r="A110" s="73" t="s">
        <v>218</v>
      </c>
      <c r="B110" s="50" t="str">
        <f>VLOOKUP(A110,'CENTRO DE COSTOS'!A:D,4,FALSE)</f>
        <v>JOSE MAURICIO HERNANDEZ ROJAS</v>
      </c>
      <c r="C110" s="50" t="str">
        <f>VLOOKUP(A110,'CENTRO DE COSTOS'!A:C,2,FALSE)</f>
        <v>0004-0001</v>
      </c>
      <c r="D110" s="74">
        <v>8758</v>
      </c>
      <c r="E110" s="74" t="s">
        <v>733</v>
      </c>
      <c r="F110" s="73">
        <v>69891</v>
      </c>
      <c r="G110" s="74" t="s">
        <v>80</v>
      </c>
      <c r="H110" s="73" t="s">
        <v>220</v>
      </c>
      <c r="I110" s="73" t="s">
        <v>221</v>
      </c>
      <c r="J110" s="73" t="s">
        <v>734</v>
      </c>
      <c r="K110" s="74" t="s">
        <v>84</v>
      </c>
      <c r="L110" s="75" t="s">
        <v>735</v>
      </c>
      <c r="M110" s="75">
        <v>45855.333333333336</v>
      </c>
      <c r="N110" s="75">
        <v>45861.586111111108</v>
      </c>
      <c r="O110" s="10"/>
      <c r="P110" s="74" t="s">
        <v>86</v>
      </c>
      <c r="Q110" s="74" t="s">
        <v>86</v>
      </c>
      <c r="R110" s="78" t="s">
        <v>88</v>
      </c>
      <c r="S110" s="73" t="s">
        <v>88</v>
      </c>
      <c r="T110" s="79" t="s">
        <v>118</v>
      </c>
      <c r="U110" s="79" t="s">
        <v>119</v>
      </c>
      <c r="V110" s="78" t="s">
        <v>736</v>
      </c>
      <c r="W110" s="74" t="s">
        <v>92</v>
      </c>
      <c r="X110" s="60" t="s">
        <v>737</v>
      </c>
      <c r="Y110" s="80" t="s">
        <v>102</v>
      </c>
      <c r="Z110" s="80" t="s">
        <v>94</v>
      </c>
      <c r="AA110" s="74" t="s">
        <v>226</v>
      </c>
      <c r="AB110" s="74">
        <v>1</v>
      </c>
      <c r="AC110" s="51">
        <f>IF(AND(W110="SOPORTE_TELEFÓNICO",OR(U110="SIN CONTACTO CON EL CB",U110="NÚMEROS DE CONTACTO ERRADOS")),0,IF(W110="SOPORTE_TELEFÓNICO",'BASE DE LIQUIDACION 2025'!$B$9,IF(Y110="TIPO I",'BASE DE LIQUIDACION 2025'!$C$3,IF(Y110="TIPO II",'BASE DE LIQUIDACION 2025'!$C$4,IF(Y110="TIPO III",'BASE DE LIQUIDACION 2025'!$C$5,'BASE DE LIQUIDACION 2025'!$C$6)))))</f>
        <v>44559.563999999998</v>
      </c>
      <c r="AD110" s="51">
        <f>IF(W110="SOPORTE_TELEFÓNICO",AC110,CIERRES!AB110*CIERRES!AC110)</f>
        <v>44559.563999999998</v>
      </c>
    </row>
    <row r="111" spans="1:30" s="81" customFormat="1" ht="13.15">
      <c r="A111" s="73" t="s">
        <v>357</v>
      </c>
      <c r="B111" s="50" t="str">
        <f>VLOOKUP(A111,'CENTRO DE COSTOS'!A:D,4,FALSE)</f>
        <v>MIGUEL JULIÁN HERNÁNDEZ GUARÍN</v>
      </c>
      <c r="C111" s="50" t="str">
        <f>VLOOKUP(A111,'CENTRO DE COSTOS'!A:C,2,FALSE)</f>
        <v>0004-0008</v>
      </c>
      <c r="D111" s="74">
        <v>54001</v>
      </c>
      <c r="E111" s="74" t="s">
        <v>738</v>
      </c>
      <c r="F111" s="73">
        <v>49137</v>
      </c>
      <c r="G111" s="74" t="s">
        <v>80</v>
      </c>
      <c r="H111" s="73" t="s">
        <v>359</v>
      </c>
      <c r="I111" s="73" t="s">
        <v>357</v>
      </c>
      <c r="J111" s="73" t="s">
        <v>739</v>
      </c>
      <c r="K111" s="74" t="s">
        <v>84</v>
      </c>
      <c r="L111" s="75" t="s">
        <v>740</v>
      </c>
      <c r="M111" s="75">
        <v>45859.660416666666</v>
      </c>
      <c r="N111" s="75">
        <v>45861.601388888892</v>
      </c>
      <c r="O111" s="10"/>
      <c r="P111" s="74" t="s">
        <v>86</v>
      </c>
      <c r="Q111" s="74" t="s">
        <v>87</v>
      </c>
      <c r="R111" s="78" t="s">
        <v>148</v>
      </c>
      <c r="S111" s="73" t="s">
        <v>286</v>
      </c>
      <c r="T111" s="79" t="s">
        <v>89</v>
      </c>
      <c r="U111" s="79" t="s">
        <v>90</v>
      </c>
      <c r="V111" s="78" t="s">
        <v>741</v>
      </c>
      <c r="W111" s="74" t="s">
        <v>92</v>
      </c>
      <c r="X111" s="60">
        <v>0</v>
      </c>
      <c r="Y111" s="80" t="s">
        <v>102</v>
      </c>
      <c r="Z111" s="80" t="s">
        <v>94</v>
      </c>
      <c r="AA111" s="74" t="s">
        <v>375</v>
      </c>
      <c r="AB111" s="74">
        <v>1</v>
      </c>
      <c r="AC111" s="51">
        <f>IF(AND(W111="SOPORTE_TELEFÓNICO",OR(U111="SIN CONTACTO CON EL CB",U111="NÚMEROS DE CONTACTO ERRADOS")),0,IF(W111="SOPORTE_TELEFÓNICO",'BASE DE LIQUIDACION 2025'!$B$9,IF(Y111="TIPO I",'BASE DE LIQUIDACION 2025'!$C$3,IF(Y111="TIPO II",'BASE DE LIQUIDACION 2025'!$C$4,IF(Y111="TIPO III",'BASE DE LIQUIDACION 2025'!$C$5,'BASE DE LIQUIDACION 2025'!$C$6)))))</f>
        <v>44559.563999999998</v>
      </c>
      <c r="AD111" s="51">
        <f>IF(W111="SOPORTE_TELEFÓNICO",AC111,CIERRES!AB111*CIERRES!AC111)</f>
        <v>44559.563999999998</v>
      </c>
    </row>
    <row r="112" spans="1:30" s="81" customFormat="1" ht="13.15">
      <c r="A112" s="73" t="s">
        <v>78</v>
      </c>
      <c r="B112" s="50" t="str">
        <f>VLOOKUP(A112,'CENTRO DE COSTOS'!A:D,4,FALSE)</f>
        <v>WILLIAM ASDRUBAL ROZO ROZO</v>
      </c>
      <c r="C112" s="50" t="str">
        <f>VLOOKUP(A112,'CENTRO DE COSTOS'!A:C,2,FALSE)</f>
        <v>0004-0004</v>
      </c>
      <c r="D112" s="74">
        <v>11001</v>
      </c>
      <c r="E112" s="74" t="s">
        <v>742</v>
      </c>
      <c r="F112" s="73">
        <v>70132</v>
      </c>
      <c r="G112" s="74" t="s">
        <v>80</v>
      </c>
      <c r="H112" s="73" t="s">
        <v>81</v>
      </c>
      <c r="I112" s="73" t="s">
        <v>78</v>
      </c>
      <c r="J112" s="73" t="s">
        <v>743</v>
      </c>
      <c r="K112" s="74" t="s">
        <v>84</v>
      </c>
      <c r="L112" s="75" t="s">
        <v>744</v>
      </c>
      <c r="M112" s="75">
        <v>45861.333333333336</v>
      </c>
      <c r="N112" s="75">
        <v>45861.637499999997</v>
      </c>
      <c r="O112" s="10"/>
      <c r="P112" s="74" t="s">
        <v>86</v>
      </c>
      <c r="Q112" s="74" t="s">
        <v>87</v>
      </c>
      <c r="R112" s="78" t="s">
        <v>148</v>
      </c>
      <c r="S112" s="73" t="s">
        <v>286</v>
      </c>
      <c r="T112" s="79" t="s">
        <v>89</v>
      </c>
      <c r="U112" s="79" t="s">
        <v>90</v>
      </c>
      <c r="V112" s="78" t="s">
        <v>745</v>
      </c>
      <c r="W112" s="74" t="s">
        <v>92</v>
      </c>
      <c r="X112" s="60">
        <v>0</v>
      </c>
      <c r="Y112" s="80" t="s">
        <v>102</v>
      </c>
      <c r="Z112" s="80" t="s">
        <v>94</v>
      </c>
      <c r="AA112" s="74" t="s">
        <v>172</v>
      </c>
      <c r="AB112" s="74">
        <v>1</v>
      </c>
      <c r="AC112" s="51">
        <f>IF(AND(W112="SOPORTE_TELEFÓNICO",OR(U112="SIN CONTACTO CON EL CB",U112="NÚMEROS DE CONTACTO ERRADOS")),0,IF(W112="SOPORTE_TELEFÓNICO",'BASE DE LIQUIDACION 2025'!$B$9,IF(Y112="TIPO I",'BASE DE LIQUIDACION 2025'!$C$3,IF(Y112="TIPO II",'BASE DE LIQUIDACION 2025'!$C$4,IF(Y112="TIPO III",'BASE DE LIQUIDACION 2025'!$C$5,'BASE DE LIQUIDACION 2025'!$C$6)))))</f>
        <v>44559.563999999998</v>
      </c>
      <c r="AD112" s="51">
        <f>IF(W112="SOPORTE_TELEFÓNICO",AC112,CIERRES!AB112*CIERRES!AC112)</f>
        <v>44559.563999999998</v>
      </c>
    </row>
    <row r="113" spans="1:30" s="81" customFormat="1" ht="13.15">
      <c r="A113" s="73" t="s">
        <v>78</v>
      </c>
      <c r="B113" s="50" t="str">
        <f>VLOOKUP(A113,'CENTRO DE COSTOS'!A:D,4,FALSE)</f>
        <v>WILLIAM ASDRUBAL ROZO ROZO</v>
      </c>
      <c r="C113" s="50" t="str">
        <f>VLOOKUP(A113,'CENTRO DE COSTOS'!A:C,2,FALSE)</f>
        <v>0004-0004</v>
      </c>
      <c r="D113" s="74">
        <v>25307</v>
      </c>
      <c r="E113" s="74" t="s">
        <v>746</v>
      </c>
      <c r="F113" s="73">
        <v>72860</v>
      </c>
      <c r="G113" s="74" t="s">
        <v>80</v>
      </c>
      <c r="H113" s="73" t="s">
        <v>81</v>
      </c>
      <c r="I113" s="73" t="s">
        <v>747</v>
      </c>
      <c r="J113" s="73" t="s">
        <v>748</v>
      </c>
      <c r="K113" s="74" t="s">
        <v>84</v>
      </c>
      <c r="L113" s="75" t="s">
        <v>749</v>
      </c>
      <c r="M113" s="75">
        <v>45855.333333333336</v>
      </c>
      <c r="N113" s="75">
        <v>45861.706250000003</v>
      </c>
      <c r="O113" s="10"/>
      <c r="P113" s="74" t="s">
        <v>86</v>
      </c>
      <c r="Q113" s="74" t="s">
        <v>86</v>
      </c>
      <c r="R113" s="78" t="s">
        <v>88</v>
      </c>
      <c r="S113" s="73" t="s">
        <v>88</v>
      </c>
      <c r="T113" s="79" t="s">
        <v>268</v>
      </c>
      <c r="U113" s="79" t="s">
        <v>269</v>
      </c>
      <c r="V113" s="78" t="s">
        <v>750</v>
      </c>
      <c r="W113" s="74" t="s">
        <v>92</v>
      </c>
      <c r="X113" s="60" t="s">
        <v>751</v>
      </c>
      <c r="Y113" s="80" t="s">
        <v>178</v>
      </c>
      <c r="Z113" s="80" t="s">
        <v>94</v>
      </c>
      <c r="AA113" s="74" t="s">
        <v>573</v>
      </c>
      <c r="AB113" s="74">
        <v>1</v>
      </c>
      <c r="AC113" s="51">
        <f>IF(AND(W113="SOPORTE_TELEFÓNICO",OR(U113="SIN CONTACTO CON EL CB",U113="NÚMEROS DE CONTACTO ERRADOS")),0,IF(W113="SOPORTE_TELEFÓNICO",'BASE DE LIQUIDACION 2025'!$B$9,IF(Y113="TIPO I",'BASE DE LIQUIDACION 2025'!$C$3,IF(Y113="TIPO II",'BASE DE LIQUIDACION 2025'!$C$4,IF(Y113="TIPO III",'BASE DE LIQUIDACION 2025'!$C$5,'BASE DE LIQUIDACION 2025'!$C$6)))))</f>
        <v>222904.07200000001</v>
      </c>
      <c r="AD113" s="51">
        <f>IF(W113="SOPORTE_TELEFÓNICO",AC113,CIERRES!AB113*CIERRES!AC113)</f>
        <v>222904.07200000001</v>
      </c>
    </row>
    <row r="114" spans="1:30" s="81" customFormat="1" ht="13.15">
      <c r="A114" s="73" t="s">
        <v>664</v>
      </c>
      <c r="B114" s="50" t="str">
        <f>VLOOKUP(A114,'CENTRO DE COSTOS'!A:D,4,FALSE)</f>
        <v>JUAN SEBASTIÁN RÍOS CASTRILLÓN</v>
      </c>
      <c r="C114" s="50" t="str">
        <f>VLOOKUP(A114,'CENTRO DE COSTOS'!A:C,2,FALSE)</f>
        <v>0004-0005</v>
      </c>
      <c r="D114" s="74">
        <v>5045</v>
      </c>
      <c r="E114" s="74" t="s">
        <v>752</v>
      </c>
      <c r="F114" s="73">
        <v>24468</v>
      </c>
      <c r="G114" s="74" t="s">
        <v>80</v>
      </c>
      <c r="H114" s="73" t="s">
        <v>161</v>
      </c>
      <c r="I114" s="73" t="s">
        <v>664</v>
      </c>
      <c r="J114" s="73" t="s">
        <v>753</v>
      </c>
      <c r="K114" s="74" t="s">
        <v>84</v>
      </c>
      <c r="L114" s="75" t="s">
        <v>754</v>
      </c>
      <c r="M114" s="75">
        <v>45855.333333333336</v>
      </c>
      <c r="N114" s="75">
        <v>45861.9</v>
      </c>
      <c r="O114" s="10"/>
      <c r="P114" s="74" t="s">
        <v>86</v>
      </c>
      <c r="Q114" s="74" t="s">
        <v>86</v>
      </c>
      <c r="R114" s="78" t="s">
        <v>88</v>
      </c>
      <c r="S114" s="73" t="s">
        <v>88</v>
      </c>
      <c r="T114" s="79" t="s">
        <v>118</v>
      </c>
      <c r="U114" s="79" t="s">
        <v>755</v>
      </c>
      <c r="V114" s="78" t="s">
        <v>756</v>
      </c>
      <c r="W114" s="74" t="s">
        <v>92</v>
      </c>
      <c r="X114" s="60" t="s">
        <v>757</v>
      </c>
      <c r="Y114" s="80" t="s">
        <v>102</v>
      </c>
      <c r="Z114" s="80" t="s">
        <v>94</v>
      </c>
      <c r="AA114" s="74" t="s">
        <v>758</v>
      </c>
      <c r="AB114" s="74">
        <v>1</v>
      </c>
      <c r="AC114" s="51">
        <f>IF(AND(W114="SOPORTE_TELEFÓNICO",OR(U114="SIN CONTACTO CON EL CB",U114="NÚMEROS DE CONTACTO ERRADOS")),0,IF(W114="SOPORTE_TELEFÓNICO",'BASE DE LIQUIDACION 2025'!$B$9,IF(Y114="TIPO I",'BASE DE LIQUIDACION 2025'!$C$3,IF(Y114="TIPO II",'BASE DE LIQUIDACION 2025'!$C$4,IF(Y114="TIPO III",'BASE DE LIQUIDACION 2025'!$C$5,'BASE DE LIQUIDACION 2025'!$C$6)))))</f>
        <v>44559.563999999998</v>
      </c>
      <c r="AD114" s="51">
        <f>IF(W114="SOPORTE_TELEFÓNICO",AC114,CIERRES!AB114*CIERRES!AC114)</f>
        <v>44559.563999999998</v>
      </c>
    </row>
    <row r="115" spans="1:30" s="81" customFormat="1" ht="13.15">
      <c r="A115" s="73" t="s">
        <v>78</v>
      </c>
      <c r="B115" s="50" t="str">
        <f>VLOOKUP(A115,'CENTRO DE COSTOS'!A:D,4,FALSE)</f>
        <v>WILLIAM ASDRUBAL ROZO ROZO</v>
      </c>
      <c r="C115" s="50" t="str">
        <f>VLOOKUP(A115,'CENTRO DE COSTOS'!A:C,2,FALSE)</f>
        <v>0004-0004</v>
      </c>
      <c r="D115" s="74">
        <v>11001</v>
      </c>
      <c r="E115" s="74" t="s">
        <v>759</v>
      </c>
      <c r="F115" s="73">
        <v>63227</v>
      </c>
      <c r="G115" s="74" t="s">
        <v>80</v>
      </c>
      <c r="H115" s="73" t="s">
        <v>81</v>
      </c>
      <c r="I115" s="73" t="s">
        <v>78</v>
      </c>
      <c r="J115" s="73" t="s">
        <v>760</v>
      </c>
      <c r="K115" s="74" t="s">
        <v>84</v>
      </c>
      <c r="L115" s="75" t="s">
        <v>761</v>
      </c>
      <c r="M115" s="75">
        <v>45861.333333333336</v>
      </c>
      <c r="N115" s="75">
        <v>45862.475694444445</v>
      </c>
      <c r="O115" s="10"/>
      <c r="P115" s="74" t="s">
        <v>86</v>
      </c>
      <c r="Q115" s="74" t="s">
        <v>87</v>
      </c>
      <c r="R115" s="78" t="s">
        <v>148</v>
      </c>
      <c r="S115" s="73" t="s">
        <v>286</v>
      </c>
      <c r="T115" s="79" t="s">
        <v>89</v>
      </c>
      <c r="U115" s="79" t="s">
        <v>90</v>
      </c>
      <c r="V115" s="78" t="s">
        <v>762</v>
      </c>
      <c r="W115" s="74" t="s">
        <v>92</v>
      </c>
      <c r="X115" s="60">
        <v>0</v>
      </c>
      <c r="Y115" s="80" t="s">
        <v>102</v>
      </c>
      <c r="Z115" s="80" t="s">
        <v>94</v>
      </c>
      <c r="AA115" s="74" t="s">
        <v>172</v>
      </c>
      <c r="AB115" s="74">
        <v>1</v>
      </c>
      <c r="AC115" s="51">
        <f>IF(AND(W115="SOPORTE_TELEFÓNICO",OR(U115="SIN CONTACTO CON EL CB",U115="NÚMEROS DE CONTACTO ERRADOS")),0,IF(W115="SOPORTE_TELEFÓNICO",'BASE DE LIQUIDACION 2025'!$B$9,IF(Y115="TIPO I",'BASE DE LIQUIDACION 2025'!$C$3,IF(Y115="TIPO II",'BASE DE LIQUIDACION 2025'!$C$4,IF(Y115="TIPO III",'BASE DE LIQUIDACION 2025'!$C$5,'BASE DE LIQUIDACION 2025'!$C$6)))))</f>
        <v>44559.563999999998</v>
      </c>
      <c r="AD115" s="51">
        <f>IF(W115="SOPORTE_TELEFÓNICO",AC115,CIERRES!AB115*CIERRES!AC115)</f>
        <v>44559.563999999998</v>
      </c>
    </row>
    <row r="116" spans="1:30" s="81" customFormat="1" ht="13.15">
      <c r="A116" s="73" t="s">
        <v>159</v>
      </c>
      <c r="B116" s="50" t="str">
        <f>VLOOKUP(A116,'CENTRO DE COSTOS'!A:D,4,FALSE)</f>
        <v>JUAN SEBASTIÁN RÍOS CASTRILLÓN</v>
      </c>
      <c r="C116" s="50" t="str">
        <f>VLOOKUP(A116,'CENTRO DE COSTOS'!A:C,2,FALSE)</f>
        <v>0004-0005</v>
      </c>
      <c r="D116" s="74">
        <v>5628</v>
      </c>
      <c r="E116" s="74" t="s">
        <v>763</v>
      </c>
      <c r="F116" s="73">
        <v>24801</v>
      </c>
      <c r="G116" s="74" t="s">
        <v>80</v>
      </c>
      <c r="H116" s="73" t="s">
        <v>161</v>
      </c>
      <c r="I116" s="73" t="s">
        <v>764</v>
      </c>
      <c r="J116" s="73" t="s">
        <v>765</v>
      </c>
      <c r="K116" s="74" t="s">
        <v>84</v>
      </c>
      <c r="L116" s="75" t="s">
        <v>766</v>
      </c>
      <c r="M116" s="75">
        <v>45856.333333333336</v>
      </c>
      <c r="N116" s="75">
        <v>45862.512499999997</v>
      </c>
      <c r="O116" s="10"/>
      <c r="P116" s="74" t="s">
        <v>86</v>
      </c>
      <c r="Q116" s="74" t="s">
        <v>86</v>
      </c>
      <c r="R116" s="78" t="s">
        <v>88</v>
      </c>
      <c r="S116" s="73" t="s">
        <v>88</v>
      </c>
      <c r="T116" s="79" t="s">
        <v>118</v>
      </c>
      <c r="U116" s="79" t="s">
        <v>119</v>
      </c>
      <c r="V116" s="78" t="s">
        <v>767</v>
      </c>
      <c r="W116" s="74" t="s">
        <v>138</v>
      </c>
      <c r="X116" s="60">
        <v>0</v>
      </c>
      <c r="Y116" s="80" t="s">
        <v>178</v>
      </c>
      <c r="Z116" s="80" t="s">
        <v>94</v>
      </c>
      <c r="AA116" s="74" t="s">
        <v>680</v>
      </c>
      <c r="AB116" s="74">
        <v>0</v>
      </c>
      <c r="AC116" s="51">
        <f>IF(AND(W116="SOPORTE_TELEFÓNICO",OR(U116="SIN CONTACTO CON EL CB",U116="NÚMEROS DE CONTACTO ERRADOS")),0,IF(W116="SOPORTE_TELEFÓNICO",'BASE DE LIQUIDACION 2025'!$B$9,IF(Y116="TIPO I",'BASE DE LIQUIDACION 2025'!$C$3,IF(Y116="TIPO II",'BASE DE LIQUIDACION 2025'!$C$4,IF(Y116="TIPO III",'BASE DE LIQUIDACION 2025'!$C$5,'BASE DE LIQUIDACION 2025'!$C$6)))))</f>
        <v>37904.612000000001</v>
      </c>
      <c r="AD116" s="51">
        <f>IF(W116="SOPORTE_TELEFÓNICO",AC116,CIERRES!AB116*CIERRES!AC116)</f>
        <v>37904.612000000001</v>
      </c>
    </row>
    <row r="117" spans="1:30" s="81" customFormat="1" ht="13.15">
      <c r="A117" s="73" t="s">
        <v>159</v>
      </c>
      <c r="B117" s="50" t="str">
        <f>VLOOKUP(A117,'CENTRO DE COSTOS'!A:D,4,FALSE)</f>
        <v>JUAN SEBASTIÁN RÍOS CASTRILLÓN</v>
      </c>
      <c r="C117" s="50" t="str">
        <f>VLOOKUP(A117,'CENTRO DE COSTOS'!A:C,2,FALSE)</f>
        <v>0004-0005</v>
      </c>
      <c r="D117" s="74">
        <v>5091</v>
      </c>
      <c r="E117" s="74" t="s">
        <v>768</v>
      </c>
      <c r="F117" s="73">
        <v>37373</v>
      </c>
      <c r="G117" s="74" t="s">
        <v>80</v>
      </c>
      <c r="H117" s="73" t="s">
        <v>161</v>
      </c>
      <c r="I117" s="73" t="s">
        <v>769</v>
      </c>
      <c r="J117" s="73" t="s">
        <v>770</v>
      </c>
      <c r="K117" s="74" t="s">
        <v>84</v>
      </c>
      <c r="L117" s="75" t="s">
        <v>771</v>
      </c>
      <c r="M117" s="75">
        <v>45856.638194444444</v>
      </c>
      <c r="N117" s="75">
        <v>45862.527777777781</v>
      </c>
      <c r="O117" s="10"/>
      <c r="P117" s="74" t="s">
        <v>86</v>
      </c>
      <c r="Q117" s="74" t="s">
        <v>86</v>
      </c>
      <c r="R117" s="78" t="s">
        <v>724</v>
      </c>
      <c r="S117" s="73" t="s">
        <v>772</v>
      </c>
      <c r="T117" s="79" t="s">
        <v>118</v>
      </c>
      <c r="U117" s="79" t="s">
        <v>755</v>
      </c>
      <c r="V117" s="78" t="s">
        <v>773</v>
      </c>
      <c r="W117" s="74" t="s">
        <v>92</v>
      </c>
      <c r="X117" s="60" t="s">
        <v>774</v>
      </c>
      <c r="Y117" s="80" t="s">
        <v>178</v>
      </c>
      <c r="Z117" s="80" t="s">
        <v>94</v>
      </c>
      <c r="AA117" s="74" t="s">
        <v>775</v>
      </c>
      <c r="AB117" s="74">
        <v>1</v>
      </c>
      <c r="AC117" s="51">
        <f>IF(AND(W117="SOPORTE_TELEFÓNICO",OR(U117="SIN CONTACTO CON EL CB",U117="NÚMEROS DE CONTACTO ERRADOS")),0,IF(W117="SOPORTE_TELEFÓNICO",'BASE DE LIQUIDACION 2025'!$B$9,IF(Y117="TIPO I",'BASE DE LIQUIDACION 2025'!$C$3,IF(Y117="TIPO II",'BASE DE LIQUIDACION 2025'!$C$4,IF(Y117="TIPO III",'BASE DE LIQUIDACION 2025'!$C$5,'BASE DE LIQUIDACION 2025'!$C$6)))))</f>
        <v>222904.07200000001</v>
      </c>
      <c r="AD117" s="51">
        <f>IF(W117="SOPORTE_TELEFÓNICO",AC117,CIERRES!AB117*CIERRES!AC117)</f>
        <v>222904.07200000001</v>
      </c>
    </row>
    <row r="118" spans="1:30" s="81" customFormat="1" ht="13.15">
      <c r="A118" s="73" t="s">
        <v>104</v>
      </c>
      <c r="B118" s="50" t="str">
        <f>VLOOKUP(A118,'CENTRO DE COSTOS'!A:D,4,FALSE)</f>
        <v>DIEGO FERNANDO HENAO CARDONA</v>
      </c>
      <c r="C118" s="50" t="str">
        <f>VLOOKUP(A118,'CENTRO DE COSTOS'!A:C,2,FALSE)</f>
        <v>0004-0003</v>
      </c>
      <c r="D118" s="74">
        <v>76001</v>
      </c>
      <c r="E118" s="74" t="s">
        <v>776</v>
      </c>
      <c r="F118" s="73">
        <v>65166</v>
      </c>
      <c r="G118" s="74" t="s">
        <v>80</v>
      </c>
      <c r="H118" s="73" t="s">
        <v>144</v>
      </c>
      <c r="I118" s="73" t="s">
        <v>104</v>
      </c>
      <c r="J118" s="73" t="s">
        <v>777</v>
      </c>
      <c r="K118" s="74" t="s">
        <v>84</v>
      </c>
      <c r="L118" s="75" t="s">
        <v>778</v>
      </c>
      <c r="M118" s="75">
        <v>45862.333333333336</v>
      </c>
      <c r="N118" s="75">
        <v>45862.681250000001</v>
      </c>
      <c r="O118" s="10"/>
      <c r="P118" s="74" t="s">
        <v>86</v>
      </c>
      <c r="Q118" s="74" t="s">
        <v>87</v>
      </c>
      <c r="R118" s="78" t="s">
        <v>148</v>
      </c>
      <c r="S118" s="73" t="s">
        <v>286</v>
      </c>
      <c r="T118" s="79" t="s">
        <v>89</v>
      </c>
      <c r="U118" s="79" t="s">
        <v>90</v>
      </c>
      <c r="V118" s="78" t="s">
        <v>779</v>
      </c>
      <c r="W118" s="74" t="s">
        <v>92</v>
      </c>
      <c r="X118" s="60">
        <v>0</v>
      </c>
      <c r="Y118" s="80" t="s">
        <v>102</v>
      </c>
      <c r="Z118" s="80" t="s">
        <v>94</v>
      </c>
      <c r="AA118" s="74" t="s">
        <v>272</v>
      </c>
      <c r="AB118" s="74">
        <v>1</v>
      </c>
      <c r="AC118" s="51">
        <f>IF(AND(W118="SOPORTE_TELEFÓNICO",OR(U118="SIN CONTACTO CON EL CB",U118="NÚMEROS DE CONTACTO ERRADOS")),0,IF(W118="SOPORTE_TELEFÓNICO",'BASE DE LIQUIDACION 2025'!$B$9,IF(Y118="TIPO I",'BASE DE LIQUIDACION 2025'!$C$3,IF(Y118="TIPO II",'BASE DE LIQUIDACION 2025'!$C$4,IF(Y118="TIPO III",'BASE DE LIQUIDACION 2025'!$C$5,'BASE DE LIQUIDACION 2025'!$C$6)))))</f>
        <v>44559.563999999998</v>
      </c>
      <c r="AD118" s="51">
        <f>IF(W118="SOPORTE_TELEFÓNICO",AC118,CIERRES!AB118*CIERRES!AC118)</f>
        <v>44559.563999999998</v>
      </c>
    </row>
    <row r="119" spans="1:30" s="81" customFormat="1" ht="13.15">
      <c r="A119" s="73" t="s">
        <v>302</v>
      </c>
      <c r="B119" s="50" t="str">
        <f>VLOOKUP(A119,'CENTRO DE COSTOS'!A:D,4,FALSE)</f>
        <v>MIGUEL JULIÁN HERNÁNDEZ GUARÍN</v>
      </c>
      <c r="C119" s="50" t="str">
        <f>VLOOKUP(A119,'CENTRO DE COSTOS'!A:C,2,FALSE)</f>
        <v>0004-0008</v>
      </c>
      <c r="D119" s="74">
        <v>68547</v>
      </c>
      <c r="E119" s="74" t="s">
        <v>780</v>
      </c>
      <c r="F119" s="73">
        <v>34489</v>
      </c>
      <c r="G119" s="74" t="s">
        <v>80</v>
      </c>
      <c r="H119" s="73" t="s">
        <v>304</v>
      </c>
      <c r="I119" s="73" t="s">
        <v>781</v>
      </c>
      <c r="J119" s="73" t="s">
        <v>782</v>
      </c>
      <c r="K119" s="74" t="s">
        <v>84</v>
      </c>
      <c r="L119" s="75" t="s">
        <v>783</v>
      </c>
      <c r="M119" s="75">
        <v>45861.333333333336</v>
      </c>
      <c r="N119" s="75">
        <v>45862.706944444442</v>
      </c>
      <c r="O119" s="10"/>
      <c r="P119" s="74" t="s">
        <v>86</v>
      </c>
      <c r="Q119" s="74" t="s">
        <v>87</v>
      </c>
      <c r="R119" s="78" t="s">
        <v>148</v>
      </c>
      <c r="S119" s="73" t="s">
        <v>286</v>
      </c>
      <c r="T119" s="79" t="s">
        <v>89</v>
      </c>
      <c r="U119" s="79" t="s">
        <v>90</v>
      </c>
      <c r="V119" s="78" t="s">
        <v>784</v>
      </c>
      <c r="W119" s="74" t="s">
        <v>92</v>
      </c>
      <c r="X119" s="60" t="s">
        <v>785</v>
      </c>
      <c r="Y119" s="80" t="s">
        <v>93</v>
      </c>
      <c r="Z119" s="80" t="s">
        <v>94</v>
      </c>
      <c r="AA119" s="74" t="s">
        <v>786</v>
      </c>
      <c r="AB119" s="74">
        <v>1</v>
      </c>
      <c r="AC119" s="51">
        <f>IF(AND(W119="SOPORTE_TELEFÓNICO",OR(U119="SIN CONTACTO CON EL CB",U119="NÚMEROS DE CONTACTO ERRADOS")),0,IF(W119="SOPORTE_TELEFÓNICO",'BASE DE LIQUIDACION 2025'!$B$9,IF(Y119="TIPO I",'BASE DE LIQUIDACION 2025'!$C$3,IF(Y119="TIPO II",'BASE DE LIQUIDACION 2025'!$C$4,IF(Y119="TIPO III",'BASE DE LIQUIDACION 2025'!$C$5,'BASE DE LIQUIDACION 2025'!$C$6)))))</f>
        <v>134410.88400000002</v>
      </c>
      <c r="AD119" s="51">
        <f>IF(W119="SOPORTE_TELEFÓNICO",AC119,CIERRES!AB119*CIERRES!AC119)</f>
        <v>134410.88400000002</v>
      </c>
    </row>
    <row r="120" spans="1:30" s="81" customFormat="1" ht="13.15">
      <c r="A120" s="73" t="s">
        <v>96</v>
      </c>
      <c r="B120" s="50" t="str">
        <f>VLOOKUP(A120,'CENTRO DE COSTOS'!A:D,4,FALSE)</f>
        <v>DIEGO FERNANDO HENAO CARDONA</v>
      </c>
      <c r="C120" s="50" t="str">
        <f>VLOOKUP(A120,'CENTRO DE COSTOS'!A:C,2,FALSE)</f>
        <v>0004-0003</v>
      </c>
      <c r="D120" s="74">
        <v>52418</v>
      </c>
      <c r="E120" s="74" t="s">
        <v>787</v>
      </c>
      <c r="F120" s="73">
        <v>75502</v>
      </c>
      <c r="G120" s="74" t="s">
        <v>80</v>
      </c>
      <c r="H120" s="73" t="s">
        <v>98</v>
      </c>
      <c r="I120" s="73" t="s">
        <v>788</v>
      </c>
      <c r="J120" s="73" t="s">
        <v>789</v>
      </c>
      <c r="K120" s="74" t="s">
        <v>84</v>
      </c>
      <c r="L120" s="75" t="s">
        <v>790</v>
      </c>
      <c r="M120" s="75">
        <v>45856.333333333336</v>
      </c>
      <c r="N120" s="75">
        <v>45862.729166666664</v>
      </c>
      <c r="O120" s="10"/>
      <c r="P120" s="74" t="s">
        <v>86</v>
      </c>
      <c r="Q120" s="74" t="s">
        <v>86</v>
      </c>
      <c r="R120" s="78" t="s">
        <v>88</v>
      </c>
      <c r="S120" s="73" t="s">
        <v>88</v>
      </c>
      <c r="T120" s="79" t="s">
        <v>118</v>
      </c>
      <c r="U120" s="79" t="s">
        <v>119</v>
      </c>
      <c r="V120" s="78" t="s">
        <v>791</v>
      </c>
      <c r="W120" s="74" t="s">
        <v>138</v>
      </c>
      <c r="X120" s="60">
        <v>0</v>
      </c>
      <c r="Y120" s="80" t="s">
        <v>178</v>
      </c>
      <c r="Z120" s="80" t="s">
        <v>94</v>
      </c>
      <c r="AA120" s="74" t="s">
        <v>179</v>
      </c>
      <c r="AB120" s="74">
        <v>0</v>
      </c>
      <c r="AC120" s="51">
        <f>IF(AND(W120="SOPORTE_TELEFÓNICO",OR(U120="SIN CONTACTO CON EL CB",U120="NÚMEROS DE CONTACTO ERRADOS")),0,IF(W120="SOPORTE_TELEFÓNICO",'BASE DE LIQUIDACION 2025'!$B$9,IF(Y120="TIPO I",'BASE DE LIQUIDACION 2025'!$C$3,IF(Y120="TIPO II",'BASE DE LIQUIDACION 2025'!$C$4,IF(Y120="TIPO III",'BASE DE LIQUIDACION 2025'!$C$5,'BASE DE LIQUIDACION 2025'!$C$6)))))</f>
        <v>37904.612000000001</v>
      </c>
      <c r="AD120" s="51">
        <f>IF(W120="SOPORTE_TELEFÓNICO",AC120,CIERRES!AB120*CIERRES!AC120)</f>
        <v>37904.612000000001</v>
      </c>
    </row>
    <row r="121" spans="1:30" s="81" customFormat="1" ht="13.15">
      <c r="A121" s="73" t="s">
        <v>96</v>
      </c>
      <c r="B121" s="50" t="str">
        <f>VLOOKUP(A121,'CENTRO DE COSTOS'!A:D,4,FALSE)</f>
        <v>DIEGO FERNANDO HENAO CARDONA</v>
      </c>
      <c r="C121" s="50" t="str">
        <f>VLOOKUP(A121,'CENTRO DE COSTOS'!A:C,2,FALSE)</f>
        <v>0004-0003</v>
      </c>
      <c r="D121" s="74">
        <v>52079</v>
      </c>
      <c r="E121" s="74" t="s">
        <v>792</v>
      </c>
      <c r="F121" s="73">
        <v>78063</v>
      </c>
      <c r="G121" s="74" t="s">
        <v>80</v>
      </c>
      <c r="H121" s="73" t="s">
        <v>98</v>
      </c>
      <c r="I121" s="73" t="s">
        <v>793</v>
      </c>
      <c r="J121" s="73" t="s">
        <v>794</v>
      </c>
      <c r="K121" s="74" t="s">
        <v>84</v>
      </c>
      <c r="L121" s="75" t="s">
        <v>795</v>
      </c>
      <c r="M121" s="75">
        <v>45856.333333333336</v>
      </c>
      <c r="N121" s="75">
        <v>45862.730555555558</v>
      </c>
      <c r="O121" s="10"/>
      <c r="P121" s="74" t="s">
        <v>86</v>
      </c>
      <c r="Q121" s="74" t="s">
        <v>87</v>
      </c>
      <c r="R121" s="78" t="s">
        <v>88</v>
      </c>
      <c r="S121" s="73" t="s">
        <v>88</v>
      </c>
      <c r="T121" s="79" t="s">
        <v>118</v>
      </c>
      <c r="U121" s="79" t="s">
        <v>119</v>
      </c>
      <c r="V121" s="78" t="s">
        <v>796</v>
      </c>
      <c r="W121" s="74" t="s">
        <v>138</v>
      </c>
      <c r="X121" s="60">
        <v>0</v>
      </c>
      <c r="Y121" s="80" t="s">
        <v>129</v>
      </c>
      <c r="Z121" s="80" t="s">
        <v>94</v>
      </c>
      <c r="AA121" s="74" t="s">
        <v>179</v>
      </c>
      <c r="AB121" s="74">
        <v>0</v>
      </c>
      <c r="AC121" s="51">
        <f>IF(AND(W121="SOPORTE_TELEFÓNICO",OR(U121="SIN CONTACTO CON EL CB",U121="NÚMEROS DE CONTACTO ERRADOS")),0,IF(W121="SOPORTE_TELEFÓNICO",'BASE DE LIQUIDACION 2025'!$B$9,IF(Y121="TIPO I",'BASE DE LIQUIDACION 2025'!$C$3,IF(Y121="TIPO II",'BASE DE LIQUIDACION 2025'!$C$4,IF(Y121="TIPO III",'BASE DE LIQUIDACION 2025'!$C$5,'BASE DE LIQUIDACION 2025'!$C$6)))))</f>
        <v>37904.612000000001</v>
      </c>
      <c r="AD121" s="51">
        <f>IF(W121="SOPORTE_TELEFÓNICO",AC121,CIERRES!AB121*CIERRES!AC121)</f>
        <v>37904.612000000001</v>
      </c>
    </row>
    <row r="122" spans="1:30" s="81" customFormat="1" ht="13.15">
      <c r="A122" s="73" t="s">
        <v>357</v>
      </c>
      <c r="B122" s="50" t="str">
        <f>VLOOKUP(A122,'CENTRO DE COSTOS'!A:D,4,FALSE)</f>
        <v>MIGUEL JULIÁN HERNÁNDEZ GUARÍN</v>
      </c>
      <c r="C122" s="50" t="str">
        <f>VLOOKUP(A122,'CENTRO DE COSTOS'!A:C,2,FALSE)</f>
        <v>0004-0008</v>
      </c>
      <c r="D122" s="74">
        <v>54001</v>
      </c>
      <c r="E122" s="74" t="s">
        <v>797</v>
      </c>
      <c r="F122" s="73">
        <v>49137</v>
      </c>
      <c r="G122" s="74" t="s">
        <v>80</v>
      </c>
      <c r="H122" s="73" t="s">
        <v>359</v>
      </c>
      <c r="I122" s="73" t="s">
        <v>357</v>
      </c>
      <c r="J122" s="73" t="s">
        <v>739</v>
      </c>
      <c r="K122" s="74" t="s">
        <v>84</v>
      </c>
      <c r="L122" s="75" t="s">
        <v>798</v>
      </c>
      <c r="M122" s="75">
        <v>45862.333333333336</v>
      </c>
      <c r="N122" s="75">
        <v>45863.458657407413</v>
      </c>
      <c r="O122" s="10"/>
      <c r="P122" s="74" t="s">
        <v>86</v>
      </c>
      <c r="Q122" s="74" t="s">
        <v>87</v>
      </c>
      <c r="R122" s="78" t="s">
        <v>148</v>
      </c>
      <c r="S122" s="73" t="s">
        <v>286</v>
      </c>
      <c r="T122" s="79" t="s">
        <v>249</v>
      </c>
      <c r="U122" s="79" t="s">
        <v>799</v>
      </c>
      <c r="V122" s="78" t="s">
        <v>800</v>
      </c>
      <c r="W122" s="74" t="s">
        <v>92</v>
      </c>
      <c r="X122" s="60">
        <v>0</v>
      </c>
      <c r="Y122" s="80" t="s">
        <v>102</v>
      </c>
      <c r="Z122" s="80" t="s">
        <v>94</v>
      </c>
      <c r="AA122" s="74" t="s">
        <v>405</v>
      </c>
      <c r="AB122" s="74">
        <v>1</v>
      </c>
      <c r="AC122" s="51">
        <f>IF(AND(W122="SOPORTE_TELEFÓNICO",OR(U122="SIN CONTACTO CON EL CB",U122="NÚMEROS DE CONTACTO ERRADOS")),0,IF(W122="SOPORTE_TELEFÓNICO",'BASE DE LIQUIDACION 2025'!$B$9,IF(Y122="TIPO I",'BASE DE LIQUIDACION 2025'!$C$3,IF(Y122="TIPO II",'BASE DE LIQUIDACION 2025'!$C$4,IF(Y122="TIPO III",'BASE DE LIQUIDACION 2025'!$C$5,'BASE DE LIQUIDACION 2025'!$C$6)))))</f>
        <v>44559.563999999998</v>
      </c>
      <c r="AD122" s="51">
        <f>IF(W122="SOPORTE_TELEFÓNICO",AC122,CIERRES!AB122*CIERRES!AC122)</f>
        <v>44559.563999999998</v>
      </c>
    </row>
    <row r="123" spans="1:30" s="81" customFormat="1" ht="13.15">
      <c r="A123" s="73" t="s">
        <v>159</v>
      </c>
      <c r="B123" s="50" t="str">
        <f>VLOOKUP(A123,'CENTRO DE COSTOS'!A:D,4,FALSE)</f>
        <v>JUAN SEBASTIÁN RÍOS CASTRILLÓN</v>
      </c>
      <c r="C123" s="50" t="str">
        <f>VLOOKUP(A123,'CENTRO DE COSTOS'!A:C,2,FALSE)</f>
        <v>0004-0005</v>
      </c>
      <c r="D123" s="74">
        <v>27001</v>
      </c>
      <c r="E123" s="74" t="s">
        <v>801</v>
      </c>
      <c r="F123" s="73">
        <v>39232</v>
      </c>
      <c r="G123" s="74" t="s">
        <v>80</v>
      </c>
      <c r="H123" s="73" t="s">
        <v>802</v>
      </c>
      <c r="I123" s="73" t="s">
        <v>513</v>
      </c>
      <c r="J123" s="73" t="s">
        <v>803</v>
      </c>
      <c r="K123" s="74" t="s">
        <v>84</v>
      </c>
      <c r="L123" s="75" t="s">
        <v>804</v>
      </c>
      <c r="M123" s="75">
        <v>45859.660416666666</v>
      </c>
      <c r="N123" s="75">
        <v>45863.488194444442</v>
      </c>
      <c r="O123" s="10"/>
      <c r="P123" s="74" t="s">
        <v>86</v>
      </c>
      <c r="Q123" s="74" t="s">
        <v>87</v>
      </c>
      <c r="R123" s="78" t="s">
        <v>88</v>
      </c>
      <c r="S123" s="73" t="s">
        <v>88</v>
      </c>
      <c r="T123" s="79" t="s">
        <v>89</v>
      </c>
      <c r="U123" s="79" t="s">
        <v>90</v>
      </c>
      <c r="V123" s="78" t="s">
        <v>805</v>
      </c>
      <c r="W123" s="74" t="s">
        <v>92</v>
      </c>
      <c r="X123" s="60">
        <v>0</v>
      </c>
      <c r="Y123" s="80" t="s">
        <v>139</v>
      </c>
      <c r="Z123" s="80" t="s">
        <v>140</v>
      </c>
      <c r="AA123" s="74" t="s">
        <v>806</v>
      </c>
      <c r="AB123" s="74">
        <v>1</v>
      </c>
      <c r="AC123" s="51">
        <f>IF(AND(W123="SOPORTE_TELEFÓNICO",OR(U123="SIN CONTACTO CON EL CB",U123="NÚMEROS DE CONTACTO ERRADOS")),0,IF(W123="SOPORTE_TELEFÓNICO",'BASE DE LIQUIDACION 2025'!$B$9,IF(Y123="TIPO I",'BASE DE LIQUIDACION 2025'!$C$3,IF(Y123="TIPO II",'BASE DE LIQUIDACION 2025'!$C$4,IF(Y123="TIPO III",'BASE DE LIQUIDACION 2025'!$C$5,'BASE DE LIQUIDACION 2025'!$C$6)))))</f>
        <v>464809.36800000002</v>
      </c>
      <c r="AD123" s="51">
        <f>IF(W123="SOPORTE_TELEFÓNICO",AC123,CIERRES!AB123*CIERRES!AC123)</f>
        <v>464809.36800000002</v>
      </c>
    </row>
    <row r="124" spans="1:30" s="81" customFormat="1" ht="13.15">
      <c r="A124" s="73" t="s">
        <v>302</v>
      </c>
      <c r="B124" s="50" t="str">
        <f>VLOOKUP(A124,'CENTRO DE COSTOS'!A:D,4,FALSE)</f>
        <v>MIGUEL JULIÁN HERNÁNDEZ GUARÍN</v>
      </c>
      <c r="C124" s="50" t="str">
        <f>VLOOKUP(A124,'CENTRO DE COSTOS'!A:C,2,FALSE)</f>
        <v>0004-0008</v>
      </c>
      <c r="D124" s="74">
        <v>68001</v>
      </c>
      <c r="E124" s="74" t="s">
        <v>807</v>
      </c>
      <c r="F124" s="73">
        <v>73960</v>
      </c>
      <c r="G124" s="74" t="s">
        <v>80</v>
      </c>
      <c r="H124" s="73" t="s">
        <v>304</v>
      </c>
      <c r="I124" s="73" t="s">
        <v>302</v>
      </c>
      <c r="J124" s="73" t="s">
        <v>808</v>
      </c>
      <c r="K124" s="74" t="s">
        <v>84</v>
      </c>
      <c r="L124" s="75" t="s">
        <v>809</v>
      </c>
      <c r="M124" s="75">
        <v>45862.333333333336</v>
      </c>
      <c r="N124" s="75">
        <v>45863.517361111109</v>
      </c>
      <c r="O124" s="10"/>
      <c r="P124" s="74" t="s">
        <v>86</v>
      </c>
      <c r="Q124" s="74" t="s">
        <v>87</v>
      </c>
      <c r="R124" s="78" t="s">
        <v>148</v>
      </c>
      <c r="S124" s="73" t="s">
        <v>286</v>
      </c>
      <c r="T124" s="79" t="s">
        <v>89</v>
      </c>
      <c r="U124" s="79" t="s">
        <v>90</v>
      </c>
      <c r="V124" s="78" t="s">
        <v>810</v>
      </c>
      <c r="W124" s="74" t="s">
        <v>92</v>
      </c>
      <c r="X124" s="60">
        <v>0</v>
      </c>
      <c r="Y124" s="80" t="s">
        <v>102</v>
      </c>
      <c r="Z124" s="80" t="s">
        <v>94</v>
      </c>
      <c r="AA124" s="74" t="s">
        <v>811</v>
      </c>
      <c r="AB124" s="74">
        <v>1</v>
      </c>
      <c r="AC124" s="51">
        <f>IF(AND(W124="SOPORTE_TELEFÓNICO",OR(U124="SIN CONTACTO CON EL CB",U124="NÚMEROS DE CONTACTO ERRADOS")),0,IF(W124="SOPORTE_TELEFÓNICO",'BASE DE LIQUIDACION 2025'!$B$9,IF(Y124="TIPO I",'BASE DE LIQUIDACION 2025'!$C$3,IF(Y124="TIPO II",'BASE DE LIQUIDACION 2025'!$C$4,IF(Y124="TIPO III",'BASE DE LIQUIDACION 2025'!$C$5,'BASE DE LIQUIDACION 2025'!$C$6)))))</f>
        <v>44559.563999999998</v>
      </c>
      <c r="AD124" s="51">
        <f>IF(W124="SOPORTE_TELEFÓNICO",AC124,CIERRES!AB124*CIERRES!AC124)</f>
        <v>44559.563999999998</v>
      </c>
    </row>
    <row r="125" spans="1:30" s="81" customFormat="1" ht="13.15">
      <c r="A125" s="73" t="s">
        <v>78</v>
      </c>
      <c r="B125" s="50" t="str">
        <f>VLOOKUP(A125,'CENTRO DE COSTOS'!A:D,4,FALSE)</f>
        <v>WILLIAM ASDRUBAL ROZO ROZO</v>
      </c>
      <c r="C125" s="50" t="str">
        <f>VLOOKUP(A125,'CENTRO DE COSTOS'!A:C,2,FALSE)</f>
        <v>0004-0004</v>
      </c>
      <c r="D125" s="74">
        <v>11001</v>
      </c>
      <c r="E125" s="74" t="s">
        <v>812</v>
      </c>
      <c r="F125" s="73">
        <v>36932</v>
      </c>
      <c r="G125" s="74" t="s">
        <v>80</v>
      </c>
      <c r="H125" s="73" t="s">
        <v>81</v>
      </c>
      <c r="I125" s="73" t="s">
        <v>78</v>
      </c>
      <c r="J125" s="73" t="s">
        <v>813</v>
      </c>
      <c r="K125" s="74" t="s">
        <v>84</v>
      </c>
      <c r="L125" s="75" t="s">
        <v>814</v>
      </c>
      <c r="M125" s="75">
        <v>45862.333333333336</v>
      </c>
      <c r="N125" s="75">
        <v>45863.523611111108</v>
      </c>
      <c r="O125" s="10"/>
      <c r="P125" s="74" t="s">
        <v>86</v>
      </c>
      <c r="Q125" s="74" t="s">
        <v>87</v>
      </c>
      <c r="R125" s="78" t="s">
        <v>148</v>
      </c>
      <c r="S125" s="73" t="s">
        <v>286</v>
      </c>
      <c r="T125" s="79" t="s">
        <v>89</v>
      </c>
      <c r="U125" s="79" t="s">
        <v>90</v>
      </c>
      <c r="V125" s="78" t="s">
        <v>815</v>
      </c>
      <c r="W125" s="74" t="s">
        <v>92</v>
      </c>
      <c r="X125" s="60">
        <v>0</v>
      </c>
      <c r="Y125" s="80" t="s">
        <v>102</v>
      </c>
      <c r="Z125" s="80" t="s">
        <v>94</v>
      </c>
      <c r="AA125" s="74" t="s">
        <v>457</v>
      </c>
      <c r="AB125" s="74">
        <v>1</v>
      </c>
      <c r="AC125" s="51">
        <f>IF(AND(W125="SOPORTE_TELEFÓNICO",OR(U125="SIN CONTACTO CON EL CB",U125="NÚMEROS DE CONTACTO ERRADOS")),0,IF(W125="SOPORTE_TELEFÓNICO",'BASE DE LIQUIDACION 2025'!$B$9,IF(Y125="TIPO I",'BASE DE LIQUIDACION 2025'!$C$3,IF(Y125="TIPO II",'BASE DE LIQUIDACION 2025'!$C$4,IF(Y125="TIPO III",'BASE DE LIQUIDACION 2025'!$C$5,'BASE DE LIQUIDACION 2025'!$C$6)))))</f>
        <v>44559.563999999998</v>
      </c>
      <c r="AD125" s="51">
        <f>IF(W125="SOPORTE_TELEFÓNICO",AC125,CIERRES!AB125*CIERRES!AC125)</f>
        <v>44559.563999999998</v>
      </c>
    </row>
    <row r="126" spans="1:30" s="81" customFormat="1" ht="13.15">
      <c r="A126" s="73" t="s">
        <v>104</v>
      </c>
      <c r="B126" s="50" t="str">
        <f>VLOOKUP(A126,'CENTRO DE COSTOS'!A:D,4,FALSE)</f>
        <v>DIEGO FERNANDO HENAO CARDONA</v>
      </c>
      <c r="C126" s="50" t="str">
        <f>VLOOKUP(A126,'CENTRO DE COSTOS'!A:C,2,FALSE)</f>
        <v>0004-0003</v>
      </c>
      <c r="D126" s="74">
        <v>76892</v>
      </c>
      <c r="E126" s="74" t="s">
        <v>816</v>
      </c>
      <c r="F126" s="73">
        <v>70561</v>
      </c>
      <c r="G126" s="74" t="s">
        <v>80</v>
      </c>
      <c r="H126" s="73" t="s">
        <v>144</v>
      </c>
      <c r="I126" s="73" t="s">
        <v>817</v>
      </c>
      <c r="J126" s="73" t="s">
        <v>818</v>
      </c>
      <c r="K126" s="74" t="s">
        <v>84</v>
      </c>
      <c r="L126" s="75" t="s">
        <v>819</v>
      </c>
      <c r="M126" s="75">
        <v>45862.333333333336</v>
      </c>
      <c r="N126" s="75">
        <v>45863.579861111109</v>
      </c>
      <c r="O126" s="10"/>
      <c r="P126" s="74" t="s">
        <v>86</v>
      </c>
      <c r="Q126" s="74" t="s">
        <v>87</v>
      </c>
      <c r="R126" s="78" t="s">
        <v>148</v>
      </c>
      <c r="S126" s="73" t="s">
        <v>286</v>
      </c>
      <c r="T126" s="79" t="s">
        <v>89</v>
      </c>
      <c r="U126" s="79" t="s">
        <v>90</v>
      </c>
      <c r="V126" s="78" t="s">
        <v>820</v>
      </c>
      <c r="W126" s="74" t="s">
        <v>92</v>
      </c>
      <c r="X126" s="60">
        <v>0</v>
      </c>
      <c r="Y126" s="80" t="s">
        <v>102</v>
      </c>
      <c r="Z126" s="80" t="s">
        <v>94</v>
      </c>
      <c r="AA126" s="74" t="s">
        <v>821</v>
      </c>
      <c r="AB126" s="74">
        <v>1</v>
      </c>
      <c r="AC126" s="51">
        <f>IF(AND(W126="SOPORTE_TELEFÓNICO",OR(U126="SIN CONTACTO CON EL CB",U126="NÚMEROS DE CONTACTO ERRADOS")),0,IF(W126="SOPORTE_TELEFÓNICO",'BASE DE LIQUIDACION 2025'!$B$9,IF(Y126="TIPO I",'BASE DE LIQUIDACION 2025'!$C$3,IF(Y126="TIPO II",'BASE DE LIQUIDACION 2025'!$C$4,IF(Y126="TIPO III",'BASE DE LIQUIDACION 2025'!$C$5,'BASE DE LIQUIDACION 2025'!$C$6)))))</f>
        <v>44559.563999999998</v>
      </c>
      <c r="AD126" s="51">
        <f>IF(W126="SOPORTE_TELEFÓNICO",AC126,CIERRES!AB126*CIERRES!AC126)</f>
        <v>44559.563999999998</v>
      </c>
    </row>
    <row r="127" spans="1:30" s="81" customFormat="1" ht="13.15">
      <c r="A127" s="73" t="s">
        <v>78</v>
      </c>
      <c r="B127" s="50" t="str">
        <f>VLOOKUP(A127,'CENTRO DE COSTOS'!A:D,4,FALSE)</f>
        <v>WILLIAM ASDRUBAL ROZO ROZO</v>
      </c>
      <c r="C127" s="50" t="str">
        <f>VLOOKUP(A127,'CENTRO DE COSTOS'!A:C,2,FALSE)</f>
        <v>0004-0004</v>
      </c>
      <c r="D127" s="74">
        <v>11001</v>
      </c>
      <c r="E127" s="74" t="s">
        <v>822</v>
      </c>
      <c r="F127" s="73">
        <v>33556</v>
      </c>
      <c r="G127" s="74" t="s">
        <v>80</v>
      </c>
      <c r="H127" s="73" t="s">
        <v>81</v>
      </c>
      <c r="I127" s="73" t="s">
        <v>78</v>
      </c>
      <c r="J127" s="73" t="s">
        <v>823</v>
      </c>
      <c r="K127" s="74" t="s">
        <v>84</v>
      </c>
      <c r="L127" s="75" t="s">
        <v>824</v>
      </c>
      <c r="M127" s="75">
        <v>45862.333333333336</v>
      </c>
      <c r="N127" s="75">
        <v>45863.637499999997</v>
      </c>
      <c r="O127" s="10"/>
      <c r="P127" s="74" t="s">
        <v>86</v>
      </c>
      <c r="Q127" s="74" t="s">
        <v>86</v>
      </c>
      <c r="R127" s="78" t="s">
        <v>148</v>
      </c>
      <c r="S127" s="73" t="s">
        <v>286</v>
      </c>
      <c r="T127" s="79" t="s">
        <v>89</v>
      </c>
      <c r="U127" s="79" t="s">
        <v>90</v>
      </c>
      <c r="V127" s="78" t="s">
        <v>825</v>
      </c>
      <c r="W127" s="74" t="s">
        <v>92</v>
      </c>
      <c r="X127" s="60" t="s">
        <v>826</v>
      </c>
      <c r="Y127" s="80" t="s">
        <v>102</v>
      </c>
      <c r="Z127" s="80" t="s">
        <v>94</v>
      </c>
      <c r="AA127" s="74" t="s">
        <v>337</v>
      </c>
      <c r="AB127" s="74">
        <v>2</v>
      </c>
      <c r="AC127" s="51">
        <f>IF(AND(W127="SOPORTE_TELEFÓNICO",OR(U127="SIN CONTACTO CON EL CB",U127="NÚMEROS DE CONTACTO ERRADOS")),0,IF(W127="SOPORTE_TELEFÓNICO",'BASE DE LIQUIDACION 2025'!$B$9,IF(Y127="TIPO I",'BASE DE LIQUIDACION 2025'!$C$3,IF(Y127="TIPO II",'BASE DE LIQUIDACION 2025'!$C$4,IF(Y127="TIPO III",'BASE DE LIQUIDACION 2025'!$C$5,'BASE DE LIQUIDACION 2025'!$C$6)))))</f>
        <v>44559.563999999998</v>
      </c>
      <c r="AD127" s="51">
        <f>IF(W127="SOPORTE_TELEFÓNICO",AC127,CIERRES!AB127*CIERRES!AC127)</f>
        <v>89119.127999999997</v>
      </c>
    </row>
    <row r="128" spans="1:30" s="81" customFormat="1" ht="13.15">
      <c r="A128" s="73" t="s">
        <v>357</v>
      </c>
      <c r="B128" s="50" t="str">
        <f>VLOOKUP(A128,'CENTRO DE COSTOS'!A:D,4,FALSE)</f>
        <v>MIGUEL JULIÁN HERNÁNDEZ GUARÍN</v>
      </c>
      <c r="C128" s="50" t="str">
        <f>VLOOKUP(A128,'CENTRO DE COSTOS'!A:C,2,FALSE)</f>
        <v>0004-0008</v>
      </c>
      <c r="D128" s="74">
        <v>54001</v>
      </c>
      <c r="E128" s="74" t="s">
        <v>827</v>
      </c>
      <c r="F128" s="73">
        <v>42537</v>
      </c>
      <c r="G128" s="74" t="s">
        <v>80</v>
      </c>
      <c r="H128" s="73" t="s">
        <v>359</v>
      </c>
      <c r="I128" s="73" t="s">
        <v>357</v>
      </c>
      <c r="J128" s="73" t="s">
        <v>828</v>
      </c>
      <c r="K128" s="74" t="s">
        <v>84</v>
      </c>
      <c r="L128" s="75" t="s">
        <v>829</v>
      </c>
      <c r="M128" s="75">
        <v>45862.333333333336</v>
      </c>
      <c r="N128" s="75">
        <v>45863.647916666669</v>
      </c>
      <c r="O128" s="10"/>
      <c r="P128" s="74" t="s">
        <v>86</v>
      </c>
      <c r="Q128" s="74" t="s">
        <v>87</v>
      </c>
      <c r="R128" s="78" t="s">
        <v>148</v>
      </c>
      <c r="S128" s="73" t="s">
        <v>286</v>
      </c>
      <c r="T128" s="79" t="s">
        <v>89</v>
      </c>
      <c r="U128" s="79" t="s">
        <v>90</v>
      </c>
      <c r="V128" s="78" t="s">
        <v>830</v>
      </c>
      <c r="W128" s="74" t="s">
        <v>92</v>
      </c>
      <c r="X128" s="60">
        <v>0</v>
      </c>
      <c r="Y128" s="80" t="s">
        <v>102</v>
      </c>
      <c r="Z128" s="80" t="s">
        <v>94</v>
      </c>
      <c r="AA128" s="74" t="s">
        <v>405</v>
      </c>
      <c r="AB128" s="74">
        <v>1</v>
      </c>
      <c r="AC128" s="51">
        <f>IF(AND(W128="SOPORTE_TELEFÓNICO",OR(U128="SIN CONTACTO CON EL CB",U128="NÚMEROS DE CONTACTO ERRADOS")),0,IF(W128="SOPORTE_TELEFÓNICO",'BASE DE LIQUIDACION 2025'!$B$9,IF(Y128="TIPO I",'BASE DE LIQUIDACION 2025'!$C$3,IF(Y128="TIPO II",'BASE DE LIQUIDACION 2025'!$C$4,IF(Y128="TIPO III",'BASE DE LIQUIDACION 2025'!$C$5,'BASE DE LIQUIDACION 2025'!$C$6)))))</f>
        <v>44559.563999999998</v>
      </c>
      <c r="AD128" s="51">
        <f>IF(W128="SOPORTE_TELEFÓNICO",AC128,CIERRES!AB128*CIERRES!AC128)</f>
        <v>44559.563999999998</v>
      </c>
    </row>
    <row r="129" spans="1:30" s="81" customFormat="1" ht="13.15">
      <c r="A129" s="73" t="s">
        <v>243</v>
      </c>
      <c r="B129" s="50" t="str">
        <f>VLOOKUP(A129,'CENTRO DE COSTOS'!A:D,4,FALSE)</f>
        <v>KEVIN ALEXIS CORZO BUSTOS</v>
      </c>
      <c r="C129" s="50" t="str">
        <f>VLOOKUP(A129,'CENTRO DE COSTOS'!A:C,2,FALSE)</f>
        <v>0004-0007</v>
      </c>
      <c r="D129" s="74">
        <v>18001</v>
      </c>
      <c r="E129" s="74" t="s">
        <v>831</v>
      </c>
      <c r="F129" s="73">
        <v>65216</v>
      </c>
      <c r="G129" s="74" t="s">
        <v>80</v>
      </c>
      <c r="H129" s="73" t="s">
        <v>245</v>
      </c>
      <c r="I129" s="73" t="s">
        <v>246</v>
      </c>
      <c r="J129" s="73" t="s">
        <v>832</v>
      </c>
      <c r="K129" s="74" t="s">
        <v>84</v>
      </c>
      <c r="L129" s="75" t="s">
        <v>833</v>
      </c>
      <c r="M129" s="75">
        <v>45862.584027777775</v>
      </c>
      <c r="N129" s="75">
        <v>45863.664583333331</v>
      </c>
      <c r="O129" s="10"/>
      <c r="P129" s="74" t="s">
        <v>86</v>
      </c>
      <c r="Q129" s="74" t="s">
        <v>86</v>
      </c>
      <c r="R129" s="78" t="s">
        <v>88</v>
      </c>
      <c r="S129" s="73" t="s">
        <v>88</v>
      </c>
      <c r="T129" s="79" t="s">
        <v>118</v>
      </c>
      <c r="U129" s="79" t="s">
        <v>119</v>
      </c>
      <c r="V129" s="78" t="s">
        <v>834</v>
      </c>
      <c r="W129" s="74" t="s">
        <v>92</v>
      </c>
      <c r="X129" s="60" t="s">
        <v>835</v>
      </c>
      <c r="Y129" s="80" t="s">
        <v>129</v>
      </c>
      <c r="Z129" s="80" t="s">
        <v>94</v>
      </c>
      <c r="AA129" s="74" t="s">
        <v>253</v>
      </c>
      <c r="AB129" s="74">
        <v>1</v>
      </c>
      <c r="AC129" s="51">
        <f>IF(AND(W129="SOPORTE_TELEFÓNICO",OR(U129="SIN CONTACTO CON EL CB",U129="NÚMEROS DE CONTACTO ERRADOS")),0,IF(W129="SOPORTE_TELEFÓNICO",'BASE DE LIQUIDACION 2025'!$B$9,IF(Y129="TIPO I",'BASE DE LIQUIDACION 2025'!$C$3,IF(Y129="TIPO II",'BASE DE LIQUIDACION 2025'!$C$4,IF(Y129="TIPO III",'BASE DE LIQUIDACION 2025'!$C$5,'BASE DE LIQUIDACION 2025'!$C$6)))))</f>
        <v>464809.36800000002</v>
      </c>
      <c r="AD129" s="51">
        <f>IF(W129="SOPORTE_TELEFÓNICO",AC129,CIERRES!AB129*CIERRES!AC129)</f>
        <v>464809.36800000002</v>
      </c>
    </row>
    <row r="130" spans="1:30" s="81" customFormat="1" ht="13.15">
      <c r="A130" s="73" t="s">
        <v>96</v>
      </c>
      <c r="B130" s="50" t="str">
        <f>VLOOKUP(A130,'CENTRO DE COSTOS'!A:D,4,FALSE)</f>
        <v>DIEGO FERNANDO HENAO CARDONA</v>
      </c>
      <c r="C130" s="50" t="str">
        <f>VLOOKUP(A130,'CENTRO DE COSTOS'!A:C,2,FALSE)</f>
        <v>0004-0003</v>
      </c>
      <c r="D130" s="74">
        <v>52786</v>
      </c>
      <c r="E130" s="74" t="s">
        <v>836</v>
      </c>
      <c r="F130" s="73">
        <v>76328</v>
      </c>
      <c r="G130" s="74" t="s">
        <v>80</v>
      </c>
      <c r="H130" s="73" t="s">
        <v>98</v>
      </c>
      <c r="I130" s="73" t="s">
        <v>837</v>
      </c>
      <c r="J130" s="73" t="s">
        <v>838</v>
      </c>
      <c r="K130" s="74" t="s">
        <v>84</v>
      </c>
      <c r="L130" s="75" t="s">
        <v>839</v>
      </c>
      <c r="M130" s="75">
        <v>45862.584027777775</v>
      </c>
      <c r="N130" s="75">
        <v>45863.67083333333</v>
      </c>
      <c r="O130" s="10"/>
      <c r="P130" s="74" t="s">
        <v>86</v>
      </c>
      <c r="Q130" s="74" t="s">
        <v>86</v>
      </c>
      <c r="R130" s="78" t="s">
        <v>88</v>
      </c>
      <c r="S130" s="73" t="s">
        <v>88</v>
      </c>
      <c r="T130" s="79" t="s">
        <v>118</v>
      </c>
      <c r="U130" s="79" t="s">
        <v>119</v>
      </c>
      <c r="V130" s="78" t="s">
        <v>840</v>
      </c>
      <c r="W130" s="74" t="s">
        <v>92</v>
      </c>
      <c r="X130" s="60" t="s">
        <v>841</v>
      </c>
      <c r="Y130" s="80" t="s">
        <v>93</v>
      </c>
      <c r="Z130" s="80" t="s">
        <v>94</v>
      </c>
      <c r="AA130" s="74" t="s">
        <v>842</v>
      </c>
      <c r="AB130" s="74">
        <v>1</v>
      </c>
      <c r="AC130" s="51">
        <f>IF(AND(W130="SOPORTE_TELEFÓNICO",OR(U130="SIN CONTACTO CON EL CB",U130="NÚMEROS DE CONTACTO ERRADOS")),0,IF(W130="SOPORTE_TELEFÓNICO",'BASE DE LIQUIDACION 2025'!$B$9,IF(Y130="TIPO I",'BASE DE LIQUIDACION 2025'!$C$3,IF(Y130="TIPO II",'BASE DE LIQUIDACION 2025'!$C$4,IF(Y130="TIPO III",'BASE DE LIQUIDACION 2025'!$C$5,'BASE DE LIQUIDACION 2025'!$C$6)))))</f>
        <v>134410.88400000002</v>
      </c>
      <c r="AD130" s="51">
        <f>IF(W130="SOPORTE_TELEFÓNICO",AC130,CIERRES!AB130*CIERRES!AC130)</f>
        <v>134410.88400000002</v>
      </c>
    </row>
    <row r="131" spans="1:30" s="81" customFormat="1" ht="13.15">
      <c r="A131" s="73" t="s">
        <v>243</v>
      </c>
      <c r="B131" s="50" t="str">
        <f>VLOOKUP(A131,'CENTRO DE COSTOS'!A:D,4,FALSE)</f>
        <v>KEVIN ALEXIS CORZO BUSTOS</v>
      </c>
      <c r="C131" s="50" t="str">
        <f>VLOOKUP(A131,'CENTRO DE COSTOS'!A:C,2,FALSE)</f>
        <v>0004-0007</v>
      </c>
      <c r="D131" s="74">
        <v>41001</v>
      </c>
      <c r="E131" s="74" t="s">
        <v>843</v>
      </c>
      <c r="F131" s="73">
        <v>75830</v>
      </c>
      <c r="G131" s="74" t="s">
        <v>80</v>
      </c>
      <c r="H131" s="73" t="s">
        <v>296</v>
      </c>
      <c r="I131" s="73" t="s">
        <v>243</v>
      </c>
      <c r="J131" s="73" t="s">
        <v>844</v>
      </c>
      <c r="K131" s="74" t="s">
        <v>84</v>
      </c>
      <c r="L131" s="75" t="s">
        <v>845</v>
      </c>
      <c r="M131" s="75">
        <v>45862.584027777775</v>
      </c>
      <c r="N131" s="75">
        <v>45864.418055555558</v>
      </c>
      <c r="O131" s="10"/>
      <c r="P131" s="74" t="s">
        <v>86</v>
      </c>
      <c r="Q131" s="74" t="s">
        <v>86</v>
      </c>
      <c r="R131" s="78" t="s">
        <v>88</v>
      </c>
      <c r="S131" s="73" t="s">
        <v>88</v>
      </c>
      <c r="T131" s="79" t="s">
        <v>89</v>
      </c>
      <c r="U131" s="79" t="s">
        <v>90</v>
      </c>
      <c r="V131" s="78" t="s">
        <v>846</v>
      </c>
      <c r="W131" s="74" t="s">
        <v>92</v>
      </c>
      <c r="X131" s="60" t="s">
        <v>847</v>
      </c>
      <c r="Y131" s="80" t="s">
        <v>102</v>
      </c>
      <c r="Z131" s="80" t="s">
        <v>94</v>
      </c>
      <c r="AA131" s="74" t="s">
        <v>463</v>
      </c>
      <c r="AB131" s="74">
        <v>1</v>
      </c>
      <c r="AC131" s="51">
        <f>IF(AND(W131="SOPORTE_TELEFÓNICO",OR(U131="SIN CONTACTO CON EL CB",U131="NÚMEROS DE CONTACTO ERRADOS")),0,IF(W131="SOPORTE_TELEFÓNICO",'BASE DE LIQUIDACION 2025'!$B$9,IF(Y131="TIPO I",'BASE DE LIQUIDACION 2025'!$C$3,IF(Y131="TIPO II",'BASE DE LIQUIDACION 2025'!$C$4,IF(Y131="TIPO III",'BASE DE LIQUIDACION 2025'!$C$5,'BASE DE LIQUIDACION 2025'!$C$6)))))</f>
        <v>44559.563999999998</v>
      </c>
      <c r="AD131" s="51">
        <f>IF(W131="SOPORTE_TELEFÓNICO",AC131,CIERRES!AB131*CIERRES!AC131)</f>
        <v>44559.563999999998</v>
      </c>
    </row>
    <row r="132" spans="1:30" s="81" customFormat="1" ht="13.15">
      <c r="A132" s="73" t="s">
        <v>848</v>
      </c>
      <c r="B132" s="50" t="str">
        <f>VLOOKUP(A132,'CENTRO DE COSTOS'!A:D,4,FALSE)</f>
        <v>JOSE MAURICIO HERNANDEZ ROJAS</v>
      </c>
      <c r="C132" s="50" t="str">
        <f>VLOOKUP(A132,'CENTRO DE COSTOS'!A:C,2,FALSE)</f>
        <v>0004-0001</v>
      </c>
      <c r="D132" s="74">
        <v>70429</v>
      </c>
      <c r="E132" s="74" t="s">
        <v>849</v>
      </c>
      <c r="F132" s="73">
        <v>72634</v>
      </c>
      <c r="G132" s="74" t="s">
        <v>80</v>
      </c>
      <c r="H132" s="73" t="s">
        <v>850</v>
      </c>
      <c r="I132" s="73" t="s">
        <v>851</v>
      </c>
      <c r="J132" s="73" t="s">
        <v>852</v>
      </c>
      <c r="K132" s="74" t="s">
        <v>84</v>
      </c>
      <c r="L132" s="75" t="s">
        <v>853</v>
      </c>
      <c r="M132" s="75">
        <v>45862.584027777775</v>
      </c>
      <c r="N132" s="75">
        <v>45864.418055555558</v>
      </c>
      <c r="O132" s="10"/>
      <c r="P132" s="74" t="s">
        <v>86</v>
      </c>
      <c r="Q132" s="74" t="s">
        <v>86</v>
      </c>
      <c r="R132" s="78" t="s">
        <v>88</v>
      </c>
      <c r="S132" s="73" t="s">
        <v>88</v>
      </c>
      <c r="T132" s="79" t="s">
        <v>118</v>
      </c>
      <c r="U132" s="79" t="s">
        <v>119</v>
      </c>
      <c r="V132" s="78" t="s">
        <v>854</v>
      </c>
      <c r="W132" s="74" t="s">
        <v>92</v>
      </c>
      <c r="X132" s="60" t="s">
        <v>855</v>
      </c>
      <c r="Y132" s="80" t="s">
        <v>129</v>
      </c>
      <c r="Z132" s="80" t="s">
        <v>856</v>
      </c>
      <c r="AA132" s="74" t="s">
        <v>857</v>
      </c>
      <c r="AB132" s="74">
        <v>1</v>
      </c>
      <c r="AC132" s="51">
        <f>IF(AND(W132="SOPORTE_TELEFÓNICO",OR(U132="SIN CONTACTO CON EL CB",U132="NÚMEROS DE CONTACTO ERRADOS")),0,IF(W132="SOPORTE_TELEFÓNICO",'BASE DE LIQUIDACION 2025'!$B$9,IF(Y132="TIPO I",'BASE DE LIQUIDACION 2025'!$C$3,IF(Y132="TIPO II",'BASE DE LIQUIDACION 2025'!$C$4,IF(Y132="TIPO III",'BASE DE LIQUIDACION 2025'!$C$5,'BASE DE LIQUIDACION 2025'!$C$6)))))</f>
        <v>464809.36800000002</v>
      </c>
      <c r="AD132" s="51">
        <f>IF(W132="SOPORTE_TELEFÓNICO",AC132,CIERRES!AB132*CIERRES!AC132)</f>
        <v>464809.36800000002</v>
      </c>
    </row>
    <row r="133" spans="1:30" s="81" customFormat="1" ht="13.15">
      <c r="A133" s="73" t="s">
        <v>104</v>
      </c>
      <c r="B133" s="50" t="str">
        <f>VLOOKUP(A133,'CENTRO DE COSTOS'!A:D,4,FALSE)</f>
        <v>DIEGO FERNANDO HENAO CARDONA</v>
      </c>
      <c r="C133" s="50" t="str">
        <f>VLOOKUP(A133,'CENTRO DE COSTOS'!A:C,2,FALSE)</f>
        <v>0004-0003</v>
      </c>
      <c r="D133" s="74">
        <v>19001</v>
      </c>
      <c r="E133" s="74" t="s">
        <v>858</v>
      </c>
      <c r="F133" s="73">
        <v>43981</v>
      </c>
      <c r="G133" s="74" t="s">
        <v>80</v>
      </c>
      <c r="H133" s="73" t="s">
        <v>106</v>
      </c>
      <c r="I133" s="73" t="s">
        <v>202</v>
      </c>
      <c r="J133" s="73" t="s">
        <v>203</v>
      </c>
      <c r="K133" s="74" t="s">
        <v>84</v>
      </c>
      <c r="L133" s="75" t="s">
        <v>859</v>
      </c>
      <c r="M133" s="75">
        <v>45862.584027777775</v>
      </c>
      <c r="N133" s="75">
        <v>45864.435416666667</v>
      </c>
      <c r="O133" s="10"/>
      <c r="P133" s="74" t="s">
        <v>86</v>
      </c>
      <c r="Q133" s="74" t="s">
        <v>87</v>
      </c>
      <c r="R133" s="78" t="s">
        <v>88</v>
      </c>
      <c r="S133" s="73" t="s">
        <v>88</v>
      </c>
      <c r="T133" s="79" t="s">
        <v>89</v>
      </c>
      <c r="U133" s="79" t="s">
        <v>90</v>
      </c>
      <c r="V133" s="78" t="s">
        <v>860</v>
      </c>
      <c r="W133" s="74" t="s">
        <v>92</v>
      </c>
      <c r="X133" s="60" t="s">
        <v>861</v>
      </c>
      <c r="Y133" s="80" t="s">
        <v>178</v>
      </c>
      <c r="Z133" s="80" t="s">
        <v>94</v>
      </c>
      <c r="AA133" s="74" t="s">
        <v>232</v>
      </c>
      <c r="AB133" s="74">
        <v>1</v>
      </c>
      <c r="AC133" s="51">
        <f>IF(AND(W133="SOPORTE_TELEFÓNICO",OR(U133="SIN CONTACTO CON EL CB",U133="NÚMEROS DE CONTACTO ERRADOS")),0,IF(W133="SOPORTE_TELEFÓNICO",'BASE DE LIQUIDACION 2025'!$B$9,IF(Y133="TIPO I",'BASE DE LIQUIDACION 2025'!$C$3,IF(Y133="TIPO II",'BASE DE LIQUIDACION 2025'!$C$4,IF(Y133="TIPO III",'BASE DE LIQUIDACION 2025'!$C$5,'BASE DE LIQUIDACION 2025'!$C$6)))))</f>
        <v>222904.07200000001</v>
      </c>
      <c r="AD133" s="51">
        <f>IF(W133="SOPORTE_TELEFÓNICO",AC133,CIERRES!AB133*CIERRES!AC133)</f>
        <v>222904.07200000001</v>
      </c>
    </row>
    <row r="134" spans="1:30" s="81" customFormat="1" ht="13.15">
      <c r="A134" s="73" t="s">
        <v>159</v>
      </c>
      <c r="B134" s="50" t="str">
        <f>VLOOKUP(A134,'CENTRO DE COSTOS'!A:D,4,FALSE)</f>
        <v>JUAN SEBASTIÁN RÍOS CASTRILLÓN</v>
      </c>
      <c r="C134" s="50" t="str">
        <f>VLOOKUP(A134,'CENTRO DE COSTOS'!A:C,2,FALSE)</f>
        <v>0004-0005</v>
      </c>
      <c r="D134" s="74">
        <v>5266</v>
      </c>
      <c r="E134" s="74" t="s">
        <v>862</v>
      </c>
      <c r="F134" s="73">
        <v>73671</v>
      </c>
      <c r="G134" s="74" t="s">
        <v>80</v>
      </c>
      <c r="H134" s="73" t="s">
        <v>161</v>
      </c>
      <c r="I134" s="73" t="s">
        <v>863</v>
      </c>
      <c r="J134" s="73" t="s">
        <v>864</v>
      </c>
      <c r="K134" s="74" t="s">
        <v>84</v>
      </c>
      <c r="L134" s="75" t="s">
        <v>865</v>
      </c>
      <c r="M134" s="75">
        <v>45861.333333333336</v>
      </c>
      <c r="N134" s="75">
        <v>45864.438194444447</v>
      </c>
      <c r="O134" s="10"/>
      <c r="P134" s="74" t="s">
        <v>86</v>
      </c>
      <c r="Q134" s="74" t="s">
        <v>87</v>
      </c>
      <c r="R134" s="78" t="s">
        <v>148</v>
      </c>
      <c r="S134" s="73" t="s">
        <v>286</v>
      </c>
      <c r="T134" s="79" t="s">
        <v>118</v>
      </c>
      <c r="U134" s="79" t="s">
        <v>119</v>
      </c>
      <c r="V134" s="78" t="s">
        <v>866</v>
      </c>
      <c r="W134" s="74" t="s">
        <v>92</v>
      </c>
      <c r="X134" s="60" t="s">
        <v>867</v>
      </c>
      <c r="Y134" s="80" t="s">
        <v>102</v>
      </c>
      <c r="Z134" s="80" t="s">
        <v>94</v>
      </c>
      <c r="AA134" s="74" t="s">
        <v>868</v>
      </c>
      <c r="AB134" s="74">
        <v>1</v>
      </c>
      <c r="AC134" s="51">
        <f>IF(AND(W134="SOPORTE_TELEFÓNICO",OR(U134="SIN CONTACTO CON EL CB",U134="NÚMEROS DE CONTACTO ERRADOS")),0,IF(W134="SOPORTE_TELEFÓNICO",'BASE DE LIQUIDACION 2025'!$B$9,IF(Y134="TIPO I",'BASE DE LIQUIDACION 2025'!$C$3,IF(Y134="TIPO II",'BASE DE LIQUIDACION 2025'!$C$4,IF(Y134="TIPO III",'BASE DE LIQUIDACION 2025'!$C$5,'BASE DE LIQUIDACION 2025'!$C$6)))))</f>
        <v>44559.563999999998</v>
      </c>
      <c r="AD134" s="51">
        <f>IF(W134="SOPORTE_TELEFÓNICO",AC134,CIERRES!AB134*CIERRES!AC134)</f>
        <v>44559.563999999998</v>
      </c>
    </row>
    <row r="135" spans="1:30" s="81" customFormat="1" ht="13.15">
      <c r="A135" s="73" t="s">
        <v>142</v>
      </c>
      <c r="B135" s="50" t="str">
        <f>VLOOKUP(A135,'CENTRO DE COSTOS'!A:D,4,FALSE)</f>
        <v>DIEGO FERNANDO HENAO CARDONA</v>
      </c>
      <c r="C135" s="50" t="str">
        <f>VLOOKUP(A135,'CENTRO DE COSTOS'!A:C,2,FALSE)</f>
        <v>0004-0002</v>
      </c>
      <c r="D135" s="74">
        <v>63130</v>
      </c>
      <c r="E135" s="74" t="s">
        <v>869</v>
      </c>
      <c r="F135" s="73">
        <v>43475</v>
      </c>
      <c r="G135" s="74" t="s">
        <v>80</v>
      </c>
      <c r="H135" s="73" t="s">
        <v>412</v>
      </c>
      <c r="I135" s="73" t="s">
        <v>870</v>
      </c>
      <c r="J135" s="73" t="s">
        <v>871</v>
      </c>
      <c r="K135" s="74" t="s">
        <v>84</v>
      </c>
      <c r="L135" s="75" t="s">
        <v>872</v>
      </c>
      <c r="M135" s="75">
        <v>45861.333333333336</v>
      </c>
      <c r="N135" s="75">
        <v>45864.446527777778</v>
      </c>
      <c r="O135" s="10"/>
      <c r="P135" s="74" t="s">
        <v>86</v>
      </c>
      <c r="Q135" s="74" t="s">
        <v>87</v>
      </c>
      <c r="R135" s="78" t="s">
        <v>148</v>
      </c>
      <c r="S135" s="73" t="s">
        <v>286</v>
      </c>
      <c r="T135" s="79" t="s">
        <v>118</v>
      </c>
      <c r="U135" s="79" t="s">
        <v>119</v>
      </c>
      <c r="V135" s="78" t="s">
        <v>873</v>
      </c>
      <c r="W135" s="74" t="s">
        <v>92</v>
      </c>
      <c r="X135" s="60" t="s">
        <v>874</v>
      </c>
      <c r="Y135" s="80" t="s">
        <v>93</v>
      </c>
      <c r="Z135" s="80" t="s">
        <v>94</v>
      </c>
      <c r="AA135" s="74" t="s">
        <v>417</v>
      </c>
      <c r="AB135" s="74">
        <v>1</v>
      </c>
      <c r="AC135" s="51">
        <f>IF(AND(W135="SOPORTE_TELEFÓNICO",OR(U135="SIN CONTACTO CON EL CB",U135="NÚMEROS DE CONTACTO ERRADOS")),0,IF(W135="SOPORTE_TELEFÓNICO",'BASE DE LIQUIDACION 2025'!$B$9,IF(Y135="TIPO I",'BASE DE LIQUIDACION 2025'!$C$3,IF(Y135="TIPO II",'BASE DE LIQUIDACION 2025'!$C$4,IF(Y135="TIPO III",'BASE DE LIQUIDACION 2025'!$C$5,'BASE DE LIQUIDACION 2025'!$C$6)))))</f>
        <v>134410.88400000002</v>
      </c>
      <c r="AD135" s="51">
        <f>IF(W135="SOPORTE_TELEFÓNICO",AC135,CIERRES!AB135*CIERRES!AC135)</f>
        <v>134410.88400000002</v>
      </c>
    </row>
    <row r="136" spans="1:30" s="81" customFormat="1" ht="13.15">
      <c r="A136" s="73" t="s">
        <v>78</v>
      </c>
      <c r="B136" s="50" t="str">
        <f>VLOOKUP(A136,'CENTRO DE COSTOS'!A:D,4,FALSE)</f>
        <v>WILLIAM ASDRUBAL ROZO ROZO</v>
      </c>
      <c r="C136" s="50" t="str">
        <f>VLOOKUP(A136,'CENTRO DE COSTOS'!A:C,2,FALSE)</f>
        <v>0004-0004</v>
      </c>
      <c r="D136" s="74">
        <v>11001</v>
      </c>
      <c r="E136" s="74" t="s">
        <v>875</v>
      </c>
      <c r="F136" s="73">
        <v>69718</v>
      </c>
      <c r="G136" s="74" t="s">
        <v>80</v>
      </c>
      <c r="H136" s="73" t="s">
        <v>81</v>
      </c>
      <c r="I136" s="73" t="s">
        <v>78</v>
      </c>
      <c r="J136" s="73" t="s">
        <v>876</v>
      </c>
      <c r="K136" s="74" t="s">
        <v>84</v>
      </c>
      <c r="L136" s="75" t="s">
        <v>877</v>
      </c>
      <c r="M136" s="75">
        <v>45862.584027777775</v>
      </c>
      <c r="N136" s="75">
        <v>45864.461111111108</v>
      </c>
      <c r="O136" s="10"/>
      <c r="P136" s="74" t="s">
        <v>86</v>
      </c>
      <c r="Q136" s="74" t="s">
        <v>86</v>
      </c>
      <c r="R136" s="78" t="s">
        <v>148</v>
      </c>
      <c r="S136" s="73" t="s">
        <v>149</v>
      </c>
      <c r="T136" s="79" t="s">
        <v>89</v>
      </c>
      <c r="U136" s="79" t="s">
        <v>90</v>
      </c>
      <c r="V136" s="78" t="s">
        <v>878</v>
      </c>
      <c r="W136" s="74" t="s">
        <v>92</v>
      </c>
      <c r="X136" s="60" t="s">
        <v>879</v>
      </c>
      <c r="Y136" s="80" t="s">
        <v>102</v>
      </c>
      <c r="Z136" s="80" t="s">
        <v>94</v>
      </c>
      <c r="AA136" s="74" t="s">
        <v>337</v>
      </c>
      <c r="AB136" s="74">
        <v>1</v>
      </c>
      <c r="AC136" s="51">
        <f>IF(AND(W136="SOPORTE_TELEFÓNICO",OR(U136="SIN CONTACTO CON EL CB",U136="NÚMEROS DE CONTACTO ERRADOS")),0,IF(W136="SOPORTE_TELEFÓNICO",'BASE DE LIQUIDACION 2025'!$B$9,IF(Y136="TIPO I",'BASE DE LIQUIDACION 2025'!$C$3,IF(Y136="TIPO II",'BASE DE LIQUIDACION 2025'!$C$4,IF(Y136="TIPO III",'BASE DE LIQUIDACION 2025'!$C$5,'BASE DE LIQUIDACION 2025'!$C$6)))))</f>
        <v>44559.563999999998</v>
      </c>
      <c r="AD136" s="51">
        <f>IF(W136="SOPORTE_TELEFÓNICO",AC136,CIERRES!AB136*CIERRES!AC136)</f>
        <v>44559.563999999998</v>
      </c>
    </row>
    <row r="137" spans="1:30" s="81" customFormat="1" ht="13.15">
      <c r="A137" s="73" t="s">
        <v>78</v>
      </c>
      <c r="B137" s="50" t="str">
        <f>VLOOKUP(A137,'CENTRO DE COSTOS'!A:D,4,FALSE)</f>
        <v>WILLIAM ASDRUBAL ROZO ROZO</v>
      </c>
      <c r="C137" s="50" t="str">
        <f>VLOOKUP(A137,'CENTRO DE COSTOS'!A:C,2,FALSE)</f>
        <v>0004-0004</v>
      </c>
      <c r="D137" s="74">
        <v>11001</v>
      </c>
      <c r="E137" s="74" t="s">
        <v>880</v>
      </c>
      <c r="F137" s="73">
        <v>46874</v>
      </c>
      <c r="G137" s="74" t="s">
        <v>80</v>
      </c>
      <c r="H137" s="73" t="s">
        <v>81</v>
      </c>
      <c r="I137" s="73" t="s">
        <v>78</v>
      </c>
      <c r="J137" s="73" t="s">
        <v>881</v>
      </c>
      <c r="K137" s="74" t="s">
        <v>84</v>
      </c>
      <c r="L137" s="75" t="s">
        <v>882</v>
      </c>
      <c r="M137" s="75">
        <v>45862.584027777775</v>
      </c>
      <c r="N137" s="75">
        <v>45864.504861111112</v>
      </c>
      <c r="O137" s="10"/>
      <c r="P137" s="74" t="s">
        <v>86</v>
      </c>
      <c r="Q137" s="74" t="s">
        <v>86</v>
      </c>
      <c r="R137" s="78" t="s">
        <v>88</v>
      </c>
      <c r="S137" s="73" t="s">
        <v>88</v>
      </c>
      <c r="T137" s="79" t="s">
        <v>89</v>
      </c>
      <c r="U137" s="79" t="s">
        <v>90</v>
      </c>
      <c r="V137" s="78" t="s">
        <v>883</v>
      </c>
      <c r="W137" s="74" t="s">
        <v>92</v>
      </c>
      <c r="X137" s="60" t="s">
        <v>884</v>
      </c>
      <c r="Y137" s="80" t="s">
        <v>102</v>
      </c>
      <c r="Z137" s="80" t="s">
        <v>94</v>
      </c>
      <c r="AA137" s="74" t="s">
        <v>337</v>
      </c>
      <c r="AB137" s="74">
        <v>2</v>
      </c>
      <c r="AC137" s="51">
        <f>IF(AND(W137="SOPORTE_TELEFÓNICO",OR(U137="SIN CONTACTO CON EL CB",U137="NÚMEROS DE CONTACTO ERRADOS")),0,IF(W137="SOPORTE_TELEFÓNICO",'BASE DE LIQUIDACION 2025'!$B$9,IF(Y137="TIPO I",'BASE DE LIQUIDACION 2025'!$C$3,IF(Y137="TIPO II",'BASE DE LIQUIDACION 2025'!$C$4,IF(Y137="TIPO III",'BASE DE LIQUIDACION 2025'!$C$5,'BASE DE LIQUIDACION 2025'!$C$6)))))</f>
        <v>44559.563999999998</v>
      </c>
      <c r="AD137" s="51">
        <f>IF(W137="SOPORTE_TELEFÓNICO",AC137,CIERRES!AB137*CIERRES!AC137)</f>
        <v>89119.127999999997</v>
      </c>
    </row>
    <row r="138" spans="1:30" s="81" customFormat="1" ht="13.15">
      <c r="A138" s="73" t="s">
        <v>104</v>
      </c>
      <c r="B138" s="50" t="str">
        <f>VLOOKUP(A138,'CENTRO DE COSTOS'!A:D,4,FALSE)</f>
        <v>DIEGO FERNANDO HENAO CARDONA</v>
      </c>
      <c r="C138" s="50" t="str">
        <f>VLOOKUP(A138,'CENTRO DE COSTOS'!A:C,2,FALSE)</f>
        <v>0004-0003</v>
      </c>
      <c r="D138" s="74">
        <v>76834</v>
      </c>
      <c r="E138" s="74" t="s">
        <v>885</v>
      </c>
      <c r="F138" s="73">
        <v>10782</v>
      </c>
      <c r="G138" s="74" t="s">
        <v>80</v>
      </c>
      <c r="H138" s="73" t="s">
        <v>144</v>
      </c>
      <c r="I138" s="73" t="s">
        <v>886</v>
      </c>
      <c r="J138" s="73" t="s">
        <v>887</v>
      </c>
      <c r="K138" s="74" t="s">
        <v>84</v>
      </c>
      <c r="L138" s="75" t="s">
        <v>888</v>
      </c>
      <c r="M138" s="75">
        <v>45864.333333333336</v>
      </c>
      <c r="N138" s="75">
        <v>45864.546527777777</v>
      </c>
      <c r="O138" s="10"/>
      <c r="P138" s="74" t="s">
        <v>86</v>
      </c>
      <c r="Q138" s="74" t="s">
        <v>87</v>
      </c>
      <c r="R138" s="78" t="s">
        <v>88</v>
      </c>
      <c r="S138" s="73" t="s">
        <v>88</v>
      </c>
      <c r="T138" s="79" t="s">
        <v>118</v>
      </c>
      <c r="U138" s="79" t="s">
        <v>119</v>
      </c>
      <c r="V138" s="78" t="s">
        <v>889</v>
      </c>
      <c r="W138" s="74" t="s">
        <v>138</v>
      </c>
      <c r="X138" s="60">
        <v>0</v>
      </c>
      <c r="Y138" s="80" t="s">
        <v>93</v>
      </c>
      <c r="Z138" s="80" t="s">
        <v>94</v>
      </c>
      <c r="AA138" s="74" t="s">
        <v>112</v>
      </c>
      <c r="AB138" s="74">
        <v>0</v>
      </c>
      <c r="AC138" s="51">
        <f>IF(AND(W138="SOPORTE_TELEFÓNICO",OR(U138="SIN CONTACTO CON EL CB",U138="NÚMEROS DE CONTACTO ERRADOS")),0,IF(W138="SOPORTE_TELEFÓNICO",'BASE DE LIQUIDACION 2025'!$B$9,IF(Y138="TIPO I",'BASE DE LIQUIDACION 2025'!$C$3,IF(Y138="TIPO II",'BASE DE LIQUIDACION 2025'!$C$4,IF(Y138="TIPO III",'BASE DE LIQUIDACION 2025'!$C$5,'BASE DE LIQUIDACION 2025'!$C$6)))))</f>
        <v>37904.612000000001</v>
      </c>
      <c r="AD138" s="51">
        <f>IF(W138="SOPORTE_TELEFÓNICO",AC138,CIERRES!AB138*CIERRES!AC138)</f>
        <v>37904.612000000001</v>
      </c>
    </row>
    <row r="139" spans="1:30" s="81" customFormat="1" ht="13.15">
      <c r="A139" s="73" t="s">
        <v>104</v>
      </c>
      <c r="B139" s="50" t="str">
        <f>VLOOKUP(A139,'CENTRO DE COSTOS'!A:D,4,FALSE)</f>
        <v>DIEGO FERNANDO HENAO CARDONA</v>
      </c>
      <c r="C139" s="50" t="str">
        <f>VLOOKUP(A139,'CENTRO DE COSTOS'!A:C,2,FALSE)</f>
        <v>0004-0003</v>
      </c>
      <c r="D139" s="74">
        <v>76001</v>
      </c>
      <c r="E139" s="74" t="s">
        <v>890</v>
      </c>
      <c r="F139" s="73">
        <v>54411</v>
      </c>
      <c r="G139" s="74" t="s">
        <v>80</v>
      </c>
      <c r="H139" s="73" t="s">
        <v>144</v>
      </c>
      <c r="I139" s="73" t="s">
        <v>104</v>
      </c>
      <c r="J139" s="73" t="s">
        <v>891</v>
      </c>
      <c r="K139" s="74" t="s">
        <v>84</v>
      </c>
      <c r="L139" s="75" t="s">
        <v>892</v>
      </c>
      <c r="M139" s="75">
        <v>45862.333333333336</v>
      </c>
      <c r="N139" s="75">
        <v>45864.563194444447</v>
      </c>
      <c r="O139" s="10"/>
      <c r="P139" s="74" t="s">
        <v>86</v>
      </c>
      <c r="Q139" s="74" t="s">
        <v>87</v>
      </c>
      <c r="R139" s="78" t="s">
        <v>148</v>
      </c>
      <c r="S139" s="73" t="s">
        <v>286</v>
      </c>
      <c r="T139" s="79" t="s">
        <v>89</v>
      </c>
      <c r="U139" s="79" t="s">
        <v>90</v>
      </c>
      <c r="V139" s="78" t="s">
        <v>893</v>
      </c>
      <c r="W139" s="74" t="s">
        <v>92</v>
      </c>
      <c r="X139" s="60" t="s">
        <v>324</v>
      </c>
      <c r="Y139" s="80" t="s">
        <v>102</v>
      </c>
      <c r="Z139" s="80" t="s">
        <v>94</v>
      </c>
      <c r="AA139" s="74" t="s">
        <v>894</v>
      </c>
      <c r="AB139" s="74">
        <v>1</v>
      </c>
      <c r="AC139" s="51">
        <f>IF(AND(W139="SOPORTE_TELEFÓNICO",OR(U139="SIN CONTACTO CON EL CB",U139="NÚMEROS DE CONTACTO ERRADOS")),0,IF(W139="SOPORTE_TELEFÓNICO",'BASE DE LIQUIDACION 2025'!$B$9,IF(Y139="TIPO I",'BASE DE LIQUIDACION 2025'!$C$3,IF(Y139="TIPO II",'BASE DE LIQUIDACION 2025'!$C$4,IF(Y139="TIPO III",'BASE DE LIQUIDACION 2025'!$C$5,'BASE DE LIQUIDACION 2025'!$C$6)))))</f>
        <v>44559.563999999998</v>
      </c>
      <c r="AD139" s="51">
        <f>IF(W139="SOPORTE_TELEFÓNICO",AC139,CIERRES!AB139*CIERRES!AC139)</f>
        <v>44559.563999999998</v>
      </c>
    </row>
    <row r="140" spans="1:30" s="81" customFormat="1" ht="13.15">
      <c r="A140" s="73" t="s">
        <v>78</v>
      </c>
      <c r="B140" s="50" t="str">
        <f>VLOOKUP(A140,'CENTRO DE COSTOS'!A:D,4,FALSE)</f>
        <v>WILLIAM ASDRUBAL ROZO ROZO</v>
      </c>
      <c r="C140" s="50" t="str">
        <f>VLOOKUP(A140,'CENTRO DE COSTOS'!A:C,2,FALSE)</f>
        <v>0004-0004</v>
      </c>
      <c r="D140" s="74">
        <v>25754</v>
      </c>
      <c r="E140" s="74" t="s">
        <v>895</v>
      </c>
      <c r="F140" s="73">
        <v>68867</v>
      </c>
      <c r="G140" s="74" t="s">
        <v>80</v>
      </c>
      <c r="H140" s="73" t="s">
        <v>81</v>
      </c>
      <c r="I140" s="73" t="s">
        <v>671</v>
      </c>
      <c r="J140" s="73" t="s">
        <v>896</v>
      </c>
      <c r="K140" s="74" t="s">
        <v>84</v>
      </c>
      <c r="L140" s="75" t="s">
        <v>897</v>
      </c>
      <c r="M140" s="75">
        <v>45862.584027777775</v>
      </c>
      <c r="N140" s="75">
        <v>45866.364583333336</v>
      </c>
      <c r="O140" s="10"/>
      <c r="P140" s="74" t="s">
        <v>86</v>
      </c>
      <c r="Q140" s="74" t="s">
        <v>86</v>
      </c>
      <c r="R140" s="78" t="s">
        <v>148</v>
      </c>
      <c r="S140" s="73" t="s">
        <v>149</v>
      </c>
      <c r="T140" s="79" t="s">
        <v>89</v>
      </c>
      <c r="U140" s="79" t="s">
        <v>110</v>
      </c>
      <c r="V140" s="78" t="s">
        <v>898</v>
      </c>
      <c r="W140" s="74" t="s">
        <v>92</v>
      </c>
      <c r="X140" s="60">
        <v>0</v>
      </c>
      <c r="Y140" s="80" t="s">
        <v>102</v>
      </c>
      <c r="Z140" s="80" t="s">
        <v>94</v>
      </c>
      <c r="AA140" s="74" t="s">
        <v>538</v>
      </c>
      <c r="AB140" s="74">
        <v>1</v>
      </c>
      <c r="AC140" s="51">
        <f>IF(AND(W140="SOPORTE_TELEFÓNICO",OR(U140="SIN CONTACTO CON EL CB",U140="NÚMEROS DE CONTACTO ERRADOS")),0,IF(W140="SOPORTE_TELEFÓNICO",'BASE DE LIQUIDACION 2025'!$B$9,IF(Y140="TIPO I",'BASE DE LIQUIDACION 2025'!$C$3,IF(Y140="TIPO II",'BASE DE LIQUIDACION 2025'!$C$4,IF(Y140="TIPO III",'BASE DE LIQUIDACION 2025'!$C$5,'BASE DE LIQUIDACION 2025'!$C$6)))))</f>
        <v>44559.563999999998</v>
      </c>
      <c r="AD140" s="51">
        <f>IF(W140="SOPORTE_TELEFÓNICO",AC140,CIERRES!AB140*CIERRES!AC140)</f>
        <v>44559.563999999998</v>
      </c>
    </row>
    <row r="141" spans="1:30" s="81" customFormat="1" ht="13.15">
      <c r="A141" s="73" t="s">
        <v>131</v>
      </c>
      <c r="B141" s="50" t="str">
        <f>VLOOKUP(A141,'CENTRO DE COSTOS'!A:D,4,FALSE)</f>
        <v>KEVIN ALEXIS CORZO BUSTOS</v>
      </c>
      <c r="C141" s="50" t="str">
        <f>VLOOKUP(A141,'CENTRO DE COSTOS'!A:C,2,FALSE)</f>
        <v>0004-0007</v>
      </c>
      <c r="D141" s="74">
        <v>50001</v>
      </c>
      <c r="E141" s="74" t="s">
        <v>899</v>
      </c>
      <c r="F141" s="73">
        <v>50984</v>
      </c>
      <c r="G141" s="74" t="s">
        <v>80</v>
      </c>
      <c r="H141" s="73" t="s">
        <v>207</v>
      </c>
      <c r="I141" s="73" t="s">
        <v>131</v>
      </c>
      <c r="J141" s="73" t="s">
        <v>900</v>
      </c>
      <c r="K141" s="74" t="s">
        <v>84</v>
      </c>
      <c r="L141" s="75" t="s">
        <v>901</v>
      </c>
      <c r="M141" s="75">
        <v>45862.584027777775</v>
      </c>
      <c r="N141" s="75">
        <v>45866.469155092593</v>
      </c>
      <c r="O141" s="10"/>
      <c r="P141" s="74" t="s">
        <v>86</v>
      </c>
      <c r="Q141" s="74" t="s">
        <v>86</v>
      </c>
      <c r="R141" s="78" t="s">
        <v>88</v>
      </c>
      <c r="S141" s="73" t="s">
        <v>88</v>
      </c>
      <c r="T141" s="79" t="s">
        <v>118</v>
      </c>
      <c r="U141" s="79" t="s">
        <v>119</v>
      </c>
      <c r="V141" s="78" t="s">
        <v>902</v>
      </c>
      <c r="W141" s="74" t="s">
        <v>92</v>
      </c>
      <c r="X141" s="60">
        <v>0</v>
      </c>
      <c r="Y141" s="80" t="s">
        <v>102</v>
      </c>
      <c r="Z141" s="80" t="s">
        <v>94</v>
      </c>
      <c r="AA141" s="74" t="s">
        <v>141</v>
      </c>
      <c r="AB141" s="74">
        <v>1</v>
      </c>
      <c r="AC141" s="51">
        <f>IF(AND(W141="SOPORTE_TELEFÓNICO",OR(U141="SIN CONTACTO CON EL CB",U141="NÚMEROS DE CONTACTO ERRADOS")),0,IF(W141="SOPORTE_TELEFÓNICO",'BASE DE LIQUIDACION 2025'!$B$9,IF(Y141="TIPO I",'BASE DE LIQUIDACION 2025'!$C$3,IF(Y141="TIPO II",'BASE DE LIQUIDACION 2025'!$C$4,IF(Y141="TIPO III",'BASE DE LIQUIDACION 2025'!$C$5,'BASE DE LIQUIDACION 2025'!$C$6)))))</f>
        <v>44559.563999999998</v>
      </c>
      <c r="AD141" s="51">
        <f>IF(W141="SOPORTE_TELEFÓNICO",AC141,CIERRES!AB141*CIERRES!AC141)</f>
        <v>44559.563999999998</v>
      </c>
    </row>
    <row r="142" spans="1:30" s="81" customFormat="1" ht="13.15">
      <c r="A142" s="73" t="s">
        <v>194</v>
      </c>
      <c r="B142" s="50" t="str">
        <f>VLOOKUP(A142,'CENTRO DE COSTOS'!A:D,4,FALSE)</f>
        <v>KEVIN ALEXIS CORZO BUSTOS</v>
      </c>
      <c r="C142" s="50" t="str">
        <f>VLOOKUP(A142,'CENTRO DE COSTOS'!A:C,2,FALSE)</f>
        <v>0004-0007</v>
      </c>
      <c r="D142" s="74">
        <v>73001</v>
      </c>
      <c r="E142" s="74" t="s">
        <v>903</v>
      </c>
      <c r="F142" s="73">
        <v>69181</v>
      </c>
      <c r="G142" s="74" t="s">
        <v>80</v>
      </c>
      <c r="H142" s="73" t="s">
        <v>196</v>
      </c>
      <c r="I142" s="73" t="s">
        <v>194</v>
      </c>
      <c r="J142" s="73" t="s">
        <v>234</v>
      </c>
      <c r="K142" s="74" t="s">
        <v>84</v>
      </c>
      <c r="L142" s="75" t="s">
        <v>904</v>
      </c>
      <c r="M142" s="75">
        <v>45862.584027777775</v>
      </c>
      <c r="N142" s="75">
        <v>45866.471712962957</v>
      </c>
      <c r="O142" s="10"/>
      <c r="P142" s="74" t="s">
        <v>86</v>
      </c>
      <c r="Q142" s="74" t="s">
        <v>87</v>
      </c>
      <c r="R142" s="78" t="s">
        <v>88</v>
      </c>
      <c r="S142" s="73" t="s">
        <v>88</v>
      </c>
      <c r="T142" s="79" t="s">
        <v>268</v>
      </c>
      <c r="U142" s="79" t="s">
        <v>269</v>
      </c>
      <c r="V142" s="78" t="s">
        <v>905</v>
      </c>
      <c r="W142" s="74" t="s">
        <v>92</v>
      </c>
      <c r="X142" s="60" t="s">
        <v>237</v>
      </c>
      <c r="Y142" s="80" t="s">
        <v>102</v>
      </c>
      <c r="Z142" s="80" t="s">
        <v>94</v>
      </c>
      <c r="AA142" s="74" t="s">
        <v>715</v>
      </c>
      <c r="AB142" s="74">
        <v>1</v>
      </c>
      <c r="AC142" s="51">
        <f>IF(AND(W142="SOPORTE_TELEFÓNICO",OR(U142="SIN CONTACTO CON EL CB",U142="NÚMEROS DE CONTACTO ERRADOS")),0,IF(W142="SOPORTE_TELEFÓNICO",'BASE DE LIQUIDACION 2025'!$B$9,IF(Y142="TIPO I",'BASE DE LIQUIDACION 2025'!$C$3,IF(Y142="TIPO II",'BASE DE LIQUIDACION 2025'!$C$4,IF(Y142="TIPO III",'BASE DE LIQUIDACION 2025'!$C$5,'BASE DE LIQUIDACION 2025'!$C$6)))))</f>
        <v>44559.563999999998</v>
      </c>
      <c r="AD142" s="51">
        <f>IF(W142="SOPORTE_TELEFÓNICO",AC142,CIERRES!AB142*CIERRES!AC142)</f>
        <v>44559.563999999998</v>
      </c>
    </row>
    <row r="143" spans="1:30" s="81" customFormat="1" ht="13.15">
      <c r="A143" s="73" t="s">
        <v>159</v>
      </c>
      <c r="B143" s="50" t="str">
        <f>VLOOKUP(A143,'CENTRO DE COSTOS'!A:D,4,FALSE)</f>
        <v>JUAN SEBASTIÁN RÍOS CASTRILLÓN</v>
      </c>
      <c r="C143" s="50" t="str">
        <f>VLOOKUP(A143,'CENTRO DE COSTOS'!A:C,2,FALSE)</f>
        <v>0004-0005</v>
      </c>
      <c r="D143" s="74">
        <v>5360</v>
      </c>
      <c r="E143" s="74" t="s">
        <v>906</v>
      </c>
      <c r="F143" s="73">
        <v>74718</v>
      </c>
      <c r="G143" s="74" t="s">
        <v>80</v>
      </c>
      <c r="H143" s="73" t="s">
        <v>161</v>
      </c>
      <c r="I143" s="73" t="s">
        <v>907</v>
      </c>
      <c r="J143" s="73" t="s">
        <v>908</v>
      </c>
      <c r="K143" s="74" t="s">
        <v>84</v>
      </c>
      <c r="L143" s="75" t="s">
        <v>909</v>
      </c>
      <c r="M143" s="75">
        <v>45862.584027777775</v>
      </c>
      <c r="N143" s="75">
        <v>45866.529675925929</v>
      </c>
      <c r="O143" s="10"/>
      <c r="P143" s="74" t="s">
        <v>86</v>
      </c>
      <c r="Q143" s="74" t="s">
        <v>86</v>
      </c>
      <c r="R143" s="78" t="s">
        <v>148</v>
      </c>
      <c r="S143" s="73" t="s">
        <v>149</v>
      </c>
      <c r="T143" s="79" t="s">
        <v>118</v>
      </c>
      <c r="U143" s="79" t="s">
        <v>119</v>
      </c>
      <c r="V143" s="78" t="s">
        <v>910</v>
      </c>
      <c r="W143" s="74" t="s">
        <v>92</v>
      </c>
      <c r="X143" s="60">
        <v>0</v>
      </c>
      <c r="Y143" s="80" t="s">
        <v>102</v>
      </c>
      <c r="Z143" s="80" t="s">
        <v>94</v>
      </c>
      <c r="AA143" s="74" t="s">
        <v>868</v>
      </c>
      <c r="AB143" s="74">
        <v>1</v>
      </c>
      <c r="AC143" s="51">
        <f>IF(AND(W143="SOPORTE_TELEFÓNICO",OR(U143="SIN CONTACTO CON EL CB",U143="NÚMEROS DE CONTACTO ERRADOS")),0,IF(W143="SOPORTE_TELEFÓNICO",'BASE DE LIQUIDACION 2025'!$B$9,IF(Y143="TIPO I",'BASE DE LIQUIDACION 2025'!$C$3,IF(Y143="TIPO II",'BASE DE LIQUIDACION 2025'!$C$4,IF(Y143="TIPO III",'BASE DE LIQUIDACION 2025'!$C$5,'BASE DE LIQUIDACION 2025'!$C$6)))))</f>
        <v>44559.563999999998</v>
      </c>
      <c r="AD143" s="51">
        <f>IF(W143="SOPORTE_TELEFÓNICO",AC143,CIERRES!AB143*CIERRES!AC143)</f>
        <v>44559.563999999998</v>
      </c>
    </row>
    <row r="144" spans="1:30" s="81" customFormat="1" ht="13.15">
      <c r="A144" s="73" t="s">
        <v>194</v>
      </c>
      <c r="B144" s="50" t="str">
        <f>VLOOKUP(A144,'CENTRO DE COSTOS'!A:D,4,FALSE)</f>
        <v>KEVIN ALEXIS CORZO BUSTOS</v>
      </c>
      <c r="C144" s="50" t="str">
        <f>VLOOKUP(A144,'CENTRO DE COSTOS'!A:C,2,FALSE)</f>
        <v>0004-0007</v>
      </c>
      <c r="D144" s="74">
        <v>73001</v>
      </c>
      <c r="E144" s="74" t="s">
        <v>911</v>
      </c>
      <c r="F144" s="73">
        <v>72512</v>
      </c>
      <c r="G144" s="74" t="s">
        <v>80</v>
      </c>
      <c r="H144" s="73" t="s">
        <v>196</v>
      </c>
      <c r="I144" s="73" t="s">
        <v>194</v>
      </c>
      <c r="J144" s="73" t="s">
        <v>912</v>
      </c>
      <c r="K144" s="74" t="s">
        <v>84</v>
      </c>
      <c r="L144" s="75" t="s">
        <v>913</v>
      </c>
      <c r="M144" s="75">
        <v>45862.584027777775</v>
      </c>
      <c r="N144" s="75">
        <v>45866.675000000003</v>
      </c>
      <c r="O144" s="10"/>
      <c r="P144" s="74" t="s">
        <v>86</v>
      </c>
      <c r="Q144" s="74" t="s">
        <v>87</v>
      </c>
      <c r="R144" s="78" t="s">
        <v>88</v>
      </c>
      <c r="S144" s="73" t="s">
        <v>88</v>
      </c>
      <c r="T144" s="79" t="s">
        <v>268</v>
      </c>
      <c r="U144" s="79" t="s">
        <v>269</v>
      </c>
      <c r="V144" s="78" t="s">
        <v>914</v>
      </c>
      <c r="W144" s="74" t="s">
        <v>92</v>
      </c>
      <c r="X144" s="60" t="s">
        <v>915</v>
      </c>
      <c r="Y144" s="80" t="s">
        <v>102</v>
      </c>
      <c r="Z144" s="80" t="s">
        <v>94</v>
      </c>
      <c r="AA144" s="74" t="s">
        <v>200</v>
      </c>
      <c r="AB144" s="74">
        <v>1</v>
      </c>
      <c r="AC144" s="51">
        <f>IF(AND(W144="SOPORTE_TELEFÓNICO",OR(U144="SIN CONTACTO CON EL CB",U144="NÚMEROS DE CONTACTO ERRADOS")),0,IF(W144="SOPORTE_TELEFÓNICO",'BASE DE LIQUIDACION 2025'!$B$9,IF(Y144="TIPO I",'BASE DE LIQUIDACION 2025'!$C$3,IF(Y144="TIPO II",'BASE DE LIQUIDACION 2025'!$C$4,IF(Y144="TIPO III",'BASE DE LIQUIDACION 2025'!$C$5,'BASE DE LIQUIDACION 2025'!$C$6)))))</f>
        <v>44559.563999999998</v>
      </c>
      <c r="AD144" s="51">
        <f>IF(W144="SOPORTE_TELEFÓNICO",AC144,CIERRES!AB144*CIERRES!AC144)</f>
        <v>44559.563999999998</v>
      </c>
    </row>
    <row r="145" spans="1:30" s="81" customFormat="1" ht="13.15">
      <c r="A145" s="73" t="s">
        <v>78</v>
      </c>
      <c r="B145" s="50" t="str">
        <f>VLOOKUP(A145,'CENTRO DE COSTOS'!A:D,4,FALSE)</f>
        <v>WILLIAM ASDRUBAL ROZO ROZO</v>
      </c>
      <c r="C145" s="50" t="str">
        <f>VLOOKUP(A145,'CENTRO DE COSTOS'!A:C,2,FALSE)</f>
        <v>0004-0004</v>
      </c>
      <c r="D145" s="74">
        <v>11001</v>
      </c>
      <c r="E145" s="74" t="s">
        <v>916</v>
      </c>
      <c r="F145" s="73">
        <v>39203</v>
      </c>
      <c r="G145" s="74" t="s">
        <v>80</v>
      </c>
      <c r="H145" s="73" t="s">
        <v>81</v>
      </c>
      <c r="I145" s="73" t="s">
        <v>78</v>
      </c>
      <c r="J145" s="73" t="s">
        <v>917</v>
      </c>
      <c r="K145" s="74" t="s">
        <v>84</v>
      </c>
      <c r="L145" s="75" t="s">
        <v>918</v>
      </c>
      <c r="M145" s="75">
        <v>45861.333333333336</v>
      </c>
      <c r="N145" s="75">
        <v>45866.689467592587</v>
      </c>
      <c r="O145" s="10"/>
      <c r="P145" s="74" t="s">
        <v>86</v>
      </c>
      <c r="Q145" s="74" t="s">
        <v>87</v>
      </c>
      <c r="R145" s="78" t="s">
        <v>148</v>
      </c>
      <c r="S145" s="73" t="s">
        <v>286</v>
      </c>
      <c r="T145" s="79" t="s">
        <v>118</v>
      </c>
      <c r="U145" s="79" t="s">
        <v>119</v>
      </c>
      <c r="V145" s="78" t="s">
        <v>919</v>
      </c>
      <c r="W145" s="74" t="s">
        <v>92</v>
      </c>
      <c r="X145" s="60">
        <v>0</v>
      </c>
      <c r="Y145" s="80" t="s">
        <v>102</v>
      </c>
      <c r="Z145" s="80" t="s">
        <v>94</v>
      </c>
      <c r="AA145" s="74" t="s">
        <v>95</v>
      </c>
      <c r="AB145" s="74">
        <v>1</v>
      </c>
      <c r="AC145" s="51">
        <f>IF(AND(W145="SOPORTE_TELEFÓNICO",OR(U145="SIN CONTACTO CON EL CB",U145="NÚMEROS DE CONTACTO ERRADOS")),0,IF(W145="SOPORTE_TELEFÓNICO",'BASE DE LIQUIDACION 2025'!$B$9,IF(Y145="TIPO I",'BASE DE LIQUIDACION 2025'!$C$3,IF(Y145="TIPO II",'BASE DE LIQUIDACION 2025'!$C$4,IF(Y145="TIPO III",'BASE DE LIQUIDACION 2025'!$C$5,'BASE DE LIQUIDACION 2025'!$C$6)))))</f>
        <v>44559.563999999998</v>
      </c>
      <c r="AD145" s="51">
        <f>IF(W145="SOPORTE_TELEFÓNICO",AC145,CIERRES!AB145*CIERRES!AC145)</f>
        <v>44559.563999999998</v>
      </c>
    </row>
    <row r="146" spans="1:30" s="81" customFormat="1" ht="13.15">
      <c r="A146" s="73" t="s">
        <v>78</v>
      </c>
      <c r="B146" s="50" t="str">
        <f>VLOOKUP(A146,'CENTRO DE COSTOS'!A:D,4,FALSE)</f>
        <v>WILLIAM ASDRUBAL ROZO ROZO</v>
      </c>
      <c r="C146" s="50" t="str">
        <f>VLOOKUP(A146,'CENTRO DE COSTOS'!A:C,2,FALSE)</f>
        <v>0004-0004</v>
      </c>
      <c r="D146" s="74">
        <v>11001</v>
      </c>
      <c r="E146" s="74" t="s">
        <v>920</v>
      </c>
      <c r="F146" s="73">
        <v>70801</v>
      </c>
      <c r="G146" s="74" t="s">
        <v>80</v>
      </c>
      <c r="H146" s="73" t="s">
        <v>81</v>
      </c>
      <c r="I146" s="73" t="s">
        <v>78</v>
      </c>
      <c r="J146" s="73" t="s">
        <v>921</v>
      </c>
      <c r="K146" s="74" t="s">
        <v>84</v>
      </c>
      <c r="L146" s="75" t="s">
        <v>922</v>
      </c>
      <c r="M146" s="75">
        <v>45862.333333333336</v>
      </c>
      <c r="N146" s="75">
        <v>45867.379861111112</v>
      </c>
      <c r="O146" s="10"/>
      <c r="P146" s="74" t="s">
        <v>86</v>
      </c>
      <c r="Q146" s="74" t="s">
        <v>87</v>
      </c>
      <c r="R146" s="78" t="s">
        <v>148</v>
      </c>
      <c r="S146" s="73" t="s">
        <v>286</v>
      </c>
      <c r="T146" s="79" t="s">
        <v>89</v>
      </c>
      <c r="U146" s="79" t="s">
        <v>90</v>
      </c>
      <c r="V146" s="78" t="s">
        <v>923</v>
      </c>
      <c r="W146" s="74" t="s">
        <v>92</v>
      </c>
      <c r="X146" s="60">
        <v>0</v>
      </c>
      <c r="Y146" s="80" t="s">
        <v>102</v>
      </c>
      <c r="Z146" s="80" t="s">
        <v>94</v>
      </c>
      <c r="AA146" s="74" t="s">
        <v>505</v>
      </c>
      <c r="AB146" s="74">
        <v>1</v>
      </c>
      <c r="AC146" s="51">
        <f>IF(AND(W146="SOPORTE_TELEFÓNICO",OR(U146="SIN CONTACTO CON EL CB",U146="NÚMEROS DE CONTACTO ERRADOS")),0,IF(W146="SOPORTE_TELEFÓNICO",'BASE DE LIQUIDACION 2025'!$B$9,IF(Y146="TIPO I",'BASE DE LIQUIDACION 2025'!$C$3,IF(Y146="TIPO II",'BASE DE LIQUIDACION 2025'!$C$4,IF(Y146="TIPO III",'BASE DE LIQUIDACION 2025'!$C$5,'BASE DE LIQUIDACION 2025'!$C$6)))))</f>
        <v>44559.563999999998</v>
      </c>
      <c r="AD146" s="51">
        <f>IF(W146="SOPORTE_TELEFÓNICO",AC146,CIERRES!AB146*CIERRES!AC146)</f>
        <v>44559.563999999998</v>
      </c>
    </row>
    <row r="147" spans="1:30" s="81" customFormat="1" ht="13.15">
      <c r="A147" s="73" t="s">
        <v>357</v>
      </c>
      <c r="B147" s="50" t="str">
        <f>VLOOKUP(A147,'CENTRO DE COSTOS'!A:D,4,FALSE)</f>
        <v>MIGUEL JULIÁN HERNÁNDEZ GUARÍN</v>
      </c>
      <c r="C147" s="50" t="str">
        <f>VLOOKUP(A147,'CENTRO DE COSTOS'!A:C,2,FALSE)</f>
        <v>0004-0008</v>
      </c>
      <c r="D147" s="74">
        <v>54405</v>
      </c>
      <c r="E147" s="74" t="s">
        <v>924</v>
      </c>
      <c r="F147" s="73">
        <v>79515</v>
      </c>
      <c r="G147" s="74" t="s">
        <v>80</v>
      </c>
      <c r="H147" s="73" t="s">
        <v>359</v>
      </c>
      <c r="I147" s="73" t="s">
        <v>360</v>
      </c>
      <c r="J147" s="73" t="s">
        <v>925</v>
      </c>
      <c r="K147" s="74" t="s">
        <v>84</v>
      </c>
      <c r="L147" s="75" t="s">
        <v>926</v>
      </c>
      <c r="M147" s="75">
        <v>45864.333333333336</v>
      </c>
      <c r="N147" s="75">
        <v>45867.383333333331</v>
      </c>
      <c r="O147" s="10"/>
      <c r="P147" s="74" t="s">
        <v>86</v>
      </c>
      <c r="Q147" s="74" t="s">
        <v>86</v>
      </c>
      <c r="R147" s="78" t="s">
        <v>88</v>
      </c>
      <c r="S147" s="73" t="s">
        <v>88</v>
      </c>
      <c r="T147" s="79" t="s">
        <v>268</v>
      </c>
      <c r="U147" s="79" t="s">
        <v>269</v>
      </c>
      <c r="V147" s="78" t="s">
        <v>927</v>
      </c>
      <c r="W147" s="74" t="s">
        <v>92</v>
      </c>
      <c r="X147" s="60" t="s">
        <v>928</v>
      </c>
      <c r="Y147" s="80" t="s">
        <v>102</v>
      </c>
      <c r="Z147" s="80" t="s">
        <v>94</v>
      </c>
      <c r="AA147" s="74" t="s">
        <v>929</v>
      </c>
      <c r="AB147" s="74">
        <v>1</v>
      </c>
      <c r="AC147" s="51">
        <f>IF(AND(W147="SOPORTE_TELEFÓNICO",OR(U147="SIN CONTACTO CON EL CB",U147="NÚMEROS DE CONTACTO ERRADOS")),0,IF(W147="SOPORTE_TELEFÓNICO",'BASE DE LIQUIDACION 2025'!$B$9,IF(Y147="TIPO I",'BASE DE LIQUIDACION 2025'!$C$3,IF(Y147="TIPO II",'BASE DE LIQUIDACION 2025'!$C$4,IF(Y147="TIPO III",'BASE DE LIQUIDACION 2025'!$C$5,'BASE DE LIQUIDACION 2025'!$C$6)))))</f>
        <v>44559.563999999998</v>
      </c>
      <c r="AD147" s="51">
        <f>IF(W147="SOPORTE_TELEFÓNICO",AC147,CIERRES!AB147*CIERRES!AC147)</f>
        <v>44559.563999999998</v>
      </c>
    </row>
    <row r="148" spans="1:30" s="81" customFormat="1" ht="13.15">
      <c r="A148" s="73" t="s">
        <v>302</v>
      </c>
      <c r="B148" s="50" t="str">
        <f>VLOOKUP(A148,'CENTRO DE COSTOS'!A:D,4,FALSE)</f>
        <v>MIGUEL JULIÁN HERNÁNDEZ GUARÍN</v>
      </c>
      <c r="C148" s="50" t="str">
        <f>VLOOKUP(A148,'CENTRO DE COSTOS'!A:C,2,FALSE)</f>
        <v>0004-0008</v>
      </c>
      <c r="D148" s="74">
        <v>13688</v>
      </c>
      <c r="E148" s="74" t="s">
        <v>930</v>
      </c>
      <c r="F148" s="73">
        <v>50319</v>
      </c>
      <c r="G148" s="74" t="s">
        <v>80</v>
      </c>
      <c r="H148" s="73" t="s">
        <v>651</v>
      </c>
      <c r="I148" s="73" t="s">
        <v>931</v>
      </c>
      <c r="J148" s="73" t="s">
        <v>932</v>
      </c>
      <c r="K148" s="74" t="s">
        <v>84</v>
      </c>
      <c r="L148" s="75" t="s">
        <v>933</v>
      </c>
      <c r="M148" s="75">
        <v>45864.333333333336</v>
      </c>
      <c r="N148" s="75">
        <v>45867.454062500001</v>
      </c>
      <c r="O148" s="10"/>
      <c r="P148" s="74" t="s">
        <v>86</v>
      </c>
      <c r="Q148" s="74" t="s">
        <v>87</v>
      </c>
      <c r="R148" s="78" t="s">
        <v>88</v>
      </c>
      <c r="S148" s="73" t="s">
        <v>88</v>
      </c>
      <c r="T148" s="79" t="s">
        <v>118</v>
      </c>
      <c r="U148" s="79" t="s">
        <v>119</v>
      </c>
      <c r="V148" s="78" t="s">
        <v>934</v>
      </c>
      <c r="W148" s="74" t="s">
        <v>138</v>
      </c>
      <c r="X148" s="60">
        <v>0</v>
      </c>
      <c r="Y148" s="80" t="s">
        <v>139</v>
      </c>
      <c r="Z148" s="80" t="s">
        <v>935</v>
      </c>
      <c r="AA148" s="74" t="s">
        <v>936</v>
      </c>
      <c r="AB148" s="74">
        <v>0</v>
      </c>
      <c r="AC148" s="51">
        <f>IF(AND(W148="SOPORTE_TELEFÓNICO",OR(U148="SIN CONTACTO CON EL CB",U148="NÚMEROS DE CONTACTO ERRADOS")),0,IF(W148="SOPORTE_TELEFÓNICO",'BASE DE LIQUIDACION 2025'!$B$9,IF(Y148="TIPO I",'BASE DE LIQUIDACION 2025'!$C$3,IF(Y148="TIPO II",'BASE DE LIQUIDACION 2025'!$C$4,IF(Y148="TIPO III",'BASE DE LIQUIDACION 2025'!$C$5,'BASE DE LIQUIDACION 2025'!$C$6)))))</f>
        <v>37904.612000000001</v>
      </c>
      <c r="AD148" s="51">
        <f>IF(W148="SOPORTE_TELEFÓNICO",AC148,CIERRES!AB148*CIERRES!AC148)</f>
        <v>37904.612000000001</v>
      </c>
    </row>
    <row r="149" spans="1:30" s="81" customFormat="1" ht="13.15">
      <c r="A149" s="73" t="s">
        <v>302</v>
      </c>
      <c r="B149" s="50" t="str">
        <f>VLOOKUP(A149,'CENTRO DE COSTOS'!A:D,4,FALSE)</f>
        <v>MIGUEL JULIÁN HERNÁNDEZ GUARÍN</v>
      </c>
      <c r="C149" s="50" t="str">
        <f>VLOOKUP(A149,'CENTRO DE COSTOS'!A:C,2,FALSE)</f>
        <v>0004-0008</v>
      </c>
      <c r="D149" s="74">
        <v>68001</v>
      </c>
      <c r="E149" s="74" t="s">
        <v>937</v>
      </c>
      <c r="F149" s="73">
        <v>73960</v>
      </c>
      <c r="G149" s="74" t="s">
        <v>80</v>
      </c>
      <c r="H149" s="73" t="s">
        <v>304</v>
      </c>
      <c r="I149" s="73" t="s">
        <v>302</v>
      </c>
      <c r="J149" s="73" t="s">
        <v>808</v>
      </c>
      <c r="K149" s="74" t="s">
        <v>84</v>
      </c>
      <c r="L149" s="75" t="s">
        <v>938</v>
      </c>
      <c r="M149" s="75">
        <v>45867.333333333336</v>
      </c>
      <c r="N149" s="75">
        <v>45867.501585648148</v>
      </c>
      <c r="O149" s="10"/>
      <c r="P149" s="74" t="s">
        <v>86</v>
      </c>
      <c r="Q149" s="74" t="s">
        <v>87</v>
      </c>
      <c r="R149" s="78" t="s">
        <v>148</v>
      </c>
      <c r="S149" s="73" t="s">
        <v>286</v>
      </c>
      <c r="T149" s="79" t="s">
        <v>118</v>
      </c>
      <c r="U149" s="79" t="s">
        <v>119</v>
      </c>
      <c r="V149" s="78" t="s">
        <v>939</v>
      </c>
      <c r="W149" s="74" t="s">
        <v>92</v>
      </c>
      <c r="X149" s="60" t="s">
        <v>940</v>
      </c>
      <c r="Y149" s="80" t="s">
        <v>102</v>
      </c>
      <c r="Z149" s="80" t="s">
        <v>94</v>
      </c>
      <c r="AA149" s="74" t="s">
        <v>381</v>
      </c>
      <c r="AB149" s="74">
        <v>1</v>
      </c>
      <c r="AC149" s="51">
        <f>IF(AND(W149="SOPORTE_TELEFÓNICO",OR(U149="SIN CONTACTO CON EL CB",U149="NÚMEROS DE CONTACTO ERRADOS")),0,IF(W149="SOPORTE_TELEFÓNICO",'BASE DE LIQUIDACION 2025'!$B$9,IF(Y149="TIPO I",'BASE DE LIQUIDACION 2025'!$C$3,IF(Y149="TIPO II",'BASE DE LIQUIDACION 2025'!$C$4,IF(Y149="TIPO III",'BASE DE LIQUIDACION 2025'!$C$5,'BASE DE LIQUIDACION 2025'!$C$6)))))</f>
        <v>44559.563999999998</v>
      </c>
      <c r="AD149" s="51">
        <f>IF(W149="SOPORTE_TELEFÓNICO",AC149,CIERRES!AB149*CIERRES!AC149)</f>
        <v>44559.563999999998</v>
      </c>
    </row>
    <row r="150" spans="1:30" s="81" customFormat="1" ht="13.15">
      <c r="A150" s="73" t="s">
        <v>159</v>
      </c>
      <c r="B150" s="50" t="str">
        <f>VLOOKUP(A150,'CENTRO DE COSTOS'!A:D,4,FALSE)</f>
        <v>JUAN SEBASTIÁN RÍOS CASTRILLÓN</v>
      </c>
      <c r="C150" s="50" t="str">
        <f>VLOOKUP(A150,'CENTRO DE COSTOS'!A:C,2,FALSE)</f>
        <v>0004-0005</v>
      </c>
      <c r="D150" s="74">
        <v>27361</v>
      </c>
      <c r="E150" s="74" t="s">
        <v>941</v>
      </c>
      <c r="F150" s="73">
        <v>60837</v>
      </c>
      <c r="G150" s="74" t="s">
        <v>80</v>
      </c>
      <c r="H150" s="73" t="s">
        <v>512</v>
      </c>
      <c r="I150" s="73" t="s">
        <v>942</v>
      </c>
      <c r="J150" s="73" t="s">
        <v>943</v>
      </c>
      <c r="K150" s="74" t="s">
        <v>84</v>
      </c>
      <c r="L150" s="75" t="s">
        <v>944</v>
      </c>
      <c r="M150" s="75">
        <v>45862.584027777775</v>
      </c>
      <c r="N150" s="75">
        <v>45867.618923611109</v>
      </c>
      <c r="O150" s="10"/>
      <c r="P150" s="74" t="s">
        <v>86</v>
      </c>
      <c r="Q150" s="74" t="s">
        <v>86</v>
      </c>
      <c r="R150" s="78" t="s">
        <v>88</v>
      </c>
      <c r="S150" s="73" t="s">
        <v>88</v>
      </c>
      <c r="T150" s="79" t="s">
        <v>118</v>
      </c>
      <c r="U150" s="79" t="s">
        <v>119</v>
      </c>
      <c r="V150" s="78" t="s">
        <v>945</v>
      </c>
      <c r="W150" s="74" t="s">
        <v>92</v>
      </c>
      <c r="X150" s="60" t="s">
        <v>946</v>
      </c>
      <c r="Y150" s="80" t="s">
        <v>139</v>
      </c>
      <c r="Z150" s="80" t="s">
        <v>140</v>
      </c>
      <c r="AA150" s="74" t="s">
        <v>806</v>
      </c>
      <c r="AB150" s="74">
        <v>1</v>
      </c>
      <c r="AC150" s="51">
        <f>IF(AND(W150="SOPORTE_TELEFÓNICO",OR(U150="SIN CONTACTO CON EL CB",U150="NÚMEROS DE CONTACTO ERRADOS")),0,IF(W150="SOPORTE_TELEFÓNICO",'BASE DE LIQUIDACION 2025'!$B$9,IF(Y150="TIPO I",'BASE DE LIQUIDACION 2025'!$C$3,IF(Y150="TIPO II",'BASE DE LIQUIDACION 2025'!$C$4,IF(Y150="TIPO III",'BASE DE LIQUIDACION 2025'!$C$5,'BASE DE LIQUIDACION 2025'!$C$6)))))</f>
        <v>464809.36800000002</v>
      </c>
      <c r="AD150" s="51">
        <f>IF(W150="SOPORTE_TELEFÓNICO",AC150,CIERRES!AB150*CIERRES!AC150)</f>
        <v>464809.36800000002</v>
      </c>
    </row>
    <row r="151" spans="1:30" s="81" customFormat="1" ht="13.15">
      <c r="A151" s="73" t="s">
        <v>194</v>
      </c>
      <c r="B151" s="50" t="str">
        <f>VLOOKUP(A151,'CENTRO DE COSTOS'!A:D,4,FALSE)</f>
        <v>KEVIN ALEXIS CORZO BUSTOS</v>
      </c>
      <c r="C151" s="50" t="str">
        <f>VLOOKUP(A151,'CENTRO DE COSTOS'!A:C,2,FALSE)</f>
        <v>0004-0007</v>
      </c>
      <c r="D151" s="74">
        <v>73001</v>
      </c>
      <c r="E151" s="74" t="s">
        <v>947</v>
      </c>
      <c r="F151" s="73">
        <v>63213</v>
      </c>
      <c r="G151" s="74" t="s">
        <v>80</v>
      </c>
      <c r="H151" s="73" t="s">
        <v>196</v>
      </c>
      <c r="I151" s="73" t="s">
        <v>194</v>
      </c>
      <c r="J151" s="73" t="s">
        <v>948</v>
      </c>
      <c r="K151" s="74" t="s">
        <v>84</v>
      </c>
      <c r="L151" s="75" t="s">
        <v>949</v>
      </c>
      <c r="M151" s="75">
        <v>45861.333333333336</v>
      </c>
      <c r="N151" s="75">
        <v>45867.643761574072</v>
      </c>
      <c r="O151" s="10"/>
      <c r="P151" s="74" t="s">
        <v>86</v>
      </c>
      <c r="Q151" s="74" t="s">
        <v>87</v>
      </c>
      <c r="R151" s="78" t="s">
        <v>148</v>
      </c>
      <c r="S151" s="73" t="s">
        <v>286</v>
      </c>
      <c r="T151" s="79" t="s">
        <v>89</v>
      </c>
      <c r="U151" s="79" t="s">
        <v>90</v>
      </c>
      <c r="V151" s="78" t="s">
        <v>950</v>
      </c>
      <c r="W151" s="74" t="s">
        <v>92</v>
      </c>
      <c r="X151" s="60" t="s">
        <v>324</v>
      </c>
      <c r="Y151" s="80" t="s">
        <v>102</v>
      </c>
      <c r="Z151" s="80" t="s">
        <v>94</v>
      </c>
      <c r="AA151" s="74" t="s">
        <v>522</v>
      </c>
      <c r="AB151" s="74">
        <v>1</v>
      </c>
      <c r="AC151" s="51">
        <f>IF(AND(W151="SOPORTE_TELEFÓNICO",OR(U151="SIN CONTACTO CON EL CB",U151="NÚMEROS DE CONTACTO ERRADOS")),0,IF(W151="SOPORTE_TELEFÓNICO",'BASE DE LIQUIDACION 2025'!$B$9,IF(Y151="TIPO I",'BASE DE LIQUIDACION 2025'!$C$3,IF(Y151="TIPO II",'BASE DE LIQUIDACION 2025'!$C$4,IF(Y151="TIPO III",'BASE DE LIQUIDACION 2025'!$C$5,'BASE DE LIQUIDACION 2025'!$C$6)))))</f>
        <v>44559.563999999998</v>
      </c>
      <c r="AD151" s="51">
        <f>IF(W151="SOPORTE_TELEFÓNICO",AC151,CIERRES!AB151*CIERRES!AC151)</f>
        <v>44559.563999999998</v>
      </c>
    </row>
    <row r="152" spans="1:30" s="81" customFormat="1" ht="13.15">
      <c r="A152" s="73" t="s">
        <v>357</v>
      </c>
      <c r="B152" s="50" t="str">
        <f>VLOOKUP(A152,'CENTRO DE COSTOS'!A:D,4,FALSE)</f>
        <v>MIGUEL JULIÁN HERNÁNDEZ GUARÍN</v>
      </c>
      <c r="C152" s="50" t="str">
        <f>VLOOKUP(A152,'CENTRO DE COSTOS'!A:C,2,FALSE)</f>
        <v>0004-0008</v>
      </c>
      <c r="D152" s="74">
        <v>54001</v>
      </c>
      <c r="E152" s="74" t="s">
        <v>951</v>
      </c>
      <c r="F152" s="73">
        <v>66187</v>
      </c>
      <c r="G152" s="74" t="s">
        <v>80</v>
      </c>
      <c r="H152" s="73" t="s">
        <v>359</v>
      </c>
      <c r="I152" s="73" t="s">
        <v>357</v>
      </c>
      <c r="J152" s="73" t="s">
        <v>952</v>
      </c>
      <c r="K152" s="74" t="s">
        <v>84</v>
      </c>
      <c r="L152" s="75" t="s">
        <v>953</v>
      </c>
      <c r="M152" s="75">
        <v>45862.333333333336</v>
      </c>
      <c r="N152" s="75">
        <v>45868.358784722222</v>
      </c>
      <c r="O152" s="10"/>
      <c r="P152" s="74" t="s">
        <v>86</v>
      </c>
      <c r="Q152" s="74" t="s">
        <v>87</v>
      </c>
      <c r="R152" s="78" t="s">
        <v>148</v>
      </c>
      <c r="S152" s="73" t="s">
        <v>286</v>
      </c>
      <c r="T152" s="79" t="s">
        <v>89</v>
      </c>
      <c r="U152" s="79" t="s">
        <v>90</v>
      </c>
      <c r="V152" s="78" t="s">
        <v>954</v>
      </c>
      <c r="W152" s="74" t="s">
        <v>92</v>
      </c>
      <c r="X152" s="60">
        <v>0</v>
      </c>
      <c r="Y152" s="80" t="s">
        <v>102</v>
      </c>
      <c r="Z152" s="80" t="s">
        <v>94</v>
      </c>
      <c r="AA152" s="74" t="s">
        <v>316</v>
      </c>
      <c r="AB152" s="74">
        <v>1</v>
      </c>
      <c r="AC152" s="51">
        <f>IF(AND(W152="SOPORTE_TELEFÓNICO",OR(U152="SIN CONTACTO CON EL CB",U152="NÚMEROS DE CONTACTO ERRADOS")),0,IF(W152="SOPORTE_TELEFÓNICO",'BASE DE LIQUIDACION 2025'!$B$9,IF(Y152="TIPO I",'BASE DE LIQUIDACION 2025'!$C$3,IF(Y152="TIPO II",'BASE DE LIQUIDACION 2025'!$C$4,IF(Y152="TIPO III",'BASE DE LIQUIDACION 2025'!$C$5,'BASE DE LIQUIDACION 2025'!$C$6)))))</f>
        <v>44559.563999999998</v>
      </c>
      <c r="AD152" s="51">
        <f>IF(W152="SOPORTE_TELEFÓNICO",AC152,CIERRES!AB152*CIERRES!AC152)</f>
        <v>44559.563999999998</v>
      </c>
    </row>
    <row r="153" spans="1:30" s="81" customFormat="1" ht="13.15">
      <c r="A153" s="73" t="s">
        <v>96</v>
      </c>
      <c r="B153" s="50" t="str">
        <f>VLOOKUP(A153,'CENTRO DE COSTOS'!A:D,4,FALSE)</f>
        <v>DIEGO FERNANDO HENAO CARDONA</v>
      </c>
      <c r="C153" s="50" t="str">
        <f>VLOOKUP(A153,'CENTRO DE COSTOS'!A:C,2,FALSE)</f>
        <v>0004-0003</v>
      </c>
      <c r="D153" s="74">
        <v>86573</v>
      </c>
      <c r="E153" s="74" t="s">
        <v>955</v>
      </c>
      <c r="F153" s="73">
        <v>52584</v>
      </c>
      <c r="G153" s="74" t="s">
        <v>80</v>
      </c>
      <c r="H153" s="73" t="s">
        <v>447</v>
      </c>
      <c r="I153" s="73" t="s">
        <v>448</v>
      </c>
      <c r="J153" s="73" t="s">
        <v>956</v>
      </c>
      <c r="K153" s="74" t="s">
        <v>84</v>
      </c>
      <c r="L153" s="75" t="s">
        <v>957</v>
      </c>
      <c r="M153" s="75">
        <v>45856.638194444444</v>
      </c>
      <c r="N153" s="75">
        <v>45868.363194444442</v>
      </c>
      <c r="O153" s="10"/>
      <c r="P153" s="74" t="s">
        <v>86</v>
      </c>
      <c r="Q153" s="74" t="s">
        <v>86</v>
      </c>
      <c r="R153" s="78" t="s">
        <v>88</v>
      </c>
      <c r="S153" s="73" t="s">
        <v>88</v>
      </c>
      <c r="T153" s="79" t="s">
        <v>118</v>
      </c>
      <c r="U153" s="79" t="s">
        <v>119</v>
      </c>
      <c r="V153" s="78" t="s">
        <v>958</v>
      </c>
      <c r="W153" s="74" t="s">
        <v>138</v>
      </c>
      <c r="X153" s="60">
        <v>0</v>
      </c>
      <c r="Y153" s="80" t="s">
        <v>129</v>
      </c>
      <c r="Z153" s="80" t="s">
        <v>140</v>
      </c>
      <c r="AA153" s="74" t="s">
        <v>253</v>
      </c>
      <c r="AB153" s="74">
        <v>0</v>
      </c>
      <c r="AC153" s="51">
        <f>IF(AND(W153="SOPORTE_TELEFÓNICO",OR(U153="SIN CONTACTO CON EL CB",U153="NÚMEROS DE CONTACTO ERRADOS")),0,IF(W153="SOPORTE_TELEFÓNICO",'BASE DE LIQUIDACION 2025'!$B$9,IF(Y153="TIPO I",'BASE DE LIQUIDACION 2025'!$C$3,IF(Y153="TIPO II",'BASE DE LIQUIDACION 2025'!$C$4,IF(Y153="TIPO III",'BASE DE LIQUIDACION 2025'!$C$5,'BASE DE LIQUIDACION 2025'!$C$6)))))</f>
        <v>37904.612000000001</v>
      </c>
      <c r="AD153" s="51">
        <f>IF(W153="SOPORTE_TELEFÓNICO",AC153,CIERRES!AB153*CIERRES!AC153)</f>
        <v>37904.612000000001</v>
      </c>
    </row>
    <row r="154" spans="1:30" s="81" customFormat="1" ht="13.15">
      <c r="A154" s="73" t="s">
        <v>113</v>
      </c>
      <c r="B154" s="50" t="str">
        <f>VLOOKUP(A154,'CENTRO DE COSTOS'!A:D,4,FALSE)</f>
        <v>JOSE MAURICIO HERNANDEZ ROJAS</v>
      </c>
      <c r="C154" s="50" t="str">
        <f>VLOOKUP(A154,'CENTRO DE COSTOS'!A:C,2,FALSE)</f>
        <v>0004-0001</v>
      </c>
      <c r="D154" s="74">
        <v>23555</v>
      </c>
      <c r="E154" s="74" t="s">
        <v>959</v>
      </c>
      <c r="F154" s="73">
        <v>54778</v>
      </c>
      <c r="G154" s="74" t="s">
        <v>80</v>
      </c>
      <c r="H154" s="73" t="s">
        <v>115</v>
      </c>
      <c r="I154" s="73" t="s">
        <v>960</v>
      </c>
      <c r="J154" s="73" t="s">
        <v>961</v>
      </c>
      <c r="K154" s="74" t="s">
        <v>84</v>
      </c>
      <c r="L154" s="75" t="s">
        <v>962</v>
      </c>
      <c r="M154" s="75">
        <v>45867.333333333336</v>
      </c>
      <c r="N154" s="75">
        <v>45868.373611111114</v>
      </c>
      <c r="O154" s="10"/>
      <c r="P154" s="74" t="s">
        <v>86</v>
      </c>
      <c r="Q154" s="74" t="s">
        <v>86</v>
      </c>
      <c r="R154" s="78" t="s">
        <v>148</v>
      </c>
      <c r="S154" s="73" t="s">
        <v>149</v>
      </c>
      <c r="T154" s="79" t="s">
        <v>118</v>
      </c>
      <c r="U154" s="79" t="s">
        <v>119</v>
      </c>
      <c r="V154" s="78" t="s">
        <v>963</v>
      </c>
      <c r="W154" s="74" t="s">
        <v>92</v>
      </c>
      <c r="X154" s="60">
        <v>0</v>
      </c>
      <c r="Y154" s="80" t="s">
        <v>93</v>
      </c>
      <c r="Z154" s="80" t="s">
        <v>94</v>
      </c>
      <c r="AA154" s="74" t="s">
        <v>551</v>
      </c>
      <c r="AB154" s="74">
        <v>1</v>
      </c>
      <c r="AC154" s="51">
        <f>IF(AND(W154="SOPORTE_TELEFÓNICO",OR(U154="SIN CONTACTO CON EL CB",U154="NÚMEROS DE CONTACTO ERRADOS")),0,IF(W154="SOPORTE_TELEFÓNICO",'BASE DE LIQUIDACION 2025'!$B$9,IF(Y154="TIPO I",'BASE DE LIQUIDACION 2025'!$C$3,IF(Y154="TIPO II",'BASE DE LIQUIDACION 2025'!$C$4,IF(Y154="TIPO III",'BASE DE LIQUIDACION 2025'!$C$5,'BASE DE LIQUIDACION 2025'!$C$6)))))</f>
        <v>134410.88400000002</v>
      </c>
      <c r="AD154" s="51">
        <f>IF(W154="SOPORTE_TELEFÓNICO",AC154,CIERRES!AB154*CIERRES!AC154)</f>
        <v>134410.88400000002</v>
      </c>
    </row>
    <row r="155" spans="1:30" s="81" customFormat="1" ht="13.15">
      <c r="A155" s="73" t="s">
        <v>159</v>
      </c>
      <c r="B155" s="50" t="str">
        <f>VLOOKUP(A155,'CENTRO DE COSTOS'!A:D,4,FALSE)</f>
        <v>JUAN SEBASTIÁN RÍOS CASTRILLÓN</v>
      </c>
      <c r="C155" s="50" t="str">
        <f>VLOOKUP(A155,'CENTRO DE COSTOS'!A:C,2,FALSE)</f>
        <v>0004-0005</v>
      </c>
      <c r="D155" s="74">
        <v>5001</v>
      </c>
      <c r="E155" s="74" t="s">
        <v>964</v>
      </c>
      <c r="F155" s="73">
        <v>32236</v>
      </c>
      <c r="G155" s="74" t="s">
        <v>80</v>
      </c>
      <c r="H155" s="73" t="s">
        <v>161</v>
      </c>
      <c r="I155" s="73" t="s">
        <v>159</v>
      </c>
      <c r="J155" s="73" t="s">
        <v>965</v>
      </c>
      <c r="K155" s="74" t="s">
        <v>84</v>
      </c>
      <c r="L155" s="75" t="s">
        <v>966</v>
      </c>
      <c r="M155" s="75">
        <v>45867.333333333336</v>
      </c>
      <c r="N155" s="75">
        <v>45868.376388888886</v>
      </c>
      <c r="O155" s="10"/>
      <c r="P155" s="74" t="s">
        <v>86</v>
      </c>
      <c r="Q155" s="74" t="s">
        <v>87</v>
      </c>
      <c r="R155" s="78" t="s">
        <v>148</v>
      </c>
      <c r="S155" s="73" t="s">
        <v>286</v>
      </c>
      <c r="T155" s="79" t="s">
        <v>89</v>
      </c>
      <c r="U155" s="79" t="s">
        <v>90</v>
      </c>
      <c r="V155" s="78" t="s">
        <v>967</v>
      </c>
      <c r="W155" s="74" t="s">
        <v>92</v>
      </c>
      <c r="X155" s="60">
        <v>0</v>
      </c>
      <c r="Y155" s="80" t="s">
        <v>102</v>
      </c>
      <c r="Z155" s="80" t="s">
        <v>94</v>
      </c>
      <c r="AA155" s="74" t="s">
        <v>775</v>
      </c>
      <c r="AB155" s="74">
        <v>1</v>
      </c>
      <c r="AC155" s="51">
        <f>IF(AND(W155="SOPORTE_TELEFÓNICO",OR(U155="SIN CONTACTO CON EL CB",U155="NÚMEROS DE CONTACTO ERRADOS")),0,IF(W155="SOPORTE_TELEFÓNICO",'BASE DE LIQUIDACION 2025'!$B$9,IF(Y155="TIPO I",'BASE DE LIQUIDACION 2025'!$C$3,IF(Y155="TIPO II",'BASE DE LIQUIDACION 2025'!$C$4,IF(Y155="TIPO III",'BASE DE LIQUIDACION 2025'!$C$5,'BASE DE LIQUIDACION 2025'!$C$6)))))</f>
        <v>44559.563999999998</v>
      </c>
      <c r="AD155" s="51">
        <f>IF(W155="SOPORTE_TELEFÓNICO",AC155,CIERRES!AB155*CIERRES!AC155)</f>
        <v>44559.563999999998</v>
      </c>
    </row>
    <row r="156" spans="1:30" s="81" customFormat="1" ht="13.15">
      <c r="A156" s="73" t="s">
        <v>113</v>
      </c>
      <c r="B156" s="50" t="str">
        <f>VLOOKUP(A156,'CENTRO DE COSTOS'!A:D,4,FALSE)</f>
        <v>JOSE MAURICIO HERNANDEZ ROJAS</v>
      </c>
      <c r="C156" s="50" t="str">
        <f>VLOOKUP(A156,'CENTRO DE COSTOS'!A:C,2,FALSE)</f>
        <v>0004-0001</v>
      </c>
      <c r="D156" s="74">
        <v>23001</v>
      </c>
      <c r="E156" s="74" t="s">
        <v>968</v>
      </c>
      <c r="F156" s="73">
        <v>76641</v>
      </c>
      <c r="G156" s="74" t="s">
        <v>80</v>
      </c>
      <c r="H156" s="73" t="s">
        <v>115</v>
      </c>
      <c r="I156" s="73" t="s">
        <v>113</v>
      </c>
      <c r="J156" s="73" t="s">
        <v>969</v>
      </c>
      <c r="K156" s="74" t="s">
        <v>84</v>
      </c>
      <c r="L156" s="75" t="s">
        <v>970</v>
      </c>
      <c r="M156" s="75">
        <v>45867.333333333336</v>
      </c>
      <c r="N156" s="75">
        <v>45868.378472222219</v>
      </c>
      <c r="O156" s="10"/>
      <c r="P156" s="74" t="s">
        <v>86</v>
      </c>
      <c r="Q156" s="74" t="s">
        <v>87</v>
      </c>
      <c r="R156" s="78" t="s">
        <v>148</v>
      </c>
      <c r="S156" s="73" t="s">
        <v>286</v>
      </c>
      <c r="T156" s="79" t="s">
        <v>118</v>
      </c>
      <c r="U156" s="79" t="s">
        <v>119</v>
      </c>
      <c r="V156" s="78" t="s">
        <v>971</v>
      </c>
      <c r="W156" s="74" t="s">
        <v>92</v>
      </c>
      <c r="X156" s="60">
        <v>0</v>
      </c>
      <c r="Y156" s="80" t="s">
        <v>102</v>
      </c>
      <c r="Z156" s="80" t="s">
        <v>94</v>
      </c>
      <c r="AA156" s="74" t="s">
        <v>344</v>
      </c>
      <c r="AB156" s="74">
        <v>1</v>
      </c>
      <c r="AC156" s="51">
        <f>IF(AND(W156="SOPORTE_TELEFÓNICO",OR(U156="SIN CONTACTO CON EL CB",U156="NÚMEROS DE CONTACTO ERRADOS")),0,IF(W156="SOPORTE_TELEFÓNICO",'BASE DE LIQUIDACION 2025'!$B$9,IF(Y156="TIPO I",'BASE DE LIQUIDACION 2025'!$C$3,IF(Y156="TIPO II",'BASE DE LIQUIDACION 2025'!$C$4,IF(Y156="TIPO III",'BASE DE LIQUIDACION 2025'!$C$5,'BASE DE LIQUIDACION 2025'!$C$6)))))</f>
        <v>44559.563999999998</v>
      </c>
      <c r="AD156" s="51">
        <f>IF(W156="SOPORTE_TELEFÓNICO",AC156,CIERRES!AB156*CIERRES!AC156)</f>
        <v>44559.563999999998</v>
      </c>
    </row>
    <row r="157" spans="1:30" s="81" customFormat="1" ht="13.15">
      <c r="A157" s="73" t="s">
        <v>104</v>
      </c>
      <c r="B157" s="50" t="str">
        <f>VLOOKUP(A157,'CENTRO DE COSTOS'!A:D,4,FALSE)</f>
        <v>DIEGO FERNANDO HENAO CARDONA</v>
      </c>
      <c r="C157" s="50" t="str">
        <f>VLOOKUP(A157,'CENTRO DE COSTOS'!A:C,2,FALSE)</f>
        <v>0004-0003</v>
      </c>
      <c r="D157" s="74">
        <v>76001</v>
      </c>
      <c r="E157" s="74" t="s">
        <v>972</v>
      </c>
      <c r="F157" s="73">
        <v>65166</v>
      </c>
      <c r="G157" s="74" t="s">
        <v>80</v>
      </c>
      <c r="H157" s="73" t="s">
        <v>144</v>
      </c>
      <c r="I157" s="73" t="s">
        <v>104</v>
      </c>
      <c r="J157" s="73" t="s">
        <v>777</v>
      </c>
      <c r="K157" s="74" t="s">
        <v>84</v>
      </c>
      <c r="L157" s="75" t="s">
        <v>973</v>
      </c>
      <c r="M157" s="75">
        <v>45867.333333333336</v>
      </c>
      <c r="N157" s="75">
        <v>45868.389386574083</v>
      </c>
      <c r="O157" s="10"/>
      <c r="P157" s="74" t="s">
        <v>86</v>
      </c>
      <c r="Q157" s="74" t="s">
        <v>87</v>
      </c>
      <c r="R157" s="78" t="s">
        <v>148</v>
      </c>
      <c r="S157" s="73" t="s">
        <v>286</v>
      </c>
      <c r="T157" s="79" t="s">
        <v>89</v>
      </c>
      <c r="U157" s="79" t="s">
        <v>90</v>
      </c>
      <c r="V157" s="78" t="s">
        <v>974</v>
      </c>
      <c r="W157" s="74" t="s">
        <v>92</v>
      </c>
      <c r="X157" s="60">
        <v>0</v>
      </c>
      <c r="Y157" s="80" t="s">
        <v>102</v>
      </c>
      <c r="Z157" s="80" t="s">
        <v>94</v>
      </c>
      <c r="AA157" s="74" t="s">
        <v>488</v>
      </c>
      <c r="AB157" s="74">
        <v>1</v>
      </c>
      <c r="AC157" s="51">
        <f>IF(AND(W157="SOPORTE_TELEFÓNICO",OR(U157="SIN CONTACTO CON EL CB",U157="NÚMEROS DE CONTACTO ERRADOS")),0,IF(W157="SOPORTE_TELEFÓNICO",'BASE DE LIQUIDACION 2025'!$B$9,IF(Y157="TIPO I",'BASE DE LIQUIDACION 2025'!$C$3,IF(Y157="TIPO II",'BASE DE LIQUIDACION 2025'!$C$4,IF(Y157="TIPO III",'BASE DE LIQUIDACION 2025'!$C$5,'BASE DE LIQUIDACION 2025'!$C$6)))))</f>
        <v>44559.563999999998</v>
      </c>
      <c r="AD157" s="51">
        <f>IF(W157="SOPORTE_TELEFÓNICO",AC157,CIERRES!AB157*CIERRES!AC157)</f>
        <v>44559.563999999998</v>
      </c>
    </row>
    <row r="158" spans="1:30" s="81" customFormat="1" ht="13.15">
      <c r="A158" s="73" t="s">
        <v>78</v>
      </c>
      <c r="B158" s="50" t="str">
        <f>VLOOKUP(A158,'CENTRO DE COSTOS'!A:D,4,FALSE)</f>
        <v>WILLIAM ASDRUBAL ROZO ROZO</v>
      </c>
      <c r="C158" s="50" t="str">
        <f>VLOOKUP(A158,'CENTRO DE COSTOS'!A:C,2,FALSE)</f>
        <v>0004-0004</v>
      </c>
      <c r="D158" s="74">
        <v>11001</v>
      </c>
      <c r="E158" s="74" t="s">
        <v>975</v>
      </c>
      <c r="F158" s="73">
        <v>25734</v>
      </c>
      <c r="G158" s="74" t="s">
        <v>80</v>
      </c>
      <c r="H158" s="73" t="s">
        <v>81</v>
      </c>
      <c r="I158" s="73" t="s">
        <v>78</v>
      </c>
      <c r="J158" s="73" t="s">
        <v>976</v>
      </c>
      <c r="K158" s="74" t="s">
        <v>84</v>
      </c>
      <c r="L158" s="75" t="s">
        <v>977</v>
      </c>
      <c r="M158" s="75">
        <v>45862.584027777775</v>
      </c>
      <c r="N158" s="75">
        <v>45868.51662037037</v>
      </c>
      <c r="O158" s="10"/>
      <c r="P158" s="74" t="s">
        <v>86</v>
      </c>
      <c r="Q158" s="74" t="s">
        <v>86</v>
      </c>
      <c r="R158" s="78" t="s">
        <v>88</v>
      </c>
      <c r="S158" s="73" t="s">
        <v>88</v>
      </c>
      <c r="T158" s="79" t="s">
        <v>89</v>
      </c>
      <c r="U158" s="79" t="s">
        <v>90</v>
      </c>
      <c r="V158" s="78" t="s">
        <v>978</v>
      </c>
      <c r="W158" s="74" t="s">
        <v>92</v>
      </c>
      <c r="X158" s="60">
        <v>0</v>
      </c>
      <c r="Y158" s="80" t="s">
        <v>102</v>
      </c>
      <c r="Z158" s="80" t="s">
        <v>94</v>
      </c>
      <c r="AA158" s="74" t="s">
        <v>979</v>
      </c>
      <c r="AB158" s="74">
        <v>2</v>
      </c>
      <c r="AC158" s="51">
        <f>IF(AND(W158="SOPORTE_TELEFÓNICO",OR(U158="SIN CONTACTO CON EL CB",U158="NÚMEROS DE CONTACTO ERRADOS")),0,IF(W158="SOPORTE_TELEFÓNICO",'BASE DE LIQUIDACION 2025'!$B$9,IF(Y158="TIPO I",'BASE DE LIQUIDACION 2025'!$C$3,IF(Y158="TIPO II",'BASE DE LIQUIDACION 2025'!$C$4,IF(Y158="TIPO III",'BASE DE LIQUIDACION 2025'!$C$5,'BASE DE LIQUIDACION 2025'!$C$6)))))</f>
        <v>44559.563999999998</v>
      </c>
      <c r="AD158" s="51">
        <f>IF(W158="SOPORTE_TELEFÓNICO",AC158,CIERRES!AB158*CIERRES!AC158)</f>
        <v>89119.127999999997</v>
      </c>
    </row>
    <row r="159" spans="1:30" s="81" customFormat="1" ht="13.15">
      <c r="A159" s="73" t="s">
        <v>104</v>
      </c>
      <c r="B159" s="50" t="str">
        <f>VLOOKUP(A159,'CENTRO DE COSTOS'!A:D,4,FALSE)</f>
        <v>DIEGO FERNANDO HENAO CARDONA</v>
      </c>
      <c r="C159" s="50" t="str">
        <f>VLOOKUP(A159,'CENTRO DE COSTOS'!A:C,2,FALSE)</f>
        <v>0004-0003</v>
      </c>
      <c r="D159" s="74">
        <v>76834</v>
      </c>
      <c r="E159" s="74" t="s">
        <v>980</v>
      </c>
      <c r="F159" s="73">
        <v>61527</v>
      </c>
      <c r="G159" s="74" t="s">
        <v>80</v>
      </c>
      <c r="H159" s="73" t="s">
        <v>144</v>
      </c>
      <c r="I159" s="73" t="s">
        <v>886</v>
      </c>
      <c r="J159" s="73" t="s">
        <v>981</v>
      </c>
      <c r="K159" s="74" t="s">
        <v>84</v>
      </c>
      <c r="L159" s="75" t="s">
        <v>982</v>
      </c>
      <c r="M159" s="75">
        <v>45862.333333333336</v>
      </c>
      <c r="N159" s="75">
        <v>45869.375694444447</v>
      </c>
      <c r="O159" s="10"/>
      <c r="P159" s="74" t="s">
        <v>86</v>
      </c>
      <c r="Q159" s="74" t="s">
        <v>87</v>
      </c>
      <c r="R159" s="78" t="s">
        <v>88</v>
      </c>
      <c r="S159" s="73" t="s">
        <v>88</v>
      </c>
      <c r="T159" s="79" t="s">
        <v>118</v>
      </c>
      <c r="U159" s="79" t="s">
        <v>983</v>
      </c>
      <c r="V159" s="78" t="s">
        <v>984</v>
      </c>
      <c r="W159" s="74" t="s">
        <v>138</v>
      </c>
      <c r="X159" s="60">
        <v>0</v>
      </c>
      <c r="Y159" s="80" t="s">
        <v>93</v>
      </c>
      <c r="Z159" s="80" t="s">
        <v>94</v>
      </c>
      <c r="AA159" s="74" t="s">
        <v>985</v>
      </c>
      <c r="AB159" s="74">
        <v>0</v>
      </c>
      <c r="AC159" s="51">
        <f>IF(AND(W159="SOPORTE_TELEFÓNICO",OR(U159="SIN CONTACTO CON EL CB",U159="NÚMEROS DE CONTACTO ERRADOS")),0,IF(W159="SOPORTE_TELEFÓNICO",'BASE DE LIQUIDACION 2025'!$B$9,IF(Y159="TIPO I",'BASE DE LIQUIDACION 2025'!$C$3,IF(Y159="TIPO II",'BASE DE LIQUIDACION 2025'!$C$4,IF(Y159="TIPO III",'BASE DE LIQUIDACION 2025'!$C$5,'BASE DE LIQUIDACION 2025'!$C$6)))))</f>
        <v>37904.612000000001</v>
      </c>
      <c r="AD159" s="51">
        <f>IF(W159="SOPORTE_TELEFÓNICO",AC159,CIERRES!AB159*CIERRES!AC159)</f>
        <v>37904.612000000001</v>
      </c>
    </row>
    <row r="160" spans="1:30" s="81" customFormat="1" ht="13.15">
      <c r="A160" s="73" t="s">
        <v>78</v>
      </c>
      <c r="B160" s="50" t="str">
        <f>VLOOKUP(A160,'CENTRO DE COSTOS'!A:D,4,FALSE)</f>
        <v>WILLIAM ASDRUBAL ROZO ROZO</v>
      </c>
      <c r="C160" s="50" t="str">
        <f>VLOOKUP(A160,'CENTRO DE COSTOS'!A:C,2,FALSE)</f>
        <v>0004-0004</v>
      </c>
      <c r="D160" s="74">
        <v>11001</v>
      </c>
      <c r="E160" s="74" t="s">
        <v>986</v>
      </c>
      <c r="F160" s="73">
        <v>70015</v>
      </c>
      <c r="G160" s="74" t="s">
        <v>80</v>
      </c>
      <c r="H160" s="73" t="s">
        <v>81</v>
      </c>
      <c r="I160" s="73" t="s">
        <v>78</v>
      </c>
      <c r="J160" s="73" t="s">
        <v>987</v>
      </c>
      <c r="K160" s="74" t="s">
        <v>84</v>
      </c>
      <c r="L160" s="75" t="s">
        <v>988</v>
      </c>
      <c r="M160" s="75">
        <v>45867.333333333336</v>
      </c>
      <c r="N160" s="75">
        <v>45869.441666666666</v>
      </c>
      <c r="O160" s="10"/>
      <c r="P160" s="74" t="s">
        <v>86</v>
      </c>
      <c r="Q160" s="74" t="s">
        <v>87</v>
      </c>
      <c r="R160" s="78" t="s">
        <v>148</v>
      </c>
      <c r="S160" s="73" t="s">
        <v>286</v>
      </c>
      <c r="T160" s="79" t="s">
        <v>89</v>
      </c>
      <c r="U160" s="79" t="s">
        <v>90</v>
      </c>
      <c r="V160" s="78" t="s">
        <v>989</v>
      </c>
      <c r="W160" s="74" t="s">
        <v>92</v>
      </c>
      <c r="X160" s="60">
        <v>0</v>
      </c>
      <c r="Y160" s="80" t="s">
        <v>102</v>
      </c>
      <c r="Z160" s="80" t="s">
        <v>94</v>
      </c>
      <c r="AA160" s="74" t="s">
        <v>979</v>
      </c>
      <c r="AB160" s="74">
        <v>1</v>
      </c>
      <c r="AC160" s="51">
        <f>IF(AND(W160="SOPORTE_TELEFÓNICO",OR(U160="SIN CONTACTO CON EL CB",U160="NÚMEROS DE CONTACTO ERRADOS")),0,IF(W160="SOPORTE_TELEFÓNICO",'BASE DE LIQUIDACION 2025'!$B$9,IF(Y160="TIPO I",'BASE DE LIQUIDACION 2025'!$C$3,IF(Y160="TIPO II",'BASE DE LIQUIDACION 2025'!$C$4,IF(Y160="TIPO III",'BASE DE LIQUIDACION 2025'!$C$5,'BASE DE LIQUIDACION 2025'!$C$6)))))</f>
        <v>44559.563999999998</v>
      </c>
      <c r="AD160" s="51">
        <f>IF(W160="SOPORTE_TELEFÓNICO",AC160,CIERRES!AB160*CIERRES!AC160)</f>
        <v>44559.563999999998</v>
      </c>
    </row>
    <row r="161" spans="1:30" s="81" customFormat="1" ht="13.15">
      <c r="A161" s="73" t="s">
        <v>78</v>
      </c>
      <c r="B161" s="50" t="str">
        <f>VLOOKUP(A161,'CENTRO DE COSTOS'!A:D,4,FALSE)</f>
        <v>WILLIAM ASDRUBAL ROZO ROZO</v>
      </c>
      <c r="C161" s="50" t="str">
        <f>VLOOKUP(A161,'CENTRO DE COSTOS'!A:C,2,FALSE)</f>
        <v>0004-0004</v>
      </c>
      <c r="D161" s="74">
        <v>11001</v>
      </c>
      <c r="E161" s="74" t="s">
        <v>990</v>
      </c>
      <c r="F161" s="73">
        <v>69187</v>
      </c>
      <c r="G161" s="74" t="s">
        <v>80</v>
      </c>
      <c r="H161" s="73" t="s">
        <v>81</v>
      </c>
      <c r="I161" s="73" t="s">
        <v>78</v>
      </c>
      <c r="J161" s="73" t="s">
        <v>991</v>
      </c>
      <c r="K161" s="74" t="s">
        <v>84</v>
      </c>
      <c r="L161" s="75" t="s">
        <v>992</v>
      </c>
      <c r="M161" s="75">
        <v>45867.333333333336</v>
      </c>
      <c r="N161" s="75">
        <v>45869.452777777777</v>
      </c>
      <c r="O161" s="10"/>
      <c r="P161" s="74" t="s">
        <v>86</v>
      </c>
      <c r="Q161" s="74" t="s">
        <v>87</v>
      </c>
      <c r="R161" s="78" t="s">
        <v>88</v>
      </c>
      <c r="S161" s="73" t="s">
        <v>88</v>
      </c>
      <c r="T161" s="79" t="s">
        <v>89</v>
      </c>
      <c r="U161" s="79" t="s">
        <v>90</v>
      </c>
      <c r="V161" s="78" t="s">
        <v>993</v>
      </c>
      <c r="W161" s="74" t="s">
        <v>92</v>
      </c>
      <c r="X161" s="60">
        <v>0</v>
      </c>
      <c r="Y161" s="80" t="s">
        <v>102</v>
      </c>
      <c r="Z161" s="80" t="s">
        <v>94</v>
      </c>
      <c r="AA161" s="74" t="s">
        <v>573</v>
      </c>
      <c r="AB161" s="74">
        <v>1</v>
      </c>
      <c r="AC161" s="51">
        <f>IF(AND(W161="SOPORTE_TELEFÓNICO",OR(U161="SIN CONTACTO CON EL CB",U161="NÚMEROS DE CONTACTO ERRADOS")),0,IF(W161="SOPORTE_TELEFÓNICO",'BASE DE LIQUIDACION 2025'!$B$9,IF(Y161="TIPO I",'BASE DE LIQUIDACION 2025'!$C$3,IF(Y161="TIPO II",'BASE DE LIQUIDACION 2025'!$C$4,IF(Y161="TIPO III",'BASE DE LIQUIDACION 2025'!$C$5,'BASE DE LIQUIDACION 2025'!$C$6)))))</f>
        <v>44559.563999999998</v>
      </c>
      <c r="AD161" s="51">
        <f>IF(W161="SOPORTE_TELEFÓNICO",AC161,CIERRES!AB161*CIERRES!AC161)</f>
        <v>44559.563999999998</v>
      </c>
    </row>
    <row r="162" spans="1:30" s="81" customFormat="1" ht="13.15">
      <c r="A162" s="73" t="s">
        <v>194</v>
      </c>
      <c r="B162" s="50" t="str">
        <f>VLOOKUP(A162,'CENTRO DE COSTOS'!A:D,4,FALSE)</f>
        <v>KEVIN ALEXIS CORZO BUSTOS</v>
      </c>
      <c r="C162" s="50" t="str">
        <f>VLOOKUP(A162,'CENTRO DE COSTOS'!A:C,2,FALSE)</f>
        <v>0004-0007</v>
      </c>
      <c r="D162" s="74">
        <v>73001</v>
      </c>
      <c r="E162" s="74" t="s">
        <v>994</v>
      </c>
      <c r="F162" s="73">
        <v>26012</v>
      </c>
      <c r="G162" s="74" t="s">
        <v>80</v>
      </c>
      <c r="H162" s="73" t="s">
        <v>196</v>
      </c>
      <c r="I162" s="73" t="s">
        <v>194</v>
      </c>
      <c r="J162" s="73" t="s">
        <v>995</v>
      </c>
      <c r="K162" s="74" t="s">
        <v>84</v>
      </c>
      <c r="L162" s="75" t="s">
        <v>996</v>
      </c>
      <c r="M162" s="75">
        <v>45868.665972222225</v>
      </c>
      <c r="N162" s="75">
        <v>45869.461851851847</v>
      </c>
      <c r="O162" s="10"/>
      <c r="P162" s="74" t="s">
        <v>86</v>
      </c>
      <c r="Q162" s="74" t="s">
        <v>86</v>
      </c>
      <c r="R162" s="78" t="s">
        <v>88</v>
      </c>
      <c r="S162" s="73" t="s">
        <v>88</v>
      </c>
      <c r="T162" s="79" t="s">
        <v>89</v>
      </c>
      <c r="U162" s="79" t="s">
        <v>90</v>
      </c>
      <c r="V162" s="78" t="s">
        <v>997</v>
      </c>
      <c r="W162" s="74" t="s">
        <v>92</v>
      </c>
      <c r="X162" s="60" t="s">
        <v>324</v>
      </c>
      <c r="Y162" s="80" t="s">
        <v>102</v>
      </c>
      <c r="Z162" s="80" t="s">
        <v>94</v>
      </c>
      <c r="AA162" s="74" t="s">
        <v>522</v>
      </c>
      <c r="AB162" s="74">
        <v>1</v>
      </c>
      <c r="AC162" s="51">
        <f>IF(AND(W162="SOPORTE_TELEFÓNICO",OR(U162="SIN CONTACTO CON EL CB",U162="NÚMEROS DE CONTACTO ERRADOS")),0,IF(W162="SOPORTE_TELEFÓNICO",'BASE DE LIQUIDACION 2025'!$B$9,IF(Y162="TIPO I",'BASE DE LIQUIDACION 2025'!$C$3,IF(Y162="TIPO II",'BASE DE LIQUIDACION 2025'!$C$4,IF(Y162="TIPO III",'BASE DE LIQUIDACION 2025'!$C$5,'BASE DE LIQUIDACION 2025'!$C$6)))))</f>
        <v>44559.563999999998</v>
      </c>
      <c r="AD162" s="51">
        <f>IF(W162="SOPORTE_TELEFÓNICO",AC162,CIERRES!AB162*CIERRES!AC162)</f>
        <v>44559.563999999998</v>
      </c>
    </row>
    <row r="163" spans="1:30" s="81" customFormat="1" ht="13.15">
      <c r="A163" s="73" t="s">
        <v>78</v>
      </c>
      <c r="B163" s="50" t="str">
        <f>VLOOKUP(A163,'CENTRO DE COSTOS'!A:D,4,FALSE)</f>
        <v>WILLIAM ASDRUBAL ROZO ROZO</v>
      </c>
      <c r="C163" s="50" t="str">
        <f>VLOOKUP(A163,'CENTRO DE COSTOS'!A:C,2,FALSE)</f>
        <v>0004-0004</v>
      </c>
      <c r="D163" s="74">
        <v>11001</v>
      </c>
      <c r="E163" s="74" t="s">
        <v>998</v>
      </c>
      <c r="F163" s="73">
        <v>70798</v>
      </c>
      <c r="G163" s="74" t="s">
        <v>80</v>
      </c>
      <c r="H163" s="73" t="s">
        <v>81</v>
      </c>
      <c r="I163" s="73" t="s">
        <v>78</v>
      </c>
      <c r="J163" s="73" t="s">
        <v>999</v>
      </c>
      <c r="K163" s="74" t="s">
        <v>84</v>
      </c>
      <c r="L163" s="75" t="s">
        <v>1000</v>
      </c>
      <c r="M163" s="75">
        <v>45868.333333333336</v>
      </c>
      <c r="N163" s="75">
        <v>45869.541365740741</v>
      </c>
      <c r="O163" s="10"/>
      <c r="P163" s="74" t="s">
        <v>86</v>
      </c>
      <c r="Q163" s="74" t="s">
        <v>86</v>
      </c>
      <c r="R163" s="78" t="s">
        <v>88</v>
      </c>
      <c r="S163" s="73" t="s">
        <v>88</v>
      </c>
      <c r="T163" s="79" t="s">
        <v>118</v>
      </c>
      <c r="U163" s="79" t="s">
        <v>119</v>
      </c>
      <c r="V163" s="78" t="s">
        <v>1001</v>
      </c>
      <c r="W163" s="74" t="s">
        <v>92</v>
      </c>
      <c r="X163" s="60" t="s">
        <v>324</v>
      </c>
      <c r="Y163" s="80" t="s">
        <v>102</v>
      </c>
      <c r="Z163" s="80" t="s">
        <v>94</v>
      </c>
      <c r="AA163" s="74" t="s">
        <v>1002</v>
      </c>
      <c r="AB163" s="74">
        <v>1</v>
      </c>
      <c r="AC163" s="51">
        <f>IF(AND(W163="SOPORTE_TELEFÓNICO",OR(U163="SIN CONTACTO CON EL CB",U163="NÚMEROS DE CONTACTO ERRADOS")),0,IF(W163="SOPORTE_TELEFÓNICO",'BASE DE LIQUIDACION 2025'!$B$9,IF(Y163="TIPO I",'BASE DE LIQUIDACION 2025'!$C$3,IF(Y163="TIPO II",'BASE DE LIQUIDACION 2025'!$C$4,IF(Y163="TIPO III",'BASE DE LIQUIDACION 2025'!$C$5,'BASE DE LIQUIDACION 2025'!$C$6)))))</f>
        <v>44559.563999999998</v>
      </c>
      <c r="AD163" s="51">
        <f>IF(W163="SOPORTE_TELEFÓNICO",AC163,CIERRES!AB163*CIERRES!AC163)</f>
        <v>44559.563999999998</v>
      </c>
    </row>
    <row r="164" spans="1:30">
      <c r="AD164" s="65">
        <f>SUM(AD2:AD163)</f>
        <v>16375994.819999965</v>
      </c>
    </row>
  </sheetData>
  <conditionalFormatting sqref="E2:E163">
    <cfRule type="duplicateValues" dxfId="0" priority="1"/>
  </conditionalFormatting>
  <dataValidations count="1">
    <dataValidation type="list" allowBlank="1" showInputMessage="1" showErrorMessage="1" sqref="U2:U163 Q15 Q31 Q48 Q73 Q106:Q112 Q134:Q135 Q163" xr:uid="{5333E0A0-9E94-4AC2-AF89-304F5825A5ED}">
      <formula1>INDIRECT(P2)</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48CE4-747E-4F88-8BDE-26A1E1ABDAE2}">
  <dimension ref="A1:F1124"/>
  <sheetViews>
    <sheetView workbookViewId="0">
      <selection activeCell="H19" sqref="H19"/>
    </sheetView>
  </sheetViews>
  <sheetFormatPr defaultColWidth="8.85546875" defaultRowHeight="14.45"/>
  <cols>
    <col min="1" max="6" width="17.28515625" customWidth="1"/>
  </cols>
  <sheetData>
    <row r="1" spans="1:6" ht="42">
      <c r="A1" s="26" t="s">
        <v>1003</v>
      </c>
      <c r="B1" s="27" t="s">
        <v>56</v>
      </c>
      <c r="C1" s="27" t="s">
        <v>55</v>
      </c>
      <c r="D1" s="27" t="s">
        <v>1004</v>
      </c>
      <c r="E1" s="28" t="s">
        <v>1005</v>
      </c>
      <c r="F1" s="28" t="s">
        <v>1006</v>
      </c>
    </row>
    <row r="2" spans="1:6">
      <c r="A2" s="29">
        <v>91430</v>
      </c>
      <c r="B2" s="30" t="s">
        <v>1007</v>
      </c>
      <c r="C2" s="31" t="s">
        <v>1008</v>
      </c>
      <c r="D2" s="31" t="s">
        <v>78</v>
      </c>
      <c r="E2" s="31" t="s">
        <v>140</v>
      </c>
      <c r="F2" s="32" t="s">
        <v>139</v>
      </c>
    </row>
    <row r="3" spans="1:6">
      <c r="A3" s="29">
        <v>91669</v>
      </c>
      <c r="B3" s="30" t="s">
        <v>1009</v>
      </c>
      <c r="C3" s="31" t="s">
        <v>1008</v>
      </c>
      <c r="D3" s="31" t="s">
        <v>78</v>
      </c>
      <c r="E3" s="31" t="s">
        <v>140</v>
      </c>
      <c r="F3" s="32" t="s">
        <v>139</v>
      </c>
    </row>
    <row r="4" spans="1:6">
      <c r="A4" s="29">
        <v>91263</v>
      </c>
      <c r="B4" s="31" t="s">
        <v>1010</v>
      </c>
      <c r="C4" s="31" t="s">
        <v>1008</v>
      </c>
      <c r="D4" s="31" t="s">
        <v>78</v>
      </c>
      <c r="E4" s="31" t="s">
        <v>140</v>
      </c>
      <c r="F4" s="32" t="s">
        <v>139</v>
      </c>
    </row>
    <row r="5" spans="1:6">
      <c r="A5" s="29">
        <v>91405</v>
      </c>
      <c r="B5" s="31" t="s">
        <v>1011</v>
      </c>
      <c r="C5" s="31" t="s">
        <v>1008</v>
      </c>
      <c r="D5" s="31" t="s">
        <v>78</v>
      </c>
      <c r="E5" s="31" t="s">
        <v>140</v>
      </c>
      <c r="F5" s="32" t="s">
        <v>139</v>
      </c>
    </row>
    <row r="6" spans="1:6">
      <c r="A6" s="29">
        <v>91407</v>
      </c>
      <c r="B6" s="31" t="s">
        <v>1012</v>
      </c>
      <c r="C6" s="31" t="s">
        <v>1008</v>
      </c>
      <c r="D6" s="31" t="s">
        <v>78</v>
      </c>
      <c r="E6" s="31" t="s">
        <v>140</v>
      </c>
      <c r="F6" s="32" t="s">
        <v>139</v>
      </c>
    </row>
    <row r="7" spans="1:6">
      <c r="A7" s="29">
        <v>91001</v>
      </c>
      <c r="B7" s="31" t="s">
        <v>1013</v>
      </c>
      <c r="C7" s="31" t="s">
        <v>1008</v>
      </c>
      <c r="D7" s="31" t="s">
        <v>78</v>
      </c>
      <c r="E7" s="31" t="s">
        <v>140</v>
      </c>
      <c r="F7" s="32" t="s">
        <v>139</v>
      </c>
    </row>
    <row r="8" spans="1:6">
      <c r="A8" s="29">
        <v>91460</v>
      </c>
      <c r="B8" s="31" t="s">
        <v>1014</v>
      </c>
      <c r="C8" s="31" t="s">
        <v>1008</v>
      </c>
      <c r="D8" s="31" t="s">
        <v>78</v>
      </c>
      <c r="E8" s="31" t="s">
        <v>140</v>
      </c>
      <c r="F8" s="32" t="s">
        <v>139</v>
      </c>
    </row>
    <row r="9" spans="1:6">
      <c r="A9" s="29">
        <v>91530</v>
      </c>
      <c r="B9" s="31" t="s">
        <v>1015</v>
      </c>
      <c r="C9" s="31" t="s">
        <v>1008</v>
      </c>
      <c r="D9" s="31" t="s">
        <v>78</v>
      </c>
      <c r="E9" s="31" t="s">
        <v>140</v>
      </c>
      <c r="F9" s="32" t="s">
        <v>139</v>
      </c>
    </row>
    <row r="10" spans="1:6">
      <c r="A10" s="29">
        <v>91536</v>
      </c>
      <c r="B10" s="31" t="s">
        <v>1016</v>
      </c>
      <c r="C10" s="31" t="s">
        <v>1008</v>
      </c>
      <c r="D10" s="31" t="s">
        <v>78</v>
      </c>
      <c r="E10" s="31" t="s">
        <v>140</v>
      </c>
      <c r="F10" s="32" t="s">
        <v>139</v>
      </c>
    </row>
    <row r="11" spans="1:6">
      <c r="A11" s="29">
        <v>91540</v>
      </c>
      <c r="B11" s="31" t="s">
        <v>1017</v>
      </c>
      <c r="C11" s="31" t="s">
        <v>1008</v>
      </c>
      <c r="D11" s="31" t="s">
        <v>78</v>
      </c>
      <c r="E11" s="31" t="s">
        <v>140</v>
      </c>
      <c r="F11" s="32" t="s">
        <v>139</v>
      </c>
    </row>
    <row r="12" spans="1:6">
      <c r="A12" s="29">
        <v>91798</v>
      </c>
      <c r="B12" s="31" t="s">
        <v>1018</v>
      </c>
      <c r="C12" s="31" t="s">
        <v>1008</v>
      </c>
      <c r="D12" s="31" t="s">
        <v>78</v>
      </c>
      <c r="E12" s="31" t="s">
        <v>140</v>
      </c>
      <c r="F12" s="32" t="s">
        <v>139</v>
      </c>
    </row>
    <row r="13" spans="1:6">
      <c r="A13" s="29">
        <v>5055</v>
      </c>
      <c r="B13" s="30" t="s">
        <v>1019</v>
      </c>
      <c r="C13" s="31" t="s">
        <v>161</v>
      </c>
      <c r="D13" s="31" t="s">
        <v>159</v>
      </c>
      <c r="E13" s="31" t="s">
        <v>94</v>
      </c>
      <c r="F13" s="32" t="s">
        <v>129</v>
      </c>
    </row>
    <row r="14" spans="1:6">
      <c r="A14" s="29">
        <v>5059</v>
      </c>
      <c r="B14" s="30" t="s">
        <v>413</v>
      </c>
      <c r="C14" s="31" t="s">
        <v>161</v>
      </c>
      <c r="D14" s="31" t="s">
        <v>159</v>
      </c>
      <c r="E14" s="31" t="s">
        <v>94</v>
      </c>
      <c r="F14" s="32" t="s">
        <v>93</v>
      </c>
    </row>
    <row r="15" spans="1:6">
      <c r="A15" s="29">
        <v>5079</v>
      </c>
      <c r="B15" s="30" t="s">
        <v>1020</v>
      </c>
      <c r="C15" s="31" t="s">
        <v>161</v>
      </c>
      <c r="D15" s="31" t="s">
        <v>159</v>
      </c>
      <c r="E15" s="31" t="s">
        <v>94</v>
      </c>
      <c r="F15" s="32" t="s">
        <v>93</v>
      </c>
    </row>
    <row r="16" spans="1:6">
      <c r="A16" s="29">
        <v>5093</v>
      </c>
      <c r="B16" s="30" t="s">
        <v>1021</v>
      </c>
      <c r="C16" s="31" t="s">
        <v>161</v>
      </c>
      <c r="D16" s="31" t="s">
        <v>159</v>
      </c>
      <c r="E16" s="31" t="s">
        <v>94</v>
      </c>
      <c r="F16" s="32" t="s">
        <v>178</v>
      </c>
    </row>
    <row r="17" spans="1:6">
      <c r="A17" s="29">
        <v>5107</v>
      </c>
      <c r="B17" s="30" t="s">
        <v>1022</v>
      </c>
      <c r="C17" s="31" t="s">
        <v>161</v>
      </c>
      <c r="D17" s="31" t="s">
        <v>159</v>
      </c>
      <c r="E17" s="31" t="s">
        <v>94</v>
      </c>
      <c r="F17" s="32" t="s">
        <v>178</v>
      </c>
    </row>
    <row r="18" spans="1:6">
      <c r="A18" s="29">
        <v>5129</v>
      </c>
      <c r="B18" s="30" t="s">
        <v>290</v>
      </c>
      <c r="C18" s="31" t="s">
        <v>161</v>
      </c>
      <c r="D18" s="31" t="s">
        <v>159</v>
      </c>
      <c r="E18" s="31" t="s">
        <v>94</v>
      </c>
      <c r="F18" s="32" t="s">
        <v>102</v>
      </c>
    </row>
    <row r="19" spans="1:6">
      <c r="A19" s="29">
        <v>5206</v>
      </c>
      <c r="B19" s="30" t="s">
        <v>1023</v>
      </c>
      <c r="C19" s="31" t="s">
        <v>161</v>
      </c>
      <c r="D19" s="31" t="s">
        <v>159</v>
      </c>
      <c r="E19" s="31" t="s">
        <v>94</v>
      </c>
      <c r="F19" s="32" t="s">
        <v>93</v>
      </c>
    </row>
    <row r="20" spans="1:6">
      <c r="A20" s="29">
        <v>5209</v>
      </c>
      <c r="B20" s="30" t="s">
        <v>1024</v>
      </c>
      <c r="C20" s="31" t="s">
        <v>161</v>
      </c>
      <c r="D20" s="31" t="s">
        <v>159</v>
      </c>
      <c r="E20" s="31" t="s">
        <v>94</v>
      </c>
      <c r="F20" s="32" t="s">
        <v>178</v>
      </c>
    </row>
    <row r="21" spans="1:6">
      <c r="A21" s="29">
        <v>5313</v>
      </c>
      <c r="B21" s="30" t="s">
        <v>261</v>
      </c>
      <c r="C21" s="31" t="s">
        <v>161</v>
      </c>
      <c r="D21" s="31" t="s">
        <v>159</v>
      </c>
      <c r="E21" s="31" t="s">
        <v>94</v>
      </c>
      <c r="F21" s="32" t="s">
        <v>93</v>
      </c>
    </row>
    <row r="22" spans="1:6">
      <c r="A22" s="29">
        <v>5315</v>
      </c>
      <c r="B22" s="30" t="s">
        <v>1025</v>
      </c>
      <c r="C22" s="31" t="s">
        <v>161</v>
      </c>
      <c r="D22" s="31" t="s">
        <v>159</v>
      </c>
      <c r="E22" s="31" t="s">
        <v>94</v>
      </c>
      <c r="F22" s="32" t="s">
        <v>178</v>
      </c>
    </row>
    <row r="23" spans="1:6">
      <c r="A23" s="29">
        <v>5368</v>
      </c>
      <c r="B23" s="30" t="s">
        <v>1026</v>
      </c>
      <c r="C23" s="31" t="s">
        <v>161</v>
      </c>
      <c r="D23" s="31" t="s">
        <v>159</v>
      </c>
      <c r="E23" s="31" t="s">
        <v>94</v>
      </c>
      <c r="F23" s="32" t="s">
        <v>178</v>
      </c>
    </row>
    <row r="24" spans="1:6">
      <c r="A24" s="29">
        <v>5400</v>
      </c>
      <c r="B24" s="30" t="s">
        <v>1027</v>
      </c>
      <c r="C24" s="31" t="s">
        <v>161</v>
      </c>
      <c r="D24" s="31" t="s">
        <v>159</v>
      </c>
      <c r="E24" s="31" t="s">
        <v>94</v>
      </c>
      <c r="F24" s="32" t="s">
        <v>93</v>
      </c>
    </row>
    <row r="25" spans="1:6">
      <c r="A25" s="29">
        <v>5483</v>
      </c>
      <c r="B25" s="30" t="s">
        <v>98</v>
      </c>
      <c r="C25" s="31" t="s">
        <v>161</v>
      </c>
      <c r="D25" s="31" t="s">
        <v>159</v>
      </c>
      <c r="E25" s="31" t="s">
        <v>94</v>
      </c>
      <c r="F25" s="32" t="s">
        <v>129</v>
      </c>
    </row>
    <row r="26" spans="1:6">
      <c r="A26" s="29">
        <v>5615</v>
      </c>
      <c r="B26" s="30" t="s">
        <v>682</v>
      </c>
      <c r="C26" s="31" t="s">
        <v>161</v>
      </c>
      <c r="D26" s="31" t="s">
        <v>159</v>
      </c>
      <c r="E26" s="31" t="s">
        <v>94</v>
      </c>
      <c r="F26" s="32" t="s">
        <v>93</v>
      </c>
    </row>
    <row r="27" spans="1:6">
      <c r="A27" s="29">
        <v>5628</v>
      </c>
      <c r="B27" s="30" t="s">
        <v>764</v>
      </c>
      <c r="C27" s="31" t="s">
        <v>161</v>
      </c>
      <c r="D27" s="31" t="s">
        <v>159</v>
      </c>
      <c r="E27" s="31" t="s">
        <v>94</v>
      </c>
      <c r="F27" s="32" t="s">
        <v>178</v>
      </c>
    </row>
    <row r="28" spans="1:6">
      <c r="A28" s="29">
        <v>5649</v>
      </c>
      <c r="B28" s="30" t="s">
        <v>1028</v>
      </c>
      <c r="C28" s="31" t="s">
        <v>161</v>
      </c>
      <c r="D28" s="31" t="s">
        <v>159</v>
      </c>
      <c r="E28" s="31" t="s">
        <v>94</v>
      </c>
      <c r="F28" s="32" t="s">
        <v>178</v>
      </c>
    </row>
    <row r="29" spans="1:6">
      <c r="A29" s="29">
        <v>5652</v>
      </c>
      <c r="B29" s="30" t="s">
        <v>1029</v>
      </c>
      <c r="C29" s="31" t="s">
        <v>161</v>
      </c>
      <c r="D29" s="31" t="s">
        <v>159</v>
      </c>
      <c r="E29" s="31" t="s">
        <v>94</v>
      </c>
      <c r="F29" s="32" t="s">
        <v>178</v>
      </c>
    </row>
    <row r="30" spans="1:6">
      <c r="A30" s="29">
        <v>5660</v>
      </c>
      <c r="B30" s="30" t="s">
        <v>1030</v>
      </c>
      <c r="C30" s="31" t="s">
        <v>161</v>
      </c>
      <c r="D30" s="31" t="s">
        <v>159</v>
      </c>
      <c r="E30" s="31" t="s">
        <v>94</v>
      </c>
      <c r="F30" s="32" t="s">
        <v>178</v>
      </c>
    </row>
    <row r="31" spans="1:6">
      <c r="A31" s="29">
        <v>5664</v>
      </c>
      <c r="B31" s="30" t="s">
        <v>1031</v>
      </c>
      <c r="C31" s="31" t="s">
        <v>161</v>
      </c>
      <c r="D31" s="31" t="s">
        <v>159</v>
      </c>
      <c r="E31" s="31" t="s">
        <v>94</v>
      </c>
      <c r="F31" s="32" t="s">
        <v>93</v>
      </c>
    </row>
    <row r="32" spans="1:6">
      <c r="A32" s="29">
        <v>5679</v>
      </c>
      <c r="B32" s="30" t="s">
        <v>1032</v>
      </c>
      <c r="C32" s="31" t="s">
        <v>161</v>
      </c>
      <c r="D32" s="31" t="s">
        <v>159</v>
      </c>
      <c r="E32" s="31" t="s">
        <v>94</v>
      </c>
      <c r="F32" s="32" t="s">
        <v>93</v>
      </c>
    </row>
    <row r="33" spans="1:6">
      <c r="A33" s="29">
        <v>5819</v>
      </c>
      <c r="B33" s="30" t="s">
        <v>1033</v>
      </c>
      <c r="C33" s="31" t="s">
        <v>161</v>
      </c>
      <c r="D33" s="31" t="s">
        <v>159</v>
      </c>
      <c r="E33" s="31" t="s">
        <v>94</v>
      </c>
      <c r="F33" s="32" t="s">
        <v>129</v>
      </c>
    </row>
    <row r="34" spans="1:6">
      <c r="A34" s="29">
        <v>5856</v>
      </c>
      <c r="B34" s="30" t="s">
        <v>1034</v>
      </c>
      <c r="C34" s="31" t="s">
        <v>161</v>
      </c>
      <c r="D34" s="31" t="s">
        <v>159</v>
      </c>
      <c r="E34" s="31" t="s">
        <v>94</v>
      </c>
      <c r="F34" s="32" t="s">
        <v>178</v>
      </c>
    </row>
    <row r="35" spans="1:6">
      <c r="A35" s="29">
        <v>5861</v>
      </c>
      <c r="B35" s="30" t="s">
        <v>1035</v>
      </c>
      <c r="C35" s="31" t="s">
        <v>161</v>
      </c>
      <c r="D35" s="31" t="s">
        <v>159</v>
      </c>
      <c r="E35" s="31" t="s">
        <v>94</v>
      </c>
      <c r="F35" s="32" t="s">
        <v>93</v>
      </c>
    </row>
    <row r="36" spans="1:6">
      <c r="A36" s="29">
        <v>5002</v>
      </c>
      <c r="B36" s="31" t="s">
        <v>1036</v>
      </c>
      <c r="C36" s="31" t="s">
        <v>161</v>
      </c>
      <c r="D36" s="31" t="s">
        <v>159</v>
      </c>
      <c r="E36" s="31" t="s">
        <v>94</v>
      </c>
      <c r="F36" s="32" t="s">
        <v>178</v>
      </c>
    </row>
    <row r="37" spans="1:6">
      <c r="A37" s="29">
        <v>5004</v>
      </c>
      <c r="B37" s="31" t="s">
        <v>1037</v>
      </c>
      <c r="C37" s="31" t="s">
        <v>161</v>
      </c>
      <c r="D37" s="31" t="s">
        <v>159</v>
      </c>
      <c r="E37" s="31" t="s">
        <v>94</v>
      </c>
      <c r="F37" s="32" t="s">
        <v>129</v>
      </c>
    </row>
    <row r="38" spans="1:6">
      <c r="A38" s="29">
        <v>5021</v>
      </c>
      <c r="B38" s="31" t="s">
        <v>1038</v>
      </c>
      <c r="C38" s="31" t="s">
        <v>161</v>
      </c>
      <c r="D38" s="31" t="s">
        <v>159</v>
      </c>
      <c r="E38" s="31" t="s">
        <v>94</v>
      </c>
      <c r="F38" s="32" t="s">
        <v>178</v>
      </c>
    </row>
    <row r="39" spans="1:6">
      <c r="A39" s="29">
        <v>5030</v>
      </c>
      <c r="B39" s="31" t="s">
        <v>1039</v>
      </c>
      <c r="C39" s="31" t="s">
        <v>161</v>
      </c>
      <c r="D39" s="31" t="s">
        <v>159</v>
      </c>
      <c r="E39" s="31" t="s">
        <v>94</v>
      </c>
      <c r="F39" s="32" t="s">
        <v>93</v>
      </c>
    </row>
    <row r="40" spans="1:6">
      <c r="A40" s="29">
        <v>5031</v>
      </c>
      <c r="B40" s="31" t="s">
        <v>1040</v>
      </c>
      <c r="C40" s="31" t="s">
        <v>161</v>
      </c>
      <c r="D40" s="31" t="s">
        <v>159</v>
      </c>
      <c r="E40" s="31" t="s">
        <v>94</v>
      </c>
      <c r="F40" s="32" t="s">
        <v>129</v>
      </c>
    </row>
    <row r="41" spans="1:6">
      <c r="A41" s="29">
        <v>5034</v>
      </c>
      <c r="B41" s="31" t="s">
        <v>1041</v>
      </c>
      <c r="C41" s="31" t="s">
        <v>161</v>
      </c>
      <c r="D41" s="31" t="s">
        <v>159</v>
      </c>
      <c r="E41" s="31" t="s">
        <v>94</v>
      </c>
      <c r="F41" s="32" t="s">
        <v>178</v>
      </c>
    </row>
    <row r="42" spans="1:6">
      <c r="A42" s="29">
        <v>5036</v>
      </c>
      <c r="B42" s="31" t="s">
        <v>1042</v>
      </c>
      <c r="C42" s="31" t="s">
        <v>161</v>
      </c>
      <c r="D42" s="31" t="s">
        <v>159</v>
      </c>
      <c r="E42" s="31" t="s">
        <v>94</v>
      </c>
      <c r="F42" s="32" t="s">
        <v>93</v>
      </c>
    </row>
    <row r="43" spans="1:6">
      <c r="A43" s="29">
        <v>5038</v>
      </c>
      <c r="B43" s="31" t="s">
        <v>1043</v>
      </c>
      <c r="C43" s="31" t="s">
        <v>161</v>
      </c>
      <c r="D43" s="31" t="s">
        <v>159</v>
      </c>
      <c r="E43" s="31" t="s">
        <v>94</v>
      </c>
      <c r="F43" s="32" t="s">
        <v>178</v>
      </c>
    </row>
    <row r="44" spans="1:6">
      <c r="A44" s="29">
        <v>5040</v>
      </c>
      <c r="B44" s="31" t="s">
        <v>1044</v>
      </c>
      <c r="C44" s="31" t="s">
        <v>161</v>
      </c>
      <c r="D44" s="31" t="s">
        <v>159</v>
      </c>
      <c r="E44" s="31" t="s">
        <v>94</v>
      </c>
      <c r="F44" s="32" t="s">
        <v>129</v>
      </c>
    </row>
    <row r="45" spans="1:6">
      <c r="A45" s="29">
        <v>5044</v>
      </c>
      <c r="B45" s="31" t="s">
        <v>635</v>
      </c>
      <c r="C45" s="31" t="s">
        <v>161</v>
      </c>
      <c r="D45" s="31" t="s">
        <v>159</v>
      </c>
      <c r="E45" s="31" t="s">
        <v>94</v>
      </c>
      <c r="F45" s="32" t="s">
        <v>178</v>
      </c>
    </row>
    <row r="46" spans="1:6">
      <c r="A46" s="29">
        <v>5045</v>
      </c>
      <c r="B46" s="31" t="s">
        <v>664</v>
      </c>
      <c r="C46" s="31" t="s">
        <v>161</v>
      </c>
      <c r="D46" s="31" t="s">
        <v>664</v>
      </c>
      <c r="E46" s="31" t="s">
        <v>94</v>
      </c>
      <c r="F46" s="32" t="s">
        <v>102</v>
      </c>
    </row>
    <row r="47" spans="1:6">
      <c r="A47" s="29">
        <v>5051</v>
      </c>
      <c r="B47" s="31" t="s">
        <v>1045</v>
      </c>
      <c r="C47" s="31" t="s">
        <v>161</v>
      </c>
      <c r="D47" s="31" t="s">
        <v>113</v>
      </c>
      <c r="E47" s="31" t="s">
        <v>94</v>
      </c>
      <c r="F47" s="32" t="s">
        <v>93</v>
      </c>
    </row>
    <row r="48" spans="1:6">
      <c r="A48" s="29">
        <v>5088</v>
      </c>
      <c r="B48" s="31" t="s">
        <v>1046</v>
      </c>
      <c r="C48" s="31" t="s">
        <v>161</v>
      </c>
      <c r="D48" s="31" t="s">
        <v>159</v>
      </c>
      <c r="E48" s="31" t="s">
        <v>94</v>
      </c>
      <c r="F48" s="32" t="s">
        <v>102</v>
      </c>
    </row>
    <row r="49" spans="1:6">
      <c r="A49" s="29">
        <v>5086</v>
      </c>
      <c r="B49" s="31" t="s">
        <v>1047</v>
      </c>
      <c r="C49" s="31" t="s">
        <v>161</v>
      </c>
      <c r="D49" s="31" t="s">
        <v>159</v>
      </c>
      <c r="E49" s="31" t="s">
        <v>94</v>
      </c>
      <c r="F49" s="32" t="s">
        <v>93</v>
      </c>
    </row>
    <row r="50" spans="1:6">
      <c r="A50" s="29">
        <v>5091</v>
      </c>
      <c r="B50" s="31" t="s">
        <v>769</v>
      </c>
      <c r="C50" s="31" t="s">
        <v>161</v>
      </c>
      <c r="D50" s="31" t="s">
        <v>159</v>
      </c>
      <c r="E50" s="31" t="s">
        <v>94</v>
      </c>
      <c r="F50" s="32" t="s">
        <v>178</v>
      </c>
    </row>
    <row r="51" spans="1:6">
      <c r="A51" s="29">
        <v>5113</v>
      </c>
      <c r="B51" s="31" t="s">
        <v>1048</v>
      </c>
      <c r="C51" s="31" t="s">
        <v>161</v>
      </c>
      <c r="D51" s="31" t="s">
        <v>159</v>
      </c>
      <c r="E51" s="31" t="s">
        <v>94</v>
      </c>
      <c r="F51" s="32" t="s">
        <v>129</v>
      </c>
    </row>
    <row r="52" spans="1:6">
      <c r="A52" s="29">
        <v>5120</v>
      </c>
      <c r="B52" s="31" t="s">
        <v>1049</v>
      </c>
      <c r="C52" s="31" t="s">
        <v>161</v>
      </c>
      <c r="D52" s="31" t="s">
        <v>159</v>
      </c>
      <c r="E52" s="31" t="s">
        <v>94</v>
      </c>
      <c r="F52" s="32" t="s">
        <v>129</v>
      </c>
    </row>
    <row r="53" spans="1:6">
      <c r="A53" s="29">
        <v>5125</v>
      </c>
      <c r="B53" s="31" t="s">
        <v>1050</v>
      </c>
      <c r="C53" s="31" t="s">
        <v>161</v>
      </c>
      <c r="D53" s="31" t="s">
        <v>159</v>
      </c>
      <c r="E53" s="31" t="s">
        <v>94</v>
      </c>
      <c r="F53" s="32" t="s">
        <v>178</v>
      </c>
    </row>
    <row r="54" spans="1:6">
      <c r="A54" s="29">
        <v>5134</v>
      </c>
      <c r="B54" s="31" t="s">
        <v>1051</v>
      </c>
      <c r="C54" s="31" t="s">
        <v>161</v>
      </c>
      <c r="D54" s="31" t="s">
        <v>159</v>
      </c>
      <c r="E54" s="31" t="s">
        <v>94</v>
      </c>
      <c r="F54" s="32" t="s">
        <v>178</v>
      </c>
    </row>
    <row r="55" spans="1:6">
      <c r="A55" s="29">
        <v>5138</v>
      </c>
      <c r="B55" s="31" t="s">
        <v>1052</v>
      </c>
      <c r="C55" s="31" t="s">
        <v>161</v>
      </c>
      <c r="D55" s="31" t="s">
        <v>159</v>
      </c>
      <c r="E55" s="31" t="s">
        <v>94</v>
      </c>
      <c r="F55" s="32" t="s">
        <v>178</v>
      </c>
    </row>
    <row r="56" spans="1:6">
      <c r="A56" s="29">
        <v>5142</v>
      </c>
      <c r="B56" s="31" t="s">
        <v>1053</v>
      </c>
      <c r="C56" s="31" t="s">
        <v>161</v>
      </c>
      <c r="D56" s="31" t="s">
        <v>159</v>
      </c>
      <c r="E56" s="31" t="s">
        <v>94</v>
      </c>
      <c r="F56" s="32" t="s">
        <v>178</v>
      </c>
    </row>
    <row r="57" spans="1:6">
      <c r="A57" s="29">
        <v>5145</v>
      </c>
      <c r="B57" s="31" t="s">
        <v>1054</v>
      </c>
      <c r="C57" s="31" t="s">
        <v>161</v>
      </c>
      <c r="D57" s="31" t="s">
        <v>159</v>
      </c>
      <c r="E57" s="31" t="s">
        <v>94</v>
      </c>
      <c r="F57" s="32" t="s">
        <v>178</v>
      </c>
    </row>
    <row r="58" spans="1:6">
      <c r="A58" s="29">
        <v>5147</v>
      </c>
      <c r="B58" s="31" t="s">
        <v>666</v>
      </c>
      <c r="C58" s="31" t="s">
        <v>161</v>
      </c>
      <c r="D58" s="31" t="s">
        <v>664</v>
      </c>
      <c r="E58" s="31" t="s">
        <v>94</v>
      </c>
      <c r="F58" s="32" t="s">
        <v>102</v>
      </c>
    </row>
    <row r="59" spans="1:6">
      <c r="A59" s="29">
        <v>5150</v>
      </c>
      <c r="B59" s="31" t="s">
        <v>1055</v>
      </c>
      <c r="C59" s="31" t="s">
        <v>161</v>
      </c>
      <c r="D59" s="31" t="s">
        <v>159</v>
      </c>
      <c r="E59" s="31" t="s">
        <v>94</v>
      </c>
      <c r="F59" s="32" t="s">
        <v>178</v>
      </c>
    </row>
    <row r="60" spans="1:6">
      <c r="A60" s="29">
        <v>5154</v>
      </c>
      <c r="B60" s="31" t="s">
        <v>1056</v>
      </c>
      <c r="C60" s="31" t="s">
        <v>161</v>
      </c>
      <c r="D60" s="31" t="s">
        <v>113</v>
      </c>
      <c r="E60" s="31" t="s">
        <v>94</v>
      </c>
      <c r="F60" s="32" t="s">
        <v>93</v>
      </c>
    </row>
    <row r="61" spans="1:6">
      <c r="A61" s="29">
        <v>5172</v>
      </c>
      <c r="B61" s="31" t="s">
        <v>1057</v>
      </c>
      <c r="C61" s="31" t="s">
        <v>161</v>
      </c>
      <c r="D61" s="31" t="s">
        <v>664</v>
      </c>
      <c r="E61" s="31" t="s">
        <v>94</v>
      </c>
      <c r="F61" s="32" t="s">
        <v>93</v>
      </c>
    </row>
    <row r="62" spans="1:6">
      <c r="A62" s="29">
        <v>5190</v>
      </c>
      <c r="B62" s="31" t="s">
        <v>1058</v>
      </c>
      <c r="C62" s="31" t="s">
        <v>161</v>
      </c>
      <c r="D62" s="31" t="s">
        <v>159</v>
      </c>
      <c r="E62" s="31" t="s">
        <v>94</v>
      </c>
      <c r="F62" s="32" t="s">
        <v>93</v>
      </c>
    </row>
    <row r="63" spans="1:6">
      <c r="A63" s="29">
        <v>5101</v>
      </c>
      <c r="B63" s="31" t="s">
        <v>1059</v>
      </c>
      <c r="C63" s="31" t="s">
        <v>161</v>
      </c>
      <c r="D63" s="31" t="s">
        <v>159</v>
      </c>
      <c r="E63" s="31" t="s">
        <v>94</v>
      </c>
      <c r="F63" s="32" t="s">
        <v>93</v>
      </c>
    </row>
    <row r="64" spans="1:6">
      <c r="A64" s="29">
        <v>5197</v>
      </c>
      <c r="B64" s="31" t="s">
        <v>1060</v>
      </c>
      <c r="C64" s="31" t="s">
        <v>161</v>
      </c>
      <c r="D64" s="31" t="s">
        <v>159</v>
      </c>
      <c r="E64" s="31" t="s">
        <v>94</v>
      </c>
      <c r="F64" s="32" t="s">
        <v>93</v>
      </c>
    </row>
    <row r="65" spans="1:6">
      <c r="A65" s="29">
        <v>5212</v>
      </c>
      <c r="B65" s="31" t="s">
        <v>1061</v>
      </c>
      <c r="C65" s="31" t="s">
        <v>161</v>
      </c>
      <c r="D65" s="31" t="s">
        <v>159</v>
      </c>
      <c r="E65" s="31" t="s">
        <v>94</v>
      </c>
      <c r="F65" s="32" t="s">
        <v>102</v>
      </c>
    </row>
    <row r="66" spans="1:6">
      <c r="A66" s="29">
        <v>5234</v>
      </c>
      <c r="B66" s="31" t="s">
        <v>1062</v>
      </c>
      <c r="C66" s="31" t="s">
        <v>161</v>
      </c>
      <c r="D66" s="31" t="s">
        <v>159</v>
      </c>
      <c r="E66" s="31" t="s">
        <v>94</v>
      </c>
      <c r="F66" s="32" t="s">
        <v>129</v>
      </c>
    </row>
    <row r="67" spans="1:6">
      <c r="A67" s="29">
        <v>5237</v>
      </c>
      <c r="B67" s="31" t="s">
        <v>1063</v>
      </c>
      <c r="C67" s="31" t="s">
        <v>161</v>
      </c>
      <c r="D67" s="31" t="s">
        <v>159</v>
      </c>
      <c r="E67" s="31" t="s">
        <v>94</v>
      </c>
      <c r="F67" s="32" t="s">
        <v>93</v>
      </c>
    </row>
    <row r="68" spans="1:6">
      <c r="A68" s="29">
        <v>5240</v>
      </c>
      <c r="B68" s="31" t="s">
        <v>1064</v>
      </c>
      <c r="C68" s="31" t="s">
        <v>161</v>
      </c>
      <c r="D68" s="31" t="s">
        <v>159</v>
      </c>
      <c r="E68" s="31" t="s">
        <v>94</v>
      </c>
      <c r="F68" s="32" t="s">
        <v>93</v>
      </c>
    </row>
    <row r="69" spans="1:6">
      <c r="A69" s="29">
        <v>5250</v>
      </c>
      <c r="B69" s="31" t="s">
        <v>1065</v>
      </c>
      <c r="C69" s="31" t="s">
        <v>161</v>
      </c>
      <c r="D69" s="31" t="s">
        <v>113</v>
      </c>
      <c r="E69" s="31" t="s">
        <v>94</v>
      </c>
      <c r="F69" s="32" t="s">
        <v>129</v>
      </c>
    </row>
    <row r="70" spans="1:6">
      <c r="A70" s="29">
        <v>5148</v>
      </c>
      <c r="B70" s="31" t="s">
        <v>1066</v>
      </c>
      <c r="C70" s="31" t="s">
        <v>161</v>
      </c>
      <c r="D70" s="31" t="s">
        <v>159</v>
      </c>
      <c r="E70" s="31" t="s">
        <v>94</v>
      </c>
      <c r="F70" s="32" t="s">
        <v>93</v>
      </c>
    </row>
    <row r="71" spans="1:6">
      <c r="A71" s="29">
        <v>5697</v>
      </c>
      <c r="B71" s="31" t="s">
        <v>1067</v>
      </c>
      <c r="C71" s="31" t="s">
        <v>161</v>
      </c>
      <c r="D71" s="31" t="s">
        <v>159</v>
      </c>
      <c r="E71" s="31" t="s">
        <v>94</v>
      </c>
      <c r="F71" s="32" t="s">
        <v>93</v>
      </c>
    </row>
    <row r="72" spans="1:6">
      <c r="A72" s="29">
        <v>5264</v>
      </c>
      <c r="B72" s="31" t="s">
        <v>1068</v>
      </c>
      <c r="C72" s="31" t="s">
        <v>161</v>
      </c>
      <c r="D72" s="31" t="s">
        <v>159</v>
      </c>
      <c r="E72" s="31" t="s">
        <v>94</v>
      </c>
      <c r="F72" s="32" t="s">
        <v>93</v>
      </c>
    </row>
    <row r="73" spans="1:6">
      <c r="A73" s="29">
        <v>5266</v>
      </c>
      <c r="B73" s="31" t="s">
        <v>863</v>
      </c>
      <c r="C73" s="31" t="s">
        <v>161</v>
      </c>
      <c r="D73" s="31" t="s">
        <v>159</v>
      </c>
      <c r="E73" s="31" t="s">
        <v>94</v>
      </c>
      <c r="F73" s="32" t="s">
        <v>102</v>
      </c>
    </row>
    <row r="74" spans="1:6">
      <c r="A74" s="29">
        <v>5282</v>
      </c>
      <c r="B74" s="31" t="s">
        <v>1069</v>
      </c>
      <c r="C74" s="31" t="s">
        <v>161</v>
      </c>
      <c r="D74" s="31" t="s">
        <v>159</v>
      </c>
      <c r="E74" s="31" t="s">
        <v>94</v>
      </c>
      <c r="F74" s="32" t="s">
        <v>93</v>
      </c>
    </row>
    <row r="75" spans="1:6">
      <c r="A75" s="29">
        <v>5284</v>
      </c>
      <c r="B75" s="31" t="s">
        <v>1070</v>
      </c>
      <c r="C75" s="31" t="s">
        <v>161</v>
      </c>
      <c r="D75" s="31" t="s">
        <v>159</v>
      </c>
      <c r="E75" s="31" t="s">
        <v>94</v>
      </c>
      <c r="F75" s="32" t="s">
        <v>129</v>
      </c>
    </row>
    <row r="76" spans="1:6">
      <c r="A76" s="29">
        <v>5306</v>
      </c>
      <c r="B76" s="31" t="s">
        <v>1071</v>
      </c>
      <c r="C76" s="31" t="s">
        <v>161</v>
      </c>
      <c r="D76" s="31" t="s">
        <v>159</v>
      </c>
      <c r="E76" s="31" t="s">
        <v>94</v>
      </c>
      <c r="F76" s="32" t="s">
        <v>178</v>
      </c>
    </row>
    <row r="77" spans="1:6">
      <c r="A77" s="29">
        <v>5308</v>
      </c>
      <c r="B77" s="31" t="s">
        <v>1072</v>
      </c>
      <c r="C77" s="31" t="s">
        <v>161</v>
      </c>
      <c r="D77" s="31" t="s">
        <v>159</v>
      </c>
      <c r="E77" s="31" t="s">
        <v>94</v>
      </c>
      <c r="F77" s="32" t="s">
        <v>102</v>
      </c>
    </row>
    <row r="78" spans="1:6">
      <c r="A78" s="29">
        <v>5310</v>
      </c>
      <c r="B78" s="31" t="s">
        <v>1073</v>
      </c>
      <c r="C78" s="31" t="s">
        <v>161</v>
      </c>
      <c r="D78" s="31" t="s">
        <v>159</v>
      </c>
      <c r="E78" s="31" t="s">
        <v>94</v>
      </c>
      <c r="F78" s="32" t="s">
        <v>93</v>
      </c>
    </row>
    <row r="79" spans="1:6">
      <c r="A79" s="29">
        <v>5318</v>
      </c>
      <c r="B79" s="31" t="s">
        <v>1074</v>
      </c>
      <c r="C79" s="31" t="s">
        <v>161</v>
      </c>
      <c r="D79" s="31" t="s">
        <v>159</v>
      </c>
      <c r="E79" s="31" t="s">
        <v>94</v>
      </c>
      <c r="F79" s="32" t="s">
        <v>93</v>
      </c>
    </row>
    <row r="80" spans="1:6">
      <c r="A80" s="29">
        <v>5321</v>
      </c>
      <c r="B80" s="31" t="s">
        <v>470</v>
      </c>
      <c r="C80" s="31" t="s">
        <v>161</v>
      </c>
      <c r="D80" s="31" t="s">
        <v>159</v>
      </c>
      <c r="E80" s="31" t="s">
        <v>94</v>
      </c>
      <c r="F80" s="32" t="s">
        <v>93</v>
      </c>
    </row>
    <row r="81" spans="1:6">
      <c r="A81" s="29">
        <v>5347</v>
      </c>
      <c r="B81" s="31" t="s">
        <v>1075</v>
      </c>
      <c r="C81" s="31" t="s">
        <v>161</v>
      </c>
      <c r="D81" s="31" t="s">
        <v>159</v>
      </c>
      <c r="E81" s="31" t="s">
        <v>94</v>
      </c>
      <c r="F81" s="32" t="s">
        <v>93</v>
      </c>
    </row>
    <row r="82" spans="1:6">
      <c r="A82" s="29">
        <v>5353</v>
      </c>
      <c r="B82" s="31" t="s">
        <v>1076</v>
      </c>
      <c r="C82" s="31" t="s">
        <v>161</v>
      </c>
      <c r="D82" s="31" t="s">
        <v>159</v>
      </c>
      <c r="E82" s="31" t="s">
        <v>94</v>
      </c>
      <c r="F82" s="32" t="s">
        <v>178</v>
      </c>
    </row>
    <row r="83" spans="1:6">
      <c r="A83" s="29">
        <v>5360</v>
      </c>
      <c r="B83" s="31" t="s">
        <v>907</v>
      </c>
      <c r="C83" s="31" t="s">
        <v>161</v>
      </c>
      <c r="D83" s="31" t="s">
        <v>159</v>
      </c>
      <c r="E83" s="31" t="s">
        <v>94</v>
      </c>
      <c r="F83" s="32" t="s">
        <v>102</v>
      </c>
    </row>
    <row r="84" spans="1:6">
      <c r="A84" s="29">
        <v>5361</v>
      </c>
      <c r="B84" s="31" t="s">
        <v>1077</v>
      </c>
      <c r="C84" s="31" t="s">
        <v>161</v>
      </c>
      <c r="D84" s="31" t="s">
        <v>159</v>
      </c>
      <c r="E84" s="31" t="s">
        <v>94</v>
      </c>
      <c r="F84" s="32" t="s">
        <v>129</v>
      </c>
    </row>
    <row r="85" spans="1:6">
      <c r="A85" s="29">
        <v>5364</v>
      </c>
      <c r="B85" s="31" t="s">
        <v>1078</v>
      </c>
      <c r="C85" s="31" t="s">
        <v>161</v>
      </c>
      <c r="D85" s="31" t="s">
        <v>159</v>
      </c>
      <c r="E85" s="31" t="s">
        <v>94</v>
      </c>
      <c r="F85" s="32" t="s">
        <v>178</v>
      </c>
    </row>
    <row r="86" spans="1:6">
      <c r="A86" s="29">
        <v>5376</v>
      </c>
      <c r="B86" s="31" t="s">
        <v>1079</v>
      </c>
      <c r="C86" s="31" t="s">
        <v>161</v>
      </c>
      <c r="D86" s="31" t="s">
        <v>159</v>
      </c>
      <c r="E86" s="31" t="s">
        <v>94</v>
      </c>
      <c r="F86" s="32" t="s">
        <v>93</v>
      </c>
    </row>
    <row r="87" spans="1:6">
      <c r="A87" s="29">
        <v>5380</v>
      </c>
      <c r="B87" s="31" t="s">
        <v>1080</v>
      </c>
      <c r="C87" s="31" t="s">
        <v>161</v>
      </c>
      <c r="D87" s="31" t="s">
        <v>159</v>
      </c>
      <c r="E87" s="31" t="s">
        <v>94</v>
      </c>
      <c r="F87" s="32" t="s">
        <v>102</v>
      </c>
    </row>
    <row r="88" spans="1:6">
      <c r="A88" s="29">
        <v>5390</v>
      </c>
      <c r="B88" s="31" t="s">
        <v>676</v>
      </c>
      <c r="C88" s="31" t="s">
        <v>161</v>
      </c>
      <c r="D88" s="31" t="s">
        <v>159</v>
      </c>
      <c r="E88" s="31" t="s">
        <v>94</v>
      </c>
      <c r="F88" s="32" t="s">
        <v>93</v>
      </c>
    </row>
    <row r="89" spans="1:6">
      <c r="A89" s="29">
        <v>5411</v>
      </c>
      <c r="B89" s="31" t="s">
        <v>1081</v>
      </c>
      <c r="C89" s="31" t="s">
        <v>161</v>
      </c>
      <c r="D89" s="31" t="s">
        <v>159</v>
      </c>
      <c r="E89" s="31" t="s">
        <v>94</v>
      </c>
      <c r="F89" s="32" t="s">
        <v>178</v>
      </c>
    </row>
    <row r="90" spans="1:6">
      <c r="A90" s="29">
        <v>5425</v>
      </c>
      <c r="B90" s="31" t="s">
        <v>1082</v>
      </c>
      <c r="C90" s="31" t="s">
        <v>161</v>
      </c>
      <c r="D90" s="31" t="s">
        <v>159</v>
      </c>
      <c r="E90" s="31" t="s">
        <v>94</v>
      </c>
      <c r="F90" s="32" t="s">
        <v>178</v>
      </c>
    </row>
    <row r="91" spans="1:6">
      <c r="A91" s="29">
        <v>5440</v>
      </c>
      <c r="B91" s="31" t="s">
        <v>1083</v>
      </c>
      <c r="C91" s="31" t="s">
        <v>161</v>
      </c>
      <c r="D91" s="31" t="s">
        <v>159</v>
      </c>
      <c r="E91" s="31" t="s">
        <v>94</v>
      </c>
      <c r="F91" s="32" t="s">
        <v>93</v>
      </c>
    </row>
    <row r="92" spans="1:6">
      <c r="A92" s="29">
        <v>5001</v>
      </c>
      <c r="B92" s="31" t="s">
        <v>159</v>
      </c>
      <c r="C92" s="31" t="s">
        <v>161</v>
      </c>
      <c r="D92" s="31" t="s">
        <v>159</v>
      </c>
      <c r="E92" s="31" t="s">
        <v>94</v>
      </c>
      <c r="F92" s="32" t="s">
        <v>102</v>
      </c>
    </row>
    <row r="93" spans="1:6">
      <c r="A93" s="29">
        <v>5467</v>
      </c>
      <c r="B93" s="31" t="s">
        <v>1084</v>
      </c>
      <c r="C93" s="31" t="s">
        <v>161</v>
      </c>
      <c r="D93" s="31" t="s">
        <v>159</v>
      </c>
      <c r="E93" s="31" t="s">
        <v>94</v>
      </c>
      <c r="F93" s="32" t="s">
        <v>93</v>
      </c>
    </row>
    <row r="94" spans="1:6">
      <c r="A94" s="29">
        <v>5475</v>
      </c>
      <c r="B94" s="31" t="s">
        <v>1085</v>
      </c>
      <c r="C94" s="31" t="s">
        <v>161</v>
      </c>
      <c r="D94" s="31" t="s">
        <v>664</v>
      </c>
      <c r="E94" s="31" t="s">
        <v>856</v>
      </c>
      <c r="F94" s="32" t="s">
        <v>139</v>
      </c>
    </row>
    <row r="95" spans="1:6">
      <c r="A95" s="29">
        <v>5480</v>
      </c>
      <c r="B95" s="31" t="s">
        <v>1086</v>
      </c>
      <c r="C95" s="31" t="s">
        <v>161</v>
      </c>
      <c r="D95" s="31" t="s">
        <v>664</v>
      </c>
      <c r="E95" s="31" t="s">
        <v>94</v>
      </c>
      <c r="F95" s="32" t="s">
        <v>93</v>
      </c>
    </row>
    <row r="96" spans="1:6">
      <c r="A96" s="29">
        <v>5495</v>
      </c>
      <c r="B96" s="31" t="s">
        <v>1087</v>
      </c>
      <c r="C96" s="31" t="s">
        <v>161</v>
      </c>
      <c r="D96" s="31" t="s">
        <v>113</v>
      </c>
      <c r="E96" s="31" t="s">
        <v>94</v>
      </c>
      <c r="F96" s="32" t="s">
        <v>178</v>
      </c>
    </row>
    <row r="97" spans="1:6">
      <c r="A97" s="29">
        <v>5490</v>
      </c>
      <c r="B97" s="31" t="s">
        <v>1088</v>
      </c>
      <c r="C97" s="31" t="s">
        <v>161</v>
      </c>
      <c r="D97" s="31" t="s">
        <v>664</v>
      </c>
      <c r="E97" s="31" t="s">
        <v>94</v>
      </c>
      <c r="F97" s="32" t="s">
        <v>93</v>
      </c>
    </row>
    <row r="98" spans="1:6">
      <c r="A98" s="29">
        <v>5501</v>
      </c>
      <c r="B98" s="31" t="s">
        <v>1089</v>
      </c>
      <c r="C98" s="31" t="s">
        <v>161</v>
      </c>
      <c r="D98" s="31" t="s">
        <v>159</v>
      </c>
      <c r="E98" s="31" t="s">
        <v>94</v>
      </c>
      <c r="F98" s="32" t="s">
        <v>93</v>
      </c>
    </row>
    <row r="99" spans="1:6">
      <c r="A99" s="29">
        <v>5541</v>
      </c>
      <c r="B99" s="31" t="s">
        <v>1090</v>
      </c>
      <c r="C99" s="31" t="s">
        <v>161</v>
      </c>
      <c r="D99" s="31" t="s">
        <v>159</v>
      </c>
      <c r="E99" s="31" t="s">
        <v>94</v>
      </c>
      <c r="F99" s="32" t="s">
        <v>93</v>
      </c>
    </row>
    <row r="100" spans="1:6">
      <c r="A100" s="29">
        <v>5543</v>
      </c>
      <c r="B100" s="31" t="s">
        <v>1091</v>
      </c>
      <c r="C100" s="31" t="s">
        <v>161</v>
      </c>
      <c r="D100" s="31" t="s">
        <v>159</v>
      </c>
      <c r="E100" s="31" t="s">
        <v>94</v>
      </c>
      <c r="F100" s="32" t="s">
        <v>129</v>
      </c>
    </row>
    <row r="101" spans="1:6">
      <c r="A101" s="29">
        <v>5576</v>
      </c>
      <c r="B101" s="31" t="s">
        <v>1092</v>
      </c>
      <c r="C101" s="31" t="s">
        <v>161</v>
      </c>
      <c r="D101" s="31" t="s">
        <v>159</v>
      </c>
      <c r="E101" s="31" t="s">
        <v>94</v>
      </c>
      <c r="F101" s="32" t="s">
        <v>178</v>
      </c>
    </row>
    <row r="102" spans="1:6">
      <c r="A102" s="29">
        <v>5579</v>
      </c>
      <c r="B102" s="31" t="s">
        <v>1093</v>
      </c>
      <c r="C102" s="31" t="s">
        <v>161</v>
      </c>
      <c r="D102" s="31" t="s">
        <v>159</v>
      </c>
      <c r="E102" s="31" t="s">
        <v>94</v>
      </c>
      <c r="F102" s="32" t="s">
        <v>178</v>
      </c>
    </row>
    <row r="103" spans="1:6">
      <c r="A103" s="29">
        <v>5585</v>
      </c>
      <c r="B103" s="31" t="s">
        <v>1094</v>
      </c>
      <c r="C103" s="31" t="s">
        <v>161</v>
      </c>
      <c r="D103" s="31" t="s">
        <v>159</v>
      </c>
      <c r="E103" s="31" t="s">
        <v>94</v>
      </c>
      <c r="F103" s="32" t="s">
        <v>129</v>
      </c>
    </row>
    <row r="104" spans="1:6">
      <c r="A104" s="29">
        <v>5591</v>
      </c>
      <c r="B104" s="31" t="s">
        <v>162</v>
      </c>
      <c r="C104" s="31" t="s">
        <v>161</v>
      </c>
      <c r="D104" s="31" t="s">
        <v>159</v>
      </c>
      <c r="E104" s="31" t="s">
        <v>94</v>
      </c>
      <c r="F104" s="32" t="s">
        <v>129</v>
      </c>
    </row>
    <row r="105" spans="1:6">
      <c r="A105" s="29">
        <v>5604</v>
      </c>
      <c r="B105" s="31" t="s">
        <v>1095</v>
      </c>
      <c r="C105" s="31" t="s">
        <v>161</v>
      </c>
      <c r="D105" s="31" t="s">
        <v>159</v>
      </c>
      <c r="E105" s="31" t="s">
        <v>94</v>
      </c>
      <c r="F105" s="32" t="s">
        <v>129</v>
      </c>
    </row>
    <row r="106" spans="1:6">
      <c r="A106" s="29">
        <v>5607</v>
      </c>
      <c r="B106" s="31" t="s">
        <v>1096</v>
      </c>
      <c r="C106" s="31" t="s">
        <v>161</v>
      </c>
      <c r="D106" s="31" t="s">
        <v>159</v>
      </c>
      <c r="E106" s="31" t="s">
        <v>94</v>
      </c>
      <c r="F106" s="32" t="s">
        <v>93</v>
      </c>
    </row>
    <row r="107" spans="1:6">
      <c r="A107" s="29">
        <v>5631</v>
      </c>
      <c r="B107" s="31" t="s">
        <v>1097</v>
      </c>
      <c r="C107" s="31" t="s">
        <v>161</v>
      </c>
      <c r="D107" s="31" t="s">
        <v>159</v>
      </c>
      <c r="E107" s="31" t="s">
        <v>94</v>
      </c>
      <c r="F107" s="32" t="s">
        <v>102</v>
      </c>
    </row>
    <row r="108" spans="1:6">
      <c r="A108" s="29">
        <v>5642</v>
      </c>
      <c r="B108" s="31" t="s">
        <v>1098</v>
      </c>
      <c r="C108" s="31" t="s">
        <v>161</v>
      </c>
      <c r="D108" s="31" t="s">
        <v>159</v>
      </c>
      <c r="E108" s="31" t="s">
        <v>94</v>
      </c>
      <c r="F108" s="32" t="s">
        <v>93</v>
      </c>
    </row>
    <row r="109" spans="1:6">
      <c r="A109" s="29">
        <v>5647</v>
      </c>
      <c r="B109" s="31" t="s">
        <v>1099</v>
      </c>
      <c r="C109" s="31" t="s">
        <v>161</v>
      </c>
      <c r="D109" s="31" t="s">
        <v>159</v>
      </c>
      <c r="E109" s="31" t="s">
        <v>94</v>
      </c>
      <c r="F109" s="32" t="s">
        <v>178</v>
      </c>
    </row>
    <row r="110" spans="1:6">
      <c r="A110" s="29">
        <v>5656</v>
      </c>
      <c r="B110" s="31" t="s">
        <v>1100</v>
      </c>
      <c r="C110" s="31" t="s">
        <v>161</v>
      </c>
      <c r="D110" s="31" t="s">
        <v>159</v>
      </c>
      <c r="E110" s="31" t="s">
        <v>94</v>
      </c>
      <c r="F110" s="32" t="s">
        <v>93</v>
      </c>
    </row>
    <row r="111" spans="1:6">
      <c r="A111" s="29">
        <v>5658</v>
      </c>
      <c r="B111" s="31" t="s">
        <v>1101</v>
      </c>
      <c r="C111" s="31" t="s">
        <v>161</v>
      </c>
      <c r="D111" s="31" t="s">
        <v>159</v>
      </c>
      <c r="E111" s="31" t="s">
        <v>94</v>
      </c>
      <c r="F111" s="32" t="s">
        <v>178</v>
      </c>
    </row>
    <row r="112" spans="1:6">
      <c r="A112" s="29">
        <v>5659</v>
      </c>
      <c r="B112" s="31" t="s">
        <v>1102</v>
      </c>
      <c r="C112" s="31" t="s">
        <v>161</v>
      </c>
      <c r="D112" s="31" t="s">
        <v>113</v>
      </c>
      <c r="E112" s="31" t="s">
        <v>94</v>
      </c>
      <c r="F112" s="32" t="s">
        <v>93</v>
      </c>
    </row>
    <row r="113" spans="1:6">
      <c r="A113" s="29">
        <v>5665</v>
      </c>
      <c r="B113" s="31" t="s">
        <v>1103</v>
      </c>
      <c r="C113" s="31" t="s">
        <v>161</v>
      </c>
      <c r="D113" s="31" t="s">
        <v>664</v>
      </c>
      <c r="E113" s="31" t="s">
        <v>94</v>
      </c>
      <c r="F113" s="32" t="s">
        <v>178</v>
      </c>
    </row>
    <row r="114" spans="1:6">
      <c r="A114" s="29">
        <v>5667</v>
      </c>
      <c r="B114" s="31" t="s">
        <v>1104</v>
      </c>
      <c r="C114" s="31" t="s">
        <v>161</v>
      </c>
      <c r="D114" s="31" t="s">
        <v>159</v>
      </c>
      <c r="E114" s="31" t="s">
        <v>94</v>
      </c>
      <c r="F114" s="32" t="s">
        <v>178</v>
      </c>
    </row>
    <row r="115" spans="1:6">
      <c r="A115" s="29">
        <v>5670</v>
      </c>
      <c r="B115" s="31" t="s">
        <v>1105</v>
      </c>
      <c r="C115" s="31" t="s">
        <v>161</v>
      </c>
      <c r="D115" s="31" t="s">
        <v>159</v>
      </c>
      <c r="E115" s="31" t="s">
        <v>94</v>
      </c>
      <c r="F115" s="32" t="s">
        <v>178</v>
      </c>
    </row>
    <row r="116" spans="1:6">
      <c r="A116" s="29">
        <v>5674</v>
      </c>
      <c r="B116" s="31" t="s">
        <v>1106</v>
      </c>
      <c r="C116" s="31" t="s">
        <v>161</v>
      </c>
      <c r="D116" s="31" t="s">
        <v>159</v>
      </c>
      <c r="E116" s="31" t="s">
        <v>94</v>
      </c>
      <c r="F116" s="32" t="s">
        <v>93</v>
      </c>
    </row>
    <row r="117" spans="1:6">
      <c r="A117" s="29">
        <v>5042</v>
      </c>
      <c r="B117" s="31" t="s">
        <v>1107</v>
      </c>
      <c r="C117" s="31" t="s">
        <v>161</v>
      </c>
      <c r="D117" s="31" t="s">
        <v>159</v>
      </c>
      <c r="E117" s="31" t="s">
        <v>94</v>
      </c>
      <c r="F117" s="32" t="s">
        <v>93</v>
      </c>
    </row>
    <row r="118" spans="1:6">
      <c r="A118" s="29">
        <v>5686</v>
      </c>
      <c r="B118" s="31" t="s">
        <v>1108</v>
      </c>
      <c r="C118" s="31" t="s">
        <v>161</v>
      </c>
      <c r="D118" s="31" t="s">
        <v>159</v>
      </c>
      <c r="E118" s="31" t="s">
        <v>94</v>
      </c>
      <c r="F118" s="32" t="s">
        <v>93</v>
      </c>
    </row>
    <row r="119" spans="1:6">
      <c r="A119" s="29">
        <v>5690</v>
      </c>
      <c r="B119" s="31" t="s">
        <v>1109</v>
      </c>
      <c r="C119" s="31" t="s">
        <v>161</v>
      </c>
      <c r="D119" s="31" t="s">
        <v>159</v>
      </c>
      <c r="E119" s="31" t="s">
        <v>94</v>
      </c>
      <c r="F119" s="32" t="s">
        <v>93</v>
      </c>
    </row>
    <row r="120" spans="1:6">
      <c r="A120" s="29">
        <v>5736</v>
      </c>
      <c r="B120" s="31" t="s">
        <v>1110</v>
      </c>
      <c r="C120" s="31" t="s">
        <v>161</v>
      </c>
      <c r="D120" s="31" t="s">
        <v>159</v>
      </c>
      <c r="E120" s="31" t="s">
        <v>94</v>
      </c>
      <c r="F120" s="32" t="s">
        <v>129</v>
      </c>
    </row>
    <row r="121" spans="1:6">
      <c r="A121" s="29">
        <v>5756</v>
      </c>
      <c r="B121" s="31" t="s">
        <v>1111</v>
      </c>
      <c r="C121" s="31" t="s">
        <v>161</v>
      </c>
      <c r="D121" s="31" t="s">
        <v>159</v>
      </c>
      <c r="E121" s="31" t="s">
        <v>94</v>
      </c>
      <c r="F121" s="32" t="s">
        <v>178</v>
      </c>
    </row>
    <row r="122" spans="1:6">
      <c r="A122" s="29">
        <v>5761</v>
      </c>
      <c r="B122" s="31" t="s">
        <v>1112</v>
      </c>
      <c r="C122" s="31" t="s">
        <v>161</v>
      </c>
      <c r="D122" s="31" t="s">
        <v>159</v>
      </c>
      <c r="E122" s="31" t="s">
        <v>94</v>
      </c>
      <c r="F122" s="32" t="s">
        <v>93</v>
      </c>
    </row>
    <row r="123" spans="1:6">
      <c r="A123" s="29">
        <v>5789</v>
      </c>
      <c r="B123" s="31" t="s">
        <v>1113</v>
      </c>
      <c r="C123" s="31" t="s">
        <v>161</v>
      </c>
      <c r="D123" s="31" t="s">
        <v>159</v>
      </c>
      <c r="E123" s="31" t="s">
        <v>94</v>
      </c>
      <c r="F123" s="32" t="s">
        <v>178</v>
      </c>
    </row>
    <row r="124" spans="1:6">
      <c r="A124" s="29">
        <v>5790</v>
      </c>
      <c r="B124" s="31" t="s">
        <v>1114</v>
      </c>
      <c r="C124" s="31" t="s">
        <v>161</v>
      </c>
      <c r="D124" s="31" t="s">
        <v>159</v>
      </c>
      <c r="E124" s="31" t="s">
        <v>94</v>
      </c>
      <c r="F124" s="32" t="s">
        <v>129</v>
      </c>
    </row>
    <row r="125" spans="1:6">
      <c r="A125" s="29">
        <v>5792</v>
      </c>
      <c r="B125" s="31" t="s">
        <v>1115</v>
      </c>
      <c r="C125" s="31" t="s">
        <v>161</v>
      </c>
      <c r="D125" s="31" t="s">
        <v>159</v>
      </c>
      <c r="E125" s="31" t="s">
        <v>94</v>
      </c>
      <c r="F125" s="32" t="s">
        <v>178</v>
      </c>
    </row>
    <row r="126" spans="1:6">
      <c r="A126" s="29">
        <v>5809</v>
      </c>
      <c r="B126" s="31" t="s">
        <v>1116</v>
      </c>
      <c r="C126" s="31" t="s">
        <v>161</v>
      </c>
      <c r="D126" s="31" t="s">
        <v>159</v>
      </c>
      <c r="E126" s="31" t="s">
        <v>94</v>
      </c>
      <c r="F126" s="32" t="s">
        <v>93</v>
      </c>
    </row>
    <row r="127" spans="1:6">
      <c r="A127" s="29">
        <v>5837</v>
      </c>
      <c r="B127" s="31" t="s">
        <v>1117</v>
      </c>
      <c r="C127" s="31" t="s">
        <v>161</v>
      </c>
      <c r="D127" s="31" t="s">
        <v>664</v>
      </c>
      <c r="E127" s="31" t="s">
        <v>94</v>
      </c>
      <c r="F127" s="32" t="s">
        <v>93</v>
      </c>
    </row>
    <row r="128" spans="1:6">
      <c r="A128" s="29">
        <v>5842</v>
      </c>
      <c r="B128" s="31" t="s">
        <v>1118</v>
      </c>
      <c r="C128" s="31" t="s">
        <v>161</v>
      </c>
      <c r="D128" s="31" t="s">
        <v>159</v>
      </c>
      <c r="E128" s="31" t="s">
        <v>94</v>
      </c>
      <c r="F128" s="32" t="s">
        <v>129</v>
      </c>
    </row>
    <row r="129" spans="1:6">
      <c r="A129" s="29">
        <v>5847</v>
      </c>
      <c r="B129" s="31" t="s">
        <v>1119</v>
      </c>
      <c r="C129" s="31" t="s">
        <v>161</v>
      </c>
      <c r="D129" s="31" t="s">
        <v>159</v>
      </c>
      <c r="E129" s="31" t="s">
        <v>94</v>
      </c>
      <c r="F129" s="32" t="s">
        <v>129</v>
      </c>
    </row>
    <row r="130" spans="1:6">
      <c r="A130" s="29">
        <v>5854</v>
      </c>
      <c r="B130" s="31" t="s">
        <v>1120</v>
      </c>
      <c r="C130" s="31" t="s">
        <v>161</v>
      </c>
      <c r="D130" s="31" t="s">
        <v>159</v>
      </c>
      <c r="E130" s="31" t="s">
        <v>94</v>
      </c>
      <c r="F130" s="32" t="s">
        <v>178</v>
      </c>
    </row>
    <row r="131" spans="1:6">
      <c r="A131" s="29">
        <v>5858</v>
      </c>
      <c r="B131" s="31" t="s">
        <v>1121</v>
      </c>
      <c r="C131" s="31" t="s">
        <v>161</v>
      </c>
      <c r="D131" s="31" t="s">
        <v>159</v>
      </c>
      <c r="E131" s="31" t="s">
        <v>94</v>
      </c>
      <c r="F131" s="32" t="s">
        <v>178</v>
      </c>
    </row>
    <row r="132" spans="1:6">
      <c r="A132" s="29">
        <v>5873</v>
      </c>
      <c r="B132" s="31" t="s">
        <v>1122</v>
      </c>
      <c r="C132" s="31" t="s">
        <v>161</v>
      </c>
      <c r="D132" s="31" t="s">
        <v>664</v>
      </c>
      <c r="E132" s="31" t="s">
        <v>140</v>
      </c>
      <c r="F132" s="32" t="s">
        <v>139</v>
      </c>
    </row>
    <row r="133" spans="1:6">
      <c r="A133" s="29">
        <v>5885</v>
      </c>
      <c r="B133" s="31" t="s">
        <v>1123</v>
      </c>
      <c r="C133" s="31" t="s">
        <v>161</v>
      </c>
      <c r="D133" s="31" t="s">
        <v>159</v>
      </c>
      <c r="E133" s="31" t="s">
        <v>94</v>
      </c>
      <c r="F133" s="32" t="s">
        <v>93</v>
      </c>
    </row>
    <row r="134" spans="1:6">
      <c r="A134" s="29">
        <v>5887</v>
      </c>
      <c r="B134" s="31" t="s">
        <v>1124</v>
      </c>
      <c r="C134" s="31" t="s">
        <v>161</v>
      </c>
      <c r="D134" s="31" t="s">
        <v>159</v>
      </c>
      <c r="E134" s="31" t="s">
        <v>94</v>
      </c>
      <c r="F134" s="32" t="s">
        <v>178</v>
      </c>
    </row>
    <row r="135" spans="1:6">
      <c r="A135" s="29">
        <v>5890</v>
      </c>
      <c r="B135" s="31" t="s">
        <v>1125</v>
      </c>
      <c r="C135" s="31" t="s">
        <v>161</v>
      </c>
      <c r="D135" s="31" t="s">
        <v>159</v>
      </c>
      <c r="E135" s="31" t="s">
        <v>94</v>
      </c>
      <c r="F135" s="32" t="s">
        <v>93</v>
      </c>
    </row>
    <row r="136" spans="1:6">
      <c r="A136" s="29">
        <v>5893</v>
      </c>
      <c r="B136" s="31" t="s">
        <v>1126</v>
      </c>
      <c r="C136" s="31" t="s">
        <v>161</v>
      </c>
      <c r="D136" s="31" t="s">
        <v>302</v>
      </c>
      <c r="E136" s="31" t="s">
        <v>94</v>
      </c>
      <c r="F136" s="32" t="s">
        <v>129</v>
      </c>
    </row>
    <row r="137" spans="1:6">
      <c r="A137" s="29">
        <v>5895</v>
      </c>
      <c r="B137" s="31" t="s">
        <v>1127</v>
      </c>
      <c r="C137" s="31" t="s">
        <v>161</v>
      </c>
      <c r="D137" s="31" t="s">
        <v>113</v>
      </c>
      <c r="E137" s="31" t="s">
        <v>94</v>
      </c>
      <c r="F137" s="32" t="s">
        <v>129</v>
      </c>
    </row>
    <row r="138" spans="1:6">
      <c r="A138" s="29">
        <v>81001</v>
      </c>
      <c r="B138" s="31" t="s">
        <v>1128</v>
      </c>
      <c r="C138" s="31" t="s">
        <v>1128</v>
      </c>
      <c r="D138" s="31" t="s">
        <v>302</v>
      </c>
      <c r="E138" s="31" t="s">
        <v>140</v>
      </c>
      <c r="F138" s="32" t="s">
        <v>139</v>
      </c>
    </row>
    <row r="139" spans="1:6">
      <c r="A139" s="29">
        <v>81065</v>
      </c>
      <c r="B139" s="31" t="s">
        <v>1129</v>
      </c>
      <c r="C139" s="31" t="s">
        <v>1128</v>
      </c>
      <c r="D139" s="31" t="s">
        <v>302</v>
      </c>
      <c r="E139" s="31" t="s">
        <v>140</v>
      </c>
      <c r="F139" s="32" t="s">
        <v>139</v>
      </c>
    </row>
    <row r="140" spans="1:6">
      <c r="A140" s="29">
        <v>81220</v>
      </c>
      <c r="B140" s="31" t="s">
        <v>1130</v>
      </c>
      <c r="C140" s="31" t="s">
        <v>1128</v>
      </c>
      <c r="D140" s="31" t="s">
        <v>302</v>
      </c>
      <c r="E140" s="31" t="s">
        <v>140</v>
      </c>
      <c r="F140" s="32" t="s">
        <v>139</v>
      </c>
    </row>
    <row r="141" spans="1:6">
      <c r="A141" s="29">
        <v>81300</v>
      </c>
      <c r="B141" s="31" t="s">
        <v>1131</v>
      </c>
      <c r="C141" s="31" t="s">
        <v>1128</v>
      </c>
      <c r="D141" s="31" t="s">
        <v>302</v>
      </c>
      <c r="E141" s="31" t="s">
        <v>140</v>
      </c>
      <c r="F141" s="32" t="s">
        <v>139</v>
      </c>
    </row>
    <row r="142" spans="1:6">
      <c r="A142" s="29">
        <v>81591</v>
      </c>
      <c r="B142" s="31" t="s">
        <v>1132</v>
      </c>
      <c r="C142" s="31" t="s">
        <v>1128</v>
      </c>
      <c r="D142" s="31" t="s">
        <v>302</v>
      </c>
      <c r="E142" s="31" t="s">
        <v>140</v>
      </c>
      <c r="F142" s="32" t="s">
        <v>139</v>
      </c>
    </row>
    <row r="143" spans="1:6">
      <c r="A143" s="29">
        <v>81736</v>
      </c>
      <c r="B143" s="31" t="s">
        <v>1133</v>
      </c>
      <c r="C143" s="31" t="s">
        <v>1128</v>
      </c>
      <c r="D143" s="31" t="s">
        <v>302</v>
      </c>
      <c r="E143" s="31" t="s">
        <v>140</v>
      </c>
      <c r="F143" s="32" t="s">
        <v>139</v>
      </c>
    </row>
    <row r="144" spans="1:6">
      <c r="A144" s="29">
        <v>81794</v>
      </c>
      <c r="B144" s="31" t="s">
        <v>1134</v>
      </c>
      <c r="C144" s="31" t="s">
        <v>1128</v>
      </c>
      <c r="D144" s="31" t="s">
        <v>302</v>
      </c>
      <c r="E144" s="31" t="s">
        <v>140</v>
      </c>
      <c r="F144" s="32" t="s">
        <v>139</v>
      </c>
    </row>
    <row r="145" spans="1:6">
      <c r="A145" s="29">
        <v>8141</v>
      </c>
      <c r="B145" s="30" t="s">
        <v>274</v>
      </c>
      <c r="C145" s="31" t="s">
        <v>220</v>
      </c>
      <c r="D145" s="31" t="s">
        <v>218</v>
      </c>
      <c r="E145" s="31" t="s">
        <v>94</v>
      </c>
      <c r="F145" s="32" t="s">
        <v>93</v>
      </c>
    </row>
    <row r="146" spans="1:6">
      <c r="A146" s="29">
        <v>8573</v>
      </c>
      <c r="B146" s="30" t="s">
        <v>1135</v>
      </c>
      <c r="C146" s="31" t="s">
        <v>220</v>
      </c>
      <c r="D146" s="31" t="s">
        <v>218</v>
      </c>
      <c r="E146" s="31" t="s">
        <v>94</v>
      </c>
      <c r="F146" s="32" t="s">
        <v>93</v>
      </c>
    </row>
    <row r="147" spans="1:6">
      <c r="A147" s="29">
        <v>8638</v>
      </c>
      <c r="B147" s="30" t="s">
        <v>764</v>
      </c>
      <c r="C147" s="31" t="s">
        <v>220</v>
      </c>
      <c r="D147" s="31" t="s">
        <v>218</v>
      </c>
      <c r="E147" s="31" t="s">
        <v>94</v>
      </c>
      <c r="F147" s="32" t="s">
        <v>93</v>
      </c>
    </row>
    <row r="148" spans="1:6">
      <c r="A148" s="29">
        <v>8078</v>
      </c>
      <c r="B148" s="31" t="s">
        <v>1136</v>
      </c>
      <c r="C148" s="31" t="s">
        <v>220</v>
      </c>
      <c r="D148" s="31" t="s">
        <v>218</v>
      </c>
      <c r="E148" s="31" t="s">
        <v>94</v>
      </c>
      <c r="F148" s="32" t="s">
        <v>93</v>
      </c>
    </row>
    <row r="149" spans="1:6">
      <c r="A149" s="29">
        <v>8001</v>
      </c>
      <c r="B149" s="31" t="s">
        <v>218</v>
      </c>
      <c r="C149" s="31" t="s">
        <v>220</v>
      </c>
      <c r="D149" s="31" t="s">
        <v>218</v>
      </c>
      <c r="E149" s="31" t="s">
        <v>94</v>
      </c>
      <c r="F149" s="32" t="s">
        <v>102</v>
      </c>
    </row>
    <row r="150" spans="1:6">
      <c r="A150" s="29">
        <v>8137</v>
      </c>
      <c r="B150" s="31" t="s">
        <v>1137</v>
      </c>
      <c r="C150" s="31" t="s">
        <v>220</v>
      </c>
      <c r="D150" s="31" t="s">
        <v>218</v>
      </c>
      <c r="E150" s="31" t="s">
        <v>94</v>
      </c>
      <c r="F150" s="32" t="s">
        <v>93</v>
      </c>
    </row>
    <row r="151" spans="1:6">
      <c r="A151" s="29">
        <v>8296</v>
      </c>
      <c r="B151" s="31" t="s">
        <v>1138</v>
      </c>
      <c r="C151" s="31" t="s">
        <v>220</v>
      </c>
      <c r="D151" s="31" t="s">
        <v>218</v>
      </c>
      <c r="E151" s="31" t="s">
        <v>94</v>
      </c>
      <c r="F151" s="32" t="s">
        <v>102</v>
      </c>
    </row>
    <row r="152" spans="1:6">
      <c r="A152" s="29">
        <v>8372</v>
      </c>
      <c r="B152" s="31" t="s">
        <v>1139</v>
      </c>
      <c r="C152" s="31" t="s">
        <v>220</v>
      </c>
      <c r="D152" s="31" t="s">
        <v>218</v>
      </c>
      <c r="E152" s="31" t="s">
        <v>94</v>
      </c>
      <c r="F152" s="32" t="s">
        <v>93</v>
      </c>
    </row>
    <row r="153" spans="1:6">
      <c r="A153" s="29">
        <v>8421</v>
      </c>
      <c r="B153" s="31" t="s">
        <v>1140</v>
      </c>
      <c r="C153" s="31" t="s">
        <v>220</v>
      </c>
      <c r="D153" s="31" t="s">
        <v>218</v>
      </c>
      <c r="E153" s="31" t="s">
        <v>94</v>
      </c>
      <c r="F153" s="32" t="s">
        <v>93</v>
      </c>
    </row>
    <row r="154" spans="1:6">
      <c r="A154" s="29">
        <v>8433</v>
      </c>
      <c r="B154" s="31" t="s">
        <v>1141</v>
      </c>
      <c r="C154" s="31" t="s">
        <v>220</v>
      </c>
      <c r="D154" s="31" t="s">
        <v>218</v>
      </c>
      <c r="E154" s="31" t="s">
        <v>94</v>
      </c>
      <c r="F154" s="32" t="s">
        <v>93</v>
      </c>
    </row>
    <row r="155" spans="1:6">
      <c r="A155" s="29">
        <v>8436</v>
      </c>
      <c r="B155" s="31" t="s">
        <v>1142</v>
      </c>
      <c r="C155" s="31" t="s">
        <v>220</v>
      </c>
      <c r="D155" s="31" t="s">
        <v>218</v>
      </c>
      <c r="E155" s="31" t="s">
        <v>94</v>
      </c>
      <c r="F155" s="32" t="s">
        <v>93</v>
      </c>
    </row>
    <row r="156" spans="1:6">
      <c r="A156" s="29">
        <v>8520</v>
      </c>
      <c r="B156" s="31" t="s">
        <v>1143</v>
      </c>
      <c r="C156" s="31" t="s">
        <v>220</v>
      </c>
      <c r="D156" s="31" t="s">
        <v>218</v>
      </c>
      <c r="E156" s="31" t="s">
        <v>94</v>
      </c>
      <c r="F156" s="32" t="s">
        <v>93</v>
      </c>
    </row>
    <row r="157" spans="1:6">
      <c r="A157" s="29">
        <v>8549</v>
      </c>
      <c r="B157" s="31" t="s">
        <v>1144</v>
      </c>
      <c r="C157" s="31" t="s">
        <v>220</v>
      </c>
      <c r="D157" s="31" t="s">
        <v>218</v>
      </c>
      <c r="E157" s="31" t="s">
        <v>94</v>
      </c>
      <c r="F157" s="32" t="s">
        <v>93</v>
      </c>
    </row>
    <row r="158" spans="1:6">
      <c r="A158" s="29">
        <v>8558</v>
      </c>
      <c r="B158" s="31" t="s">
        <v>1145</v>
      </c>
      <c r="C158" s="31" t="s">
        <v>220</v>
      </c>
      <c r="D158" s="31" t="s">
        <v>218</v>
      </c>
      <c r="E158" s="31" t="s">
        <v>94</v>
      </c>
      <c r="F158" s="32" t="s">
        <v>93</v>
      </c>
    </row>
    <row r="159" spans="1:6">
      <c r="A159" s="29">
        <v>8560</v>
      </c>
      <c r="B159" s="31" t="s">
        <v>1146</v>
      </c>
      <c r="C159" s="31" t="s">
        <v>220</v>
      </c>
      <c r="D159" s="31" t="s">
        <v>218</v>
      </c>
      <c r="E159" s="31" t="s">
        <v>94</v>
      </c>
      <c r="F159" s="32" t="s">
        <v>93</v>
      </c>
    </row>
    <row r="160" spans="1:6">
      <c r="A160" s="29">
        <v>8606</v>
      </c>
      <c r="B160" s="31" t="s">
        <v>1147</v>
      </c>
      <c r="C160" s="31" t="s">
        <v>220</v>
      </c>
      <c r="D160" s="31" t="s">
        <v>218</v>
      </c>
      <c r="E160" s="31" t="s">
        <v>94</v>
      </c>
      <c r="F160" s="32" t="s">
        <v>93</v>
      </c>
    </row>
    <row r="161" spans="1:6">
      <c r="A161" s="29">
        <v>8634</v>
      </c>
      <c r="B161" s="31" t="s">
        <v>1148</v>
      </c>
      <c r="C161" s="31" t="s">
        <v>220</v>
      </c>
      <c r="D161" s="31" t="s">
        <v>218</v>
      </c>
      <c r="E161" s="31" t="s">
        <v>94</v>
      </c>
      <c r="F161" s="32" t="s">
        <v>93</v>
      </c>
    </row>
    <row r="162" spans="1:6">
      <c r="A162" s="29">
        <v>8675</v>
      </c>
      <c r="B162" s="31" t="s">
        <v>1149</v>
      </c>
      <c r="C162" s="31" t="s">
        <v>220</v>
      </c>
      <c r="D162" s="31" t="s">
        <v>218</v>
      </c>
      <c r="E162" s="31" t="s">
        <v>94</v>
      </c>
      <c r="F162" s="32" t="s">
        <v>93</v>
      </c>
    </row>
    <row r="163" spans="1:6">
      <c r="A163" s="29">
        <v>8685</v>
      </c>
      <c r="B163" s="31" t="s">
        <v>1150</v>
      </c>
      <c r="C163" s="31" t="s">
        <v>220</v>
      </c>
      <c r="D163" s="31" t="s">
        <v>218</v>
      </c>
      <c r="E163" s="31" t="s">
        <v>94</v>
      </c>
      <c r="F163" s="32" t="s">
        <v>93</v>
      </c>
    </row>
    <row r="164" spans="1:6">
      <c r="A164" s="29">
        <v>8758</v>
      </c>
      <c r="B164" s="31" t="s">
        <v>221</v>
      </c>
      <c r="C164" s="31" t="s">
        <v>220</v>
      </c>
      <c r="D164" s="31" t="s">
        <v>218</v>
      </c>
      <c r="E164" s="31" t="s">
        <v>94</v>
      </c>
      <c r="F164" s="32" t="s">
        <v>102</v>
      </c>
    </row>
    <row r="165" spans="1:6">
      <c r="A165" s="29">
        <v>8770</v>
      </c>
      <c r="B165" s="31" t="s">
        <v>1151</v>
      </c>
      <c r="C165" s="31" t="s">
        <v>220</v>
      </c>
      <c r="D165" s="31" t="s">
        <v>218</v>
      </c>
      <c r="E165" s="31" t="s">
        <v>94</v>
      </c>
      <c r="F165" s="32" t="s">
        <v>93</v>
      </c>
    </row>
    <row r="166" spans="1:6">
      <c r="A166" s="29">
        <v>8832</v>
      </c>
      <c r="B166" s="31" t="s">
        <v>1152</v>
      </c>
      <c r="C166" s="31" t="s">
        <v>220</v>
      </c>
      <c r="D166" s="31" t="s">
        <v>218</v>
      </c>
      <c r="E166" s="31" t="s">
        <v>94</v>
      </c>
      <c r="F166" s="32" t="s">
        <v>93</v>
      </c>
    </row>
    <row r="167" spans="1:6">
      <c r="A167" s="29">
        <v>8849</v>
      </c>
      <c r="B167" s="31" t="s">
        <v>1153</v>
      </c>
      <c r="C167" s="31" t="s">
        <v>220</v>
      </c>
      <c r="D167" s="31" t="s">
        <v>218</v>
      </c>
      <c r="E167" s="31" t="s">
        <v>94</v>
      </c>
      <c r="F167" s="32" t="s">
        <v>93</v>
      </c>
    </row>
    <row r="168" spans="1:6">
      <c r="A168" s="29">
        <v>13140</v>
      </c>
      <c r="B168" s="30" t="s">
        <v>134</v>
      </c>
      <c r="C168" s="31" t="s">
        <v>651</v>
      </c>
      <c r="D168" s="31" t="s">
        <v>1154</v>
      </c>
      <c r="E168" s="31" t="s">
        <v>94</v>
      </c>
      <c r="F168" s="32" t="s">
        <v>93</v>
      </c>
    </row>
    <row r="169" spans="1:6">
      <c r="A169" s="29">
        <v>13212</v>
      </c>
      <c r="B169" s="30" t="s">
        <v>115</v>
      </c>
      <c r="C169" s="31" t="s">
        <v>651</v>
      </c>
      <c r="D169" s="31" t="s">
        <v>1154</v>
      </c>
      <c r="E169" s="31" t="s">
        <v>94</v>
      </c>
      <c r="F169" s="32" t="s">
        <v>129</v>
      </c>
    </row>
    <row r="170" spans="1:6">
      <c r="A170" s="29">
        <v>13268</v>
      </c>
      <c r="B170" s="30" t="s">
        <v>1155</v>
      </c>
      <c r="C170" s="31" t="s">
        <v>651</v>
      </c>
      <c r="D170" s="31" t="s">
        <v>649</v>
      </c>
      <c r="E170" s="31" t="s">
        <v>94</v>
      </c>
      <c r="F170" s="32" t="s">
        <v>129</v>
      </c>
    </row>
    <row r="171" spans="1:6">
      <c r="A171" s="29">
        <v>13473</v>
      </c>
      <c r="B171" s="30" t="s">
        <v>1156</v>
      </c>
      <c r="C171" s="31" t="s">
        <v>651</v>
      </c>
      <c r="D171" s="31" t="s">
        <v>649</v>
      </c>
      <c r="E171" s="31" t="s">
        <v>94</v>
      </c>
      <c r="F171" s="32" t="s">
        <v>129</v>
      </c>
    </row>
    <row r="172" spans="1:6">
      <c r="A172" s="29">
        <v>13670</v>
      </c>
      <c r="B172" s="30" t="s">
        <v>1157</v>
      </c>
      <c r="C172" s="31" t="s">
        <v>651</v>
      </c>
      <c r="D172" s="31" t="s">
        <v>302</v>
      </c>
      <c r="E172" s="31" t="s">
        <v>935</v>
      </c>
      <c r="F172" s="32" t="s">
        <v>139</v>
      </c>
    </row>
    <row r="173" spans="1:6">
      <c r="A173" s="29">
        <v>13683</v>
      </c>
      <c r="B173" s="30" t="s">
        <v>1158</v>
      </c>
      <c r="C173" s="31" t="s">
        <v>651</v>
      </c>
      <c r="D173" s="31" t="s">
        <v>1154</v>
      </c>
      <c r="E173" s="31" t="s">
        <v>94</v>
      </c>
      <c r="F173" s="32" t="s">
        <v>93</v>
      </c>
    </row>
    <row r="174" spans="1:6">
      <c r="A174" s="29">
        <v>13873</v>
      </c>
      <c r="B174" s="30" t="s">
        <v>1159</v>
      </c>
      <c r="C174" s="31" t="s">
        <v>651</v>
      </c>
      <c r="D174" s="31" t="s">
        <v>1154</v>
      </c>
      <c r="E174" s="31" t="s">
        <v>94</v>
      </c>
      <c r="F174" s="32" t="s">
        <v>93</v>
      </c>
    </row>
    <row r="175" spans="1:6">
      <c r="A175" s="29">
        <v>13006</v>
      </c>
      <c r="B175" s="31" t="s">
        <v>1160</v>
      </c>
      <c r="C175" s="31" t="s">
        <v>651</v>
      </c>
      <c r="D175" s="31" t="s">
        <v>1154</v>
      </c>
      <c r="E175" s="31" t="s">
        <v>94</v>
      </c>
      <c r="F175" s="32" t="s">
        <v>129</v>
      </c>
    </row>
    <row r="176" spans="1:6">
      <c r="A176" s="29">
        <v>13030</v>
      </c>
      <c r="B176" s="31" t="s">
        <v>1161</v>
      </c>
      <c r="C176" s="31" t="s">
        <v>651</v>
      </c>
      <c r="D176" s="31" t="s">
        <v>1154</v>
      </c>
      <c r="E176" s="31" t="s">
        <v>94</v>
      </c>
      <c r="F176" s="32" t="s">
        <v>129</v>
      </c>
    </row>
    <row r="177" spans="1:6">
      <c r="A177" s="29">
        <v>13042</v>
      </c>
      <c r="B177" s="31" t="s">
        <v>1162</v>
      </c>
      <c r="C177" s="31" t="s">
        <v>651</v>
      </c>
      <c r="D177" s="31" t="s">
        <v>649</v>
      </c>
      <c r="E177" s="31" t="s">
        <v>94</v>
      </c>
      <c r="F177" s="32" t="s">
        <v>129</v>
      </c>
    </row>
    <row r="178" spans="1:6">
      <c r="A178" s="29">
        <v>13052</v>
      </c>
      <c r="B178" s="31" t="s">
        <v>1163</v>
      </c>
      <c r="C178" s="31" t="s">
        <v>651</v>
      </c>
      <c r="D178" s="31" t="s">
        <v>1154</v>
      </c>
      <c r="E178" s="31" t="s">
        <v>94</v>
      </c>
      <c r="F178" s="32" t="s">
        <v>93</v>
      </c>
    </row>
    <row r="179" spans="1:6">
      <c r="A179" s="29">
        <v>13062</v>
      </c>
      <c r="B179" s="31" t="s">
        <v>1164</v>
      </c>
      <c r="C179" s="31" t="s">
        <v>651</v>
      </c>
      <c r="D179" s="31" t="s">
        <v>1154</v>
      </c>
      <c r="E179" s="31" t="s">
        <v>94</v>
      </c>
      <c r="F179" s="32" t="s">
        <v>93</v>
      </c>
    </row>
    <row r="180" spans="1:6">
      <c r="A180" s="29">
        <v>13074</v>
      </c>
      <c r="B180" s="31" t="s">
        <v>652</v>
      </c>
      <c r="C180" s="31" t="s">
        <v>651</v>
      </c>
      <c r="D180" s="31" t="s">
        <v>649</v>
      </c>
      <c r="E180" s="31" t="s">
        <v>94</v>
      </c>
      <c r="F180" s="32" t="s">
        <v>129</v>
      </c>
    </row>
    <row r="181" spans="1:6">
      <c r="A181" s="29">
        <v>13160</v>
      </c>
      <c r="B181" s="31" t="s">
        <v>1165</v>
      </c>
      <c r="C181" s="31" t="s">
        <v>651</v>
      </c>
      <c r="D181" s="31" t="s">
        <v>302</v>
      </c>
      <c r="E181" s="31" t="s">
        <v>935</v>
      </c>
      <c r="F181" s="32" t="s">
        <v>139</v>
      </c>
    </row>
    <row r="182" spans="1:6">
      <c r="A182" s="29">
        <v>13001</v>
      </c>
      <c r="B182" s="31" t="s">
        <v>1154</v>
      </c>
      <c r="C182" s="31" t="s">
        <v>651</v>
      </c>
      <c r="D182" s="31" t="s">
        <v>1154</v>
      </c>
      <c r="E182" s="31" t="s">
        <v>94</v>
      </c>
      <c r="F182" s="32" t="s">
        <v>102</v>
      </c>
    </row>
    <row r="183" spans="1:6">
      <c r="A183" s="29">
        <v>13188</v>
      </c>
      <c r="B183" s="31" t="s">
        <v>1166</v>
      </c>
      <c r="C183" s="31" t="s">
        <v>651</v>
      </c>
      <c r="D183" s="31" t="s">
        <v>1154</v>
      </c>
      <c r="E183" s="31" t="s">
        <v>94</v>
      </c>
      <c r="F183" s="32" t="s">
        <v>129</v>
      </c>
    </row>
    <row r="184" spans="1:6">
      <c r="A184" s="29">
        <v>13222</v>
      </c>
      <c r="B184" s="31" t="s">
        <v>1167</v>
      </c>
      <c r="C184" s="31" t="s">
        <v>651</v>
      </c>
      <c r="D184" s="31" t="s">
        <v>1154</v>
      </c>
      <c r="E184" s="31" t="s">
        <v>94</v>
      </c>
      <c r="F184" s="32" t="s">
        <v>93</v>
      </c>
    </row>
    <row r="185" spans="1:6">
      <c r="A185" s="29">
        <v>13244</v>
      </c>
      <c r="B185" s="31" t="s">
        <v>1168</v>
      </c>
      <c r="C185" s="31" t="s">
        <v>651</v>
      </c>
      <c r="D185" s="31" t="s">
        <v>1154</v>
      </c>
      <c r="E185" s="31" t="s">
        <v>94</v>
      </c>
      <c r="F185" s="32" t="s">
        <v>178</v>
      </c>
    </row>
    <row r="186" spans="1:6">
      <c r="A186" s="29">
        <v>13248</v>
      </c>
      <c r="B186" s="31" t="s">
        <v>1169</v>
      </c>
      <c r="C186" s="31" t="s">
        <v>651</v>
      </c>
      <c r="D186" s="31" t="s">
        <v>1154</v>
      </c>
      <c r="E186" s="31" t="s">
        <v>94</v>
      </c>
      <c r="F186" s="32" t="s">
        <v>129</v>
      </c>
    </row>
    <row r="187" spans="1:6">
      <c r="A187" s="29">
        <v>13300</v>
      </c>
      <c r="B187" s="31" t="s">
        <v>1170</v>
      </c>
      <c r="C187" s="31" t="s">
        <v>651</v>
      </c>
      <c r="D187" s="31" t="s">
        <v>649</v>
      </c>
      <c r="E187" s="31" t="s">
        <v>94</v>
      </c>
      <c r="F187" s="32" t="s">
        <v>129</v>
      </c>
    </row>
    <row r="188" spans="1:6">
      <c r="A188" s="29">
        <v>13430</v>
      </c>
      <c r="B188" s="31" t="s">
        <v>1171</v>
      </c>
      <c r="C188" s="31" t="s">
        <v>651</v>
      </c>
      <c r="D188" s="31" t="s">
        <v>1154</v>
      </c>
      <c r="E188" s="31" t="s">
        <v>94</v>
      </c>
      <c r="F188" s="32" t="s">
        <v>129</v>
      </c>
    </row>
    <row r="189" spans="1:6">
      <c r="A189" s="29">
        <v>13433</v>
      </c>
      <c r="B189" s="31" t="s">
        <v>1172</v>
      </c>
      <c r="C189" s="31" t="s">
        <v>651</v>
      </c>
      <c r="D189" s="31" t="s">
        <v>1154</v>
      </c>
      <c r="E189" s="31" t="s">
        <v>94</v>
      </c>
      <c r="F189" s="32" t="s">
        <v>93</v>
      </c>
    </row>
    <row r="190" spans="1:6">
      <c r="A190" s="29">
        <v>13440</v>
      </c>
      <c r="B190" s="31" t="s">
        <v>1173</v>
      </c>
      <c r="C190" s="31" t="s">
        <v>651</v>
      </c>
      <c r="D190" s="31" t="s">
        <v>1154</v>
      </c>
      <c r="E190" s="31" t="s">
        <v>94</v>
      </c>
      <c r="F190" s="32" t="s">
        <v>129</v>
      </c>
    </row>
    <row r="191" spans="1:6">
      <c r="A191" s="29">
        <v>13442</v>
      </c>
      <c r="B191" s="31" t="s">
        <v>1174</v>
      </c>
      <c r="C191" s="31" t="s">
        <v>651</v>
      </c>
      <c r="D191" s="31" t="s">
        <v>1154</v>
      </c>
      <c r="E191" s="31" t="s">
        <v>94</v>
      </c>
      <c r="F191" s="32" t="s">
        <v>93</v>
      </c>
    </row>
    <row r="192" spans="1:6">
      <c r="A192" s="29">
        <v>13468</v>
      </c>
      <c r="B192" s="31" t="s">
        <v>1175</v>
      </c>
      <c r="C192" s="31" t="s">
        <v>651</v>
      </c>
      <c r="D192" s="31" t="s">
        <v>1154</v>
      </c>
      <c r="E192" s="31" t="s">
        <v>94</v>
      </c>
      <c r="F192" s="32" t="s">
        <v>129</v>
      </c>
    </row>
    <row r="193" spans="1:6">
      <c r="A193" s="29">
        <v>13458</v>
      </c>
      <c r="B193" s="31" t="s">
        <v>1176</v>
      </c>
      <c r="C193" s="31" t="s">
        <v>651</v>
      </c>
      <c r="D193" s="31" t="s">
        <v>1154</v>
      </c>
      <c r="E193" s="31" t="s">
        <v>935</v>
      </c>
      <c r="F193" s="32" t="s">
        <v>139</v>
      </c>
    </row>
    <row r="194" spans="1:6">
      <c r="A194" s="29">
        <v>13490</v>
      </c>
      <c r="B194" s="31" t="s">
        <v>1177</v>
      </c>
      <c r="C194" s="31" t="s">
        <v>651</v>
      </c>
      <c r="D194" s="31" t="s">
        <v>1154</v>
      </c>
      <c r="E194" s="31" t="s">
        <v>94</v>
      </c>
      <c r="F194" s="32" t="s">
        <v>129</v>
      </c>
    </row>
    <row r="195" spans="1:6">
      <c r="A195" s="29">
        <v>13549</v>
      </c>
      <c r="B195" s="31" t="s">
        <v>1178</v>
      </c>
      <c r="C195" s="31" t="s">
        <v>651</v>
      </c>
      <c r="D195" s="31" t="s">
        <v>1154</v>
      </c>
      <c r="E195" s="31" t="s">
        <v>94</v>
      </c>
      <c r="F195" s="32" t="s">
        <v>129</v>
      </c>
    </row>
    <row r="196" spans="1:6">
      <c r="A196" s="29">
        <v>13580</v>
      </c>
      <c r="B196" s="31" t="s">
        <v>1179</v>
      </c>
      <c r="C196" s="31" t="s">
        <v>651</v>
      </c>
      <c r="D196" s="31" t="s">
        <v>1154</v>
      </c>
      <c r="E196" s="31" t="s">
        <v>94</v>
      </c>
      <c r="F196" s="32" t="s">
        <v>129</v>
      </c>
    </row>
    <row r="197" spans="1:6">
      <c r="A197" s="29">
        <v>13600</v>
      </c>
      <c r="B197" s="31" t="s">
        <v>1180</v>
      </c>
      <c r="C197" s="31" t="s">
        <v>651</v>
      </c>
      <c r="D197" s="31" t="s">
        <v>649</v>
      </c>
      <c r="E197" s="31" t="s">
        <v>94</v>
      </c>
      <c r="F197" s="32" t="s">
        <v>129</v>
      </c>
    </row>
    <row r="198" spans="1:6">
      <c r="A198" s="29">
        <v>13620</v>
      </c>
      <c r="B198" s="31" t="s">
        <v>1181</v>
      </c>
      <c r="C198" s="31" t="s">
        <v>651</v>
      </c>
      <c r="D198" s="31" t="s">
        <v>1154</v>
      </c>
      <c r="E198" s="31" t="s">
        <v>94</v>
      </c>
      <c r="F198" s="32" t="s">
        <v>178</v>
      </c>
    </row>
    <row r="199" spans="1:6">
      <c r="A199" s="29">
        <v>13647</v>
      </c>
      <c r="B199" s="31" t="s">
        <v>1182</v>
      </c>
      <c r="C199" s="31" t="s">
        <v>651</v>
      </c>
      <c r="D199" s="31" t="s">
        <v>1154</v>
      </c>
      <c r="E199" s="31" t="s">
        <v>94</v>
      </c>
      <c r="F199" s="32" t="s">
        <v>93</v>
      </c>
    </row>
    <row r="200" spans="1:6">
      <c r="A200" s="29">
        <v>13650</v>
      </c>
      <c r="B200" s="31" t="s">
        <v>1183</v>
      </c>
      <c r="C200" s="31" t="s">
        <v>651</v>
      </c>
      <c r="D200" s="31" t="s">
        <v>1154</v>
      </c>
      <c r="E200" s="31" t="s">
        <v>94</v>
      </c>
      <c r="F200" s="32" t="s">
        <v>129</v>
      </c>
    </row>
    <row r="201" spans="1:6">
      <c r="A201" s="29">
        <v>13654</v>
      </c>
      <c r="B201" s="31" t="s">
        <v>1184</v>
      </c>
      <c r="C201" s="31" t="s">
        <v>651</v>
      </c>
      <c r="D201" s="31" t="s">
        <v>1154</v>
      </c>
      <c r="E201" s="31" t="s">
        <v>94</v>
      </c>
      <c r="F201" s="32" t="s">
        <v>178</v>
      </c>
    </row>
    <row r="202" spans="1:6">
      <c r="A202" s="29">
        <v>13655</v>
      </c>
      <c r="B202" s="31" t="s">
        <v>1185</v>
      </c>
      <c r="C202" s="31" t="s">
        <v>651</v>
      </c>
      <c r="D202" s="31" t="s">
        <v>1154</v>
      </c>
      <c r="E202" s="31" t="s">
        <v>94</v>
      </c>
      <c r="F202" s="32" t="s">
        <v>129</v>
      </c>
    </row>
    <row r="203" spans="1:6">
      <c r="A203" s="29">
        <v>13657</v>
      </c>
      <c r="B203" s="31" t="s">
        <v>1186</v>
      </c>
      <c r="C203" s="31" t="s">
        <v>651</v>
      </c>
      <c r="D203" s="31" t="s">
        <v>1154</v>
      </c>
      <c r="E203" s="31" t="s">
        <v>94</v>
      </c>
      <c r="F203" s="32" t="s">
        <v>93</v>
      </c>
    </row>
    <row r="204" spans="1:6">
      <c r="A204" s="29">
        <v>13667</v>
      </c>
      <c r="B204" s="31" t="s">
        <v>1187</v>
      </c>
      <c r="C204" s="31" t="s">
        <v>651</v>
      </c>
      <c r="D204" s="31" t="s">
        <v>1154</v>
      </c>
      <c r="E204" s="31" t="s">
        <v>94</v>
      </c>
      <c r="F204" s="32" t="s">
        <v>129</v>
      </c>
    </row>
    <row r="205" spans="1:6">
      <c r="A205" s="29">
        <v>13673</v>
      </c>
      <c r="B205" s="31" t="s">
        <v>1188</v>
      </c>
      <c r="C205" s="31" t="s">
        <v>651</v>
      </c>
      <c r="D205" s="31" t="s">
        <v>1154</v>
      </c>
      <c r="E205" s="31" t="s">
        <v>94</v>
      </c>
      <c r="F205" s="32" t="s">
        <v>93</v>
      </c>
    </row>
    <row r="206" spans="1:6">
      <c r="A206" s="29">
        <v>13688</v>
      </c>
      <c r="B206" s="31" t="s">
        <v>931</v>
      </c>
      <c r="C206" s="31" t="s">
        <v>651</v>
      </c>
      <c r="D206" s="31" t="s">
        <v>302</v>
      </c>
      <c r="E206" s="31" t="s">
        <v>935</v>
      </c>
      <c r="F206" s="32" t="s">
        <v>139</v>
      </c>
    </row>
    <row r="207" spans="1:6">
      <c r="A207" s="29">
        <v>13744</v>
      </c>
      <c r="B207" s="31" t="s">
        <v>1189</v>
      </c>
      <c r="C207" s="31" t="s">
        <v>651</v>
      </c>
      <c r="D207" s="31" t="s">
        <v>302</v>
      </c>
      <c r="E207" s="31" t="s">
        <v>935</v>
      </c>
      <c r="F207" s="32" t="s">
        <v>139</v>
      </c>
    </row>
    <row r="208" spans="1:6">
      <c r="A208" s="29">
        <v>13760</v>
      </c>
      <c r="B208" s="31" t="s">
        <v>1190</v>
      </c>
      <c r="C208" s="31" t="s">
        <v>651</v>
      </c>
      <c r="D208" s="31" t="s">
        <v>1154</v>
      </c>
      <c r="E208" s="31" t="s">
        <v>94</v>
      </c>
      <c r="F208" s="32" t="s">
        <v>178</v>
      </c>
    </row>
    <row r="209" spans="1:6">
      <c r="A209" s="29">
        <v>13780</v>
      </c>
      <c r="B209" s="31" t="s">
        <v>1191</v>
      </c>
      <c r="C209" s="31" t="s">
        <v>651</v>
      </c>
      <c r="D209" s="31" t="s">
        <v>1154</v>
      </c>
      <c r="E209" s="31" t="s">
        <v>94</v>
      </c>
      <c r="F209" s="32" t="s">
        <v>129</v>
      </c>
    </row>
    <row r="210" spans="1:6">
      <c r="A210" s="29">
        <v>13810</v>
      </c>
      <c r="B210" s="31" t="s">
        <v>1192</v>
      </c>
      <c r="C210" s="31" t="s">
        <v>651</v>
      </c>
      <c r="D210" s="31" t="s">
        <v>1154</v>
      </c>
      <c r="E210" s="31" t="s">
        <v>94</v>
      </c>
      <c r="F210" s="32" t="s">
        <v>129</v>
      </c>
    </row>
    <row r="211" spans="1:6">
      <c r="A211" s="29">
        <v>13836</v>
      </c>
      <c r="B211" s="31" t="s">
        <v>1193</v>
      </c>
      <c r="C211" s="31" t="s">
        <v>651</v>
      </c>
      <c r="D211" s="31" t="s">
        <v>1154</v>
      </c>
      <c r="E211" s="31" t="s">
        <v>94</v>
      </c>
      <c r="F211" s="32" t="s">
        <v>93</v>
      </c>
    </row>
    <row r="212" spans="1:6">
      <c r="A212" s="29">
        <v>13838</v>
      </c>
      <c r="B212" s="31" t="s">
        <v>1194</v>
      </c>
      <c r="C212" s="31" t="s">
        <v>651</v>
      </c>
      <c r="D212" s="31" t="s">
        <v>1154</v>
      </c>
      <c r="E212" s="31" t="s">
        <v>94</v>
      </c>
      <c r="F212" s="32" t="s">
        <v>93</v>
      </c>
    </row>
    <row r="213" spans="1:6">
      <c r="A213" s="29">
        <v>13894</v>
      </c>
      <c r="B213" s="31" t="s">
        <v>1195</v>
      </c>
      <c r="C213" s="31" t="s">
        <v>651</v>
      </c>
      <c r="D213" s="31" t="s">
        <v>1154</v>
      </c>
      <c r="E213" s="31" t="s">
        <v>94</v>
      </c>
      <c r="F213" s="32" t="s">
        <v>129</v>
      </c>
    </row>
    <row r="214" spans="1:6">
      <c r="A214" s="29">
        <v>15087</v>
      </c>
      <c r="B214" s="30" t="s">
        <v>1196</v>
      </c>
      <c r="C214" s="31" t="s">
        <v>188</v>
      </c>
      <c r="D214" s="31" t="s">
        <v>186</v>
      </c>
      <c r="E214" s="31" t="s">
        <v>94</v>
      </c>
      <c r="F214" s="32" t="s">
        <v>93</v>
      </c>
    </row>
    <row r="215" spans="1:6">
      <c r="A215" s="29">
        <v>15106</v>
      </c>
      <c r="B215" s="30" t="s">
        <v>1022</v>
      </c>
      <c r="C215" s="31" t="s">
        <v>188</v>
      </c>
      <c r="D215" s="31" t="s">
        <v>186</v>
      </c>
      <c r="E215" s="31" t="s">
        <v>94</v>
      </c>
      <c r="F215" s="32" t="s">
        <v>178</v>
      </c>
    </row>
    <row r="216" spans="1:6">
      <c r="A216" s="29">
        <v>15109</v>
      </c>
      <c r="B216" s="30" t="s">
        <v>339</v>
      </c>
      <c r="C216" s="31" t="s">
        <v>188</v>
      </c>
      <c r="D216" s="31" t="s">
        <v>186</v>
      </c>
      <c r="E216" s="31" t="s">
        <v>94</v>
      </c>
      <c r="F216" s="32" t="s">
        <v>129</v>
      </c>
    </row>
    <row r="217" spans="1:6">
      <c r="A217" s="29">
        <v>15131</v>
      </c>
      <c r="B217" s="30" t="s">
        <v>290</v>
      </c>
      <c r="C217" s="31" t="s">
        <v>188</v>
      </c>
      <c r="D217" s="31" t="s">
        <v>186</v>
      </c>
      <c r="E217" s="31" t="s">
        <v>94</v>
      </c>
      <c r="F217" s="32" t="s">
        <v>93</v>
      </c>
    </row>
    <row r="218" spans="1:6">
      <c r="A218" s="29">
        <v>15189</v>
      </c>
      <c r="B218" s="30" t="s">
        <v>1197</v>
      </c>
      <c r="C218" s="31" t="s">
        <v>188</v>
      </c>
      <c r="D218" s="31" t="s">
        <v>186</v>
      </c>
      <c r="E218" s="31" t="s">
        <v>94</v>
      </c>
      <c r="F218" s="32" t="s">
        <v>93</v>
      </c>
    </row>
    <row r="219" spans="1:6">
      <c r="A219" s="29">
        <v>15368</v>
      </c>
      <c r="B219" s="30" t="s">
        <v>1026</v>
      </c>
      <c r="C219" s="31" t="s">
        <v>188</v>
      </c>
      <c r="D219" s="31" t="s">
        <v>186</v>
      </c>
      <c r="E219" s="31" t="s">
        <v>94</v>
      </c>
      <c r="F219" s="32" t="s">
        <v>129</v>
      </c>
    </row>
    <row r="220" spans="1:6">
      <c r="A220" s="29">
        <v>15401</v>
      </c>
      <c r="B220" s="30" t="s">
        <v>1007</v>
      </c>
      <c r="C220" s="31" t="s">
        <v>188</v>
      </c>
      <c r="D220" s="31" t="s">
        <v>186</v>
      </c>
      <c r="E220" s="31" t="s">
        <v>94</v>
      </c>
      <c r="F220" s="32" t="s">
        <v>129</v>
      </c>
    </row>
    <row r="221" spans="1:6">
      <c r="A221" s="29">
        <v>15455</v>
      </c>
      <c r="B221" s="30" t="s">
        <v>1198</v>
      </c>
      <c r="C221" s="31" t="s">
        <v>188</v>
      </c>
      <c r="D221" s="31" t="s">
        <v>186</v>
      </c>
      <c r="E221" s="31" t="s">
        <v>94</v>
      </c>
      <c r="F221" s="32" t="s">
        <v>129</v>
      </c>
    </row>
    <row r="222" spans="1:6">
      <c r="A222" s="29">
        <v>15514</v>
      </c>
      <c r="B222" s="30" t="s">
        <v>1199</v>
      </c>
      <c r="C222" s="31" t="s">
        <v>188</v>
      </c>
      <c r="D222" s="31" t="s">
        <v>186</v>
      </c>
      <c r="E222" s="31" t="s">
        <v>94</v>
      </c>
      <c r="F222" s="32" t="s">
        <v>129</v>
      </c>
    </row>
    <row r="223" spans="1:6">
      <c r="A223" s="29">
        <v>15690</v>
      </c>
      <c r="B223" s="30" t="s">
        <v>1200</v>
      </c>
      <c r="C223" s="31" t="s">
        <v>188</v>
      </c>
      <c r="D223" s="31" t="s">
        <v>186</v>
      </c>
      <c r="E223" s="31" t="s">
        <v>94</v>
      </c>
      <c r="F223" s="32" t="s">
        <v>178</v>
      </c>
    </row>
    <row r="224" spans="1:6">
      <c r="A224" s="29">
        <v>15022</v>
      </c>
      <c r="B224" s="31" t="s">
        <v>1201</v>
      </c>
      <c r="C224" s="31" t="s">
        <v>188</v>
      </c>
      <c r="D224" s="31" t="s">
        <v>186</v>
      </c>
      <c r="E224" s="31" t="s">
        <v>94</v>
      </c>
      <c r="F224" s="32" t="s">
        <v>178</v>
      </c>
    </row>
    <row r="225" spans="1:6">
      <c r="A225" s="29">
        <v>15047</v>
      </c>
      <c r="B225" s="31" t="s">
        <v>1202</v>
      </c>
      <c r="C225" s="31" t="s">
        <v>188</v>
      </c>
      <c r="D225" s="31" t="s">
        <v>186</v>
      </c>
      <c r="E225" s="31" t="s">
        <v>94</v>
      </c>
      <c r="F225" s="32" t="s">
        <v>178</v>
      </c>
    </row>
    <row r="226" spans="1:6">
      <c r="A226" s="29">
        <v>15051</v>
      </c>
      <c r="B226" s="31" t="s">
        <v>1203</v>
      </c>
      <c r="C226" s="31" t="s">
        <v>188</v>
      </c>
      <c r="D226" s="31" t="s">
        <v>186</v>
      </c>
      <c r="E226" s="31" t="s">
        <v>94</v>
      </c>
      <c r="F226" s="32" t="s">
        <v>93</v>
      </c>
    </row>
    <row r="227" spans="1:6">
      <c r="A227" s="29">
        <v>15090</v>
      </c>
      <c r="B227" s="31" t="s">
        <v>1204</v>
      </c>
      <c r="C227" s="31" t="s">
        <v>188</v>
      </c>
      <c r="D227" s="31" t="s">
        <v>186</v>
      </c>
      <c r="E227" s="31" t="s">
        <v>94</v>
      </c>
      <c r="F227" s="32" t="s">
        <v>178</v>
      </c>
    </row>
    <row r="228" spans="1:6">
      <c r="A228" s="29">
        <v>15092</v>
      </c>
      <c r="B228" s="31" t="s">
        <v>1205</v>
      </c>
      <c r="C228" s="31" t="s">
        <v>188</v>
      </c>
      <c r="D228" s="31" t="s">
        <v>186</v>
      </c>
      <c r="E228" s="31" t="s">
        <v>94</v>
      </c>
      <c r="F228" s="32" t="s">
        <v>178</v>
      </c>
    </row>
    <row r="229" spans="1:6">
      <c r="A229" s="29">
        <v>15097</v>
      </c>
      <c r="B229" s="31" t="s">
        <v>1206</v>
      </c>
      <c r="C229" s="31" t="s">
        <v>188</v>
      </c>
      <c r="D229" s="31" t="s">
        <v>186</v>
      </c>
      <c r="E229" s="31" t="s">
        <v>94</v>
      </c>
      <c r="F229" s="32" t="s">
        <v>129</v>
      </c>
    </row>
    <row r="230" spans="1:6">
      <c r="A230" s="29">
        <v>15104</v>
      </c>
      <c r="B230" s="31" t="s">
        <v>188</v>
      </c>
      <c r="C230" s="31" t="s">
        <v>188</v>
      </c>
      <c r="D230" s="31" t="s">
        <v>186</v>
      </c>
      <c r="E230" s="31" t="s">
        <v>94</v>
      </c>
      <c r="F230" s="32" t="s">
        <v>93</v>
      </c>
    </row>
    <row r="231" spans="1:6">
      <c r="A231" s="29">
        <v>15114</v>
      </c>
      <c r="B231" s="31" t="s">
        <v>1207</v>
      </c>
      <c r="C231" s="31" t="s">
        <v>188</v>
      </c>
      <c r="D231" s="31" t="s">
        <v>186</v>
      </c>
      <c r="E231" s="31" t="s">
        <v>94</v>
      </c>
      <c r="F231" s="32" t="s">
        <v>93</v>
      </c>
    </row>
    <row r="232" spans="1:6">
      <c r="A232" s="29">
        <v>15135</v>
      </c>
      <c r="B232" s="31" t="s">
        <v>1208</v>
      </c>
      <c r="C232" s="31" t="s">
        <v>188</v>
      </c>
      <c r="D232" s="31" t="s">
        <v>186</v>
      </c>
      <c r="E232" s="31" t="s">
        <v>94</v>
      </c>
      <c r="F232" s="32" t="s">
        <v>129</v>
      </c>
    </row>
    <row r="233" spans="1:6">
      <c r="A233" s="29">
        <v>15162</v>
      </c>
      <c r="B233" s="31" t="s">
        <v>1209</v>
      </c>
      <c r="C233" s="31" t="s">
        <v>188</v>
      </c>
      <c r="D233" s="31" t="s">
        <v>186</v>
      </c>
      <c r="E233" s="31" t="s">
        <v>94</v>
      </c>
      <c r="F233" s="32" t="s">
        <v>93</v>
      </c>
    </row>
    <row r="234" spans="1:6">
      <c r="A234" s="29">
        <v>15172</v>
      </c>
      <c r="B234" s="31" t="s">
        <v>1210</v>
      </c>
      <c r="C234" s="31" t="s">
        <v>188</v>
      </c>
      <c r="D234" s="31" t="s">
        <v>186</v>
      </c>
      <c r="E234" s="31" t="s">
        <v>94</v>
      </c>
      <c r="F234" s="32" t="s">
        <v>178</v>
      </c>
    </row>
    <row r="235" spans="1:6">
      <c r="A235" s="29">
        <v>15176</v>
      </c>
      <c r="B235" s="31" t="s">
        <v>618</v>
      </c>
      <c r="C235" s="31" t="s">
        <v>188</v>
      </c>
      <c r="D235" s="31" t="s">
        <v>186</v>
      </c>
      <c r="E235" s="31" t="s">
        <v>94</v>
      </c>
      <c r="F235" s="32" t="s">
        <v>178</v>
      </c>
    </row>
    <row r="236" spans="1:6">
      <c r="A236" s="29">
        <v>15232</v>
      </c>
      <c r="B236" s="31" t="s">
        <v>1211</v>
      </c>
      <c r="C236" s="31" t="s">
        <v>188</v>
      </c>
      <c r="D236" s="31" t="s">
        <v>186</v>
      </c>
      <c r="E236" s="31" t="s">
        <v>94</v>
      </c>
      <c r="F236" s="32" t="s">
        <v>93</v>
      </c>
    </row>
    <row r="237" spans="1:6">
      <c r="A237" s="29">
        <v>15180</v>
      </c>
      <c r="B237" s="31" t="s">
        <v>1212</v>
      </c>
      <c r="C237" s="31" t="s">
        <v>188</v>
      </c>
      <c r="D237" s="31" t="s">
        <v>186</v>
      </c>
      <c r="E237" s="31" t="s">
        <v>94</v>
      </c>
      <c r="F237" s="32" t="s">
        <v>129</v>
      </c>
    </row>
    <row r="238" spans="1:6">
      <c r="A238" s="29">
        <v>15183</v>
      </c>
      <c r="B238" s="31" t="s">
        <v>1213</v>
      </c>
      <c r="C238" s="31" t="s">
        <v>188</v>
      </c>
      <c r="D238" s="31" t="s">
        <v>186</v>
      </c>
      <c r="E238" s="31" t="s">
        <v>94</v>
      </c>
      <c r="F238" s="32" t="s">
        <v>129</v>
      </c>
    </row>
    <row r="239" spans="1:6">
      <c r="A239" s="29">
        <v>15185</v>
      </c>
      <c r="B239" s="31" t="s">
        <v>1214</v>
      </c>
      <c r="C239" s="31" t="s">
        <v>188</v>
      </c>
      <c r="D239" s="31" t="s">
        <v>186</v>
      </c>
      <c r="E239" s="31" t="s">
        <v>94</v>
      </c>
      <c r="F239" s="32" t="s">
        <v>93</v>
      </c>
    </row>
    <row r="240" spans="1:6">
      <c r="A240" s="29">
        <v>15187</v>
      </c>
      <c r="B240" s="31" t="s">
        <v>1215</v>
      </c>
      <c r="C240" s="31" t="s">
        <v>188</v>
      </c>
      <c r="D240" s="31" t="s">
        <v>186</v>
      </c>
      <c r="E240" s="31" t="s">
        <v>94</v>
      </c>
      <c r="F240" s="32" t="s">
        <v>93</v>
      </c>
    </row>
    <row r="241" spans="1:6">
      <c r="A241" s="29">
        <v>15236</v>
      </c>
      <c r="B241" s="31" t="s">
        <v>1216</v>
      </c>
      <c r="C241" s="31" t="s">
        <v>188</v>
      </c>
      <c r="D241" s="31" t="s">
        <v>186</v>
      </c>
      <c r="E241" s="31" t="s">
        <v>94</v>
      </c>
      <c r="F241" s="32" t="s">
        <v>178</v>
      </c>
    </row>
    <row r="242" spans="1:6">
      <c r="A242" s="29">
        <v>15204</v>
      </c>
      <c r="B242" s="31" t="s">
        <v>1217</v>
      </c>
      <c r="C242" s="31" t="s">
        <v>188</v>
      </c>
      <c r="D242" s="31" t="s">
        <v>186</v>
      </c>
      <c r="E242" s="31" t="s">
        <v>94</v>
      </c>
      <c r="F242" s="32" t="s">
        <v>93</v>
      </c>
    </row>
    <row r="243" spans="1:6">
      <c r="A243" s="29">
        <v>15212</v>
      </c>
      <c r="B243" s="31" t="s">
        <v>1218</v>
      </c>
      <c r="C243" s="31" t="s">
        <v>188</v>
      </c>
      <c r="D243" s="31" t="s">
        <v>186</v>
      </c>
      <c r="E243" s="31" t="s">
        <v>94</v>
      </c>
      <c r="F243" s="32" t="s">
        <v>178</v>
      </c>
    </row>
    <row r="244" spans="1:6">
      <c r="A244" s="29">
        <v>15215</v>
      </c>
      <c r="B244" s="31" t="s">
        <v>1219</v>
      </c>
      <c r="C244" s="31" t="s">
        <v>188</v>
      </c>
      <c r="D244" s="31" t="s">
        <v>186</v>
      </c>
      <c r="E244" s="31" t="s">
        <v>94</v>
      </c>
      <c r="F244" s="32" t="s">
        <v>93</v>
      </c>
    </row>
    <row r="245" spans="1:6">
      <c r="A245" s="29">
        <v>15218</v>
      </c>
      <c r="B245" s="31" t="s">
        <v>1220</v>
      </c>
      <c r="C245" s="31" t="s">
        <v>188</v>
      </c>
      <c r="D245" s="31" t="s">
        <v>186</v>
      </c>
      <c r="E245" s="31" t="s">
        <v>94</v>
      </c>
      <c r="F245" s="32" t="s">
        <v>129</v>
      </c>
    </row>
    <row r="246" spans="1:6">
      <c r="A246" s="29">
        <v>15223</v>
      </c>
      <c r="B246" s="31" t="s">
        <v>1221</v>
      </c>
      <c r="C246" s="31" t="s">
        <v>188</v>
      </c>
      <c r="D246" s="31" t="s">
        <v>302</v>
      </c>
      <c r="E246" s="31" t="s">
        <v>140</v>
      </c>
      <c r="F246" s="32" t="s">
        <v>139</v>
      </c>
    </row>
    <row r="247" spans="1:6">
      <c r="A247" s="29">
        <v>15224</v>
      </c>
      <c r="B247" s="31" t="s">
        <v>1222</v>
      </c>
      <c r="C247" s="31" t="s">
        <v>188</v>
      </c>
      <c r="D247" s="31" t="s">
        <v>186</v>
      </c>
      <c r="E247" s="31" t="s">
        <v>94</v>
      </c>
      <c r="F247" s="32" t="s">
        <v>93</v>
      </c>
    </row>
    <row r="248" spans="1:6">
      <c r="A248" s="29">
        <v>15226</v>
      </c>
      <c r="B248" s="31" t="s">
        <v>1223</v>
      </c>
      <c r="C248" s="31" t="s">
        <v>188</v>
      </c>
      <c r="D248" s="31" t="s">
        <v>186</v>
      </c>
      <c r="E248" s="31" t="s">
        <v>94</v>
      </c>
      <c r="F248" s="32" t="s">
        <v>93</v>
      </c>
    </row>
    <row r="249" spans="1:6">
      <c r="A249" s="29">
        <v>15238</v>
      </c>
      <c r="B249" s="31" t="s">
        <v>189</v>
      </c>
      <c r="C249" s="31" t="s">
        <v>188</v>
      </c>
      <c r="D249" s="31" t="s">
        <v>186</v>
      </c>
      <c r="E249" s="31" t="s">
        <v>94</v>
      </c>
      <c r="F249" s="32" t="s">
        <v>93</v>
      </c>
    </row>
    <row r="250" spans="1:6">
      <c r="A250" s="29">
        <v>15244</v>
      </c>
      <c r="B250" s="31" t="s">
        <v>1224</v>
      </c>
      <c r="C250" s="31" t="s">
        <v>188</v>
      </c>
      <c r="D250" s="31" t="s">
        <v>186</v>
      </c>
      <c r="E250" s="31" t="s">
        <v>94</v>
      </c>
      <c r="F250" s="32" t="s">
        <v>129</v>
      </c>
    </row>
    <row r="251" spans="1:6">
      <c r="A251" s="29">
        <v>15248</v>
      </c>
      <c r="B251" s="31" t="s">
        <v>1225</v>
      </c>
      <c r="C251" s="31" t="s">
        <v>188</v>
      </c>
      <c r="D251" s="31" t="s">
        <v>186</v>
      </c>
      <c r="E251" s="31" t="s">
        <v>94</v>
      </c>
      <c r="F251" s="32" t="s">
        <v>129</v>
      </c>
    </row>
    <row r="252" spans="1:6">
      <c r="A252" s="29">
        <v>15272</v>
      </c>
      <c r="B252" s="31" t="s">
        <v>1226</v>
      </c>
      <c r="C252" s="31" t="s">
        <v>188</v>
      </c>
      <c r="D252" s="31" t="s">
        <v>186</v>
      </c>
      <c r="E252" s="31" t="s">
        <v>94</v>
      </c>
      <c r="F252" s="32" t="s">
        <v>93</v>
      </c>
    </row>
    <row r="253" spans="1:6">
      <c r="A253" s="29">
        <v>15276</v>
      </c>
      <c r="B253" s="31" t="s">
        <v>1227</v>
      </c>
      <c r="C253" s="31" t="s">
        <v>188</v>
      </c>
      <c r="D253" s="31" t="s">
        <v>186</v>
      </c>
      <c r="E253" s="31" t="s">
        <v>94</v>
      </c>
      <c r="F253" s="32" t="s">
        <v>93</v>
      </c>
    </row>
    <row r="254" spans="1:6">
      <c r="A254" s="29">
        <v>15293</v>
      </c>
      <c r="B254" s="31" t="s">
        <v>1228</v>
      </c>
      <c r="C254" s="31" t="s">
        <v>188</v>
      </c>
      <c r="D254" s="31" t="s">
        <v>186</v>
      </c>
      <c r="E254" s="31" t="s">
        <v>94</v>
      </c>
      <c r="F254" s="32" t="s">
        <v>93</v>
      </c>
    </row>
    <row r="255" spans="1:6">
      <c r="A255" s="29">
        <v>15296</v>
      </c>
      <c r="B255" s="31" t="s">
        <v>1229</v>
      </c>
      <c r="C255" s="31" t="s">
        <v>188</v>
      </c>
      <c r="D255" s="31" t="s">
        <v>186</v>
      </c>
      <c r="E255" s="31" t="s">
        <v>94</v>
      </c>
      <c r="F255" s="32" t="s">
        <v>178</v>
      </c>
    </row>
    <row r="256" spans="1:6">
      <c r="A256" s="29">
        <v>15299</v>
      </c>
      <c r="B256" s="31" t="s">
        <v>1230</v>
      </c>
      <c r="C256" s="31" t="s">
        <v>188</v>
      </c>
      <c r="D256" s="31" t="s">
        <v>186</v>
      </c>
      <c r="E256" s="31" t="s">
        <v>94</v>
      </c>
      <c r="F256" s="32" t="s">
        <v>178</v>
      </c>
    </row>
    <row r="257" spans="1:6">
      <c r="A257" s="29">
        <v>15317</v>
      </c>
      <c r="B257" s="31" t="s">
        <v>1231</v>
      </c>
      <c r="C257" s="31" t="s">
        <v>188</v>
      </c>
      <c r="D257" s="31" t="s">
        <v>186</v>
      </c>
      <c r="E257" s="31" t="s">
        <v>94</v>
      </c>
      <c r="F257" s="32" t="s">
        <v>129</v>
      </c>
    </row>
    <row r="258" spans="1:6">
      <c r="A258" s="29">
        <v>15322</v>
      </c>
      <c r="B258" s="31" t="s">
        <v>1232</v>
      </c>
      <c r="C258" s="31" t="s">
        <v>188</v>
      </c>
      <c r="D258" s="31" t="s">
        <v>186</v>
      </c>
      <c r="E258" s="31" t="s">
        <v>94</v>
      </c>
      <c r="F258" s="32" t="s">
        <v>93</v>
      </c>
    </row>
    <row r="259" spans="1:6">
      <c r="A259" s="29">
        <v>15325</v>
      </c>
      <c r="B259" s="31" t="s">
        <v>1233</v>
      </c>
      <c r="C259" s="31" t="s">
        <v>188</v>
      </c>
      <c r="D259" s="31" t="s">
        <v>186</v>
      </c>
      <c r="E259" s="31" t="s">
        <v>94</v>
      </c>
      <c r="F259" s="32" t="s">
        <v>178</v>
      </c>
    </row>
    <row r="260" spans="1:6">
      <c r="A260" s="29">
        <v>15332</v>
      </c>
      <c r="B260" s="31" t="s">
        <v>1234</v>
      </c>
      <c r="C260" s="31" t="s">
        <v>188</v>
      </c>
      <c r="D260" s="31" t="s">
        <v>186</v>
      </c>
      <c r="E260" s="31" t="s">
        <v>94</v>
      </c>
      <c r="F260" s="32" t="s">
        <v>129</v>
      </c>
    </row>
    <row r="261" spans="1:6">
      <c r="A261" s="29">
        <v>15362</v>
      </c>
      <c r="B261" s="31" t="s">
        <v>1235</v>
      </c>
      <c r="C261" s="31" t="s">
        <v>188</v>
      </c>
      <c r="D261" s="31" t="s">
        <v>186</v>
      </c>
      <c r="E261" s="31" t="s">
        <v>94</v>
      </c>
      <c r="F261" s="32" t="s">
        <v>93</v>
      </c>
    </row>
    <row r="262" spans="1:6">
      <c r="A262" s="29">
        <v>15367</v>
      </c>
      <c r="B262" s="31" t="s">
        <v>1236</v>
      </c>
      <c r="C262" s="31" t="s">
        <v>188</v>
      </c>
      <c r="D262" s="31" t="s">
        <v>186</v>
      </c>
      <c r="E262" s="31" t="s">
        <v>94</v>
      </c>
      <c r="F262" s="32" t="s">
        <v>93</v>
      </c>
    </row>
    <row r="263" spans="1:6">
      <c r="A263" s="29">
        <v>15380</v>
      </c>
      <c r="B263" s="31" t="s">
        <v>1237</v>
      </c>
      <c r="C263" s="31" t="s">
        <v>188</v>
      </c>
      <c r="D263" s="31" t="s">
        <v>186</v>
      </c>
      <c r="E263" s="31" t="s">
        <v>94</v>
      </c>
      <c r="F263" s="32" t="s">
        <v>178</v>
      </c>
    </row>
    <row r="264" spans="1:6">
      <c r="A264" s="29">
        <v>15403</v>
      </c>
      <c r="B264" s="31" t="s">
        <v>1238</v>
      </c>
      <c r="C264" s="31" t="s">
        <v>188</v>
      </c>
      <c r="D264" s="31" t="s">
        <v>186</v>
      </c>
      <c r="E264" s="31" t="s">
        <v>94</v>
      </c>
      <c r="F264" s="32" t="s">
        <v>129</v>
      </c>
    </row>
    <row r="265" spans="1:6">
      <c r="A265" s="29">
        <v>15377</v>
      </c>
      <c r="B265" s="31" t="s">
        <v>1239</v>
      </c>
      <c r="C265" s="31" t="s">
        <v>188</v>
      </c>
      <c r="D265" s="31" t="s">
        <v>186</v>
      </c>
      <c r="E265" s="31" t="s">
        <v>94</v>
      </c>
      <c r="F265" s="32" t="s">
        <v>129</v>
      </c>
    </row>
    <row r="266" spans="1:6">
      <c r="A266" s="29">
        <v>15425</v>
      </c>
      <c r="B266" s="31" t="s">
        <v>1240</v>
      </c>
      <c r="C266" s="31" t="s">
        <v>188</v>
      </c>
      <c r="D266" s="31" t="s">
        <v>186</v>
      </c>
      <c r="E266" s="31" t="s">
        <v>94</v>
      </c>
      <c r="F266" s="32" t="s">
        <v>178</v>
      </c>
    </row>
    <row r="267" spans="1:6">
      <c r="A267" s="29">
        <v>15442</v>
      </c>
      <c r="B267" s="31" t="s">
        <v>1241</v>
      </c>
      <c r="C267" s="31" t="s">
        <v>188</v>
      </c>
      <c r="D267" s="31" t="s">
        <v>186</v>
      </c>
      <c r="E267" s="31" t="s">
        <v>94</v>
      </c>
      <c r="F267" s="32" t="s">
        <v>129</v>
      </c>
    </row>
    <row r="268" spans="1:6">
      <c r="A268" s="29">
        <v>15464</v>
      </c>
      <c r="B268" s="31" t="s">
        <v>1242</v>
      </c>
      <c r="C268" s="31" t="s">
        <v>188</v>
      </c>
      <c r="D268" s="31" t="s">
        <v>186</v>
      </c>
      <c r="E268" s="31" t="s">
        <v>94</v>
      </c>
      <c r="F268" s="32" t="s">
        <v>93</v>
      </c>
    </row>
    <row r="269" spans="1:6">
      <c r="A269" s="29">
        <v>15466</v>
      </c>
      <c r="B269" s="31" t="s">
        <v>1243</v>
      </c>
      <c r="C269" s="31" t="s">
        <v>188</v>
      </c>
      <c r="D269" s="31" t="s">
        <v>186</v>
      </c>
      <c r="E269" s="31" t="s">
        <v>94</v>
      </c>
      <c r="F269" s="32" t="s">
        <v>178</v>
      </c>
    </row>
    <row r="270" spans="1:6">
      <c r="A270" s="29">
        <v>15469</v>
      </c>
      <c r="B270" s="31" t="s">
        <v>1244</v>
      </c>
      <c r="C270" s="31" t="s">
        <v>188</v>
      </c>
      <c r="D270" s="31" t="s">
        <v>186</v>
      </c>
      <c r="E270" s="31" t="s">
        <v>94</v>
      </c>
      <c r="F270" s="32" t="s">
        <v>93</v>
      </c>
    </row>
    <row r="271" spans="1:6">
      <c r="A271" s="29">
        <v>15476</v>
      </c>
      <c r="B271" s="31" t="s">
        <v>1245</v>
      </c>
      <c r="C271" s="31" t="s">
        <v>188</v>
      </c>
      <c r="D271" s="31" t="s">
        <v>186</v>
      </c>
      <c r="E271" s="31" t="s">
        <v>94</v>
      </c>
      <c r="F271" s="32" t="s">
        <v>102</v>
      </c>
    </row>
    <row r="272" spans="1:6">
      <c r="A272" s="29">
        <v>15480</v>
      </c>
      <c r="B272" s="31" t="s">
        <v>1246</v>
      </c>
      <c r="C272" s="31" t="s">
        <v>188</v>
      </c>
      <c r="D272" s="31" t="s">
        <v>186</v>
      </c>
      <c r="E272" s="31" t="s">
        <v>94</v>
      </c>
      <c r="F272" s="32" t="s">
        <v>129</v>
      </c>
    </row>
    <row r="273" spans="1:6">
      <c r="A273" s="29">
        <v>15491</v>
      </c>
      <c r="B273" s="31" t="s">
        <v>1247</v>
      </c>
      <c r="C273" s="31" t="s">
        <v>188</v>
      </c>
      <c r="D273" s="31" t="s">
        <v>186</v>
      </c>
      <c r="E273" s="31" t="s">
        <v>94</v>
      </c>
      <c r="F273" s="32" t="s">
        <v>93</v>
      </c>
    </row>
    <row r="274" spans="1:6">
      <c r="A274" s="29">
        <v>15494</v>
      </c>
      <c r="B274" s="31" t="s">
        <v>1248</v>
      </c>
      <c r="C274" s="31" t="s">
        <v>188</v>
      </c>
      <c r="D274" s="31" t="s">
        <v>186</v>
      </c>
      <c r="E274" s="31" t="s">
        <v>94</v>
      </c>
      <c r="F274" s="32" t="s">
        <v>93</v>
      </c>
    </row>
    <row r="275" spans="1:6">
      <c r="A275" s="29">
        <v>15500</v>
      </c>
      <c r="B275" s="31" t="s">
        <v>1249</v>
      </c>
      <c r="C275" s="31" t="s">
        <v>188</v>
      </c>
      <c r="D275" s="31" t="s">
        <v>186</v>
      </c>
      <c r="E275" s="31" t="s">
        <v>94</v>
      </c>
      <c r="F275" s="32" t="s">
        <v>93</v>
      </c>
    </row>
    <row r="276" spans="1:6">
      <c r="A276" s="29">
        <v>15507</v>
      </c>
      <c r="B276" s="31" t="s">
        <v>1250</v>
      </c>
      <c r="C276" s="31" t="s">
        <v>188</v>
      </c>
      <c r="D276" s="31" t="s">
        <v>186</v>
      </c>
      <c r="E276" s="31" t="s">
        <v>94</v>
      </c>
      <c r="F276" s="32" t="s">
        <v>129</v>
      </c>
    </row>
    <row r="277" spans="1:6">
      <c r="A277" s="29">
        <v>15511</v>
      </c>
      <c r="B277" s="31" t="s">
        <v>1251</v>
      </c>
      <c r="C277" s="31" t="s">
        <v>188</v>
      </c>
      <c r="D277" s="31" t="s">
        <v>186</v>
      </c>
      <c r="E277" s="31" t="s">
        <v>94</v>
      </c>
      <c r="F277" s="32" t="s">
        <v>178</v>
      </c>
    </row>
    <row r="278" spans="1:6">
      <c r="A278" s="29">
        <v>15516</v>
      </c>
      <c r="B278" s="31" t="s">
        <v>1252</v>
      </c>
      <c r="C278" s="31" t="s">
        <v>188</v>
      </c>
      <c r="D278" s="31" t="s">
        <v>186</v>
      </c>
      <c r="E278" s="31" t="s">
        <v>94</v>
      </c>
      <c r="F278" s="32" t="s">
        <v>93</v>
      </c>
    </row>
    <row r="279" spans="1:6">
      <c r="A279" s="29">
        <v>15518</v>
      </c>
      <c r="B279" s="31" t="s">
        <v>1253</v>
      </c>
      <c r="C279" s="31" t="s">
        <v>188</v>
      </c>
      <c r="D279" s="31" t="s">
        <v>317</v>
      </c>
      <c r="E279" s="31" t="s">
        <v>94</v>
      </c>
      <c r="F279" s="32" t="s">
        <v>178</v>
      </c>
    </row>
    <row r="280" spans="1:6">
      <c r="A280" s="29">
        <v>15522</v>
      </c>
      <c r="B280" s="31" t="s">
        <v>1254</v>
      </c>
      <c r="C280" s="31" t="s">
        <v>188</v>
      </c>
      <c r="D280" s="31" t="s">
        <v>186</v>
      </c>
      <c r="E280" s="31" t="s">
        <v>94</v>
      </c>
      <c r="F280" s="32" t="s">
        <v>129</v>
      </c>
    </row>
    <row r="281" spans="1:6">
      <c r="A281" s="29">
        <v>15531</v>
      </c>
      <c r="B281" s="31" t="s">
        <v>1255</v>
      </c>
      <c r="C281" s="31" t="s">
        <v>188</v>
      </c>
      <c r="D281" s="31" t="s">
        <v>186</v>
      </c>
      <c r="E281" s="31" t="s">
        <v>94</v>
      </c>
      <c r="F281" s="32" t="s">
        <v>178</v>
      </c>
    </row>
    <row r="282" spans="1:6">
      <c r="A282" s="29">
        <v>15533</v>
      </c>
      <c r="B282" s="31" t="s">
        <v>1256</v>
      </c>
      <c r="C282" s="31" t="s">
        <v>188</v>
      </c>
      <c r="D282" s="31" t="s">
        <v>186</v>
      </c>
      <c r="E282" s="31" t="s">
        <v>94</v>
      </c>
      <c r="F282" s="32" t="s">
        <v>129</v>
      </c>
    </row>
    <row r="283" spans="1:6">
      <c r="A283" s="29">
        <v>15537</v>
      </c>
      <c r="B283" s="31" t="s">
        <v>1257</v>
      </c>
      <c r="C283" s="31" t="s">
        <v>188</v>
      </c>
      <c r="D283" s="31" t="s">
        <v>186</v>
      </c>
      <c r="E283" s="31" t="s">
        <v>94</v>
      </c>
      <c r="F283" s="32" t="s">
        <v>93</v>
      </c>
    </row>
    <row r="284" spans="1:6">
      <c r="A284" s="29">
        <v>15542</v>
      </c>
      <c r="B284" s="31" t="s">
        <v>1258</v>
      </c>
      <c r="C284" s="31" t="s">
        <v>188</v>
      </c>
      <c r="D284" s="31" t="s">
        <v>186</v>
      </c>
      <c r="E284" s="31" t="s">
        <v>94</v>
      </c>
      <c r="F284" s="32" t="s">
        <v>178</v>
      </c>
    </row>
    <row r="285" spans="1:6">
      <c r="A285" s="29">
        <v>15550</v>
      </c>
      <c r="B285" s="31" t="s">
        <v>1259</v>
      </c>
      <c r="C285" s="31" t="s">
        <v>188</v>
      </c>
      <c r="D285" s="31" t="s">
        <v>186</v>
      </c>
      <c r="E285" s="31" t="s">
        <v>94</v>
      </c>
      <c r="F285" s="32" t="s">
        <v>129</v>
      </c>
    </row>
    <row r="286" spans="1:6">
      <c r="A286" s="29">
        <v>15572</v>
      </c>
      <c r="B286" s="31" t="s">
        <v>311</v>
      </c>
      <c r="C286" s="31" t="s">
        <v>188</v>
      </c>
      <c r="D286" s="31" t="s">
        <v>159</v>
      </c>
      <c r="E286" s="31" t="s">
        <v>94</v>
      </c>
      <c r="F286" s="32" t="s">
        <v>129</v>
      </c>
    </row>
    <row r="287" spans="1:6">
      <c r="A287" s="29">
        <v>15580</v>
      </c>
      <c r="B287" s="31" t="s">
        <v>1260</v>
      </c>
      <c r="C287" s="31" t="s">
        <v>188</v>
      </c>
      <c r="D287" s="31" t="s">
        <v>186</v>
      </c>
      <c r="E287" s="31" t="s">
        <v>94</v>
      </c>
      <c r="F287" s="32" t="s">
        <v>129</v>
      </c>
    </row>
    <row r="288" spans="1:6">
      <c r="A288" s="29">
        <v>15599</v>
      </c>
      <c r="B288" s="31" t="s">
        <v>1261</v>
      </c>
      <c r="C288" s="31" t="s">
        <v>188</v>
      </c>
      <c r="D288" s="31" t="s">
        <v>186</v>
      </c>
      <c r="E288" s="31" t="s">
        <v>94</v>
      </c>
      <c r="F288" s="32" t="s">
        <v>93</v>
      </c>
    </row>
    <row r="289" spans="1:6">
      <c r="A289" s="29">
        <v>15600</v>
      </c>
      <c r="B289" s="31" t="s">
        <v>1262</v>
      </c>
      <c r="C289" s="31" t="s">
        <v>188</v>
      </c>
      <c r="D289" s="31" t="s">
        <v>186</v>
      </c>
      <c r="E289" s="31" t="s">
        <v>94</v>
      </c>
      <c r="F289" s="32" t="s">
        <v>93</v>
      </c>
    </row>
    <row r="290" spans="1:6">
      <c r="A290" s="29">
        <v>15621</v>
      </c>
      <c r="B290" s="31" t="s">
        <v>1263</v>
      </c>
      <c r="C290" s="31" t="s">
        <v>188</v>
      </c>
      <c r="D290" s="31" t="s">
        <v>186</v>
      </c>
      <c r="E290" s="31" t="s">
        <v>94</v>
      </c>
      <c r="F290" s="32" t="s">
        <v>178</v>
      </c>
    </row>
    <row r="291" spans="1:6">
      <c r="A291" s="29">
        <v>15632</v>
      </c>
      <c r="B291" s="31" t="s">
        <v>1264</v>
      </c>
      <c r="C291" s="31" t="s">
        <v>188</v>
      </c>
      <c r="D291" s="31" t="s">
        <v>186</v>
      </c>
      <c r="E291" s="31" t="s">
        <v>94</v>
      </c>
      <c r="F291" s="32" t="s">
        <v>93</v>
      </c>
    </row>
    <row r="292" spans="1:6">
      <c r="A292" s="29">
        <v>15638</v>
      </c>
      <c r="B292" s="31" t="s">
        <v>1265</v>
      </c>
      <c r="C292" s="31" t="s">
        <v>188</v>
      </c>
      <c r="D292" s="31" t="s">
        <v>186</v>
      </c>
      <c r="E292" s="31" t="s">
        <v>94</v>
      </c>
      <c r="F292" s="32" t="s">
        <v>93</v>
      </c>
    </row>
    <row r="293" spans="1:6">
      <c r="A293" s="29">
        <v>15646</v>
      </c>
      <c r="B293" s="31" t="s">
        <v>1266</v>
      </c>
      <c r="C293" s="31" t="s">
        <v>188</v>
      </c>
      <c r="D293" s="31" t="s">
        <v>186</v>
      </c>
      <c r="E293" s="31" t="s">
        <v>94</v>
      </c>
      <c r="F293" s="32" t="s">
        <v>93</v>
      </c>
    </row>
    <row r="294" spans="1:6">
      <c r="A294" s="29">
        <v>15660</v>
      </c>
      <c r="B294" s="31" t="s">
        <v>1267</v>
      </c>
      <c r="C294" s="31" t="s">
        <v>188</v>
      </c>
      <c r="D294" s="31" t="s">
        <v>186</v>
      </c>
      <c r="E294" s="31" t="s">
        <v>94</v>
      </c>
      <c r="F294" s="32" t="s">
        <v>129</v>
      </c>
    </row>
    <row r="295" spans="1:6">
      <c r="A295" s="29">
        <v>15664</v>
      </c>
      <c r="B295" s="31" t="s">
        <v>1268</v>
      </c>
      <c r="C295" s="31" t="s">
        <v>188</v>
      </c>
      <c r="D295" s="31" t="s">
        <v>186</v>
      </c>
      <c r="E295" s="31" t="s">
        <v>94</v>
      </c>
      <c r="F295" s="32" t="s">
        <v>93</v>
      </c>
    </row>
    <row r="296" spans="1:6">
      <c r="A296" s="29">
        <v>15667</v>
      </c>
      <c r="B296" s="31" t="s">
        <v>1269</v>
      </c>
      <c r="C296" s="31" t="s">
        <v>188</v>
      </c>
      <c r="D296" s="31" t="s">
        <v>186</v>
      </c>
      <c r="E296" s="31" t="s">
        <v>94</v>
      </c>
      <c r="F296" s="32" t="s">
        <v>178</v>
      </c>
    </row>
    <row r="297" spans="1:6">
      <c r="A297" s="29">
        <v>15673</v>
      </c>
      <c r="B297" s="31" t="s">
        <v>1270</v>
      </c>
      <c r="C297" s="31" t="s">
        <v>188</v>
      </c>
      <c r="D297" s="31" t="s">
        <v>186</v>
      </c>
      <c r="E297" s="31" t="s">
        <v>94</v>
      </c>
      <c r="F297" s="32" t="s">
        <v>129</v>
      </c>
    </row>
    <row r="298" spans="1:6">
      <c r="A298" s="29">
        <v>15676</v>
      </c>
      <c r="B298" s="31" t="s">
        <v>1271</v>
      </c>
      <c r="C298" s="31" t="s">
        <v>188</v>
      </c>
      <c r="D298" s="31" t="s">
        <v>186</v>
      </c>
      <c r="E298" s="31" t="s">
        <v>94</v>
      </c>
      <c r="F298" s="32" t="s">
        <v>178</v>
      </c>
    </row>
    <row r="299" spans="1:6">
      <c r="A299" s="29">
        <v>15681</v>
      </c>
      <c r="B299" s="31" t="s">
        <v>1272</v>
      </c>
      <c r="C299" s="31" t="s">
        <v>188</v>
      </c>
      <c r="D299" s="31" t="s">
        <v>186</v>
      </c>
      <c r="E299" s="31" t="s">
        <v>94</v>
      </c>
      <c r="F299" s="32" t="s">
        <v>129</v>
      </c>
    </row>
    <row r="300" spans="1:6">
      <c r="A300" s="29">
        <v>15693</v>
      </c>
      <c r="B300" s="31" t="s">
        <v>1273</v>
      </c>
      <c r="C300" s="31" t="s">
        <v>188</v>
      </c>
      <c r="D300" s="31" t="s">
        <v>186</v>
      </c>
      <c r="E300" s="31" t="s">
        <v>94</v>
      </c>
      <c r="F300" s="32" t="s">
        <v>93</v>
      </c>
    </row>
    <row r="301" spans="1:6">
      <c r="A301" s="29">
        <v>15696</v>
      </c>
      <c r="B301" s="31" t="s">
        <v>1274</v>
      </c>
      <c r="C301" s="31" t="s">
        <v>188</v>
      </c>
      <c r="D301" s="31" t="s">
        <v>186</v>
      </c>
      <c r="E301" s="31" t="s">
        <v>94</v>
      </c>
      <c r="F301" s="32" t="s">
        <v>93</v>
      </c>
    </row>
    <row r="302" spans="1:6">
      <c r="A302" s="29">
        <v>15686</v>
      </c>
      <c r="B302" s="31" t="s">
        <v>1275</v>
      </c>
      <c r="C302" s="31" t="s">
        <v>188</v>
      </c>
      <c r="D302" s="31" t="s">
        <v>186</v>
      </c>
      <c r="E302" s="31" t="s">
        <v>94</v>
      </c>
      <c r="F302" s="32" t="s">
        <v>178</v>
      </c>
    </row>
    <row r="303" spans="1:6">
      <c r="A303" s="29">
        <v>15720</v>
      </c>
      <c r="B303" s="31" t="s">
        <v>1276</v>
      </c>
      <c r="C303" s="31" t="s">
        <v>188</v>
      </c>
      <c r="D303" s="31" t="s">
        <v>186</v>
      </c>
      <c r="E303" s="31" t="s">
        <v>94</v>
      </c>
      <c r="F303" s="32" t="s">
        <v>178</v>
      </c>
    </row>
    <row r="304" spans="1:6">
      <c r="A304" s="29">
        <v>15723</v>
      </c>
      <c r="B304" s="31" t="s">
        <v>1277</v>
      </c>
      <c r="C304" s="31" t="s">
        <v>188</v>
      </c>
      <c r="D304" s="31" t="s">
        <v>186</v>
      </c>
      <c r="E304" s="31" t="s">
        <v>94</v>
      </c>
      <c r="F304" s="32" t="s">
        <v>178</v>
      </c>
    </row>
    <row r="305" spans="1:6">
      <c r="A305" s="29">
        <v>15740</v>
      </c>
      <c r="B305" s="31" t="s">
        <v>1278</v>
      </c>
      <c r="C305" s="31" t="s">
        <v>188</v>
      </c>
      <c r="D305" s="31" t="s">
        <v>186</v>
      </c>
      <c r="E305" s="31" t="s">
        <v>94</v>
      </c>
      <c r="F305" s="32" t="s">
        <v>93</v>
      </c>
    </row>
    <row r="306" spans="1:6">
      <c r="A306" s="29">
        <v>15753</v>
      </c>
      <c r="B306" s="31" t="s">
        <v>1279</v>
      </c>
      <c r="C306" s="31" t="s">
        <v>188</v>
      </c>
      <c r="D306" s="31" t="s">
        <v>186</v>
      </c>
      <c r="E306" s="31" t="s">
        <v>94</v>
      </c>
      <c r="F306" s="32" t="s">
        <v>178</v>
      </c>
    </row>
    <row r="307" spans="1:6">
      <c r="A307" s="29">
        <v>15757</v>
      </c>
      <c r="B307" s="31" t="s">
        <v>1280</v>
      </c>
      <c r="C307" s="31" t="s">
        <v>188</v>
      </c>
      <c r="D307" s="31" t="s">
        <v>186</v>
      </c>
      <c r="E307" s="31" t="s">
        <v>94</v>
      </c>
      <c r="F307" s="32" t="s">
        <v>178</v>
      </c>
    </row>
    <row r="308" spans="1:6">
      <c r="A308" s="29">
        <v>15755</v>
      </c>
      <c r="B308" s="31" t="s">
        <v>1281</v>
      </c>
      <c r="C308" s="31" t="s">
        <v>188</v>
      </c>
      <c r="D308" s="31" t="s">
        <v>186</v>
      </c>
      <c r="E308" s="31" t="s">
        <v>94</v>
      </c>
      <c r="F308" s="32" t="s">
        <v>178</v>
      </c>
    </row>
    <row r="309" spans="1:6">
      <c r="A309" s="29">
        <v>15759</v>
      </c>
      <c r="B309" s="31" t="s">
        <v>1282</v>
      </c>
      <c r="C309" s="31" t="s">
        <v>188</v>
      </c>
      <c r="D309" s="31" t="s">
        <v>186</v>
      </c>
      <c r="E309" s="31" t="s">
        <v>94</v>
      </c>
      <c r="F309" s="32" t="s">
        <v>93</v>
      </c>
    </row>
    <row r="310" spans="1:6">
      <c r="A310" s="29">
        <v>15761</v>
      </c>
      <c r="B310" s="31" t="s">
        <v>1283</v>
      </c>
      <c r="C310" s="31" t="s">
        <v>188</v>
      </c>
      <c r="D310" s="31" t="s">
        <v>186</v>
      </c>
      <c r="E310" s="31" t="s">
        <v>94</v>
      </c>
      <c r="F310" s="32" t="s">
        <v>178</v>
      </c>
    </row>
    <row r="311" spans="1:6">
      <c r="A311" s="29">
        <v>15762</v>
      </c>
      <c r="B311" s="31" t="s">
        <v>1284</v>
      </c>
      <c r="C311" s="31" t="s">
        <v>188</v>
      </c>
      <c r="D311" s="31" t="s">
        <v>186</v>
      </c>
      <c r="E311" s="31" t="s">
        <v>94</v>
      </c>
      <c r="F311" s="32" t="s">
        <v>93</v>
      </c>
    </row>
    <row r="312" spans="1:6">
      <c r="A312" s="29">
        <v>15764</v>
      </c>
      <c r="B312" s="31" t="s">
        <v>1285</v>
      </c>
      <c r="C312" s="31" t="s">
        <v>188</v>
      </c>
      <c r="D312" s="31" t="s">
        <v>186</v>
      </c>
      <c r="E312" s="31" t="s">
        <v>94</v>
      </c>
      <c r="F312" s="32" t="s">
        <v>102</v>
      </c>
    </row>
    <row r="313" spans="1:6">
      <c r="A313" s="29">
        <v>15763</v>
      </c>
      <c r="B313" s="31" t="s">
        <v>1286</v>
      </c>
      <c r="C313" s="31" t="s">
        <v>188</v>
      </c>
      <c r="D313" s="31" t="s">
        <v>186</v>
      </c>
      <c r="E313" s="31" t="s">
        <v>94</v>
      </c>
      <c r="F313" s="32" t="s">
        <v>93</v>
      </c>
    </row>
    <row r="314" spans="1:6">
      <c r="A314" s="29">
        <v>15774</v>
      </c>
      <c r="B314" s="31" t="s">
        <v>1287</v>
      </c>
      <c r="C314" s="31" t="s">
        <v>188</v>
      </c>
      <c r="D314" s="31" t="s">
        <v>186</v>
      </c>
      <c r="E314" s="31" t="s">
        <v>94</v>
      </c>
      <c r="F314" s="32" t="s">
        <v>178</v>
      </c>
    </row>
    <row r="315" spans="1:6">
      <c r="A315" s="29">
        <v>15776</v>
      </c>
      <c r="B315" s="31" t="s">
        <v>1288</v>
      </c>
      <c r="C315" s="31" t="s">
        <v>188</v>
      </c>
      <c r="D315" s="31" t="s">
        <v>186</v>
      </c>
      <c r="E315" s="31" t="s">
        <v>94</v>
      </c>
      <c r="F315" s="32" t="s">
        <v>93</v>
      </c>
    </row>
    <row r="316" spans="1:6">
      <c r="A316" s="29">
        <v>15778</v>
      </c>
      <c r="B316" s="31" t="s">
        <v>1289</v>
      </c>
      <c r="C316" s="31" t="s">
        <v>188</v>
      </c>
      <c r="D316" s="31" t="s">
        <v>186</v>
      </c>
      <c r="E316" s="31" t="s">
        <v>94</v>
      </c>
      <c r="F316" s="32" t="s">
        <v>178</v>
      </c>
    </row>
    <row r="317" spans="1:6">
      <c r="A317" s="29">
        <v>15790</v>
      </c>
      <c r="B317" s="31" t="s">
        <v>1290</v>
      </c>
      <c r="C317" s="31" t="s">
        <v>188</v>
      </c>
      <c r="D317" s="31" t="s">
        <v>186</v>
      </c>
      <c r="E317" s="31" t="s">
        <v>94</v>
      </c>
      <c r="F317" s="32" t="s">
        <v>178</v>
      </c>
    </row>
    <row r="318" spans="1:6">
      <c r="A318" s="29">
        <v>15798</v>
      </c>
      <c r="B318" s="31" t="s">
        <v>1291</v>
      </c>
      <c r="C318" s="31" t="s">
        <v>188</v>
      </c>
      <c r="D318" s="31" t="s">
        <v>186</v>
      </c>
      <c r="E318" s="31" t="s">
        <v>94</v>
      </c>
      <c r="F318" s="32" t="s">
        <v>178</v>
      </c>
    </row>
    <row r="319" spans="1:6">
      <c r="A319" s="29">
        <v>15804</v>
      </c>
      <c r="B319" s="31" t="s">
        <v>1292</v>
      </c>
      <c r="C319" s="31" t="s">
        <v>188</v>
      </c>
      <c r="D319" s="31" t="s">
        <v>186</v>
      </c>
      <c r="E319" s="31" t="s">
        <v>94</v>
      </c>
      <c r="F319" s="32" t="s">
        <v>93</v>
      </c>
    </row>
    <row r="320" spans="1:6">
      <c r="A320" s="29">
        <v>15806</v>
      </c>
      <c r="B320" s="31" t="s">
        <v>1293</v>
      </c>
      <c r="C320" s="31" t="s">
        <v>188</v>
      </c>
      <c r="D320" s="31" t="s">
        <v>186</v>
      </c>
      <c r="E320" s="31" t="s">
        <v>94</v>
      </c>
      <c r="F320" s="32" t="s">
        <v>93</v>
      </c>
    </row>
    <row r="321" spans="1:6">
      <c r="A321" s="29">
        <v>15808</v>
      </c>
      <c r="B321" s="31" t="s">
        <v>1294</v>
      </c>
      <c r="C321" s="31" t="s">
        <v>188</v>
      </c>
      <c r="D321" s="31" t="s">
        <v>186</v>
      </c>
      <c r="E321" s="31" t="s">
        <v>94</v>
      </c>
      <c r="F321" s="32" t="s">
        <v>93</v>
      </c>
    </row>
    <row r="322" spans="1:6">
      <c r="A322" s="29">
        <v>15810</v>
      </c>
      <c r="B322" s="31" t="s">
        <v>1295</v>
      </c>
      <c r="C322" s="31" t="s">
        <v>188</v>
      </c>
      <c r="D322" s="31" t="s">
        <v>186</v>
      </c>
      <c r="E322" s="31" t="s">
        <v>94</v>
      </c>
      <c r="F322" s="32" t="s">
        <v>178</v>
      </c>
    </row>
    <row r="323" spans="1:6">
      <c r="A323" s="29">
        <v>15814</v>
      </c>
      <c r="B323" s="31" t="s">
        <v>1296</v>
      </c>
      <c r="C323" s="31" t="s">
        <v>188</v>
      </c>
      <c r="D323" s="31" t="s">
        <v>186</v>
      </c>
      <c r="E323" s="31" t="s">
        <v>94</v>
      </c>
      <c r="F323" s="32" t="s">
        <v>93</v>
      </c>
    </row>
    <row r="324" spans="1:6">
      <c r="A324" s="29">
        <v>15816</v>
      </c>
      <c r="B324" s="31" t="s">
        <v>1297</v>
      </c>
      <c r="C324" s="31" t="s">
        <v>188</v>
      </c>
      <c r="D324" s="31" t="s">
        <v>186</v>
      </c>
      <c r="E324" s="31" t="s">
        <v>94</v>
      </c>
      <c r="F324" s="32" t="s">
        <v>93</v>
      </c>
    </row>
    <row r="325" spans="1:6">
      <c r="A325" s="29">
        <v>15820</v>
      </c>
      <c r="B325" s="31" t="s">
        <v>1298</v>
      </c>
      <c r="C325" s="31" t="s">
        <v>188</v>
      </c>
      <c r="D325" s="31" t="s">
        <v>186</v>
      </c>
      <c r="E325" s="31" t="s">
        <v>94</v>
      </c>
      <c r="F325" s="32" t="s">
        <v>178</v>
      </c>
    </row>
    <row r="326" spans="1:6">
      <c r="A326" s="29">
        <v>15822</v>
      </c>
      <c r="B326" s="31" t="s">
        <v>1299</v>
      </c>
      <c r="C326" s="31" t="s">
        <v>188</v>
      </c>
      <c r="D326" s="31" t="s">
        <v>186</v>
      </c>
      <c r="E326" s="31" t="s">
        <v>94</v>
      </c>
      <c r="F326" s="32" t="s">
        <v>93</v>
      </c>
    </row>
    <row r="327" spans="1:6">
      <c r="A327" s="29">
        <v>15001</v>
      </c>
      <c r="B327" s="31" t="s">
        <v>186</v>
      </c>
      <c r="C327" s="31" t="s">
        <v>188</v>
      </c>
      <c r="D327" s="31" t="s">
        <v>186</v>
      </c>
      <c r="E327" s="31" t="s">
        <v>94</v>
      </c>
      <c r="F327" s="32" t="s">
        <v>102</v>
      </c>
    </row>
    <row r="328" spans="1:6">
      <c r="A328" s="29">
        <v>15832</v>
      </c>
      <c r="B328" s="31" t="s">
        <v>1300</v>
      </c>
      <c r="C328" s="31" t="s">
        <v>188</v>
      </c>
      <c r="D328" s="31" t="s">
        <v>186</v>
      </c>
      <c r="E328" s="31" t="s">
        <v>94</v>
      </c>
      <c r="F328" s="32" t="s">
        <v>178</v>
      </c>
    </row>
    <row r="329" spans="1:6">
      <c r="A329" s="29">
        <v>15835</v>
      </c>
      <c r="B329" s="31" t="s">
        <v>1301</v>
      </c>
      <c r="C329" s="31" t="s">
        <v>188</v>
      </c>
      <c r="D329" s="31" t="s">
        <v>186</v>
      </c>
      <c r="E329" s="31" t="s">
        <v>94</v>
      </c>
      <c r="F329" s="32" t="s">
        <v>93</v>
      </c>
    </row>
    <row r="330" spans="1:6">
      <c r="A330" s="29">
        <v>15837</v>
      </c>
      <c r="B330" s="31" t="s">
        <v>1302</v>
      </c>
      <c r="C330" s="31" t="s">
        <v>188</v>
      </c>
      <c r="D330" s="31" t="s">
        <v>186</v>
      </c>
      <c r="E330" s="31" t="s">
        <v>94</v>
      </c>
      <c r="F330" s="32" t="s">
        <v>93</v>
      </c>
    </row>
    <row r="331" spans="1:6">
      <c r="A331" s="29">
        <v>15839</v>
      </c>
      <c r="B331" s="31" t="s">
        <v>1303</v>
      </c>
      <c r="C331" s="31" t="s">
        <v>188</v>
      </c>
      <c r="D331" s="31" t="s">
        <v>186</v>
      </c>
      <c r="E331" s="31" t="s">
        <v>94</v>
      </c>
      <c r="F331" s="32" t="s">
        <v>93</v>
      </c>
    </row>
    <row r="332" spans="1:6">
      <c r="A332" s="29">
        <v>15842</v>
      </c>
      <c r="B332" s="31" t="s">
        <v>1304</v>
      </c>
      <c r="C332" s="31" t="s">
        <v>188</v>
      </c>
      <c r="D332" s="31" t="s">
        <v>186</v>
      </c>
      <c r="E332" s="31" t="s">
        <v>94</v>
      </c>
      <c r="F332" s="32" t="s">
        <v>93</v>
      </c>
    </row>
    <row r="333" spans="1:6">
      <c r="A333" s="29">
        <v>15861</v>
      </c>
      <c r="B333" s="31" t="s">
        <v>1305</v>
      </c>
      <c r="C333" s="31" t="s">
        <v>188</v>
      </c>
      <c r="D333" s="31" t="s">
        <v>186</v>
      </c>
      <c r="E333" s="31" t="s">
        <v>94</v>
      </c>
      <c r="F333" s="32" t="s">
        <v>93</v>
      </c>
    </row>
    <row r="334" spans="1:6">
      <c r="A334" s="29">
        <v>15407</v>
      </c>
      <c r="B334" s="31" t="s">
        <v>1306</v>
      </c>
      <c r="C334" s="31" t="s">
        <v>188</v>
      </c>
      <c r="D334" s="31" t="s">
        <v>186</v>
      </c>
      <c r="E334" s="31" t="s">
        <v>94</v>
      </c>
      <c r="F334" s="32" t="s">
        <v>93</v>
      </c>
    </row>
    <row r="335" spans="1:6">
      <c r="A335" s="29">
        <v>15879</v>
      </c>
      <c r="B335" s="31" t="s">
        <v>1307</v>
      </c>
      <c r="C335" s="31" t="s">
        <v>188</v>
      </c>
      <c r="D335" s="31" t="s">
        <v>186</v>
      </c>
      <c r="E335" s="31" t="s">
        <v>94</v>
      </c>
      <c r="F335" s="32" t="s">
        <v>93</v>
      </c>
    </row>
    <row r="336" spans="1:6">
      <c r="A336" s="29">
        <v>15897</v>
      </c>
      <c r="B336" s="31" t="s">
        <v>1308</v>
      </c>
      <c r="C336" s="31" t="s">
        <v>188</v>
      </c>
      <c r="D336" s="31" t="s">
        <v>186</v>
      </c>
      <c r="E336" s="31" t="s">
        <v>94</v>
      </c>
      <c r="F336" s="32" t="s">
        <v>178</v>
      </c>
    </row>
    <row r="337" spans="1:6">
      <c r="A337" s="29">
        <v>17524</v>
      </c>
      <c r="B337" s="30" t="s">
        <v>1309</v>
      </c>
      <c r="C337" s="31" t="s">
        <v>290</v>
      </c>
      <c r="D337" s="31" t="s">
        <v>1310</v>
      </c>
      <c r="E337" s="31" t="s">
        <v>94</v>
      </c>
      <c r="F337" s="32" t="s">
        <v>93</v>
      </c>
    </row>
    <row r="338" spans="1:6">
      <c r="A338" s="29">
        <v>17614</v>
      </c>
      <c r="B338" s="30" t="s">
        <v>1311</v>
      </c>
      <c r="C338" s="31" t="s">
        <v>290</v>
      </c>
      <c r="D338" s="31" t="s">
        <v>1310</v>
      </c>
      <c r="E338" s="31" t="s">
        <v>94</v>
      </c>
      <c r="F338" s="32" t="s">
        <v>93</v>
      </c>
    </row>
    <row r="339" spans="1:6">
      <c r="A339" s="29">
        <v>17653</v>
      </c>
      <c r="B339" s="30" t="s">
        <v>1312</v>
      </c>
      <c r="C339" s="31" t="s">
        <v>290</v>
      </c>
      <c r="D339" s="31" t="s">
        <v>1310</v>
      </c>
      <c r="E339" s="31" t="s">
        <v>94</v>
      </c>
      <c r="F339" s="32" t="s">
        <v>93</v>
      </c>
    </row>
    <row r="340" spans="1:6">
      <c r="A340" s="29">
        <v>17013</v>
      </c>
      <c r="B340" s="31" t="s">
        <v>1313</v>
      </c>
      <c r="C340" s="31" t="s">
        <v>290</v>
      </c>
      <c r="D340" s="31" t="s">
        <v>1310</v>
      </c>
      <c r="E340" s="31" t="s">
        <v>94</v>
      </c>
      <c r="F340" s="32" t="s">
        <v>178</v>
      </c>
    </row>
    <row r="341" spans="1:6">
      <c r="A341" s="29">
        <v>17042</v>
      </c>
      <c r="B341" s="31" t="s">
        <v>1314</v>
      </c>
      <c r="C341" s="31" t="s">
        <v>290</v>
      </c>
      <c r="D341" s="31" t="s">
        <v>1310</v>
      </c>
      <c r="E341" s="31" t="s">
        <v>94</v>
      </c>
      <c r="F341" s="32" t="s">
        <v>93</v>
      </c>
    </row>
    <row r="342" spans="1:6">
      <c r="A342" s="29">
        <v>17050</v>
      </c>
      <c r="B342" s="31" t="s">
        <v>1315</v>
      </c>
      <c r="C342" s="31" t="s">
        <v>290</v>
      </c>
      <c r="D342" s="31" t="s">
        <v>1310</v>
      </c>
      <c r="E342" s="31" t="s">
        <v>94</v>
      </c>
      <c r="F342" s="32" t="s">
        <v>93</v>
      </c>
    </row>
    <row r="343" spans="1:6">
      <c r="A343" s="29">
        <v>17088</v>
      </c>
      <c r="B343" s="31" t="s">
        <v>1316</v>
      </c>
      <c r="C343" s="31" t="s">
        <v>290</v>
      </c>
      <c r="D343" s="31" t="s">
        <v>1310</v>
      </c>
      <c r="E343" s="31" t="s">
        <v>94</v>
      </c>
      <c r="F343" s="32" t="s">
        <v>93</v>
      </c>
    </row>
    <row r="344" spans="1:6">
      <c r="A344" s="29">
        <v>17174</v>
      </c>
      <c r="B344" s="31" t="s">
        <v>1317</v>
      </c>
      <c r="C344" s="31" t="s">
        <v>290</v>
      </c>
      <c r="D344" s="31" t="s">
        <v>1310</v>
      </c>
      <c r="E344" s="31" t="s">
        <v>94</v>
      </c>
      <c r="F344" s="32" t="s">
        <v>93</v>
      </c>
    </row>
    <row r="345" spans="1:6">
      <c r="A345" s="29">
        <v>17272</v>
      </c>
      <c r="B345" s="31" t="s">
        <v>1318</v>
      </c>
      <c r="C345" s="31" t="s">
        <v>290</v>
      </c>
      <c r="D345" s="31" t="s">
        <v>1310</v>
      </c>
      <c r="E345" s="31" t="s">
        <v>94</v>
      </c>
      <c r="F345" s="32" t="s">
        <v>93</v>
      </c>
    </row>
    <row r="346" spans="1:6">
      <c r="A346" s="29">
        <v>17380</v>
      </c>
      <c r="B346" s="31" t="s">
        <v>291</v>
      </c>
      <c r="C346" s="31" t="s">
        <v>290</v>
      </c>
      <c r="D346" s="31" t="s">
        <v>194</v>
      </c>
      <c r="E346" s="31" t="s">
        <v>94</v>
      </c>
      <c r="F346" s="32" t="s">
        <v>178</v>
      </c>
    </row>
    <row r="347" spans="1:6">
      <c r="A347" s="29">
        <v>17388</v>
      </c>
      <c r="B347" s="31" t="s">
        <v>1319</v>
      </c>
      <c r="C347" s="31" t="s">
        <v>290</v>
      </c>
      <c r="D347" s="31" t="s">
        <v>1310</v>
      </c>
      <c r="E347" s="31" t="s">
        <v>94</v>
      </c>
      <c r="F347" s="32" t="s">
        <v>93</v>
      </c>
    </row>
    <row r="348" spans="1:6">
      <c r="A348" s="29">
        <v>17001</v>
      </c>
      <c r="B348" s="31" t="s">
        <v>1310</v>
      </c>
      <c r="C348" s="31" t="s">
        <v>290</v>
      </c>
      <c r="D348" s="31" t="s">
        <v>1310</v>
      </c>
      <c r="E348" s="31" t="s">
        <v>94</v>
      </c>
      <c r="F348" s="32" t="s">
        <v>102</v>
      </c>
    </row>
    <row r="349" spans="1:6">
      <c r="A349" s="29">
        <v>17433</v>
      </c>
      <c r="B349" s="31" t="s">
        <v>1320</v>
      </c>
      <c r="C349" s="31" t="s">
        <v>290</v>
      </c>
      <c r="D349" s="31" t="s">
        <v>1310</v>
      </c>
      <c r="E349" s="31" t="s">
        <v>94</v>
      </c>
      <c r="F349" s="32" t="s">
        <v>178</v>
      </c>
    </row>
    <row r="350" spans="1:6">
      <c r="A350" s="29">
        <v>17442</v>
      </c>
      <c r="B350" s="31" t="s">
        <v>1321</v>
      </c>
      <c r="C350" s="31" t="s">
        <v>290</v>
      </c>
      <c r="D350" s="31" t="s">
        <v>1310</v>
      </c>
      <c r="E350" s="31" t="s">
        <v>94</v>
      </c>
      <c r="F350" s="32" t="s">
        <v>93</v>
      </c>
    </row>
    <row r="351" spans="1:6">
      <c r="A351" s="29">
        <v>17444</v>
      </c>
      <c r="B351" s="31" t="s">
        <v>1322</v>
      </c>
      <c r="C351" s="31" t="s">
        <v>290</v>
      </c>
      <c r="D351" s="31" t="s">
        <v>1310</v>
      </c>
      <c r="E351" s="31" t="s">
        <v>94</v>
      </c>
      <c r="F351" s="32" t="s">
        <v>178</v>
      </c>
    </row>
    <row r="352" spans="1:6">
      <c r="A352" s="29">
        <v>17446</v>
      </c>
      <c r="B352" s="31" t="s">
        <v>1323</v>
      </c>
      <c r="C352" s="31" t="s">
        <v>290</v>
      </c>
      <c r="D352" s="31" t="s">
        <v>1310</v>
      </c>
      <c r="E352" s="31" t="s">
        <v>94</v>
      </c>
      <c r="F352" s="32" t="s">
        <v>178</v>
      </c>
    </row>
    <row r="353" spans="1:6">
      <c r="A353" s="29">
        <v>17486</v>
      </c>
      <c r="B353" s="31" t="s">
        <v>1324</v>
      </c>
      <c r="C353" s="31" t="s">
        <v>290</v>
      </c>
      <c r="D353" s="31" t="s">
        <v>1310</v>
      </c>
      <c r="E353" s="31" t="s">
        <v>94</v>
      </c>
      <c r="F353" s="32" t="s">
        <v>93</v>
      </c>
    </row>
    <row r="354" spans="1:6">
      <c r="A354" s="29">
        <v>17495</v>
      </c>
      <c r="B354" s="31" t="s">
        <v>1325</v>
      </c>
      <c r="C354" s="31" t="s">
        <v>290</v>
      </c>
      <c r="D354" s="31" t="s">
        <v>194</v>
      </c>
      <c r="E354" s="31" t="s">
        <v>94</v>
      </c>
      <c r="F354" s="32" t="s">
        <v>129</v>
      </c>
    </row>
    <row r="355" spans="1:6">
      <c r="A355" s="29">
        <v>17513</v>
      </c>
      <c r="B355" s="31" t="s">
        <v>1326</v>
      </c>
      <c r="C355" s="31" t="s">
        <v>290</v>
      </c>
      <c r="D355" s="31" t="s">
        <v>1310</v>
      </c>
      <c r="E355" s="31" t="s">
        <v>94</v>
      </c>
      <c r="F355" s="32" t="s">
        <v>178</v>
      </c>
    </row>
    <row r="356" spans="1:6">
      <c r="A356" s="29">
        <v>17541</v>
      </c>
      <c r="B356" s="31" t="s">
        <v>1327</v>
      </c>
      <c r="C356" s="31" t="s">
        <v>290</v>
      </c>
      <c r="D356" s="31" t="s">
        <v>1310</v>
      </c>
      <c r="E356" s="31" t="s">
        <v>94</v>
      </c>
      <c r="F356" s="32" t="s">
        <v>178</v>
      </c>
    </row>
    <row r="357" spans="1:6">
      <c r="A357" s="29">
        <v>17616</v>
      </c>
      <c r="B357" s="31" t="s">
        <v>213</v>
      </c>
      <c r="C357" s="31" t="s">
        <v>290</v>
      </c>
      <c r="D357" s="31" t="s">
        <v>1310</v>
      </c>
      <c r="E357" s="31" t="s">
        <v>94</v>
      </c>
      <c r="F357" s="32" t="s">
        <v>93</v>
      </c>
    </row>
    <row r="358" spans="1:6">
      <c r="A358" s="29">
        <v>17662</v>
      </c>
      <c r="B358" s="31" t="s">
        <v>1328</v>
      </c>
      <c r="C358" s="31" t="s">
        <v>290</v>
      </c>
      <c r="D358" s="31" t="s">
        <v>1310</v>
      </c>
      <c r="E358" s="31" t="s">
        <v>94</v>
      </c>
      <c r="F358" s="32" t="s">
        <v>129</v>
      </c>
    </row>
    <row r="359" spans="1:6">
      <c r="A359" s="29">
        <v>17665</v>
      </c>
      <c r="B359" s="31" t="s">
        <v>1329</v>
      </c>
      <c r="C359" s="31" t="s">
        <v>290</v>
      </c>
      <c r="D359" s="31" t="s">
        <v>1310</v>
      </c>
      <c r="E359" s="31" t="s">
        <v>94</v>
      </c>
      <c r="F359" s="32" t="s">
        <v>93</v>
      </c>
    </row>
    <row r="360" spans="1:6">
      <c r="A360" s="29">
        <v>17777</v>
      </c>
      <c r="B360" s="31" t="s">
        <v>1330</v>
      </c>
      <c r="C360" s="31" t="s">
        <v>290</v>
      </c>
      <c r="D360" s="31" t="s">
        <v>1310</v>
      </c>
      <c r="E360" s="31" t="s">
        <v>94</v>
      </c>
      <c r="F360" s="32" t="s">
        <v>93</v>
      </c>
    </row>
    <row r="361" spans="1:6">
      <c r="A361" s="29">
        <v>17867</v>
      </c>
      <c r="B361" s="31" t="s">
        <v>1331</v>
      </c>
      <c r="C361" s="31" t="s">
        <v>290</v>
      </c>
      <c r="D361" s="31" t="s">
        <v>1310</v>
      </c>
      <c r="E361" s="31" t="s">
        <v>94</v>
      </c>
      <c r="F361" s="32" t="s">
        <v>178</v>
      </c>
    </row>
    <row r="362" spans="1:6">
      <c r="A362" s="29">
        <v>17873</v>
      </c>
      <c r="B362" s="31" t="s">
        <v>1332</v>
      </c>
      <c r="C362" s="31" t="s">
        <v>290</v>
      </c>
      <c r="D362" s="31" t="s">
        <v>1310</v>
      </c>
      <c r="E362" s="31" t="s">
        <v>94</v>
      </c>
      <c r="F362" s="32" t="s">
        <v>102</v>
      </c>
    </row>
    <row r="363" spans="1:6">
      <c r="A363" s="29">
        <v>17877</v>
      </c>
      <c r="B363" s="31" t="s">
        <v>1333</v>
      </c>
      <c r="C363" s="31" t="s">
        <v>290</v>
      </c>
      <c r="D363" s="31" t="s">
        <v>142</v>
      </c>
      <c r="E363" s="31" t="s">
        <v>94</v>
      </c>
      <c r="F363" s="32" t="s">
        <v>93</v>
      </c>
    </row>
    <row r="364" spans="1:6">
      <c r="A364" s="29">
        <v>18029</v>
      </c>
      <c r="B364" s="30" t="s">
        <v>1334</v>
      </c>
      <c r="C364" s="31" t="s">
        <v>245</v>
      </c>
      <c r="D364" s="31" t="s">
        <v>243</v>
      </c>
      <c r="E364" s="31" t="s">
        <v>94</v>
      </c>
      <c r="F364" s="32" t="s">
        <v>129</v>
      </c>
    </row>
    <row r="365" spans="1:6">
      <c r="A365" s="29">
        <v>18001</v>
      </c>
      <c r="B365" s="30" t="s">
        <v>246</v>
      </c>
      <c r="C365" s="31" t="s">
        <v>245</v>
      </c>
      <c r="D365" s="31" t="s">
        <v>243</v>
      </c>
      <c r="E365" s="31" t="s">
        <v>94</v>
      </c>
      <c r="F365" s="32" t="s">
        <v>129</v>
      </c>
    </row>
    <row r="366" spans="1:6">
      <c r="A366" s="29">
        <v>18592</v>
      </c>
      <c r="B366" s="30" t="s">
        <v>1335</v>
      </c>
      <c r="C366" s="31" t="s">
        <v>245</v>
      </c>
      <c r="D366" s="31" t="s">
        <v>243</v>
      </c>
      <c r="E366" s="31" t="s">
        <v>94</v>
      </c>
      <c r="F366" s="32" t="s">
        <v>139</v>
      </c>
    </row>
    <row r="367" spans="1:6">
      <c r="A367" s="29">
        <v>18860</v>
      </c>
      <c r="B367" s="30" t="s">
        <v>1034</v>
      </c>
      <c r="C367" s="31" t="s">
        <v>245</v>
      </c>
      <c r="D367" s="31" t="s">
        <v>243</v>
      </c>
      <c r="E367" s="31" t="s">
        <v>94</v>
      </c>
      <c r="F367" s="32" t="s">
        <v>129</v>
      </c>
    </row>
    <row r="368" spans="1:6">
      <c r="A368" s="29">
        <v>18094</v>
      </c>
      <c r="B368" s="31" t="s">
        <v>1336</v>
      </c>
      <c r="C368" s="31" t="s">
        <v>245</v>
      </c>
      <c r="D368" s="31" t="s">
        <v>243</v>
      </c>
      <c r="E368" s="31" t="s">
        <v>94</v>
      </c>
      <c r="F368" s="32" t="s">
        <v>129</v>
      </c>
    </row>
    <row r="369" spans="1:6">
      <c r="A369" s="29">
        <v>18150</v>
      </c>
      <c r="B369" s="31" t="s">
        <v>1337</v>
      </c>
      <c r="C369" s="31" t="s">
        <v>245</v>
      </c>
      <c r="D369" s="31" t="s">
        <v>243</v>
      </c>
      <c r="E369" s="31" t="s">
        <v>94</v>
      </c>
      <c r="F369" s="32" t="s">
        <v>139</v>
      </c>
    </row>
    <row r="370" spans="1:6">
      <c r="A370" s="29">
        <v>18205</v>
      </c>
      <c r="B370" s="31" t="s">
        <v>1338</v>
      </c>
      <c r="C370" s="31" t="s">
        <v>245</v>
      </c>
      <c r="D370" s="31" t="s">
        <v>243</v>
      </c>
      <c r="E370" s="31" t="s">
        <v>94</v>
      </c>
      <c r="F370" s="32" t="s">
        <v>129</v>
      </c>
    </row>
    <row r="371" spans="1:6">
      <c r="A371" s="29">
        <v>18247</v>
      </c>
      <c r="B371" s="31" t="s">
        <v>1339</v>
      </c>
      <c r="C371" s="31" t="s">
        <v>245</v>
      </c>
      <c r="D371" s="31" t="s">
        <v>243</v>
      </c>
      <c r="E371" s="31" t="s">
        <v>94</v>
      </c>
      <c r="F371" s="32" t="s">
        <v>129</v>
      </c>
    </row>
    <row r="372" spans="1:6">
      <c r="A372" s="29">
        <v>18256</v>
      </c>
      <c r="B372" s="31" t="s">
        <v>1340</v>
      </c>
      <c r="C372" s="31" t="s">
        <v>245</v>
      </c>
      <c r="D372" s="31" t="s">
        <v>243</v>
      </c>
      <c r="E372" s="31" t="s">
        <v>94</v>
      </c>
      <c r="F372" s="32" t="s">
        <v>129</v>
      </c>
    </row>
    <row r="373" spans="1:6">
      <c r="A373" s="29">
        <v>18410</v>
      </c>
      <c r="B373" s="31" t="s">
        <v>1341</v>
      </c>
      <c r="C373" s="31" t="s">
        <v>245</v>
      </c>
      <c r="D373" s="31" t="s">
        <v>243</v>
      </c>
      <c r="E373" s="31" t="s">
        <v>94</v>
      </c>
      <c r="F373" s="32" t="s">
        <v>129</v>
      </c>
    </row>
    <row r="374" spans="1:6">
      <c r="A374" s="29">
        <v>18460</v>
      </c>
      <c r="B374" s="31" t="s">
        <v>1342</v>
      </c>
      <c r="C374" s="31" t="s">
        <v>245</v>
      </c>
      <c r="D374" s="31" t="s">
        <v>243</v>
      </c>
      <c r="E374" s="31" t="s">
        <v>94</v>
      </c>
      <c r="F374" s="32" t="s">
        <v>129</v>
      </c>
    </row>
    <row r="375" spans="1:6">
      <c r="A375" s="29">
        <v>18479</v>
      </c>
      <c r="B375" s="31" t="s">
        <v>1343</v>
      </c>
      <c r="C375" s="31" t="s">
        <v>245</v>
      </c>
      <c r="D375" s="31" t="s">
        <v>243</v>
      </c>
      <c r="E375" s="31" t="s">
        <v>94</v>
      </c>
      <c r="F375" s="32" t="s">
        <v>129</v>
      </c>
    </row>
    <row r="376" spans="1:6">
      <c r="A376" s="29">
        <v>18610</v>
      </c>
      <c r="B376" s="31" t="s">
        <v>1344</v>
      </c>
      <c r="C376" s="31" t="s">
        <v>245</v>
      </c>
      <c r="D376" s="31" t="s">
        <v>243</v>
      </c>
      <c r="E376" s="31" t="s">
        <v>94</v>
      </c>
      <c r="F376" s="32" t="s">
        <v>129</v>
      </c>
    </row>
    <row r="377" spans="1:6">
      <c r="A377" s="29">
        <v>18753</v>
      </c>
      <c r="B377" s="31" t="s">
        <v>1345</v>
      </c>
      <c r="C377" s="31" t="s">
        <v>245</v>
      </c>
      <c r="D377" s="31" t="s">
        <v>243</v>
      </c>
      <c r="E377" s="31" t="s">
        <v>1346</v>
      </c>
      <c r="F377" s="32" t="s">
        <v>139</v>
      </c>
    </row>
    <row r="378" spans="1:6">
      <c r="A378" s="29">
        <v>18756</v>
      </c>
      <c r="B378" s="31" t="s">
        <v>1347</v>
      </c>
      <c r="C378" s="31" t="s">
        <v>245</v>
      </c>
      <c r="D378" s="31" t="s">
        <v>243</v>
      </c>
      <c r="E378" s="31" t="s">
        <v>935</v>
      </c>
      <c r="F378" s="32" t="s">
        <v>139</v>
      </c>
    </row>
    <row r="379" spans="1:6">
      <c r="A379" s="29">
        <v>18785</v>
      </c>
      <c r="B379" s="31" t="s">
        <v>1348</v>
      </c>
      <c r="C379" s="31" t="s">
        <v>245</v>
      </c>
      <c r="D379" s="31" t="s">
        <v>243</v>
      </c>
      <c r="E379" s="31" t="s">
        <v>94</v>
      </c>
      <c r="F379" s="32" t="s">
        <v>129</v>
      </c>
    </row>
    <row r="380" spans="1:6">
      <c r="A380" s="29">
        <v>85300</v>
      </c>
      <c r="B380" s="30" t="s">
        <v>764</v>
      </c>
      <c r="C380" s="31" t="s">
        <v>319</v>
      </c>
      <c r="D380" s="31" t="s">
        <v>317</v>
      </c>
      <c r="E380" s="31" t="s">
        <v>94</v>
      </c>
      <c r="F380" s="32" t="s">
        <v>178</v>
      </c>
    </row>
    <row r="381" spans="1:6">
      <c r="A381" s="29">
        <v>85440</v>
      </c>
      <c r="B381" s="30" t="s">
        <v>1159</v>
      </c>
      <c r="C381" s="31" t="s">
        <v>319</v>
      </c>
      <c r="D381" s="31" t="s">
        <v>131</v>
      </c>
      <c r="E381" s="31" t="s">
        <v>94</v>
      </c>
      <c r="F381" s="32" t="s">
        <v>178</v>
      </c>
    </row>
    <row r="382" spans="1:6">
      <c r="A382" s="29">
        <v>85010</v>
      </c>
      <c r="B382" s="31" t="s">
        <v>1349</v>
      </c>
      <c r="C382" s="31" t="s">
        <v>319</v>
      </c>
      <c r="D382" s="31" t="s">
        <v>317</v>
      </c>
      <c r="E382" s="31" t="s">
        <v>94</v>
      </c>
      <c r="F382" s="32" t="s">
        <v>93</v>
      </c>
    </row>
    <row r="383" spans="1:6">
      <c r="A383" s="29">
        <v>85015</v>
      </c>
      <c r="B383" s="31" t="s">
        <v>1350</v>
      </c>
      <c r="C383" s="31" t="s">
        <v>319</v>
      </c>
      <c r="D383" s="31" t="s">
        <v>317</v>
      </c>
      <c r="E383" s="31" t="s">
        <v>94</v>
      </c>
      <c r="F383" s="32" t="s">
        <v>129</v>
      </c>
    </row>
    <row r="384" spans="1:6">
      <c r="A384" s="29">
        <v>85125</v>
      </c>
      <c r="B384" s="31" t="s">
        <v>1351</v>
      </c>
      <c r="C384" s="31" t="s">
        <v>319</v>
      </c>
      <c r="D384" s="31" t="s">
        <v>317</v>
      </c>
      <c r="E384" s="31" t="s">
        <v>94</v>
      </c>
      <c r="F384" s="32" t="s">
        <v>178</v>
      </c>
    </row>
    <row r="385" spans="1:6">
      <c r="A385" s="29">
        <v>85136</v>
      </c>
      <c r="B385" s="31" t="s">
        <v>1352</v>
      </c>
      <c r="C385" s="31" t="s">
        <v>319</v>
      </c>
      <c r="D385" s="31" t="s">
        <v>317</v>
      </c>
      <c r="E385" s="31" t="s">
        <v>94</v>
      </c>
      <c r="F385" s="32" t="s">
        <v>129</v>
      </c>
    </row>
    <row r="386" spans="1:6">
      <c r="A386" s="29">
        <v>85139</v>
      </c>
      <c r="B386" s="31" t="s">
        <v>1353</v>
      </c>
      <c r="C386" s="31" t="s">
        <v>319</v>
      </c>
      <c r="D386" s="31" t="s">
        <v>317</v>
      </c>
      <c r="E386" s="31" t="s">
        <v>94</v>
      </c>
      <c r="F386" s="32" t="s">
        <v>93</v>
      </c>
    </row>
    <row r="387" spans="1:6">
      <c r="A387" s="29">
        <v>85162</v>
      </c>
      <c r="B387" s="31" t="s">
        <v>1354</v>
      </c>
      <c r="C387" s="31" t="s">
        <v>319</v>
      </c>
      <c r="D387" s="31" t="s">
        <v>317</v>
      </c>
      <c r="E387" s="31" t="s">
        <v>94</v>
      </c>
      <c r="F387" s="32" t="s">
        <v>93</v>
      </c>
    </row>
    <row r="388" spans="1:6">
      <c r="A388" s="29">
        <v>85225</v>
      </c>
      <c r="B388" s="31" t="s">
        <v>1355</v>
      </c>
      <c r="C388" s="31" t="s">
        <v>319</v>
      </c>
      <c r="D388" s="31" t="s">
        <v>317</v>
      </c>
      <c r="E388" s="31" t="s">
        <v>94</v>
      </c>
      <c r="F388" s="32" t="s">
        <v>93</v>
      </c>
    </row>
    <row r="389" spans="1:6">
      <c r="A389" s="29">
        <v>85230</v>
      </c>
      <c r="B389" s="31" t="s">
        <v>1356</v>
      </c>
      <c r="C389" s="31" t="s">
        <v>319</v>
      </c>
      <c r="D389" s="31" t="s">
        <v>317</v>
      </c>
      <c r="E389" s="31" t="s">
        <v>935</v>
      </c>
      <c r="F389" s="32" t="s">
        <v>139</v>
      </c>
    </row>
    <row r="390" spans="1:6">
      <c r="A390" s="29">
        <v>85250</v>
      </c>
      <c r="B390" s="31" t="s">
        <v>1357</v>
      </c>
      <c r="C390" s="31" t="s">
        <v>319</v>
      </c>
      <c r="D390" s="31" t="s">
        <v>317</v>
      </c>
      <c r="E390" s="31" t="s">
        <v>94</v>
      </c>
      <c r="F390" s="32" t="s">
        <v>93</v>
      </c>
    </row>
    <row r="391" spans="1:6">
      <c r="A391" s="29">
        <v>85263</v>
      </c>
      <c r="B391" s="31" t="s">
        <v>1358</v>
      </c>
      <c r="C391" s="31" t="s">
        <v>319</v>
      </c>
      <c r="D391" s="31" t="s">
        <v>317</v>
      </c>
      <c r="E391" s="31" t="s">
        <v>94</v>
      </c>
      <c r="F391" s="32" t="s">
        <v>93</v>
      </c>
    </row>
    <row r="392" spans="1:6">
      <c r="A392" s="29">
        <v>85279</v>
      </c>
      <c r="B392" s="31" t="s">
        <v>1359</v>
      </c>
      <c r="C392" s="31" t="s">
        <v>319</v>
      </c>
      <c r="D392" s="31" t="s">
        <v>317</v>
      </c>
      <c r="E392" s="31" t="s">
        <v>94</v>
      </c>
      <c r="F392" s="32" t="s">
        <v>178</v>
      </c>
    </row>
    <row r="393" spans="1:6">
      <c r="A393" s="29">
        <v>85315</v>
      </c>
      <c r="B393" s="31" t="s">
        <v>1360</v>
      </c>
      <c r="C393" s="31" t="s">
        <v>319</v>
      </c>
      <c r="D393" s="31" t="s">
        <v>317</v>
      </c>
      <c r="E393" s="31" t="s">
        <v>94</v>
      </c>
      <c r="F393" s="32" t="s">
        <v>129</v>
      </c>
    </row>
    <row r="394" spans="1:6">
      <c r="A394" s="29">
        <v>85325</v>
      </c>
      <c r="B394" s="31" t="s">
        <v>1361</v>
      </c>
      <c r="C394" s="31" t="s">
        <v>319</v>
      </c>
      <c r="D394" s="31" t="s">
        <v>317</v>
      </c>
      <c r="E394" s="31" t="s">
        <v>94</v>
      </c>
      <c r="F394" s="32" t="s">
        <v>93</v>
      </c>
    </row>
    <row r="395" spans="1:6">
      <c r="A395" s="29">
        <v>85400</v>
      </c>
      <c r="B395" s="31" t="s">
        <v>1362</v>
      </c>
      <c r="C395" s="31" t="s">
        <v>319</v>
      </c>
      <c r="D395" s="31" t="s">
        <v>317</v>
      </c>
      <c r="E395" s="31" t="s">
        <v>94</v>
      </c>
      <c r="F395" s="32" t="s">
        <v>178</v>
      </c>
    </row>
    <row r="396" spans="1:6">
      <c r="A396" s="29">
        <v>85410</v>
      </c>
      <c r="B396" s="31" t="s">
        <v>1363</v>
      </c>
      <c r="C396" s="31" t="s">
        <v>319</v>
      </c>
      <c r="D396" s="31" t="s">
        <v>317</v>
      </c>
      <c r="E396" s="31" t="s">
        <v>94</v>
      </c>
      <c r="F396" s="32" t="s">
        <v>93</v>
      </c>
    </row>
    <row r="397" spans="1:6">
      <c r="A397" s="29">
        <v>85430</v>
      </c>
      <c r="B397" s="31" t="s">
        <v>1364</v>
      </c>
      <c r="C397" s="31" t="s">
        <v>319</v>
      </c>
      <c r="D397" s="31" t="s">
        <v>317</v>
      </c>
      <c r="E397" s="31" t="s">
        <v>94</v>
      </c>
      <c r="F397" s="32" t="s">
        <v>93</v>
      </c>
    </row>
    <row r="398" spans="1:6">
      <c r="A398" s="29">
        <v>85001</v>
      </c>
      <c r="B398" s="31" t="s">
        <v>317</v>
      </c>
      <c r="C398" s="31" t="s">
        <v>319</v>
      </c>
      <c r="D398" s="31" t="s">
        <v>317</v>
      </c>
      <c r="E398" s="31" t="s">
        <v>94</v>
      </c>
      <c r="F398" s="32" t="s">
        <v>102</v>
      </c>
    </row>
    <row r="399" spans="1:6">
      <c r="A399" s="29">
        <v>19050</v>
      </c>
      <c r="B399" s="30" t="s">
        <v>1019</v>
      </c>
      <c r="C399" s="31" t="s">
        <v>106</v>
      </c>
      <c r="D399" s="31" t="s">
        <v>104</v>
      </c>
      <c r="E399" s="31" t="s">
        <v>94</v>
      </c>
      <c r="F399" s="32" t="s">
        <v>129</v>
      </c>
    </row>
    <row r="400" spans="1:6">
      <c r="A400" s="29">
        <v>19075</v>
      </c>
      <c r="B400" s="30" t="s">
        <v>1365</v>
      </c>
      <c r="C400" s="31" t="s">
        <v>106</v>
      </c>
      <c r="D400" s="31" t="s">
        <v>104</v>
      </c>
      <c r="E400" s="31" t="s">
        <v>94</v>
      </c>
      <c r="F400" s="32" t="s">
        <v>129</v>
      </c>
    </row>
    <row r="401" spans="1:6">
      <c r="A401" s="29">
        <v>19100</v>
      </c>
      <c r="B401" s="30" t="s">
        <v>651</v>
      </c>
      <c r="C401" s="31" t="s">
        <v>106</v>
      </c>
      <c r="D401" s="31" t="s">
        <v>104</v>
      </c>
      <c r="E401" s="31" t="s">
        <v>94</v>
      </c>
      <c r="F401" s="32" t="s">
        <v>129</v>
      </c>
    </row>
    <row r="402" spans="1:6">
      <c r="A402" s="29">
        <v>19256</v>
      </c>
      <c r="B402" s="30" t="s">
        <v>174</v>
      </c>
      <c r="C402" s="31" t="s">
        <v>106</v>
      </c>
      <c r="D402" s="31" t="s">
        <v>104</v>
      </c>
      <c r="E402" s="31" t="s">
        <v>94</v>
      </c>
      <c r="F402" s="32" t="s">
        <v>178</v>
      </c>
    </row>
    <row r="403" spans="1:6">
      <c r="A403" s="29">
        <v>19290</v>
      </c>
      <c r="B403" s="30" t="s">
        <v>246</v>
      </c>
      <c r="C403" s="31" t="s">
        <v>106</v>
      </c>
      <c r="D403" s="31" t="s">
        <v>104</v>
      </c>
      <c r="E403" s="31" t="s">
        <v>94</v>
      </c>
      <c r="F403" s="32" t="s">
        <v>129</v>
      </c>
    </row>
    <row r="404" spans="1:6">
      <c r="A404" s="29">
        <v>19397</v>
      </c>
      <c r="B404" s="30" t="s">
        <v>1366</v>
      </c>
      <c r="C404" s="31" t="s">
        <v>106</v>
      </c>
      <c r="D404" s="31" t="s">
        <v>104</v>
      </c>
      <c r="E404" s="31" t="s">
        <v>94</v>
      </c>
      <c r="F404" s="32" t="s">
        <v>129</v>
      </c>
    </row>
    <row r="405" spans="1:6">
      <c r="A405" s="29">
        <v>19473</v>
      </c>
      <c r="B405" s="30" t="s">
        <v>1156</v>
      </c>
      <c r="C405" s="31" t="s">
        <v>106</v>
      </c>
      <c r="D405" s="31" t="s">
        <v>104</v>
      </c>
      <c r="E405" s="31" t="s">
        <v>94</v>
      </c>
      <c r="F405" s="32" t="s">
        <v>178</v>
      </c>
    </row>
    <row r="406" spans="1:6">
      <c r="A406" s="29">
        <v>19517</v>
      </c>
      <c r="B406" s="30" t="s">
        <v>1199</v>
      </c>
      <c r="C406" s="31" t="s">
        <v>106</v>
      </c>
      <c r="D406" s="31" t="s">
        <v>104</v>
      </c>
      <c r="E406" s="31" t="s">
        <v>94</v>
      </c>
      <c r="F406" s="32" t="s">
        <v>129</v>
      </c>
    </row>
    <row r="407" spans="1:6">
      <c r="A407" s="29">
        <v>19701</v>
      </c>
      <c r="B407" s="30" t="s">
        <v>1158</v>
      </c>
      <c r="C407" s="31" t="s">
        <v>106</v>
      </c>
      <c r="D407" s="31" t="s">
        <v>104</v>
      </c>
      <c r="E407" s="31" t="s">
        <v>94</v>
      </c>
      <c r="F407" s="32" t="s">
        <v>129</v>
      </c>
    </row>
    <row r="408" spans="1:6">
      <c r="A408" s="29">
        <v>19780</v>
      </c>
      <c r="B408" s="30" t="s">
        <v>1367</v>
      </c>
      <c r="C408" s="31" t="s">
        <v>106</v>
      </c>
      <c r="D408" s="31" t="s">
        <v>104</v>
      </c>
      <c r="E408" s="31" t="s">
        <v>94</v>
      </c>
      <c r="F408" s="32" t="s">
        <v>178</v>
      </c>
    </row>
    <row r="409" spans="1:6">
      <c r="A409" s="29">
        <v>19785</v>
      </c>
      <c r="B409" s="30" t="s">
        <v>850</v>
      </c>
      <c r="C409" s="31" t="s">
        <v>106</v>
      </c>
      <c r="D409" s="31" t="s">
        <v>104</v>
      </c>
      <c r="E409" s="31" t="s">
        <v>94</v>
      </c>
      <c r="F409" s="32" t="s">
        <v>129</v>
      </c>
    </row>
    <row r="410" spans="1:6">
      <c r="A410" s="29">
        <v>19022</v>
      </c>
      <c r="B410" s="31" t="s">
        <v>1368</v>
      </c>
      <c r="C410" s="31" t="s">
        <v>106</v>
      </c>
      <c r="D410" s="31" t="s">
        <v>104</v>
      </c>
      <c r="E410" s="31" t="s">
        <v>94</v>
      </c>
      <c r="F410" s="32" t="s">
        <v>129</v>
      </c>
    </row>
    <row r="411" spans="1:6">
      <c r="A411" s="29">
        <v>19110</v>
      </c>
      <c r="B411" s="31" t="s">
        <v>1369</v>
      </c>
      <c r="C411" s="31" t="s">
        <v>106</v>
      </c>
      <c r="D411" s="31" t="s">
        <v>104</v>
      </c>
      <c r="E411" s="31" t="s">
        <v>94</v>
      </c>
      <c r="F411" s="32" t="s">
        <v>93</v>
      </c>
    </row>
    <row r="412" spans="1:6">
      <c r="A412" s="29">
        <v>19130</v>
      </c>
      <c r="B412" s="31" t="s">
        <v>1370</v>
      </c>
      <c r="C412" s="31" t="s">
        <v>106</v>
      </c>
      <c r="D412" s="31" t="s">
        <v>104</v>
      </c>
      <c r="E412" s="31" t="s">
        <v>94</v>
      </c>
      <c r="F412" s="32" t="s">
        <v>178</v>
      </c>
    </row>
    <row r="413" spans="1:6">
      <c r="A413" s="29">
        <v>19137</v>
      </c>
      <c r="B413" s="31" t="s">
        <v>1371</v>
      </c>
      <c r="C413" s="31" t="s">
        <v>106</v>
      </c>
      <c r="D413" s="31" t="s">
        <v>104</v>
      </c>
      <c r="E413" s="31" t="s">
        <v>94</v>
      </c>
      <c r="F413" s="32" t="s">
        <v>178</v>
      </c>
    </row>
    <row r="414" spans="1:6">
      <c r="A414" s="29">
        <v>19142</v>
      </c>
      <c r="B414" s="31" t="s">
        <v>1372</v>
      </c>
      <c r="C414" s="31" t="s">
        <v>106</v>
      </c>
      <c r="D414" s="31" t="s">
        <v>104</v>
      </c>
      <c r="E414" s="31" t="s">
        <v>94</v>
      </c>
      <c r="F414" s="32" t="s">
        <v>93</v>
      </c>
    </row>
    <row r="415" spans="1:6">
      <c r="A415" s="29">
        <v>19212</v>
      </c>
      <c r="B415" s="31" t="s">
        <v>1373</v>
      </c>
      <c r="C415" s="31" t="s">
        <v>106</v>
      </c>
      <c r="D415" s="31" t="s">
        <v>104</v>
      </c>
      <c r="E415" s="31" t="s">
        <v>94</v>
      </c>
      <c r="F415" s="32" t="s">
        <v>178</v>
      </c>
    </row>
    <row r="416" spans="1:6">
      <c r="A416" s="29">
        <v>19300</v>
      </c>
      <c r="B416" s="31" t="s">
        <v>1374</v>
      </c>
      <c r="C416" s="31" t="s">
        <v>106</v>
      </c>
      <c r="D416" s="31" t="s">
        <v>104</v>
      </c>
      <c r="E416" s="31" t="s">
        <v>94</v>
      </c>
      <c r="F416" s="32" t="s">
        <v>93</v>
      </c>
    </row>
    <row r="417" spans="1:6">
      <c r="A417" s="29">
        <v>19318</v>
      </c>
      <c r="B417" s="31" t="s">
        <v>1375</v>
      </c>
      <c r="C417" s="31" t="s">
        <v>106</v>
      </c>
      <c r="D417" s="31" t="s">
        <v>104</v>
      </c>
      <c r="E417" s="31" t="s">
        <v>140</v>
      </c>
      <c r="F417" s="32" t="s">
        <v>139</v>
      </c>
    </row>
    <row r="418" spans="1:6">
      <c r="A418" s="29">
        <v>19355</v>
      </c>
      <c r="B418" s="31" t="s">
        <v>1376</v>
      </c>
      <c r="C418" s="31" t="s">
        <v>106</v>
      </c>
      <c r="D418" s="31" t="s">
        <v>104</v>
      </c>
      <c r="E418" s="31" t="s">
        <v>94</v>
      </c>
      <c r="F418" s="32" t="s">
        <v>129</v>
      </c>
    </row>
    <row r="419" spans="1:6">
      <c r="A419" s="29">
        <v>19364</v>
      </c>
      <c r="B419" s="31" t="s">
        <v>1377</v>
      </c>
      <c r="C419" s="31" t="s">
        <v>106</v>
      </c>
      <c r="D419" s="31" t="s">
        <v>104</v>
      </c>
      <c r="E419" s="31" t="s">
        <v>94</v>
      </c>
      <c r="F419" s="32" t="s">
        <v>178</v>
      </c>
    </row>
    <row r="420" spans="1:6">
      <c r="A420" s="29">
        <v>19392</v>
      </c>
      <c r="B420" s="31" t="s">
        <v>1378</v>
      </c>
      <c r="C420" s="31" t="s">
        <v>106</v>
      </c>
      <c r="D420" s="31" t="s">
        <v>104</v>
      </c>
      <c r="E420" s="31" t="s">
        <v>94</v>
      </c>
      <c r="F420" s="32" t="s">
        <v>178</v>
      </c>
    </row>
    <row r="421" spans="1:6">
      <c r="A421" s="29">
        <v>19418</v>
      </c>
      <c r="B421" s="31" t="s">
        <v>1379</v>
      </c>
      <c r="C421" s="31" t="s">
        <v>106</v>
      </c>
      <c r="D421" s="31" t="s">
        <v>104</v>
      </c>
      <c r="E421" s="31" t="s">
        <v>94</v>
      </c>
      <c r="F421" s="32" t="s">
        <v>129</v>
      </c>
    </row>
    <row r="422" spans="1:6">
      <c r="A422" s="29">
        <v>19450</v>
      </c>
      <c r="B422" s="31" t="s">
        <v>1380</v>
      </c>
      <c r="C422" s="31" t="s">
        <v>106</v>
      </c>
      <c r="D422" s="31" t="s">
        <v>104</v>
      </c>
      <c r="E422" s="31" t="s">
        <v>94</v>
      </c>
      <c r="F422" s="32" t="s">
        <v>129</v>
      </c>
    </row>
    <row r="423" spans="1:6">
      <c r="A423" s="29">
        <v>19455</v>
      </c>
      <c r="B423" s="31" t="s">
        <v>1381</v>
      </c>
      <c r="C423" s="31" t="s">
        <v>106</v>
      </c>
      <c r="D423" s="31" t="s">
        <v>104</v>
      </c>
      <c r="E423" s="31" t="s">
        <v>94</v>
      </c>
      <c r="F423" s="32" t="s">
        <v>178</v>
      </c>
    </row>
    <row r="424" spans="1:6">
      <c r="A424" s="29">
        <v>19513</v>
      </c>
      <c r="B424" s="31" t="s">
        <v>1382</v>
      </c>
      <c r="C424" s="31" t="s">
        <v>106</v>
      </c>
      <c r="D424" s="31" t="s">
        <v>104</v>
      </c>
      <c r="E424" s="31" t="s">
        <v>94</v>
      </c>
      <c r="F424" s="32" t="s">
        <v>93</v>
      </c>
    </row>
    <row r="425" spans="1:6">
      <c r="A425" s="29">
        <v>19532</v>
      </c>
      <c r="B425" s="31" t="s">
        <v>1383</v>
      </c>
      <c r="C425" s="31" t="s">
        <v>106</v>
      </c>
      <c r="D425" s="31" t="s">
        <v>104</v>
      </c>
      <c r="E425" s="31" t="s">
        <v>94</v>
      </c>
      <c r="F425" s="32" t="s">
        <v>129</v>
      </c>
    </row>
    <row r="426" spans="1:6">
      <c r="A426" s="29">
        <v>19533</v>
      </c>
      <c r="B426" s="31" t="s">
        <v>1384</v>
      </c>
      <c r="C426" s="31" t="s">
        <v>106</v>
      </c>
      <c r="D426" s="31" t="s">
        <v>96</v>
      </c>
      <c r="E426" s="31" t="s">
        <v>935</v>
      </c>
      <c r="F426" s="32" t="s">
        <v>139</v>
      </c>
    </row>
    <row r="427" spans="1:6">
      <c r="A427" s="29">
        <v>19548</v>
      </c>
      <c r="B427" s="31" t="s">
        <v>1385</v>
      </c>
      <c r="C427" s="31" t="s">
        <v>106</v>
      </c>
      <c r="D427" s="31" t="s">
        <v>104</v>
      </c>
      <c r="E427" s="31" t="s">
        <v>94</v>
      </c>
      <c r="F427" s="32" t="s">
        <v>178</v>
      </c>
    </row>
    <row r="428" spans="1:6">
      <c r="A428" s="29">
        <v>19001</v>
      </c>
      <c r="B428" s="31" t="s">
        <v>202</v>
      </c>
      <c r="C428" s="31" t="s">
        <v>106</v>
      </c>
      <c r="D428" s="31" t="s">
        <v>104</v>
      </c>
      <c r="E428" s="31" t="s">
        <v>94</v>
      </c>
      <c r="F428" s="32" t="s">
        <v>178</v>
      </c>
    </row>
    <row r="429" spans="1:6">
      <c r="A429" s="29">
        <v>19573</v>
      </c>
      <c r="B429" s="31" t="s">
        <v>1386</v>
      </c>
      <c r="C429" s="31" t="s">
        <v>106</v>
      </c>
      <c r="D429" s="31" t="s">
        <v>104</v>
      </c>
      <c r="E429" s="31" t="s">
        <v>94</v>
      </c>
      <c r="F429" s="32" t="s">
        <v>93</v>
      </c>
    </row>
    <row r="430" spans="1:6">
      <c r="A430" s="29">
        <v>19585</v>
      </c>
      <c r="B430" s="31" t="s">
        <v>1387</v>
      </c>
      <c r="C430" s="31" t="s">
        <v>106</v>
      </c>
      <c r="D430" s="31" t="s">
        <v>104</v>
      </c>
      <c r="E430" s="31" t="s">
        <v>94</v>
      </c>
      <c r="F430" s="32" t="s">
        <v>129</v>
      </c>
    </row>
    <row r="431" spans="1:6">
      <c r="A431" s="29">
        <v>19622</v>
      </c>
      <c r="B431" s="31" t="s">
        <v>1388</v>
      </c>
      <c r="C431" s="31" t="s">
        <v>106</v>
      </c>
      <c r="D431" s="31" t="s">
        <v>104</v>
      </c>
      <c r="E431" s="31" t="s">
        <v>94</v>
      </c>
      <c r="F431" s="32" t="s">
        <v>178</v>
      </c>
    </row>
    <row r="432" spans="1:6">
      <c r="A432" s="29">
        <v>19693</v>
      </c>
      <c r="B432" s="31" t="s">
        <v>1389</v>
      </c>
      <c r="C432" s="31" t="s">
        <v>106</v>
      </c>
      <c r="D432" s="31" t="s">
        <v>104</v>
      </c>
      <c r="E432" s="31" t="s">
        <v>94</v>
      </c>
      <c r="F432" s="32" t="s">
        <v>129</v>
      </c>
    </row>
    <row r="433" spans="1:6">
      <c r="A433" s="29">
        <v>19698</v>
      </c>
      <c r="B433" s="31" t="s">
        <v>107</v>
      </c>
      <c r="C433" s="31" t="s">
        <v>106</v>
      </c>
      <c r="D433" s="31" t="s">
        <v>104</v>
      </c>
      <c r="E433" s="31" t="s">
        <v>94</v>
      </c>
      <c r="F433" s="32" t="s">
        <v>93</v>
      </c>
    </row>
    <row r="434" spans="1:6">
      <c r="A434" s="29">
        <v>19743</v>
      </c>
      <c r="B434" s="31" t="s">
        <v>1390</v>
      </c>
      <c r="C434" s="31" t="s">
        <v>106</v>
      </c>
      <c r="D434" s="31" t="s">
        <v>104</v>
      </c>
      <c r="E434" s="31" t="s">
        <v>94</v>
      </c>
      <c r="F434" s="32" t="s">
        <v>178</v>
      </c>
    </row>
    <row r="435" spans="1:6">
      <c r="A435" s="29">
        <v>19760</v>
      </c>
      <c r="B435" s="31" t="s">
        <v>1391</v>
      </c>
      <c r="C435" s="31" t="s">
        <v>106</v>
      </c>
      <c r="D435" s="31" t="s">
        <v>104</v>
      </c>
      <c r="E435" s="31" t="s">
        <v>94</v>
      </c>
      <c r="F435" s="32" t="s">
        <v>178</v>
      </c>
    </row>
    <row r="436" spans="1:6">
      <c r="A436" s="29">
        <v>19807</v>
      </c>
      <c r="B436" s="31" t="s">
        <v>1392</v>
      </c>
      <c r="C436" s="31" t="s">
        <v>106</v>
      </c>
      <c r="D436" s="31" t="s">
        <v>104</v>
      </c>
      <c r="E436" s="31" t="s">
        <v>94</v>
      </c>
      <c r="F436" s="32" t="s">
        <v>178</v>
      </c>
    </row>
    <row r="437" spans="1:6">
      <c r="A437" s="29">
        <v>19809</v>
      </c>
      <c r="B437" s="31" t="s">
        <v>1393</v>
      </c>
      <c r="C437" s="31" t="s">
        <v>106</v>
      </c>
      <c r="D437" s="31" t="s">
        <v>104</v>
      </c>
      <c r="E437" s="31" t="s">
        <v>140</v>
      </c>
      <c r="F437" s="32" t="s">
        <v>139</v>
      </c>
    </row>
    <row r="438" spans="1:6">
      <c r="A438" s="29">
        <v>19821</v>
      </c>
      <c r="B438" s="31" t="s">
        <v>1394</v>
      </c>
      <c r="C438" s="31" t="s">
        <v>106</v>
      </c>
      <c r="D438" s="31" t="s">
        <v>104</v>
      </c>
      <c r="E438" s="31" t="s">
        <v>94</v>
      </c>
      <c r="F438" s="32" t="s">
        <v>178</v>
      </c>
    </row>
    <row r="439" spans="1:6">
      <c r="A439" s="29">
        <v>19824</v>
      </c>
      <c r="B439" s="31" t="s">
        <v>1395</v>
      </c>
      <c r="C439" s="31" t="s">
        <v>106</v>
      </c>
      <c r="D439" s="31" t="s">
        <v>104</v>
      </c>
      <c r="E439" s="31" t="s">
        <v>94</v>
      </c>
      <c r="F439" s="32" t="s">
        <v>178</v>
      </c>
    </row>
    <row r="440" spans="1:6">
      <c r="A440" s="29">
        <v>19845</v>
      </c>
      <c r="B440" s="31" t="s">
        <v>1396</v>
      </c>
      <c r="C440" s="31" t="s">
        <v>106</v>
      </c>
      <c r="D440" s="31" t="s">
        <v>104</v>
      </c>
      <c r="E440" s="31" t="s">
        <v>94</v>
      </c>
      <c r="F440" s="32" t="s">
        <v>129</v>
      </c>
    </row>
    <row r="441" spans="1:6">
      <c r="A441" s="29">
        <v>20621</v>
      </c>
      <c r="B441" s="30" t="s">
        <v>1397</v>
      </c>
      <c r="C441" s="31" t="s">
        <v>1398</v>
      </c>
      <c r="D441" s="31" t="s">
        <v>649</v>
      </c>
      <c r="E441" s="31" t="s">
        <v>94</v>
      </c>
      <c r="F441" s="32" t="s">
        <v>93</v>
      </c>
    </row>
    <row r="442" spans="1:6">
      <c r="A442" s="29">
        <v>20443</v>
      </c>
      <c r="B442" s="30" t="s">
        <v>1399</v>
      </c>
      <c r="C442" s="31" t="s">
        <v>1398</v>
      </c>
      <c r="D442" s="31" t="s">
        <v>649</v>
      </c>
      <c r="E442" s="31" t="s">
        <v>94</v>
      </c>
      <c r="F442" s="32" t="s">
        <v>93</v>
      </c>
    </row>
    <row r="443" spans="1:6">
      <c r="A443" s="29">
        <v>20770</v>
      </c>
      <c r="B443" s="30" t="s">
        <v>1400</v>
      </c>
      <c r="C443" s="31" t="s">
        <v>1398</v>
      </c>
      <c r="D443" s="31" t="s">
        <v>302</v>
      </c>
      <c r="E443" s="31" t="s">
        <v>94</v>
      </c>
      <c r="F443" s="32" t="s">
        <v>178</v>
      </c>
    </row>
    <row r="444" spans="1:6">
      <c r="A444" s="29">
        <v>20011</v>
      </c>
      <c r="B444" s="31" t="s">
        <v>1401</v>
      </c>
      <c r="C444" s="31" t="s">
        <v>1398</v>
      </c>
      <c r="D444" s="31" t="s">
        <v>649</v>
      </c>
      <c r="E444" s="31" t="s">
        <v>94</v>
      </c>
      <c r="F444" s="32" t="s">
        <v>129</v>
      </c>
    </row>
    <row r="445" spans="1:6">
      <c r="A445" s="29">
        <v>20013</v>
      </c>
      <c r="B445" s="31" t="s">
        <v>1402</v>
      </c>
      <c r="C445" s="31" t="s">
        <v>1398</v>
      </c>
      <c r="D445" s="31" t="s">
        <v>649</v>
      </c>
      <c r="E445" s="31" t="s">
        <v>94</v>
      </c>
      <c r="F445" s="32" t="s">
        <v>93</v>
      </c>
    </row>
    <row r="446" spans="1:6">
      <c r="A446" s="29">
        <v>20032</v>
      </c>
      <c r="B446" s="31" t="s">
        <v>1403</v>
      </c>
      <c r="C446" s="31" t="s">
        <v>1398</v>
      </c>
      <c r="D446" s="31" t="s">
        <v>649</v>
      </c>
      <c r="E446" s="31" t="s">
        <v>94</v>
      </c>
      <c r="F446" s="32" t="s">
        <v>178</v>
      </c>
    </row>
    <row r="447" spans="1:6">
      <c r="A447" s="29">
        <v>20045</v>
      </c>
      <c r="B447" s="31" t="s">
        <v>1404</v>
      </c>
      <c r="C447" s="31" t="s">
        <v>1398</v>
      </c>
      <c r="D447" s="31" t="s">
        <v>649</v>
      </c>
      <c r="E447" s="31" t="s">
        <v>94</v>
      </c>
      <c r="F447" s="32" t="s">
        <v>93</v>
      </c>
    </row>
    <row r="448" spans="1:6">
      <c r="A448" s="29">
        <v>20060</v>
      </c>
      <c r="B448" s="31" t="s">
        <v>1405</v>
      </c>
      <c r="C448" s="31" t="s">
        <v>1398</v>
      </c>
      <c r="D448" s="31" t="s">
        <v>649</v>
      </c>
      <c r="E448" s="31" t="s">
        <v>94</v>
      </c>
      <c r="F448" s="32" t="s">
        <v>93</v>
      </c>
    </row>
    <row r="449" spans="1:6">
      <c r="A449" s="29">
        <v>20175</v>
      </c>
      <c r="B449" s="31" t="s">
        <v>1406</v>
      </c>
      <c r="C449" s="31" t="s">
        <v>1398</v>
      </c>
      <c r="D449" s="31" t="s">
        <v>649</v>
      </c>
      <c r="E449" s="31" t="s">
        <v>94</v>
      </c>
      <c r="F449" s="32" t="s">
        <v>129</v>
      </c>
    </row>
    <row r="450" spans="1:6">
      <c r="A450" s="29">
        <v>20178</v>
      </c>
      <c r="B450" s="31" t="s">
        <v>1407</v>
      </c>
      <c r="C450" s="31" t="s">
        <v>1398</v>
      </c>
      <c r="D450" s="31" t="s">
        <v>649</v>
      </c>
      <c r="E450" s="31" t="s">
        <v>94</v>
      </c>
      <c r="F450" s="32" t="s">
        <v>178</v>
      </c>
    </row>
    <row r="451" spans="1:6">
      <c r="A451" s="29">
        <v>20228</v>
      </c>
      <c r="B451" s="31" t="s">
        <v>1408</v>
      </c>
      <c r="C451" s="31" t="s">
        <v>1398</v>
      </c>
      <c r="D451" s="31" t="s">
        <v>649</v>
      </c>
      <c r="E451" s="31" t="s">
        <v>94</v>
      </c>
      <c r="F451" s="32" t="s">
        <v>178</v>
      </c>
    </row>
    <row r="452" spans="1:6">
      <c r="A452" s="29">
        <v>20238</v>
      </c>
      <c r="B452" s="31" t="s">
        <v>1409</v>
      </c>
      <c r="C452" s="31" t="s">
        <v>1398</v>
      </c>
      <c r="D452" s="31" t="s">
        <v>649</v>
      </c>
      <c r="E452" s="31" t="s">
        <v>94</v>
      </c>
      <c r="F452" s="32" t="s">
        <v>93</v>
      </c>
    </row>
    <row r="453" spans="1:6">
      <c r="A453" s="29">
        <v>20250</v>
      </c>
      <c r="B453" s="31" t="s">
        <v>1410</v>
      </c>
      <c r="C453" s="31" t="s">
        <v>1398</v>
      </c>
      <c r="D453" s="31" t="s">
        <v>649</v>
      </c>
      <c r="E453" s="31" t="s">
        <v>94</v>
      </c>
      <c r="F453" s="32" t="s">
        <v>178</v>
      </c>
    </row>
    <row r="454" spans="1:6">
      <c r="A454" s="29">
        <v>20295</v>
      </c>
      <c r="B454" s="31" t="s">
        <v>1411</v>
      </c>
      <c r="C454" s="31" t="s">
        <v>1398</v>
      </c>
      <c r="D454" s="31" t="s">
        <v>649</v>
      </c>
      <c r="E454" s="31" t="s">
        <v>94</v>
      </c>
      <c r="F454" s="32" t="s">
        <v>129</v>
      </c>
    </row>
    <row r="455" spans="1:6">
      <c r="A455" s="29">
        <v>20310</v>
      </c>
      <c r="B455" s="31" t="s">
        <v>1412</v>
      </c>
      <c r="C455" s="31" t="s">
        <v>1398</v>
      </c>
      <c r="D455" s="31" t="s">
        <v>649</v>
      </c>
      <c r="E455" s="31" t="s">
        <v>94</v>
      </c>
      <c r="F455" s="32" t="s">
        <v>129</v>
      </c>
    </row>
    <row r="456" spans="1:6">
      <c r="A456" s="29">
        <v>20383</v>
      </c>
      <c r="B456" s="31" t="s">
        <v>1413</v>
      </c>
      <c r="C456" s="31" t="s">
        <v>1398</v>
      </c>
      <c r="D456" s="31" t="s">
        <v>649</v>
      </c>
      <c r="E456" s="31" t="s">
        <v>94</v>
      </c>
      <c r="F456" s="32" t="s">
        <v>129</v>
      </c>
    </row>
    <row r="457" spans="1:6">
      <c r="A457" s="29">
        <v>20400</v>
      </c>
      <c r="B457" s="31" t="s">
        <v>1414</v>
      </c>
      <c r="C457" s="31" t="s">
        <v>1398</v>
      </c>
      <c r="D457" s="31" t="s">
        <v>649</v>
      </c>
      <c r="E457" s="31" t="s">
        <v>94</v>
      </c>
      <c r="F457" s="32" t="s">
        <v>178</v>
      </c>
    </row>
    <row r="458" spans="1:6">
      <c r="A458" s="29">
        <v>20517</v>
      </c>
      <c r="B458" s="31" t="s">
        <v>1415</v>
      </c>
      <c r="C458" s="31" t="s">
        <v>1398</v>
      </c>
      <c r="D458" s="31" t="s">
        <v>649</v>
      </c>
      <c r="E458" s="31" t="s">
        <v>94</v>
      </c>
      <c r="F458" s="32" t="s">
        <v>129</v>
      </c>
    </row>
    <row r="459" spans="1:6">
      <c r="A459" s="29">
        <v>20550</v>
      </c>
      <c r="B459" s="31" t="s">
        <v>1416</v>
      </c>
      <c r="C459" s="31" t="s">
        <v>1398</v>
      </c>
      <c r="D459" s="31" t="s">
        <v>649</v>
      </c>
      <c r="E459" s="31" t="s">
        <v>94</v>
      </c>
      <c r="F459" s="32" t="s">
        <v>129</v>
      </c>
    </row>
    <row r="460" spans="1:6">
      <c r="A460" s="29">
        <v>20570</v>
      </c>
      <c r="B460" s="31" t="s">
        <v>1417</v>
      </c>
      <c r="C460" s="31" t="s">
        <v>1398</v>
      </c>
      <c r="D460" s="31" t="s">
        <v>649</v>
      </c>
      <c r="E460" s="31" t="s">
        <v>94</v>
      </c>
      <c r="F460" s="32" t="s">
        <v>178</v>
      </c>
    </row>
    <row r="461" spans="1:6">
      <c r="A461" s="29">
        <v>20614</v>
      </c>
      <c r="B461" s="31" t="s">
        <v>1418</v>
      </c>
      <c r="C461" s="31" t="s">
        <v>1398</v>
      </c>
      <c r="D461" s="31" t="s">
        <v>649</v>
      </c>
      <c r="E461" s="31" t="s">
        <v>94</v>
      </c>
      <c r="F461" s="32" t="s">
        <v>129</v>
      </c>
    </row>
    <row r="462" spans="1:6">
      <c r="A462" s="29">
        <v>20710</v>
      </c>
      <c r="B462" s="31" t="s">
        <v>1419</v>
      </c>
      <c r="C462" s="31" t="s">
        <v>1398</v>
      </c>
      <c r="D462" s="31" t="s">
        <v>302</v>
      </c>
      <c r="E462" s="31" t="s">
        <v>94</v>
      </c>
      <c r="F462" s="32" t="s">
        <v>178</v>
      </c>
    </row>
    <row r="463" spans="1:6">
      <c r="A463" s="29">
        <v>20750</v>
      </c>
      <c r="B463" s="31" t="s">
        <v>1420</v>
      </c>
      <c r="C463" s="31" t="s">
        <v>1398</v>
      </c>
      <c r="D463" s="31" t="s">
        <v>649</v>
      </c>
      <c r="E463" s="31" t="s">
        <v>94</v>
      </c>
      <c r="F463" s="32" t="s">
        <v>93</v>
      </c>
    </row>
    <row r="464" spans="1:6">
      <c r="A464" s="29">
        <v>20787</v>
      </c>
      <c r="B464" s="31" t="s">
        <v>1421</v>
      </c>
      <c r="C464" s="31" t="s">
        <v>1398</v>
      </c>
      <c r="D464" s="31" t="s">
        <v>649</v>
      </c>
      <c r="E464" s="31" t="s">
        <v>94</v>
      </c>
      <c r="F464" s="32" t="s">
        <v>129</v>
      </c>
    </row>
    <row r="465" spans="1:6">
      <c r="A465" s="29">
        <v>20001</v>
      </c>
      <c r="B465" s="31" t="s">
        <v>649</v>
      </c>
      <c r="C465" s="31" t="s">
        <v>1398</v>
      </c>
      <c r="D465" s="31" t="s">
        <v>649</v>
      </c>
      <c r="E465" s="31" t="s">
        <v>94</v>
      </c>
      <c r="F465" s="32" t="s">
        <v>102</v>
      </c>
    </row>
    <row r="466" spans="1:6">
      <c r="A466" s="29">
        <v>27615</v>
      </c>
      <c r="B466" s="30" t="s">
        <v>1311</v>
      </c>
      <c r="C466" s="31" t="s">
        <v>512</v>
      </c>
      <c r="D466" s="31" t="s">
        <v>664</v>
      </c>
      <c r="E466" s="31" t="s">
        <v>935</v>
      </c>
      <c r="F466" s="32" t="s">
        <v>139</v>
      </c>
    </row>
    <row r="467" spans="1:6">
      <c r="A467" s="29">
        <v>27006</v>
      </c>
      <c r="B467" s="31" t="s">
        <v>1422</v>
      </c>
      <c r="C467" s="31" t="s">
        <v>512</v>
      </c>
      <c r="D467" s="31" t="s">
        <v>664</v>
      </c>
      <c r="E467" s="31" t="s">
        <v>140</v>
      </c>
      <c r="F467" s="32" t="s">
        <v>139</v>
      </c>
    </row>
    <row r="468" spans="1:6">
      <c r="A468" s="29">
        <v>27025</v>
      </c>
      <c r="B468" s="31" t="s">
        <v>1423</v>
      </c>
      <c r="C468" s="31" t="s">
        <v>512</v>
      </c>
      <c r="D468" s="31" t="s">
        <v>159</v>
      </c>
      <c r="E468" s="31" t="s">
        <v>140</v>
      </c>
      <c r="F468" s="32" t="s">
        <v>139</v>
      </c>
    </row>
    <row r="469" spans="1:6">
      <c r="A469" s="29">
        <v>27050</v>
      </c>
      <c r="B469" s="31" t="s">
        <v>1424</v>
      </c>
      <c r="C469" s="31" t="s">
        <v>512</v>
      </c>
      <c r="D469" s="31" t="s">
        <v>664</v>
      </c>
      <c r="E469" s="31" t="s">
        <v>1346</v>
      </c>
      <c r="F469" s="32" t="s">
        <v>139</v>
      </c>
    </row>
    <row r="470" spans="1:6">
      <c r="A470" s="29">
        <v>27073</v>
      </c>
      <c r="B470" s="31" t="s">
        <v>1425</v>
      </c>
      <c r="C470" s="31" t="s">
        <v>512</v>
      </c>
      <c r="D470" s="31" t="s">
        <v>159</v>
      </c>
      <c r="E470" s="31" t="s">
        <v>140</v>
      </c>
      <c r="F470" s="32" t="s">
        <v>139</v>
      </c>
    </row>
    <row r="471" spans="1:6">
      <c r="A471" s="29">
        <v>27075</v>
      </c>
      <c r="B471" s="31" t="s">
        <v>1426</v>
      </c>
      <c r="C471" s="31" t="s">
        <v>512</v>
      </c>
      <c r="D471" s="31" t="s">
        <v>159</v>
      </c>
      <c r="E471" s="31" t="s">
        <v>140</v>
      </c>
      <c r="F471" s="32" t="s">
        <v>139</v>
      </c>
    </row>
    <row r="472" spans="1:6">
      <c r="A472" s="29">
        <v>27077</v>
      </c>
      <c r="B472" s="31" t="s">
        <v>1427</v>
      </c>
      <c r="C472" s="31" t="s">
        <v>512</v>
      </c>
      <c r="D472" s="31" t="s">
        <v>664</v>
      </c>
      <c r="E472" s="31" t="s">
        <v>140</v>
      </c>
      <c r="F472" s="32" t="s">
        <v>139</v>
      </c>
    </row>
    <row r="473" spans="1:6">
      <c r="A473" s="29">
        <v>27086</v>
      </c>
      <c r="B473" s="31" t="s">
        <v>1428</v>
      </c>
      <c r="C473" s="31" t="s">
        <v>512</v>
      </c>
      <c r="D473" s="31" t="s">
        <v>664</v>
      </c>
      <c r="E473" s="31" t="s">
        <v>94</v>
      </c>
      <c r="F473" s="32" t="s">
        <v>129</v>
      </c>
    </row>
    <row r="474" spans="1:6">
      <c r="A474" s="29">
        <v>27099</v>
      </c>
      <c r="B474" s="31" t="s">
        <v>1429</v>
      </c>
      <c r="C474" s="31" t="s">
        <v>512</v>
      </c>
      <c r="D474" s="31" t="s">
        <v>159</v>
      </c>
      <c r="E474" s="31" t="s">
        <v>140</v>
      </c>
      <c r="F474" s="32" t="s">
        <v>139</v>
      </c>
    </row>
    <row r="475" spans="1:6">
      <c r="A475" s="29">
        <v>27150</v>
      </c>
      <c r="B475" s="31" t="s">
        <v>1430</v>
      </c>
      <c r="C475" s="31" t="s">
        <v>512</v>
      </c>
      <c r="D475" s="31" t="s">
        <v>664</v>
      </c>
      <c r="E475" s="31" t="s">
        <v>94</v>
      </c>
      <c r="F475" s="32" t="s">
        <v>129</v>
      </c>
    </row>
    <row r="476" spans="1:6">
      <c r="A476" s="29">
        <v>27160</v>
      </c>
      <c r="B476" s="31" t="s">
        <v>1431</v>
      </c>
      <c r="C476" s="31" t="s">
        <v>512</v>
      </c>
      <c r="D476" s="31" t="s">
        <v>664</v>
      </c>
      <c r="E476" s="31" t="s">
        <v>94</v>
      </c>
      <c r="F476" s="32" t="s">
        <v>129</v>
      </c>
    </row>
    <row r="477" spans="1:6">
      <c r="A477" s="29">
        <v>27205</v>
      </c>
      <c r="B477" s="31" t="s">
        <v>1432</v>
      </c>
      <c r="C477" s="31" t="s">
        <v>512</v>
      </c>
      <c r="D477" s="31" t="s">
        <v>159</v>
      </c>
      <c r="E477" s="31" t="s">
        <v>140</v>
      </c>
      <c r="F477" s="32" t="s">
        <v>139</v>
      </c>
    </row>
    <row r="478" spans="1:6">
      <c r="A478" s="29">
        <v>27135</v>
      </c>
      <c r="B478" s="31" t="s">
        <v>1433</v>
      </c>
      <c r="C478" s="31" t="s">
        <v>512</v>
      </c>
      <c r="D478" s="31" t="s">
        <v>664</v>
      </c>
      <c r="E478" s="31" t="s">
        <v>94</v>
      </c>
      <c r="F478" s="32" t="s">
        <v>129</v>
      </c>
    </row>
    <row r="479" spans="1:6">
      <c r="A479" s="29">
        <v>27245</v>
      </c>
      <c r="B479" s="31" t="s">
        <v>1434</v>
      </c>
      <c r="C479" s="31" t="s">
        <v>512</v>
      </c>
      <c r="D479" s="31" t="s">
        <v>159</v>
      </c>
      <c r="E479" s="31" t="s">
        <v>94</v>
      </c>
      <c r="F479" s="32" t="s">
        <v>129</v>
      </c>
    </row>
    <row r="480" spans="1:6">
      <c r="A480" s="29">
        <v>27250</v>
      </c>
      <c r="B480" s="31" t="s">
        <v>1435</v>
      </c>
      <c r="C480" s="31" t="s">
        <v>512</v>
      </c>
      <c r="D480" s="31" t="s">
        <v>104</v>
      </c>
      <c r="E480" s="31" t="s">
        <v>1436</v>
      </c>
      <c r="F480" s="32" t="s">
        <v>139</v>
      </c>
    </row>
    <row r="481" spans="1:6">
      <c r="A481" s="29">
        <v>27361</v>
      </c>
      <c r="B481" s="31" t="s">
        <v>942</v>
      </c>
      <c r="C481" s="31" t="s">
        <v>512</v>
      </c>
      <c r="D481" s="31" t="s">
        <v>159</v>
      </c>
      <c r="E481" s="31" t="s">
        <v>140</v>
      </c>
      <c r="F481" s="32" t="s">
        <v>139</v>
      </c>
    </row>
    <row r="482" spans="1:6">
      <c r="A482" s="29">
        <v>27372</v>
      </c>
      <c r="B482" s="31" t="s">
        <v>1437</v>
      </c>
      <c r="C482" s="31" t="s">
        <v>512</v>
      </c>
      <c r="D482" s="31" t="s">
        <v>664</v>
      </c>
      <c r="E482" s="31" t="s">
        <v>856</v>
      </c>
      <c r="F482" s="32" t="s">
        <v>139</v>
      </c>
    </row>
    <row r="483" spans="1:6">
      <c r="A483" s="29">
        <v>27413</v>
      </c>
      <c r="B483" s="31" t="s">
        <v>1438</v>
      </c>
      <c r="C483" s="31" t="s">
        <v>512</v>
      </c>
      <c r="D483" s="31" t="s">
        <v>664</v>
      </c>
      <c r="E483" s="31" t="s">
        <v>94</v>
      </c>
      <c r="F483" s="32" t="s">
        <v>129</v>
      </c>
    </row>
    <row r="484" spans="1:6">
      <c r="A484" s="29">
        <v>27425</v>
      </c>
      <c r="B484" s="31" t="s">
        <v>1439</v>
      </c>
      <c r="C484" s="31" t="s">
        <v>512</v>
      </c>
      <c r="D484" s="31" t="s">
        <v>664</v>
      </c>
      <c r="E484" s="31" t="s">
        <v>94</v>
      </c>
      <c r="F484" s="32" t="s">
        <v>129</v>
      </c>
    </row>
    <row r="485" spans="1:6">
      <c r="A485" s="29">
        <v>27430</v>
      </c>
      <c r="B485" s="31" t="s">
        <v>1440</v>
      </c>
      <c r="C485" s="31" t="s">
        <v>512</v>
      </c>
      <c r="D485" s="31" t="s">
        <v>664</v>
      </c>
      <c r="E485" s="31" t="s">
        <v>94</v>
      </c>
      <c r="F485" s="32" t="s">
        <v>129</v>
      </c>
    </row>
    <row r="486" spans="1:6">
      <c r="A486" s="29">
        <v>27450</v>
      </c>
      <c r="B486" s="31" t="s">
        <v>1441</v>
      </c>
      <c r="C486" s="31" t="s">
        <v>512</v>
      </c>
      <c r="D486" s="31" t="s">
        <v>664</v>
      </c>
      <c r="E486" s="31" t="s">
        <v>94</v>
      </c>
      <c r="F486" s="32" t="s">
        <v>129</v>
      </c>
    </row>
    <row r="487" spans="1:6">
      <c r="A487" s="29">
        <v>27491</v>
      </c>
      <c r="B487" s="31" t="s">
        <v>1442</v>
      </c>
      <c r="C487" s="31" t="s">
        <v>512</v>
      </c>
      <c r="D487" s="31" t="s">
        <v>159</v>
      </c>
      <c r="E487" s="31" t="s">
        <v>140</v>
      </c>
      <c r="F487" s="32" t="s">
        <v>139</v>
      </c>
    </row>
    <row r="488" spans="1:6">
      <c r="A488" s="29">
        <v>27495</v>
      </c>
      <c r="B488" s="31" t="s">
        <v>1443</v>
      </c>
      <c r="C488" s="31" t="s">
        <v>512</v>
      </c>
      <c r="D488" s="31" t="s">
        <v>159</v>
      </c>
      <c r="E488" s="31" t="s">
        <v>140</v>
      </c>
      <c r="F488" s="32" t="s">
        <v>139</v>
      </c>
    </row>
    <row r="489" spans="1:6">
      <c r="A489" s="29">
        <v>27001</v>
      </c>
      <c r="B489" s="31" t="s">
        <v>513</v>
      </c>
      <c r="C489" s="31" t="s">
        <v>512</v>
      </c>
      <c r="D489" s="31" t="s">
        <v>159</v>
      </c>
      <c r="E489" s="31" t="s">
        <v>140</v>
      </c>
      <c r="F489" s="32" t="s">
        <v>139</v>
      </c>
    </row>
    <row r="490" spans="1:6">
      <c r="A490" s="29">
        <v>27580</v>
      </c>
      <c r="B490" s="31" t="s">
        <v>1444</v>
      </c>
      <c r="C490" s="31" t="s">
        <v>512</v>
      </c>
      <c r="D490" s="31" t="s">
        <v>664</v>
      </c>
      <c r="E490" s="31" t="s">
        <v>94</v>
      </c>
      <c r="F490" s="32" t="s">
        <v>129</v>
      </c>
    </row>
    <row r="491" spans="1:6">
      <c r="A491" s="29">
        <v>27600</v>
      </c>
      <c r="B491" s="31" t="s">
        <v>1445</v>
      </c>
      <c r="C491" s="31" t="s">
        <v>512</v>
      </c>
      <c r="D491" s="31" t="s">
        <v>159</v>
      </c>
      <c r="E491" s="31" t="s">
        <v>140</v>
      </c>
      <c r="F491" s="32" t="s">
        <v>139</v>
      </c>
    </row>
    <row r="492" spans="1:6">
      <c r="A492" s="29">
        <v>27660</v>
      </c>
      <c r="B492" s="31" t="s">
        <v>1446</v>
      </c>
      <c r="C492" s="31" t="s">
        <v>512</v>
      </c>
      <c r="D492" s="31" t="s">
        <v>142</v>
      </c>
      <c r="E492" s="31" t="s">
        <v>94</v>
      </c>
      <c r="F492" s="32" t="s">
        <v>129</v>
      </c>
    </row>
    <row r="493" spans="1:6">
      <c r="A493" s="29">
        <v>27745</v>
      </c>
      <c r="B493" s="31" t="s">
        <v>1447</v>
      </c>
      <c r="C493" s="31" t="s">
        <v>512</v>
      </c>
      <c r="D493" s="31" t="s">
        <v>159</v>
      </c>
      <c r="E493" s="31" t="s">
        <v>140</v>
      </c>
      <c r="F493" s="32" t="s">
        <v>139</v>
      </c>
    </row>
    <row r="494" spans="1:6">
      <c r="A494" s="29">
        <v>27787</v>
      </c>
      <c r="B494" s="31" t="s">
        <v>1448</v>
      </c>
      <c r="C494" s="31" t="s">
        <v>512</v>
      </c>
      <c r="D494" s="31" t="s">
        <v>159</v>
      </c>
      <c r="E494" s="31" t="s">
        <v>140</v>
      </c>
      <c r="F494" s="32" t="s">
        <v>139</v>
      </c>
    </row>
    <row r="495" spans="1:6">
      <c r="A495" s="29">
        <v>27800</v>
      </c>
      <c r="B495" s="31" t="s">
        <v>1449</v>
      </c>
      <c r="C495" s="31" t="s">
        <v>512</v>
      </c>
      <c r="D495" s="31" t="s">
        <v>664</v>
      </c>
      <c r="E495" s="31" t="s">
        <v>856</v>
      </c>
      <c r="F495" s="32" t="s">
        <v>139</v>
      </c>
    </row>
    <row r="496" spans="1:6">
      <c r="A496" s="29">
        <v>27810</v>
      </c>
      <c r="B496" s="31" t="s">
        <v>1450</v>
      </c>
      <c r="C496" s="31" t="s">
        <v>512</v>
      </c>
      <c r="D496" s="31" t="s">
        <v>664</v>
      </c>
      <c r="E496" s="31" t="s">
        <v>94</v>
      </c>
      <c r="F496" s="32" t="s">
        <v>129</v>
      </c>
    </row>
    <row r="497" spans="1:6">
      <c r="A497" s="29">
        <v>23079</v>
      </c>
      <c r="B497" s="30" t="s">
        <v>339</v>
      </c>
      <c r="C497" s="31" t="s">
        <v>115</v>
      </c>
      <c r="D497" s="31" t="s">
        <v>113</v>
      </c>
      <c r="E497" s="31" t="s">
        <v>94</v>
      </c>
      <c r="F497" s="32" t="s">
        <v>93</v>
      </c>
    </row>
    <row r="498" spans="1:6">
      <c r="A498" s="29">
        <v>23168</v>
      </c>
      <c r="B498" s="30" t="s">
        <v>1451</v>
      </c>
      <c r="C498" s="31" t="s">
        <v>115</v>
      </c>
      <c r="D498" s="31" t="s">
        <v>113</v>
      </c>
      <c r="E498" s="31" t="s">
        <v>94</v>
      </c>
      <c r="F498" s="32" t="s">
        <v>178</v>
      </c>
    </row>
    <row r="499" spans="1:6">
      <c r="A499" s="29">
        <v>23678</v>
      </c>
      <c r="B499" s="30" t="s">
        <v>1028</v>
      </c>
      <c r="C499" s="31" t="s">
        <v>115</v>
      </c>
      <c r="D499" s="31" t="s">
        <v>113</v>
      </c>
      <c r="E499" s="31" t="s">
        <v>94</v>
      </c>
      <c r="F499" s="32" t="s">
        <v>93</v>
      </c>
    </row>
    <row r="500" spans="1:6">
      <c r="A500" s="29">
        <v>23068</v>
      </c>
      <c r="B500" s="31" t="s">
        <v>1452</v>
      </c>
      <c r="C500" s="31" t="s">
        <v>115</v>
      </c>
      <c r="D500" s="31" t="s">
        <v>113</v>
      </c>
      <c r="E500" s="31" t="s">
        <v>94</v>
      </c>
      <c r="F500" s="32" t="s">
        <v>178</v>
      </c>
    </row>
    <row r="501" spans="1:6">
      <c r="A501" s="29">
        <v>23090</v>
      </c>
      <c r="B501" s="31" t="s">
        <v>1453</v>
      </c>
      <c r="C501" s="31" t="s">
        <v>115</v>
      </c>
      <c r="D501" s="31" t="s">
        <v>113</v>
      </c>
      <c r="E501" s="31" t="s">
        <v>94</v>
      </c>
      <c r="F501" s="32" t="s">
        <v>93</v>
      </c>
    </row>
    <row r="502" spans="1:6">
      <c r="A502" s="29">
        <v>23162</v>
      </c>
      <c r="B502" s="31" t="s">
        <v>547</v>
      </c>
      <c r="C502" s="31" t="s">
        <v>115</v>
      </c>
      <c r="D502" s="31" t="s">
        <v>113</v>
      </c>
      <c r="E502" s="31" t="s">
        <v>94</v>
      </c>
      <c r="F502" s="32" t="s">
        <v>102</v>
      </c>
    </row>
    <row r="503" spans="1:6">
      <c r="A503" s="29">
        <v>23182</v>
      </c>
      <c r="B503" s="31" t="s">
        <v>1454</v>
      </c>
      <c r="C503" s="31" t="s">
        <v>115</v>
      </c>
      <c r="D503" s="31" t="s">
        <v>113</v>
      </c>
      <c r="E503" s="31" t="s">
        <v>94</v>
      </c>
      <c r="F503" s="32" t="s">
        <v>93</v>
      </c>
    </row>
    <row r="504" spans="1:6">
      <c r="A504" s="29">
        <v>23189</v>
      </c>
      <c r="B504" s="31" t="s">
        <v>1455</v>
      </c>
      <c r="C504" s="31" t="s">
        <v>115</v>
      </c>
      <c r="D504" s="31" t="s">
        <v>113</v>
      </c>
      <c r="E504" s="31" t="s">
        <v>94</v>
      </c>
      <c r="F504" s="32" t="s">
        <v>93</v>
      </c>
    </row>
    <row r="505" spans="1:6">
      <c r="A505" s="29">
        <v>23300</v>
      </c>
      <c r="B505" s="31" t="s">
        <v>1456</v>
      </c>
      <c r="C505" s="31" t="s">
        <v>115</v>
      </c>
      <c r="D505" s="31" t="s">
        <v>113</v>
      </c>
      <c r="E505" s="31" t="s">
        <v>94</v>
      </c>
      <c r="F505" s="32" t="s">
        <v>93</v>
      </c>
    </row>
    <row r="506" spans="1:6">
      <c r="A506" s="29">
        <v>23350</v>
      </c>
      <c r="B506" s="31" t="s">
        <v>1457</v>
      </c>
      <c r="C506" s="31" t="s">
        <v>115</v>
      </c>
      <c r="D506" s="31" t="s">
        <v>113</v>
      </c>
      <c r="E506" s="31" t="s">
        <v>94</v>
      </c>
      <c r="F506" s="32" t="s">
        <v>93</v>
      </c>
    </row>
    <row r="507" spans="1:6">
      <c r="A507" s="29">
        <v>23417</v>
      </c>
      <c r="B507" s="31" t="s">
        <v>153</v>
      </c>
      <c r="C507" s="31" t="s">
        <v>115</v>
      </c>
      <c r="D507" s="31" t="s">
        <v>113</v>
      </c>
      <c r="E507" s="31" t="s">
        <v>94</v>
      </c>
      <c r="F507" s="32" t="s">
        <v>93</v>
      </c>
    </row>
    <row r="508" spans="1:6">
      <c r="A508" s="29">
        <v>23419</v>
      </c>
      <c r="B508" s="31" t="s">
        <v>1458</v>
      </c>
      <c r="C508" s="31" t="s">
        <v>115</v>
      </c>
      <c r="D508" s="31" t="s">
        <v>113</v>
      </c>
      <c r="E508" s="31" t="s">
        <v>94</v>
      </c>
      <c r="F508" s="32" t="s">
        <v>93</v>
      </c>
    </row>
    <row r="509" spans="1:6">
      <c r="A509" s="29">
        <v>23464</v>
      </c>
      <c r="B509" s="31" t="s">
        <v>1459</v>
      </c>
      <c r="C509" s="31" t="s">
        <v>115</v>
      </c>
      <c r="D509" s="31" t="s">
        <v>113</v>
      </c>
      <c r="E509" s="31" t="s">
        <v>94</v>
      </c>
      <c r="F509" s="32" t="s">
        <v>93</v>
      </c>
    </row>
    <row r="510" spans="1:6">
      <c r="A510" s="29">
        <v>23466</v>
      </c>
      <c r="B510" s="31" t="s">
        <v>1460</v>
      </c>
      <c r="C510" s="31" t="s">
        <v>115</v>
      </c>
      <c r="D510" s="31" t="s">
        <v>113</v>
      </c>
      <c r="E510" s="31" t="s">
        <v>94</v>
      </c>
      <c r="F510" s="32" t="s">
        <v>129</v>
      </c>
    </row>
    <row r="511" spans="1:6">
      <c r="A511" s="29">
        <v>23001</v>
      </c>
      <c r="B511" s="31" t="s">
        <v>113</v>
      </c>
      <c r="C511" s="31" t="s">
        <v>115</v>
      </c>
      <c r="D511" s="31" t="s">
        <v>113</v>
      </c>
      <c r="E511" s="31" t="s">
        <v>94</v>
      </c>
      <c r="F511" s="32" t="s">
        <v>102</v>
      </c>
    </row>
    <row r="512" spans="1:6">
      <c r="A512" s="29">
        <v>23500</v>
      </c>
      <c r="B512" s="31" t="s">
        <v>1461</v>
      </c>
      <c r="C512" s="31" t="s">
        <v>115</v>
      </c>
      <c r="D512" s="31" t="s">
        <v>113</v>
      </c>
      <c r="E512" s="31" t="s">
        <v>94</v>
      </c>
      <c r="F512" s="32" t="s">
        <v>178</v>
      </c>
    </row>
    <row r="513" spans="1:6">
      <c r="A513" s="29">
        <v>23555</v>
      </c>
      <c r="B513" s="31" t="s">
        <v>960</v>
      </c>
      <c r="C513" s="31" t="s">
        <v>115</v>
      </c>
      <c r="D513" s="31" t="s">
        <v>113</v>
      </c>
      <c r="E513" s="31" t="s">
        <v>94</v>
      </c>
      <c r="F513" s="32" t="s">
        <v>93</v>
      </c>
    </row>
    <row r="514" spans="1:6">
      <c r="A514" s="29">
        <v>23570</v>
      </c>
      <c r="B514" s="31" t="s">
        <v>1462</v>
      </c>
      <c r="C514" s="31" t="s">
        <v>115</v>
      </c>
      <c r="D514" s="31" t="s">
        <v>113</v>
      </c>
      <c r="E514" s="31" t="s">
        <v>94</v>
      </c>
      <c r="F514" s="32" t="s">
        <v>93</v>
      </c>
    </row>
    <row r="515" spans="1:6">
      <c r="A515" s="29">
        <v>23574</v>
      </c>
      <c r="B515" s="31" t="s">
        <v>1463</v>
      </c>
      <c r="C515" s="31" t="s">
        <v>115</v>
      </c>
      <c r="D515" s="31" t="s">
        <v>113</v>
      </c>
      <c r="E515" s="31" t="s">
        <v>94</v>
      </c>
      <c r="F515" s="32" t="s">
        <v>178</v>
      </c>
    </row>
    <row r="516" spans="1:6">
      <c r="A516" s="29">
        <v>23580</v>
      </c>
      <c r="B516" s="31" t="s">
        <v>1464</v>
      </c>
      <c r="C516" s="31" t="s">
        <v>115</v>
      </c>
      <c r="D516" s="31" t="s">
        <v>113</v>
      </c>
      <c r="E516" s="31" t="s">
        <v>94</v>
      </c>
      <c r="F516" s="32" t="s">
        <v>129</v>
      </c>
    </row>
    <row r="517" spans="1:6">
      <c r="A517" s="29">
        <v>23586</v>
      </c>
      <c r="B517" s="31" t="s">
        <v>1465</v>
      </c>
      <c r="C517" s="31" t="s">
        <v>115</v>
      </c>
      <c r="D517" s="31" t="s">
        <v>113</v>
      </c>
      <c r="E517" s="31" t="s">
        <v>94</v>
      </c>
      <c r="F517" s="32" t="s">
        <v>93</v>
      </c>
    </row>
    <row r="518" spans="1:6">
      <c r="A518" s="29">
        <v>23660</v>
      </c>
      <c r="B518" s="31" t="s">
        <v>1466</v>
      </c>
      <c r="C518" s="31" t="s">
        <v>115</v>
      </c>
      <c r="D518" s="31" t="s">
        <v>113</v>
      </c>
      <c r="E518" s="31" t="s">
        <v>94</v>
      </c>
      <c r="F518" s="32" t="s">
        <v>93</v>
      </c>
    </row>
    <row r="519" spans="1:6">
      <c r="A519" s="29">
        <v>23670</v>
      </c>
      <c r="B519" s="31" t="s">
        <v>1467</v>
      </c>
      <c r="C519" s="31" t="s">
        <v>115</v>
      </c>
      <c r="D519" s="31" t="s">
        <v>113</v>
      </c>
      <c r="E519" s="31" t="s">
        <v>94</v>
      </c>
      <c r="F519" s="32" t="s">
        <v>93</v>
      </c>
    </row>
    <row r="520" spans="1:6">
      <c r="A520" s="29">
        <v>23672</v>
      </c>
      <c r="B520" s="31" t="s">
        <v>1468</v>
      </c>
      <c r="C520" s="31" t="s">
        <v>115</v>
      </c>
      <c r="D520" s="31" t="s">
        <v>113</v>
      </c>
      <c r="E520" s="31" t="s">
        <v>94</v>
      </c>
      <c r="F520" s="32" t="s">
        <v>93</v>
      </c>
    </row>
    <row r="521" spans="1:6">
      <c r="A521" s="29">
        <v>23675</v>
      </c>
      <c r="B521" s="31" t="s">
        <v>1469</v>
      </c>
      <c r="C521" s="31" t="s">
        <v>115</v>
      </c>
      <c r="D521" s="31" t="s">
        <v>113</v>
      </c>
      <c r="E521" s="31" t="s">
        <v>94</v>
      </c>
      <c r="F521" s="32" t="s">
        <v>93</v>
      </c>
    </row>
    <row r="522" spans="1:6">
      <c r="A522" s="29">
        <v>23686</v>
      </c>
      <c r="B522" s="31" t="s">
        <v>1470</v>
      </c>
      <c r="C522" s="31" t="s">
        <v>115</v>
      </c>
      <c r="D522" s="31" t="s">
        <v>113</v>
      </c>
      <c r="E522" s="31" t="s">
        <v>94</v>
      </c>
      <c r="F522" s="32" t="s">
        <v>93</v>
      </c>
    </row>
    <row r="523" spans="1:6">
      <c r="A523" s="29">
        <v>23807</v>
      </c>
      <c r="B523" s="31" t="s">
        <v>1471</v>
      </c>
      <c r="C523" s="31" t="s">
        <v>115</v>
      </c>
      <c r="D523" s="31" t="s">
        <v>113</v>
      </c>
      <c r="E523" s="31" t="s">
        <v>94</v>
      </c>
      <c r="F523" s="32" t="s">
        <v>178</v>
      </c>
    </row>
    <row r="524" spans="1:6">
      <c r="A524" s="29">
        <v>23855</v>
      </c>
      <c r="B524" s="31" t="s">
        <v>1472</v>
      </c>
      <c r="C524" s="31" t="s">
        <v>115</v>
      </c>
      <c r="D524" s="31" t="s">
        <v>113</v>
      </c>
      <c r="E524" s="31" t="s">
        <v>94</v>
      </c>
      <c r="F524" s="32" t="s">
        <v>178</v>
      </c>
    </row>
    <row r="525" spans="1:6">
      <c r="A525" s="29">
        <v>25019</v>
      </c>
      <c r="B525" s="30" t="s">
        <v>1473</v>
      </c>
      <c r="C525" s="31" t="s">
        <v>81</v>
      </c>
      <c r="D525" s="31" t="s">
        <v>78</v>
      </c>
      <c r="E525" s="31" t="s">
        <v>94</v>
      </c>
      <c r="F525" s="32" t="s">
        <v>93</v>
      </c>
    </row>
    <row r="526" spans="1:6">
      <c r="A526" s="29">
        <v>25120</v>
      </c>
      <c r="B526" s="30" t="s">
        <v>1474</v>
      </c>
      <c r="C526" s="31" t="s">
        <v>81</v>
      </c>
      <c r="D526" s="31" t="s">
        <v>78</v>
      </c>
      <c r="E526" s="31" t="s">
        <v>94</v>
      </c>
      <c r="F526" s="32" t="s">
        <v>178</v>
      </c>
    </row>
    <row r="527" spans="1:6">
      <c r="A527" s="29">
        <v>25258</v>
      </c>
      <c r="B527" s="30" t="s">
        <v>1155</v>
      </c>
      <c r="C527" s="31" t="s">
        <v>81</v>
      </c>
      <c r="D527" s="31" t="s">
        <v>78</v>
      </c>
      <c r="E527" s="31" t="s">
        <v>94</v>
      </c>
      <c r="F527" s="32" t="s">
        <v>178</v>
      </c>
    </row>
    <row r="528" spans="1:6">
      <c r="A528" s="29">
        <v>25312</v>
      </c>
      <c r="B528" s="30" t="s">
        <v>261</v>
      </c>
      <c r="C528" s="31" t="s">
        <v>81</v>
      </c>
      <c r="D528" s="31" t="s">
        <v>78</v>
      </c>
      <c r="E528" s="31" t="s">
        <v>94</v>
      </c>
      <c r="F528" s="32" t="s">
        <v>93</v>
      </c>
    </row>
    <row r="529" spans="1:6">
      <c r="A529" s="29">
        <v>25402</v>
      </c>
      <c r="B529" s="30" t="s">
        <v>1366</v>
      </c>
      <c r="C529" s="31" t="s">
        <v>81</v>
      </c>
      <c r="D529" s="31" t="s">
        <v>78</v>
      </c>
      <c r="E529" s="31" t="s">
        <v>94</v>
      </c>
      <c r="F529" s="32" t="s">
        <v>93</v>
      </c>
    </row>
    <row r="530" spans="1:6">
      <c r="A530" s="29">
        <v>25473</v>
      </c>
      <c r="B530" s="30" t="s">
        <v>1475</v>
      </c>
      <c r="C530" s="31" t="s">
        <v>81</v>
      </c>
      <c r="D530" s="31" t="s">
        <v>78</v>
      </c>
      <c r="E530" s="31" t="s">
        <v>94</v>
      </c>
      <c r="F530" s="32" t="s">
        <v>102</v>
      </c>
    </row>
    <row r="531" spans="1:6">
      <c r="A531" s="29">
        <v>25483</v>
      </c>
      <c r="B531" s="30" t="s">
        <v>98</v>
      </c>
      <c r="C531" s="31" t="s">
        <v>81</v>
      </c>
      <c r="D531" s="31" t="s">
        <v>78</v>
      </c>
      <c r="E531" s="31" t="s">
        <v>94</v>
      </c>
      <c r="F531" s="32" t="s">
        <v>178</v>
      </c>
    </row>
    <row r="532" spans="1:6">
      <c r="A532" s="29">
        <v>25612</v>
      </c>
      <c r="B532" s="30" t="s">
        <v>1476</v>
      </c>
      <c r="C532" s="31" t="s">
        <v>81</v>
      </c>
      <c r="D532" s="31" t="s">
        <v>78</v>
      </c>
      <c r="E532" s="31" t="s">
        <v>94</v>
      </c>
      <c r="F532" s="32" t="s">
        <v>178</v>
      </c>
    </row>
    <row r="533" spans="1:6">
      <c r="A533" s="29">
        <v>25649</v>
      </c>
      <c r="B533" s="30" t="s">
        <v>1477</v>
      </c>
      <c r="C533" s="31" t="s">
        <v>81</v>
      </c>
      <c r="D533" s="31" t="s">
        <v>78</v>
      </c>
      <c r="E533" s="31" t="s">
        <v>94</v>
      </c>
      <c r="F533" s="32" t="s">
        <v>178</v>
      </c>
    </row>
    <row r="534" spans="1:6">
      <c r="A534" s="29">
        <v>25653</v>
      </c>
      <c r="B534" s="30" t="s">
        <v>1478</v>
      </c>
      <c r="C534" s="31" t="s">
        <v>81</v>
      </c>
      <c r="D534" s="31" t="s">
        <v>78</v>
      </c>
      <c r="E534" s="31" t="s">
        <v>94</v>
      </c>
      <c r="F534" s="32" t="s">
        <v>178</v>
      </c>
    </row>
    <row r="535" spans="1:6">
      <c r="A535" s="29">
        <v>25658</v>
      </c>
      <c r="B535" s="30" t="s">
        <v>1029</v>
      </c>
      <c r="C535" s="31" t="s">
        <v>81</v>
      </c>
      <c r="D535" s="31" t="s">
        <v>78</v>
      </c>
      <c r="E535" s="31" t="s">
        <v>94</v>
      </c>
      <c r="F535" s="32" t="s">
        <v>93</v>
      </c>
    </row>
    <row r="536" spans="1:6">
      <c r="A536" s="29">
        <v>25506</v>
      </c>
      <c r="B536" s="30" t="s">
        <v>1035</v>
      </c>
      <c r="C536" s="31" t="s">
        <v>81</v>
      </c>
      <c r="D536" s="31" t="s">
        <v>78</v>
      </c>
      <c r="E536" s="31" t="s">
        <v>94</v>
      </c>
      <c r="F536" s="32" t="s">
        <v>178</v>
      </c>
    </row>
    <row r="537" spans="1:6">
      <c r="A537" s="29">
        <v>25001</v>
      </c>
      <c r="B537" s="31" t="s">
        <v>1479</v>
      </c>
      <c r="C537" s="31" t="s">
        <v>81</v>
      </c>
      <c r="D537" s="31" t="s">
        <v>78</v>
      </c>
      <c r="E537" s="31" t="s">
        <v>94</v>
      </c>
      <c r="F537" s="32" t="s">
        <v>178</v>
      </c>
    </row>
    <row r="538" spans="1:6">
      <c r="A538" s="29">
        <v>25035</v>
      </c>
      <c r="B538" s="31" t="s">
        <v>1480</v>
      </c>
      <c r="C538" s="31" t="s">
        <v>81</v>
      </c>
      <c r="D538" s="31" t="s">
        <v>78</v>
      </c>
      <c r="E538" s="31" t="s">
        <v>94</v>
      </c>
      <c r="F538" s="32" t="s">
        <v>93</v>
      </c>
    </row>
    <row r="539" spans="1:6">
      <c r="A539" s="29">
        <v>25040</v>
      </c>
      <c r="B539" s="31" t="s">
        <v>1481</v>
      </c>
      <c r="C539" s="31" t="s">
        <v>81</v>
      </c>
      <c r="D539" s="31" t="s">
        <v>78</v>
      </c>
      <c r="E539" s="31" t="s">
        <v>94</v>
      </c>
      <c r="F539" s="32" t="s">
        <v>93</v>
      </c>
    </row>
    <row r="540" spans="1:6">
      <c r="A540" s="29">
        <v>25599</v>
      </c>
      <c r="B540" s="31" t="s">
        <v>1482</v>
      </c>
      <c r="C540" s="31" t="s">
        <v>81</v>
      </c>
      <c r="D540" s="31" t="s">
        <v>78</v>
      </c>
      <c r="E540" s="31" t="s">
        <v>94</v>
      </c>
      <c r="F540" s="32" t="s">
        <v>178</v>
      </c>
    </row>
    <row r="541" spans="1:6">
      <c r="A541" s="29">
        <v>25053</v>
      </c>
      <c r="B541" s="31" t="s">
        <v>1483</v>
      </c>
      <c r="C541" s="31" t="s">
        <v>81</v>
      </c>
      <c r="D541" s="31" t="s">
        <v>78</v>
      </c>
      <c r="E541" s="31" t="s">
        <v>94</v>
      </c>
      <c r="F541" s="32" t="s">
        <v>93</v>
      </c>
    </row>
    <row r="542" spans="1:6">
      <c r="A542" s="29">
        <v>25086</v>
      </c>
      <c r="B542" s="31" t="s">
        <v>1484</v>
      </c>
      <c r="C542" s="31" t="s">
        <v>81</v>
      </c>
      <c r="D542" s="31" t="s">
        <v>78</v>
      </c>
      <c r="E542" s="31" t="s">
        <v>94</v>
      </c>
      <c r="F542" s="32" t="s">
        <v>178</v>
      </c>
    </row>
    <row r="543" spans="1:6">
      <c r="A543" s="29">
        <v>25095</v>
      </c>
      <c r="B543" s="31" t="s">
        <v>1485</v>
      </c>
      <c r="C543" s="31" t="s">
        <v>81</v>
      </c>
      <c r="D543" s="31" t="s">
        <v>78</v>
      </c>
      <c r="E543" s="31" t="s">
        <v>94</v>
      </c>
      <c r="F543" s="32" t="s">
        <v>178</v>
      </c>
    </row>
    <row r="544" spans="1:6">
      <c r="A544" s="29">
        <v>11001</v>
      </c>
      <c r="B544" s="31" t="s">
        <v>78</v>
      </c>
      <c r="C544" s="31" t="s">
        <v>81</v>
      </c>
      <c r="D544" s="31" t="s">
        <v>78</v>
      </c>
      <c r="E544" s="31" t="s">
        <v>94</v>
      </c>
      <c r="F544" s="32" t="s">
        <v>102</v>
      </c>
    </row>
    <row r="545" spans="1:6">
      <c r="A545" s="29">
        <v>25099</v>
      </c>
      <c r="B545" s="31" t="s">
        <v>1486</v>
      </c>
      <c r="C545" s="31" t="s">
        <v>81</v>
      </c>
      <c r="D545" s="31" t="s">
        <v>78</v>
      </c>
      <c r="E545" s="31" t="s">
        <v>94</v>
      </c>
      <c r="F545" s="32" t="s">
        <v>93</v>
      </c>
    </row>
    <row r="546" spans="1:6">
      <c r="A546" s="29">
        <v>25123</v>
      </c>
      <c r="B546" s="31" t="s">
        <v>1487</v>
      </c>
      <c r="C546" s="31" t="s">
        <v>81</v>
      </c>
      <c r="D546" s="31" t="s">
        <v>78</v>
      </c>
      <c r="E546" s="31" t="s">
        <v>94</v>
      </c>
      <c r="F546" s="32" t="s">
        <v>93</v>
      </c>
    </row>
    <row r="547" spans="1:6">
      <c r="A547" s="29">
        <v>25126</v>
      </c>
      <c r="B547" s="31" t="s">
        <v>181</v>
      </c>
      <c r="C547" s="31" t="s">
        <v>81</v>
      </c>
      <c r="D547" s="31" t="s">
        <v>78</v>
      </c>
      <c r="E547" s="31" t="s">
        <v>94</v>
      </c>
      <c r="F547" s="32" t="s">
        <v>93</v>
      </c>
    </row>
    <row r="548" spans="1:6">
      <c r="A548" s="29">
        <v>25148</v>
      </c>
      <c r="B548" s="31" t="s">
        <v>1488</v>
      </c>
      <c r="C548" s="31" t="s">
        <v>81</v>
      </c>
      <c r="D548" s="31" t="s">
        <v>78</v>
      </c>
      <c r="E548" s="31" t="s">
        <v>94</v>
      </c>
      <c r="F548" s="32" t="s">
        <v>178</v>
      </c>
    </row>
    <row r="549" spans="1:6">
      <c r="A549" s="29">
        <v>25151</v>
      </c>
      <c r="B549" s="31" t="s">
        <v>1489</v>
      </c>
      <c r="C549" s="31" t="s">
        <v>81</v>
      </c>
      <c r="D549" s="31" t="s">
        <v>78</v>
      </c>
      <c r="E549" s="31" t="s">
        <v>94</v>
      </c>
      <c r="F549" s="32" t="s">
        <v>93</v>
      </c>
    </row>
    <row r="550" spans="1:6">
      <c r="A550" s="29">
        <v>25154</v>
      </c>
      <c r="B550" s="31" t="s">
        <v>1490</v>
      </c>
      <c r="C550" s="31" t="s">
        <v>81</v>
      </c>
      <c r="D550" s="31" t="s">
        <v>78</v>
      </c>
      <c r="E550" s="31" t="s">
        <v>94</v>
      </c>
      <c r="F550" s="32" t="s">
        <v>178</v>
      </c>
    </row>
    <row r="551" spans="1:6">
      <c r="A551" s="29">
        <v>25168</v>
      </c>
      <c r="B551" s="31" t="s">
        <v>1491</v>
      </c>
      <c r="C551" s="31" t="s">
        <v>81</v>
      </c>
      <c r="D551" s="31" t="s">
        <v>78</v>
      </c>
      <c r="E551" s="31" t="s">
        <v>94</v>
      </c>
      <c r="F551" s="32" t="s">
        <v>178</v>
      </c>
    </row>
    <row r="552" spans="1:6">
      <c r="A552" s="29">
        <v>25175</v>
      </c>
      <c r="B552" s="31" t="s">
        <v>1492</v>
      </c>
      <c r="C552" s="31" t="s">
        <v>81</v>
      </c>
      <c r="D552" s="31" t="s">
        <v>78</v>
      </c>
      <c r="E552" s="31" t="s">
        <v>94</v>
      </c>
      <c r="F552" s="32" t="s">
        <v>93</v>
      </c>
    </row>
    <row r="553" spans="1:6">
      <c r="A553" s="29">
        <v>25178</v>
      </c>
      <c r="B553" s="31" t="s">
        <v>1493</v>
      </c>
      <c r="C553" s="31" t="s">
        <v>81</v>
      </c>
      <c r="D553" s="31" t="s">
        <v>78</v>
      </c>
      <c r="E553" s="31" t="s">
        <v>94</v>
      </c>
      <c r="F553" s="32" t="s">
        <v>93</v>
      </c>
    </row>
    <row r="554" spans="1:6">
      <c r="A554" s="29">
        <v>25181</v>
      </c>
      <c r="B554" s="31" t="s">
        <v>1494</v>
      </c>
      <c r="C554" s="31" t="s">
        <v>81</v>
      </c>
      <c r="D554" s="31" t="s">
        <v>78</v>
      </c>
      <c r="E554" s="31" t="s">
        <v>94</v>
      </c>
      <c r="F554" s="32" t="s">
        <v>93</v>
      </c>
    </row>
    <row r="555" spans="1:6">
      <c r="A555" s="29">
        <v>25183</v>
      </c>
      <c r="B555" s="31" t="s">
        <v>1495</v>
      </c>
      <c r="C555" s="31" t="s">
        <v>81</v>
      </c>
      <c r="D555" s="31" t="s">
        <v>186</v>
      </c>
      <c r="E555" s="31" t="s">
        <v>94</v>
      </c>
      <c r="F555" s="32" t="s">
        <v>93</v>
      </c>
    </row>
    <row r="556" spans="1:6">
      <c r="A556" s="29">
        <v>25200</v>
      </c>
      <c r="B556" s="31" t="s">
        <v>1496</v>
      </c>
      <c r="C556" s="31" t="s">
        <v>81</v>
      </c>
      <c r="D556" s="31" t="s">
        <v>78</v>
      </c>
      <c r="E556" s="31" t="s">
        <v>94</v>
      </c>
      <c r="F556" s="32" t="s">
        <v>93</v>
      </c>
    </row>
    <row r="557" spans="1:6">
      <c r="A557" s="29">
        <v>25214</v>
      </c>
      <c r="B557" s="31" t="s">
        <v>1497</v>
      </c>
      <c r="C557" s="31" t="s">
        <v>81</v>
      </c>
      <c r="D557" s="31" t="s">
        <v>78</v>
      </c>
      <c r="E557" s="31" t="s">
        <v>94</v>
      </c>
      <c r="F557" s="32" t="s">
        <v>93</v>
      </c>
    </row>
    <row r="558" spans="1:6">
      <c r="A558" s="29">
        <v>25224</v>
      </c>
      <c r="B558" s="31" t="s">
        <v>1498</v>
      </c>
      <c r="C558" s="31" t="s">
        <v>81</v>
      </c>
      <c r="D558" s="31" t="s">
        <v>78</v>
      </c>
      <c r="E558" s="31" t="s">
        <v>94</v>
      </c>
      <c r="F558" s="32" t="s">
        <v>178</v>
      </c>
    </row>
    <row r="559" spans="1:6">
      <c r="A559" s="29">
        <v>25245</v>
      </c>
      <c r="B559" s="31" t="s">
        <v>1499</v>
      </c>
      <c r="C559" s="31" t="s">
        <v>81</v>
      </c>
      <c r="D559" s="31" t="s">
        <v>78</v>
      </c>
      <c r="E559" s="31" t="s">
        <v>94</v>
      </c>
      <c r="F559" s="32" t="s">
        <v>93</v>
      </c>
    </row>
    <row r="560" spans="1:6">
      <c r="A560" s="29">
        <v>25260</v>
      </c>
      <c r="B560" s="31" t="s">
        <v>1500</v>
      </c>
      <c r="C560" s="31" t="s">
        <v>81</v>
      </c>
      <c r="D560" s="31" t="s">
        <v>78</v>
      </c>
      <c r="E560" s="31" t="s">
        <v>94</v>
      </c>
      <c r="F560" s="32" t="s">
        <v>93</v>
      </c>
    </row>
    <row r="561" spans="1:6">
      <c r="A561" s="29">
        <v>25269</v>
      </c>
      <c r="B561" s="31" t="s">
        <v>699</v>
      </c>
      <c r="C561" s="31" t="s">
        <v>81</v>
      </c>
      <c r="D561" s="31" t="s">
        <v>78</v>
      </c>
      <c r="E561" s="31" t="s">
        <v>94</v>
      </c>
      <c r="F561" s="32" t="s">
        <v>93</v>
      </c>
    </row>
    <row r="562" spans="1:6">
      <c r="A562" s="29">
        <v>25279</v>
      </c>
      <c r="B562" s="31" t="s">
        <v>1501</v>
      </c>
      <c r="C562" s="31" t="s">
        <v>81</v>
      </c>
      <c r="D562" s="31" t="s">
        <v>78</v>
      </c>
      <c r="E562" s="31" t="s">
        <v>94</v>
      </c>
      <c r="F562" s="32" t="s">
        <v>93</v>
      </c>
    </row>
    <row r="563" spans="1:6">
      <c r="A563" s="29">
        <v>25281</v>
      </c>
      <c r="B563" s="31" t="s">
        <v>1502</v>
      </c>
      <c r="C563" s="31" t="s">
        <v>81</v>
      </c>
      <c r="D563" s="31" t="s">
        <v>78</v>
      </c>
      <c r="E563" s="31" t="s">
        <v>94</v>
      </c>
      <c r="F563" s="32" t="s">
        <v>93</v>
      </c>
    </row>
    <row r="564" spans="1:6">
      <c r="A564" s="29">
        <v>25286</v>
      </c>
      <c r="B564" s="31" t="s">
        <v>533</v>
      </c>
      <c r="C564" s="31" t="s">
        <v>81</v>
      </c>
      <c r="D564" s="31" t="s">
        <v>78</v>
      </c>
      <c r="E564" s="31" t="s">
        <v>94</v>
      </c>
      <c r="F564" s="32" t="s">
        <v>93</v>
      </c>
    </row>
    <row r="565" spans="1:6">
      <c r="A565" s="29">
        <v>25288</v>
      </c>
      <c r="B565" s="31" t="s">
        <v>1503</v>
      </c>
      <c r="C565" s="31" t="s">
        <v>81</v>
      </c>
      <c r="D565" s="31" t="s">
        <v>78</v>
      </c>
      <c r="E565" s="31" t="s">
        <v>94</v>
      </c>
      <c r="F565" s="32" t="s">
        <v>178</v>
      </c>
    </row>
    <row r="566" spans="1:6">
      <c r="A566" s="29">
        <v>25290</v>
      </c>
      <c r="B566" s="31" t="s">
        <v>1504</v>
      </c>
      <c r="C566" s="31" t="s">
        <v>81</v>
      </c>
      <c r="D566" s="31" t="s">
        <v>78</v>
      </c>
      <c r="E566" s="31" t="s">
        <v>94</v>
      </c>
      <c r="F566" s="32" t="s">
        <v>93</v>
      </c>
    </row>
    <row r="567" spans="1:6">
      <c r="A567" s="29">
        <v>25293</v>
      </c>
      <c r="B567" s="31" t="s">
        <v>1505</v>
      </c>
      <c r="C567" s="31" t="s">
        <v>81</v>
      </c>
      <c r="D567" s="31" t="s">
        <v>78</v>
      </c>
      <c r="E567" s="31" t="s">
        <v>94</v>
      </c>
      <c r="F567" s="32" t="s">
        <v>178</v>
      </c>
    </row>
    <row r="568" spans="1:6">
      <c r="A568" s="29">
        <v>25295</v>
      </c>
      <c r="B568" s="31" t="s">
        <v>1506</v>
      </c>
      <c r="C568" s="31" t="s">
        <v>81</v>
      </c>
      <c r="D568" s="31" t="s">
        <v>78</v>
      </c>
      <c r="E568" s="31" t="s">
        <v>94</v>
      </c>
      <c r="F568" s="32" t="s">
        <v>93</v>
      </c>
    </row>
    <row r="569" spans="1:6">
      <c r="A569" s="29">
        <v>25297</v>
      </c>
      <c r="B569" s="31" t="s">
        <v>453</v>
      </c>
      <c r="C569" s="31" t="s">
        <v>81</v>
      </c>
      <c r="D569" s="31" t="s">
        <v>78</v>
      </c>
      <c r="E569" s="31" t="s">
        <v>94</v>
      </c>
      <c r="F569" s="32" t="s">
        <v>178</v>
      </c>
    </row>
    <row r="570" spans="1:6">
      <c r="A570" s="29">
        <v>25299</v>
      </c>
      <c r="B570" s="31" t="s">
        <v>1507</v>
      </c>
      <c r="C570" s="31" t="s">
        <v>81</v>
      </c>
      <c r="D570" s="31" t="s">
        <v>78</v>
      </c>
      <c r="E570" s="31" t="s">
        <v>94</v>
      </c>
      <c r="F570" s="32" t="s">
        <v>178</v>
      </c>
    </row>
    <row r="571" spans="1:6">
      <c r="A571" s="29">
        <v>25307</v>
      </c>
      <c r="B571" s="31" t="s">
        <v>747</v>
      </c>
      <c r="C571" s="31" t="s">
        <v>81</v>
      </c>
      <c r="D571" s="31" t="s">
        <v>78</v>
      </c>
      <c r="E571" s="31" t="s">
        <v>94</v>
      </c>
      <c r="F571" s="32" t="s">
        <v>178</v>
      </c>
    </row>
    <row r="572" spans="1:6">
      <c r="A572" s="29">
        <v>25317</v>
      </c>
      <c r="B572" s="31" t="s">
        <v>1508</v>
      </c>
      <c r="C572" s="31" t="s">
        <v>81</v>
      </c>
      <c r="D572" s="31" t="s">
        <v>78</v>
      </c>
      <c r="E572" s="31" t="s">
        <v>94</v>
      </c>
      <c r="F572" s="32" t="s">
        <v>178</v>
      </c>
    </row>
    <row r="573" spans="1:6">
      <c r="A573" s="29">
        <v>25320</v>
      </c>
      <c r="B573" s="31" t="s">
        <v>1509</v>
      </c>
      <c r="C573" s="31" t="s">
        <v>81</v>
      </c>
      <c r="D573" s="31" t="s">
        <v>78</v>
      </c>
      <c r="E573" s="31" t="s">
        <v>94</v>
      </c>
      <c r="F573" s="32" t="s">
        <v>178</v>
      </c>
    </row>
    <row r="574" spans="1:6">
      <c r="A574" s="29">
        <v>25322</v>
      </c>
      <c r="B574" s="31" t="s">
        <v>1510</v>
      </c>
      <c r="C574" s="31" t="s">
        <v>81</v>
      </c>
      <c r="D574" s="31" t="s">
        <v>78</v>
      </c>
      <c r="E574" s="31" t="s">
        <v>94</v>
      </c>
      <c r="F574" s="32" t="s">
        <v>93</v>
      </c>
    </row>
    <row r="575" spans="1:6">
      <c r="A575" s="29">
        <v>25324</v>
      </c>
      <c r="B575" s="31" t="s">
        <v>1511</v>
      </c>
      <c r="C575" s="31" t="s">
        <v>81</v>
      </c>
      <c r="D575" s="31" t="s">
        <v>194</v>
      </c>
      <c r="E575" s="31" t="s">
        <v>94</v>
      </c>
      <c r="F575" s="32" t="s">
        <v>178</v>
      </c>
    </row>
    <row r="576" spans="1:6">
      <c r="A576" s="29">
        <v>25326</v>
      </c>
      <c r="B576" s="31" t="s">
        <v>1512</v>
      </c>
      <c r="C576" s="31" t="s">
        <v>81</v>
      </c>
      <c r="D576" s="31" t="s">
        <v>78</v>
      </c>
      <c r="E576" s="31" t="s">
        <v>94</v>
      </c>
      <c r="F576" s="32" t="s">
        <v>93</v>
      </c>
    </row>
    <row r="577" spans="1:6">
      <c r="A577" s="29">
        <v>25328</v>
      </c>
      <c r="B577" s="31" t="s">
        <v>1513</v>
      </c>
      <c r="C577" s="31" t="s">
        <v>81</v>
      </c>
      <c r="D577" s="31" t="s">
        <v>78</v>
      </c>
      <c r="E577" s="31" t="s">
        <v>94</v>
      </c>
      <c r="F577" s="32" t="s">
        <v>178</v>
      </c>
    </row>
    <row r="578" spans="1:6">
      <c r="A578" s="29">
        <v>25335</v>
      </c>
      <c r="B578" s="31" t="s">
        <v>1514</v>
      </c>
      <c r="C578" s="31" t="s">
        <v>81</v>
      </c>
      <c r="D578" s="31" t="s">
        <v>131</v>
      </c>
      <c r="E578" s="31" t="s">
        <v>94</v>
      </c>
      <c r="F578" s="32" t="s">
        <v>93</v>
      </c>
    </row>
    <row r="579" spans="1:6">
      <c r="A579" s="29">
        <v>25339</v>
      </c>
      <c r="B579" s="31" t="s">
        <v>1515</v>
      </c>
      <c r="C579" s="31" t="s">
        <v>81</v>
      </c>
      <c r="D579" s="31" t="s">
        <v>78</v>
      </c>
      <c r="E579" s="31" t="s">
        <v>94</v>
      </c>
      <c r="F579" s="32" t="s">
        <v>178</v>
      </c>
    </row>
    <row r="580" spans="1:6">
      <c r="A580" s="29">
        <v>25368</v>
      </c>
      <c r="B580" s="31" t="s">
        <v>1516</v>
      </c>
      <c r="C580" s="31" t="s">
        <v>81</v>
      </c>
      <c r="D580" s="31" t="s">
        <v>78</v>
      </c>
      <c r="E580" s="31" t="s">
        <v>94</v>
      </c>
      <c r="F580" s="32" t="s">
        <v>178</v>
      </c>
    </row>
    <row r="581" spans="1:6">
      <c r="A581" s="29">
        <v>25372</v>
      </c>
      <c r="B581" s="31" t="s">
        <v>1517</v>
      </c>
      <c r="C581" s="31" t="s">
        <v>81</v>
      </c>
      <c r="D581" s="31" t="s">
        <v>78</v>
      </c>
      <c r="E581" s="31" t="s">
        <v>94</v>
      </c>
      <c r="F581" s="32" t="s">
        <v>178</v>
      </c>
    </row>
    <row r="582" spans="1:6">
      <c r="A582" s="29">
        <v>25377</v>
      </c>
      <c r="B582" s="31" t="s">
        <v>1518</v>
      </c>
      <c r="C582" s="31" t="s">
        <v>81</v>
      </c>
      <c r="D582" s="31" t="s">
        <v>78</v>
      </c>
      <c r="E582" s="31" t="s">
        <v>94</v>
      </c>
      <c r="F582" s="32" t="s">
        <v>93</v>
      </c>
    </row>
    <row r="583" spans="1:6">
      <c r="A583" s="29">
        <v>25386</v>
      </c>
      <c r="B583" s="31" t="s">
        <v>1519</v>
      </c>
      <c r="C583" s="31" t="s">
        <v>81</v>
      </c>
      <c r="D583" s="31" t="s">
        <v>78</v>
      </c>
      <c r="E583" s="31" t="s">
        <v>94</v>
      </c>
      <c r="F583" s="32" t="s">
        <v>93</v>
      </c>
    </row>
    <row r="584" spans="1:6">
      <c r="A584" s="29">
        <v>25394</v>
      </c>
      <c r="B584" s="31" t="s">
        <v>1520</v>
      </c>
      <c r="C584" s="31" t="s">
        <v>81</v>
      </c>
      <c r="D584" s="31" t="s">
        <v>78</v>
      </c>
      <c r="E584" s="31" t="s">
        <v>94</v>
      </c>
      <c r="F584" s="32" t="s">
        <v>178</v>
      </c>
    </row>
    <row r="585" spans="1:6">
      <c r="A585" s="29">
        <v>25398</v>
      </c>
      <c r="B585" s="31" t="s">
        <v>1521</v>
      </c>
      <c r="C585" s="31" t="s">
        <v>81</v>
      </c>
      <c r="D585" s="31" t="s">
        <v>78</v>
      </c>
      <c r="E585" s="31" t="s">
        <v>94</v>
      </c>
      <c r="F585" s="32" t="s">
        <v>178</v>
      </c>
    </row>
    <row r="586" spans="1:6">
      <c r="A586" s="29">
        <v>25407</v>
      </c>
      <c r="B586" s="31" t="s">
        <v>1522</v>
      </c>
      <c r="C586" s="31" t="s">
        <v>81</v>
      </c>
      <c r="D586" s="31" t="s">
        <v>78</v>
      </c>
      <c r="E586" s="31" t="s">
        <v>94</v>
      </c>
      <c r="F586" s="32" t="s">
        <v>178</v>
      </c>
    </row>
    <row r="587" spans="1:6">
      <c r="A587" s="29">
        <v>25426</v>
      </c>
      <c r="B587" s="31" t="s">
        <v>1523</v>
      </c>
      <c r="C587" s="31" t="s">
        <v>81</v>
      </c>
      <c r="D587" s="31" t="s">
        <v>78</v>
      </c>
      <c r="E587" s="31" t="s">
        <v>94</v>
      </c>
      <c r="F587" s="32" t="s">
        <v>178</v>
      </c>
    </row>
    <row r="588" spans="1:6">
      <c r="A588" s="29">
        <v>25430</v>
      </c>
      <c r="B588" s="31" t="s">
        <v>1524</v>
      </c>
      <c r="C588" s="31" t="s">
        <v>81</v>
      </c>
      <c r="D588" s="31" t="s">
        <v>78</v>
      </c>
      <c r="E588" s="31" t="s">
        <v>94</v>
      </c>
      <c r="F588" s="32" t="s">
        <v>93</v>
      </c>
    </row>
    <row r="589" spans="1:6">
      <c r="A589" s="29">
        <v>25436</v>
      </c>
      <c r="B589" s="31" t="s">
        <v>1525</v>
      </c>
      <c r="C589" s="31" t="s">
        <v>81</v>
      </c>
      <c r="D589" s="31" t="s">
        <v>78</v>
      </c>
      <c r="E589" s="31" t="s">
        <v>94</v>
      </c>
      <c r="F589" s="32" t="s">
        <v>178</v>
      </c>
    </row>
    <row r="590" spans="1:6">
      <c r="A590" s="29">
        <v>25438</v>
      </c>
      <c r="B590" s="31" t="s">
        <v>1526</v>
      </c>
      <c r="C590" s="31" t="s">
        <v>81</v>
      </c>
      <c r="D590" s="31" t="s">
        <v>131</v>
      </c>
      <c r="E590" s="31" t="s">
        <v>94</v>
      </c>
      <c r="F590" s="32" t="s">
        <v>129</v>
      </c>
    </row>
    <row r="591" spans="1:6">
      <c r="A591" s="29">
        <v>25486</v>
      </c>
      <c r="B591" s="31" t="s">
        <v>1527</v>
      </c>
      <c r="C591" s="31" t="s">
        <v>81</v>
      </c>
      <c r="D591" s="31" t="s">
        <v>78</v>
      </c>
      <c r="E591" s="31" t="s">
        <v>94</v>
      </c>
      <c r="F591" s="32" t="s">
        <v>93</v>
      </c>
    </row>
    <row r="592" spans="1:6">
      <c r="A592" s="29">
        <v>25488</v>
      </c>
      <c r="B592" s="31" t="s">
        <v>1528</v>
      </c>
      <c r="C592" s="31" t="s">
        <v>81</v>
      </c>
      <c r="D592" s="31" t="s">
        <v>78</v>
      </c>
      <c r="E592" s="31" t="s">
        <v>94</v>
      </c>
      <c r="F592" s="32" t="s">
        <v>178</v>
      </c>
    </row>
    <row r="593" spans="1:6">
      <c r="A593" s="29">
        <v>25489</v>
      </c>
      <c r="B593" s="31" t="s">
        <v>1529</v>
      </c>
      <c r="C593" s="31" t="s">
        <v>81</v>
      </c>
      <c r="D593" s="31" t="s">
        <v>78</v>
      </c>
      <c r="E593" s="31" t="s">
        <v>94</v>
      </c>
      <c r="F593" s="32" t="s">
        <v>178</v>
      </c>
    </row>
    <row r="594" spans="1:6">
      <c r="A594" s="29">
        <v>25491</v>
      </c>
      <c r="B594" s="31" t="s">
        <v>1530</v>
      </c>
      <c r="C594" s="31" t="s">
        <v>81</v>
      </c>
      <c r="D594" s="31" t="s">
        <v>78</v>
      </c>
      <c r="E594" s="31" t="s">
        <v>94</v>
      </c>
      <c r="F594" s="32" t="s">
        <v>178</v>
      </c>
    </row>
    <row r="595" spans="1:6">
      <c r="A595" s="29">
        <v>25513</v>
      </c>
      <c r="B595" s="31" t="s">
        <v>1531</v>
      </c>
      <c r="C595" s="31" t="s">
        <v>81</v>
      </c>
      <c r="D595" s="31" t="s">
        <v>78</v>
      </c>
      <c r="E595" s="31" t="s">
        <v>94</v>
      </c>
      <c r="F595" s="32" t="s">
        <v>178</v>
      </c>
    </row>
    <row r="596" spans="1:6">
      <c r="A596" s="29">
        <v>25518</v>
      </c>
      <c r="B596" s="31" t="s">
        <v>1532</v>
      </c>
      <c r="C596" s="31" t="s">
        <v>81</v>
      </c>
      <c r="D596" s="31" t="s">
        <v>78</v>
      </c>
      <c r="E596" s="31" t="s">
        <v>94</v>
      </c>
      <c r="F596" s="32" t="s">
        <v>129</v>
      </c>
    </row>
    <row r="597" spans="1:6">
      <c r="A597" s="29">
        <v>25524</v>
      </c>
      <c r="B597" s="31" t="s">
        <v>1533</v>
      </c>
      <c r="C597" s="31" t="s">
        <v>81</v>
      </c>
      <c r="D597" s="31" t="s">
        <v>78</v>
      </c>
      <c r="E597" s="31" t="s">
        <v>94</v>
      </c>
      <c r="F597" s="32" t="s">
        <v>178</v>
      </c>
    </row>
    <row r="598" spans="1:6">
      <c r="A598" s="29">
        <v>25530</v>
      </c>
      <c r="B598" s="31" t="s">
        <v>1534</v>
      </c>
      <c r="C598" s="31" t="s">
        <v>81</v>
      </c>
      <c r="D598" s="31" t="s">
        <v>131</v>
      </c>
      <c r="E598" s="31" t="s">
        <v>94</v>
      </c>
      <c r="F598" s="32" t="s">
        <v>178</v>
      </c>
    </row>
    <row r="599" spans="1:6">
      <c r="A599" s="29">
        <v>25535</v>
      </c>
      <c r="B599" s="31" t="s">
        <v>1535</v>
      </c>
      <c r="C599" s="31" t="s">
        <v>81</v>
      </c>
      <c r="D599" s="31" t="s">
        <v>78</v>
      </c>
      <c r="E599" s="31" t="s">
        <v>94</v>
      </c>
      <c r="F599" s="32" t="s">
        <v>93</v>
      </c>
    </row>
    <row r="600" spans="1:6">
      <c r="A600" s="29">
        <v>25572</v>
      </c>
      <c r="B600" s="31" t="s">
        <v>1536</v>
      </c>
      <c r="C600" s="31" t="s">
        <v>81</v>
      </c>
      <c r="D600" s="31" t="s">
        <v>78</v>
      </c>
      <c r="E600" s="31" t="s">
        <v>94</v>
      </c>
      <c r="F600" s="32" t="s">
        <v>129</v>
      </c>
    </row>
    <row r="601" spans="1:6">
      <c r="A601" s="29">
        <v>25580</v>
      </c>
      <c r="B601" s="31" t="s">
        <v>1537</v>
      </c>
      <c r="C601" s="31" t="s">
        <v>81</v>
      </c>
      <c r="D601" s="31" t="s">
        <v>78</v>
      </c>
      <c r="E601" s="31" t="s">
        <v>94</v>
      </c>
      <c r="F601" s="32" t="s">
        <v>178</v>
      </c>
    </row>
    <row r="602" spans="1:6">
      <c r="A602" s="29">
        <v>25592</v>
      </c>
      <c r="B602" s="31" t="s">
        <v>1538</v>
      </c>
      <c r="C602" s="31" t="s">
        <v>81</v>
      </c>
      <c r="D602" s="31" t="s">
        <v>78</v>
      </c>
      <c r="E602" s="31" t="s">
        <v>94</v>
      </c>
      <c r="F602" s="32" t="s">
        <v>178</v>
      </c>
    </row>
    <row r="603" spans="1:6">
      <c r="A603" s="29">
        <v>25594</v>
      </c>
      <c r="B603" s="31" t="s">
        <v>1539</v>
      </c>
      <c r="C603" s="31" t="s">
        <v>81</v>
      </c>
      <c r="D603" s="31" t="s">
        <v>78</v>
      </c>
      <c r="E603" s="31" t="s">
        <v>94</v>
      </c>
      <c r="F603" s="32" t="s">
        <v>178</v>
      </c>
    </row>
    <row r="604" spans="1:6">
      <c r="A604" s="29">
        <v>25596</v>
      </c>
      <c r="B604" s="31" t="s">
        <v>1540</v>
      </c>
      <c r="C604" s="31" t="s">
        <v>81</v>
      </c>
      <c r="D604" s="31" t="s">
        <v>78</v>
      </c>
      <c r="E604" s="31" t="s">
        <v>94</v>
      </c>
      <c r="F604" s="32" t="s">
        <v>178</v>
      </c>
    </row>
    <row r="605" spans="1:6">
      <c r="A605" s="29">
        <v>25645</v>
      </c>
      <c r="B605" s="31" t="s">
        <v>1541</v>
      </c>
      <c r="C605" s="31" t="s">
        <v>81</v>
      </c>
      <c r="D605" s="31" t="s">
        <v>78</v>
      </c>
      <c r="E605" s="31" t="s">
        <v>94</v>
      </c>
      <c r="F605" s="32" t="s">
        <v>93</v>
      </c>
    </row>
    <row r="606" spans="1:6">
      <c r="A606" s="29">
        <v>25662</v>
      </c>
      <c r="B606" s="31" t="s">
        <v>1542</v>
      </c>
      <c r="C606" s="31" t="s">
        <v>81</v>
      </c>
      <c r="D606" s="31" t="s">
        <v>78</v>
      </c>
      <c r="E606" s="31" t="s">
        <v>94</v>
      </c>
      <c r="F606" s="32" t="s">
        <v>178</v>
      </c>
    </row>
    <row r="607" spans="1:6">
      <c r="A607" s="29">
        <v>25718</v>
      </c>
      <c r="B607" s="31" t="s">
        <v>1543</v>
      </c>
      <c r="C607" s="31" t="s">
        <v>81</v>
      </c>
      <c r="D607" s="31" t="s">
        <v>78</v>
      </c>
      <c r="E607" s="31" t="s">
        <v>94</v>
      </c>
      <c r="F607" s="32" t="s">
        <v>93</v>
      </c>
    </row>
    <row r="608" spans="1:6">
      <c r="A608" s="29">
        <v>25736</v>
      </c>
      <c r="B608" s="31" t="s">
        <v>82</v>
      </c>
      <c r="C608" s="31" t="s">
        <v>81</v>
      </c>
      <c r="D608" s="31" t="s">
        <v>78</v>
      </c>
      <c r="E608" s="31" t="s">
        <v>94</v>
      </c>
      <c r="F608" s="32" t="s">
        <v>93</v>
      </c>
    </row>
    <row r="609" spans="1:6">
      <c r="A609" s="29">
        <v>25740</v>
      </c>
      <c r="B609" s="31" t="s">
        <v>1544</v>
      </c>
      <c r="C609" s="31" t="s">
        <v>81</v>
      </c>
      <c r="D609" s="31" t="s">
        <v>78</v>
      </c>
      <c r="E609" s="31" t="s">
        <v>94</v>
      </c>
      <c r="F609" s="32" t="s">
        <v>93</v>
      </c>
    </row>
    <row r="610" spans="1:6">
      <c r="A610" s="29">
        <v>25743</v>
      </c>
      <c r="B610" s="31" t="s">
        <v>1545</v>
      </c>
      <c r="C610" s="31" t="s">
        <v>81</v>
      </c>
      <c r="D610" s="31" t="s">
        <v>78</v>
      </c>
      <c r="E610" s="31" t="s">
        <v>94</v>
      </c>
      <c r="F610" s="32" t="s">
        <v>93</v>
      </c>
    </row>
    <row r="611" spans="1:6">
      <c r="A611" s="29">
        <v>25745</v>
      </c>
      <c r="B611" s="31" t="s">
        <v>1546</v>
      </c>
      <c r="C611" s="31" t="s">
        <v>81</v>
      </c>
      <c r="D611" s="31" t="s">
        <v>186</v>
      </c>
      <c r="E611" s="31" t="s">
        <v>94</v>
      </c>
      <c r="F611" s="32" t="s">
        <v>178</v>
      </c>
    </row>
    <row r="612" spans="1:6">
      <c r="A612" s="29">
        <v>25754</v>
      </c>
      <c r="B612" s="31" t="s">
        <v>671</v>
      </c>
      <c r="C612" s="31" t="s">
        <v>81</v>
      </c>
      <c r="D612" s="31" t="s">
        <v>78</v>
      </c>
      <c r="E612" s="31" t="s">
        <v>94</v>
      </c>
      <c r="F612" s="32" t="s">
        <v>102</v>
      </c>
    </row>
    <row r="613" spans="1:6">
      <c r="A613" s="29">
        <v>25758</v>
      </c>
      <c r="B613" s="31" t="s">
        <v>1547</v>
      </c>
      <c r="C613" s="31" t="s">
        <v>81</v>
      </c>
      <c r="D613" s="31" t="s">
        <v>78</v>
      </c>
      <c r="E613" s="31" t="s">
        <v>94</v>
      </c>
      <c r="F613" s="32" t="s">
        <v>93</v>
      </c>
    </row>
    <row r="614" spans="1:6">
      <c r="A614" s="29">
        <v>25769</v>
      </c>
      <c r="B614" s="31" t="s">
        <v>1548</v>
      </c>
      <c r="C614" s="31" t="s">
        <v>81</v>
      </c>
      <c r="D614" s="31" t="s">
        <v>78</v>
      </c>
      <c r="E614" s="31" t="s">
        <v>94</v>
      </c>
      <c r="F614" s="32" t="s">
        <v>93</v>
      </c>
    </row>
    <row r="615" spans="1:6">
      <c r="A615" s="29">
        <v>25772</v>
      </c>
      <c r="B615" s="31" t="s">
        <v>1549</v>
      </c>
      <c r="C615" s="31" t="s">
        <v>81</v>
      </c>
      <c r="D615" s="31" t="s">
        <v>78</v>
      </c>
      <c r="E615" s="31" t="s">
        <v>94</v>
      </c>
      <c r="F615" s="32" t="s">
        <v>93</v>
      </c>
    </row>
    <row r="616" spans="1:6">
      <c r="A616" s="29">
        <v>25777</v>
      </c>
      <c r="B616" s="31" t="s">
        <v>1550</v>
      </c>
      <c r="C616" s="31" t="s">
        <v>81</v>
      </c>
      <c r="D616" s="31" t="s">
        <v>78</v>
      </c>
      <c r="E616" s="31" t="s">
        <v>94</v>
      </c>
      <c r="F616" s="32" t="s">
        <v>93</v>
      </c>
    </row>
    <row r="617" spans="1:6">
      <c r="A617" s="29">
        <v>25779</v>
      </c>
      <c r="B617" s="31" t="s">
        <v>1551</v>
      </c>
      <c r="C617" s="31" t="s">
        <v>81</v>
      </c>
      <c r="D617" s="31" t="s">
        <v>78</v>
      </c>
      <c r="E617" s="31" t="s">
        <v>94</v>
      </c>
      <c r="F617" s="32" t="s">
        <v>178</v>
      </c>
    </row>
    <row r="618" spans="1:6">
      <c r="A618" s="29">
        <v>25781</v>
      </c>
      <c r="B618" s="31" t="s">
        <v>1552</v>
      </c>
      <c r="C618" s="31" t="s">
        <v>81</v>
      </c>
      <c r="D618" s="31" t="s">
        <v>78</v>
      </c>
      <c r="E618" s="31" t="s">
        <v>94</v>
      </c>
      <c r="F618" s="32" t="s">
        <v>93</v>
      </c>
    </row>
    <row r="619" spans="1:6">
      <c r="A619" s="29">
        <v>25785</v>
      </c>
      <c r="B619" s="31" t="s">
        <v>332</v>
      </c>
      <c r="C619" s="31" t="s">
        <v>81</v>
      </c>
      <c r="D619" s="31" t="s">
        <v>78</v>
      </c>
      <c r="E619" s="31" t="s">
        <v>94</v>
      </c>
      <c r="F619" s="32" t="s">
        <v>93</v>
      </c>
    </row>
    <row r="620" spans="1:6">
      <c r="A620" s="29">
        <v>25793</v>
      </c>
      <c r="B620" s="31" t="s">
        <v>1553</v>
      </c>
      <c r="C620" s="31" t="s">
        <v>81</v>
      </c>
      <c r="D620" s="31" t="s">
        <v>78</v>
      </c>
      <c r="E620" s="31" t="s">
        <v>94</v>
      </c>
      <c r="F620" s="32" t="s">
        <v>93</v>
      </c>
    </row>
    <row r="621" spans="1:6">
      <c r="A621" s="29">
        <v>25797</v>
      </c>
      <c r="B621" s="31" t="s">
        <v>1554</v>
      </c>
      <c r="C621" s="31" t="s">
        <v>81</v>
      </c>
      <c r="D621" s="31" t="s">
        <v>78</v>
      </c>
      <c r="E621" s="31" t="s">
        <v>94</v>
      </c>
      <c r="F621" s="32" t="s">
        <v>93</v>
      </c>
    </row>
    <row r="622" spans="1:6">
      <c r="A622" s="29">
        <v>25799</v>
      </c>
      <c r="B622" s="31" t="s">
        <v>1555</v>
      </c>
      <c r="C622" s="31" t="s">
        <v>81</v>
      </c>
      <c r="D622" s="31" t="s">
        <v>78</v>
      </c>
      <c r="E622" s="31" t="s">
        <v>94</v>
      </c>
      <c r="F622" s="32" t="s">
        <v>93</v>
      </c>
    </row>
    <row r="623" spans="1:6">
      <c r="A623" s="29">
        <v>25805</v>
      </c>
      <c r="B623" s="31" t="s">
        <v>1556</v>
      </c>
      <c r="C623" s="31" t="s">
        <v>81</v>
      </c>
      <c r="D623" s="31" t="s">
        <v>78</v>
      </c>
      <c r="E623" s="31" t="s">
        <v>94</v>
      </c>
      <c r="F623" s="32" t="s">
        <v>93</v>
      </c>
    </row>
    <row r="624" spans="1:6">
      <c r="A624" s="29">
        <v>25807</v>
      </c>
      <c r="B624" s="31" t="s">
        <v>1557</v>
      </c>
      <c r="C624" s="31" t="s">
        <v>81</v>
      </c>
      <c r="D624" s="31" t="s">
        <v>78</v>
      </c>
      <c r="E624" s="31" t="s">
        <v>94</v>
      </c>
      <c r="F624" s="32" t="s">
        <v>178</v>
      </c>
    </row>
    <row r="625" spans="1:6">
      <c r="A625" s="29">
        <v>25815</v>
      </c>
      <c r="B625" s="31" t="s">
        <v>1558</v>
      </c>
      <c r="C625" s="31" t="s">
        <v>81</v>
      </c>
      <c r="D625" s="31" t="s">
        <v>78</v>
      </c>
      <c r="E625" s="31" t="s">
        <v>94</v>
      </c>
      <c r="F625" s="32" t="s">
        <v>178</v>
      </c>
    </row>
    <row r="626" spans="1:6">
      <c r="A626" s="29">
        <v>25817</v>
      </c>
      <c r="B626" s="31" t="s">
        <v>1559</v>
      </c>
      <c r="C626" s="31" t="s">
        <v>81</v>
      </c>
      <c r="D626" s="31" t="s">
        <v>78</v>
      </c>
      <c r="E626" s="31" t="s">
        <v>94</v>
      </c>
      <c r="F626" s="32" t="s">
        <v>93</v>
      </c>
    </row>
    <row r="627" spans="1:6">
      <c r="A627" s="29">
        <v>25823</v>
      </c>
      <c r="B627" s="31" t="s">
        <v>1560</v>
      </c>
      <c r="C627" s="31" t="s">
        <v>81</v>
      </c>
      <c r="D627" s="31" t="s">
        <v>78</v>
      </c>
      <c r="E627" s="31" t="s">
        <v>94</v>
      </c>
      <c r="F627" s="32" t="s">
        <v>178</v>
      </c>
    </row>
    <row r="628" spans="1:6">
      <c r="A628" s="29">
        <v>25839</v>
      </c>
      <c r="B628" s="31" t="s">
        <v>1561</v>
      </c>
      <c r="C628" s="31" t="s">
        <v>81</v>
      </c>
      <c r="D628" s="31" t="s">
        <v>78</v>
      </c>
      <c r="E628" s="31" t="s">
        <v>94</v>
      </c>
      <c r="F628" s="32" t="s">
        <v>178</v>
      </c>
    </row>
    <row r="629" spans="1:6">
      <c r="A629" s="29">
        <v>25841</v>
      </c>
      <c r="B629" s="31" t="s">
        <v>1562</v>
      </c>
      <c r="C629" s="31" t="s">
        <v>81</v>
      </c>
      <c r="D629" s="31" t="s">
        <v>78</v>
      </c>
      <c r="E629" s="31" t="s">
        <v>94</v>
      </c>
      <c r="F629" s="32" t="s">
        <v>93</v>
      </c>
    </row>
    <row r="630" spans="1:6">
      <c r="A630" s="29">
        <v>25845</v>
      </c>
      <c r="B630" s="31" t="s">
        <v>1563</v>
      </c>
      <c r="C630" s="31" t="s">
        <v>81</v>
      </c>
      <c r="D630" s="31" t="s">
        <v>78</v>
      </c>
      <c r="E630" s="31" t="s">
        <v>94</v>
      </c>
      <c r="F630" s="32" t="s">
        <v>93</v>
      </c>
    </row>
    <row r="631" spans="1:6">
      <c r="A631" s="29">
        <v>25851</v>
      </c>
      <c r="B631" s="31" t="s">
        <v>1564</v>
      </c>
      <c r="C631" s="31" t="s">
        <v>81</v>
      </c>
      <c r="D631" s="31" t="s">
        <v>78</v>
      </c>
      <c r="E631" s="31" t="s">
        <v>94</v>
      </c>
      <c r="F631" s="32" t="s">
        <v>178</v>
      </c>
    </row>
    <row r="632" spans="1:6">
      <c r="A632" s="29">
        <v>25862</v>
      </c>
      <c r="B632" s="31" t="s">
        <v>1565</v>
      </c>
      <c r="C632" s="31" t="s">
        <v>81</v>
      </c>
      <c r="D632" s="31" t="s">
        <v>78</v>
      </c>
      <c r="E632" s="31" t="s">
        <v>94</v>
      </c>
      <c r="F632" s="32" t="s">
        <v>178</v>
      </c>
    </row>
    <row r="633" spans="1:6">
      <c r="A633" s="29">
        <v>25867</v>
      </c>
      <c r="B633" s="31" t="s">
        <v>1566</v>
      </c>
      <c r="C633" s="31" t="s">
        <v>81</v>
      </c>
      <c r="D633" s="31" t="s">
        <v>78</v>
      </c>
      <c r="E633" s="31" t="s">
        <v>94</v>
      </c>
      <c r="F633" s="32" t="s">
        <v>178</v>
      </c>
    </row>
    <row r="634" spans="1:6">
      <c r="A634" s="29">
        <v>25843</v>
      </c>
      <c r="B634" s="31" t="s">
        <v>1567</v>
      </c>
      <c r="C634" s="31" t="s">
        <v>81</v>
      </c>
      <c r="D634" s="31" t="s">
        <v>78</v>
      </c>
      <c r="E634" s="31" t="s">
        <v>94</v>
      </c>
      <c r="F634" s="32" t="s">
        <v>93</v>
      </c>
    </row>
    <row r="635" spans="1:6">
      <c r="A635" s="29">
        <v>25871</v>
      </c>
      <c r="B635" s="31" t="s">
        <v>1568</v>
      </c>
      <c r="C635" s="31" t="s">
        <v>81</v>
      </c>
      <c r="D635" s="31" t="s">
        <v>78</v>
      </c>
      <c r="E635" s="31" t="s">
        <v>94</v>
      </c>
      <c r="F635" s="32" t="s">
        <v>178</v>
      </c>
    </row>
    <row r="636" spans="1:6">
      <c r="A636" s="29">
        <v>25873</v>
      </c>
      <c r="B636" s="31" t="s">
        <v>1569</v>
      </c>
      <c r="C636" s="31" t="s">
        <v>81</v>
      </c>
      <c r="D636" s="31" t="s">
        <v>186</v>
      </c>
      <c r="E636" s="31" t="s">
        <v>94</v>
      </c>
      <c r="F636" s="32" t="s">
        <v>93</v>
      </c>
    </row>
    <row r="637" spans="1:6">
      <c r="A637" s="29">
        <v>25875</v>
      </c>
      <c r="B637" s="31" t="s">
        <v>1570</v>
      </c>
      <c r="C637" s="31" t="s">
        <v>81</v>
      </c>
      <c r="D637" s="31" t="s">
        <v>78</v>
      </c>
      <c r="E637" s="31" t="s">
        <v>94</v>
      </c>
      <c r="F637" s="32" t="s">
        <v>93</v>
      </c>
    </row>
    <row r="638" spans="1:6">
      <c r="A638" s="29">
        <v>25878</v>
      </c>
      <c r="B638" s="31" t="s">
        <v>1571</v>
      </c>
      <c r="C638" s="31" t="s">
        <v>81</v>
      </c>
      <c r="D638" s="31" t="s">
        <v>78</v>
      </c>
      <c r="E638" s="31" t="s">
        <v>94</v>
      </c>
      <c r="F638" s="32" t="s">
        <v>178</v>
      </c>
    </row>
    <row r="639" spans="1:6">
      <c r="A639" s="29">
        <v>25885</v>
      </c>
      <c r="B639" s="31" t="s">
        <v>168</v>
      </c>
      <c r="C639" s="31" t="s">
        <v>81</v>
      </c>
      <c r="D639" s="31" t="s">
        <v>78</v>
      </c>
      <c r="E639" s="31" t="s">
        <v>94</v>
      </c>
      <c r="F639" s="32" t="s">
        <v>129</v>
      </c>
    </row>
    <row r="640" spans="1:6">
      <c r="A640" s="29">
        <v>25898</v>
      </c>
      <c r="B640" s="31" t="s">
        <v>1572</v>
      </c>
      <c r="C640" s="31" t="s">
        <v>81</v>
      </c>
      <c r="D640" s="31" t="s">
        <v>78</v>
      </c>
      <c r="E640" s="31" t="s">
        <v>94</v>
      </c>
      <c r="F640" s="32" t="s">
        <v>93</v>
      </c>
    </row>
    <row r="641" spans="1:6">
      <c r="A641" s="29">
        <v>25899</v>
      </c>
      <c r="B641" s="31" t="s">
        <v>1573</v>
      </c>
      <c r="C641" s="31" t="s">
        <v>81</v>
      </c>
      <c r="D641" s="31" t="s">
        <v>78</v>
      </c>
      <c r="E641" s="31" t="s">
        <v>94</v>
      </c>
      <c r="F641" s="32" t="s">
        <v>93</v>
      </c>
    </row>
    <row r="642" spans="1:6">
      <c r="A642" s="29">
        <v>94884</v>
      </c>
      <c r="B642" s="30" t="s">
        <v>1135</v>
      </c>
      <c r="C642" s="31" t="s">
        <v>1574</v>
      </c>
      <c r="D642" s="31" t="s">
        <v>131</v>
      </c>
      <c r="E642" s="31" t="s">
        <v>140</v>
      </c>
      <c r="F642" s="32" t="s">
        <v>139</v>
      </c>
    </row>
    <row r="643" spans="1:6">
      <c r="A643" s="29">
        <v>94343</v>
      </c>
      <c r="B643" s="31" t="s">
        <v>1575</v>
      </c>
      <c r="C643" s="31" t="s">
        <v>1574</v>
      </c>
      <c r="D643" s="31" t="s">
        <v>131</v>
      </c>
      <c r="E643" s="31" t="s">
        <v>140</v>
      </c>
      <c r="F643" s="32" t="s">
        <v>139</v>
      </c>
    </row>
    <row r="644" spans="1:6">
      <c r="A644" s="29">
        <v>94886</v>
      </c>
      <c r="B644" s="31" t="s">
        <v>1576</v>
      </c>
      <c r="C644" s="31" t="s">
        <v>1574</v>
      </c>
      <c r="D644" s="31" t="s">
        <v>131</v>
      </c>
      <c r="E644" s="31" t="s">
        <v>140</v>
      </c>
      <c r="F644" s="32" t="s">
        <v>139</v>
      </c>
    </row>
    <row r="645" spans="1:6">
      <c r="A645" s="29">
        <v>94001</v>
      </c>
      <c r="B645" s="31" t="s">
        <v>1577</v>
      </c>
      <c r="C645" s="31" t="s">
        <v>1574</v>
      </c>
      <c r="D645" s="31" t="s">
        <v>78</v>
      </c>
      <c r="E645" s="31" t="s">
        <v>140</v>
      </c>
      <c r="F645" s="32" t="s">
        <v>139</v>
      </c>
    </row>
    <row r="646" spans="1:6">
      <c r="A646" s="29">
        <v>94885</v>
      </c>
      <c r="B646" s="31" t="s">
        <v>1578</v>
      </c>
      <c r="C646" s="31" t="s">
        <v>1574</v>
      </c>
      <c r="D646" s="31" t="s">
        <v>131</v>
      </c>
      <c r="E646" s="31" t="s">
        <v>140</v>
      </c>
      <c r="F646" s="32" t="s">
        <v>139</v>
      </c>
    </row>
    <row r="647" spans="1:6">
      <c r="A647" s="29">
        <v>94663</v>
      </c>
      <c r="B647" s="31" t="s">
        <v>1579</v>
      </c>
      <c r="C647" s="31" t="s">
        <v>1574</v>
      </c>
      <c r="D647" s="31" t="s">
        <v>131</v>
      </c>
      <c r="E647" s="31" t="s">
        <v>140</v>
      </c>
      <c r="F647" s="32" t="s">
        <v>139</v>
      </c>
    </row>
    <row r="648" spans="1:6">
      <c r="A648" s="29">
        <v>94888</v>
      </c>
      <c r="B648" s="31" t="s">
        <v>1580</v>
      </c>
      <c r="C648" s="31" t="s">
        <v>1574</v>
      </c>
      <c r="D648" s="31" t="s">
        <v>131</v>
      </c>
      <c r="E648" s="31" t="s">
        <v>140</v>
      </c>
      <c r="F648" s="32" t="s">
        <v>139</v>
      </c>
    </row>
    <row r="649" spans="1:6">
      <c r="A649" s="29">
        <v>94887</v>
      </c>
      <c r="B649" s="31" t="s">
        <v>1581</v>
      </c>
      <c r="C649" s="31" t="s">
        <v>1574</v>
      </c>
      <c r="D649" s="31" t="s">
        <v>131</v>
      </c>
      <c r="E649" s="31" t="s">
        <v>140</v>
      </c>
      <c r="F649" s="32" t="s">
        <v>139</v>
      </c>
    </row>
    <row r="650" spans="1:6">
      <c r="A650" s="29">
        <v>94883</v>
      </c>
      <c r="B650" s="31" t="s">
        <v>1582</v>
      </c>
      <c r="C650" s="31" t="s">
        <v>1574</v>
      </c>
      <c r="D650" s="31" t="s">
        <v>131</v>
      </c>
      <c r="E650" s="31" t="s">
        <v>140</v>
      </c>
      <c r="F650" s="32" t="s">
        <v>139</v>
      </c>
    </row>
    <row r="651" spans="1:6">
      <c r="A651" s="29">
        <v>95015</v>
      </c>
      <c r="B651" s="30" t="s">
        <v>134</v>
      </c>
      <c r="C651" s="31" t="s">
        <v>133</v>
      </c>
      <c r="D651" s="31" t="s">
        <v>131</v>
      </c>
      <c r="E651" s="31" t="s">
        <v>140</v>
      </c>
      <c r="F651" s="32" t="s">
        <v>139</v>
      </c>
    </row>
    <row r="652" spans="1:6">
      <c r="A652" s="29">
        <v>95200</v>
      </c>
      <c r="B652" s="30" t="s">
        <v>1198</v>
      </c>
      <c r="C652" s="31" t="s">
        <v>133</v>
      </c>
      <c r="D652" s="31" t="s">
        <v>131</v>
      </c>
      <c r="E652" s="31" t="s">
        <v>140</v>
      </c>
      <c r="F652" s="32" t="s">
        <v>139</v>
      </c>
    </row>
    <row r="653" spans="1:6">
      <c r="A653" s="29">
        <v>95025</v>
      </c>
      <c r="B653" s="31" t="s">
        <v>1583</v>
      </c>
      <c r="C653" s="31" t="s">
        <v>133</v>
      </c>
      <c r="D653" s="31" t="s">
        <v>131</v>
      </c>
      <c r="E653" s="31" t="s">
        <v>94</v>
      </c>
      <c r="F653" s="32" t="s">
        <v>129</v>
      </c>
    </row>
    <row r="654" spans="1:6">
      <c r="A654" s="29">
        <v>95001</v>
      </c>
      <c r="B654" s="31" t="s">
        <v>1584</v>
      </c>
      <c r="C654" s="31" t="s">
        <v>133</v>
      </c>
      <c r="D654" s="31" t="s">
        <v>131</v>
      </c>
      <c r="E654" s="31" t="s">
        <v>94</v>
      </c>
      <c r="F654" s="32" t="s">
        <v>129</v>
      </c>
    </row>
    <row r="655" spans="1:6">
      <c r="A655" s="29">
        <v>41319</v>
      </c>
      <c r="B655" s="30" t="s">
        <v>1025</v>
      </c>
      <c r="C655" s="31" t="s">
        <v>296</v>
      </c>
      <c r="D655" s="31" t="s">
        <v>243</v>
      </c>
      <c r="E655" s="31" t="s">
        <v>94</v>
      </c>
      <c r="F655" s="32" t="s">
        <v>178</v>
      </c>
    </row>
    <row r="656" spans="1:6">
      <c r="A656" s="29">
        <v>41530</v>
      </c>
      <c r="B656" s="30" t="s">
        <v>1309</v>
      </c>
      <c r="C656" s="31" t="s">
        <v>296</v>
      </c>
      <c r="D656" s="31" t="s">
        <v>243</v>
      </c>
      <c r="E656" s="31" t="s">
        <v>94</v>
      </c>
      <c r="F656" s="32" t="s">
        <v>129</v>
      </c>
    </row>
    <row r="657" spans="1:6">
      <c r="A657" s="29">
        <v>41676</v>
      </c>
      <c r="B657" s="30" t="s">
        <v>1200</v>
      </c>
      <c r="C657" s="31" t="s">
        <v>296</v>
      </c>
      <c r="D657" s="31" t="s">
        <v>243</v>
      </c>
      <c r="E657" s="31" t="s">
        <v>94</v>
      </c>
      <c r="F657" s="32" t="s">
        <v>178</v>
      </c>
    </row>
    <row r="658" spans="1:6">
      <c r="A658" s="29">
        <v>41006</v>
      </c>
      <c r="B658" s="31" t="s">
        <v>1585</v>
      </c>
      <c r="C658" s="31" t="s">
        <v>296</v>
      </c>
      <c r="D658" s="31" t="s">
        <v>243</v>
      </c>
      <c r="E658" s="31" t="s">
        <v>94</v>
      </c>
      <c r="F658" s="32" t="s">
        <v>178</v>
      </c>
    </row>
    <row r="659" spans="1:6">
      <c r="A659" s="29">
        <v>41013</v>
      </c>
      <c r="B659" s="31" t="s">
        <v>1586</v>
      </c>
      <c r="C659" s="31" t="s">
        <v>296</v>
      </c>
      <c r="D659" s="31" t="s">
        <v>243</v>
      </c>
      <c r="E659" s="31" t="s">
        <v>94</v>
      </c>
      <c r="F659" s="32" t="s">
        <v>178</v>
      </c>
    </row>
    <row r="660" spans="1:6">
      <c r="A660" s="29">
        <v>41016</v>
      </c>
      <c r="B660" s="31" t="s">
        <v>1587</v>
      </c>
      <c r="C660" s="31" t="s">
        <v>296</v>
      </c>
      <c r="D660" s="31" t="s">
        <v>243</v>
      </c>
      <c r="E660" s="31" t="s">
        <v>94</v>
      </c>
      <c r="F660" s="32" t="s">
        <v>93</v>
      </c>
    </row>
    <row r="661" spans="1:6">
      <c r="A661" s="29">
        <v>41020</v>
      </c>
      <c r="B661" s="31" t="s">
        <v>1588</v>
      </c>
      <c r="C661" s="31" t="s">
        <v>296</v>
      </c>
      <c r="D661" s="31" t="s">
        <v>243</v>
      </c>
      <c r="E661" s="31" t="s">
        <v>94</v>
      </c>
      <c r="F661" s="32" t="s">
        <v>93</v>
      </c>
    </row>
    <row r="662" spans="1:6">
      <c r="A662" s="29">
        <v>41026</v>
      </c>
      <c r="B662" s="31" t="s">
        <v>1589</v>
      </c>
      <c r="C662" s="31" t="s">
        <v>296</v>
      </c>
      <c r="D662" s="31" t="s">
        <v>243</v>
      </c>
      <c r="E662" s="31" t="s">
        <v>94</v>
      </c>
      <c r="F662" s="32" t="s">
        <v>178</v>
      </c>
    </row>
    <row r="663" spans="1:6">
      <c r="A663" s="29">
        <v>41078</v>
      </c>
      <c r="B663" s="31" t="s">
        <v>1590</v>
      </c>
      <c r="C663" s="31" t="s">
        <v>296</v>
      </c>
      <c r="D663" s="31" t="s">
        <v>243</v>
      </c>
      <c r="E663" s="31" t="s">
        <v>94</v>
      </c>
      <c r="F663" s="32" t="s">
        <v>93</v>
      </c>
    </row>
    <row r="664" spans="1:6">
      <c r="A664" s="29">
        <v>41132</v>
      </c>
      <c r="B664" s="31" t="s">
        <v>1591</v>
      </c>
      <c r="C664" s="31" t="s">
        <v>296</v>
      </c>
      <c r="D664" s="31" t="s">
        <v>243</v>
      </c>
      <c r="E664" s="31" t="s">
        <v>94</v>
      </c>
      <c r="F664" s="32" t="s">
        <v>93</v>
      </c>
    </row>
    <row r="665" spans="1:6">
      <c r="A665" s="29">
        <v>41206</v>
      </c>
      <c r="B665" s="31" t="s">
        <v>1592</v>
      </c>
      <c r="C665" s="31" t="s">
        <v>296</v>
      </c>
      <c r="D665" s="31" t="s">
        <v>243</v>
      </c>
      <c r="E665" s="31" t="s">
        <v>94</v>
      </c>
      <c r="F665" s="32" t="s">
        <v>178</v>
      </c>
    </row>
    <row r="666" spans="1:6">
      <c r="A666" s="29">
        <v>41244</v>
      </c>
      <c r="B666" s="31" t="s">
        <v>1593</v>
      </c>
      <c r="C666" s="31" t="s">
        <v>296</v>
      </c>
      <c r="D666" s="31" t="s">
        <v>243</v>
      </c>
      <c r="E666" s="31" t="s">
        <v>94</v>
      </c>
      <c r="F666" s="32" t="s">
        <v>178</v>
      </c>
    </row>
    <row r="667" spans="1:6">
      <c r="A667" s="29">
        <v>41298</v>
      </c>
      <c r="B667" s="31" t="s">
        <v>1594</v>
      </c>
      <c r="C667" s="31" t="s">
        <v>296</v>
      </c>
      <c r="D667" s="31" t="s">
        <v>243</v>
      </c>
      <c r="E667" s="31" t="s">
        <v>94</v>
      </c>
      <c r="F667" s="32" t="s">
        <v>178</v>
      </c>
    </row>
    <row r="668" spans="1:6">
      <c r="A668" s="29">
        <v>41306</v>
      </c>
      <c r="B668" s="31" t="s">
        <v>1595</v>
      </c>
      <c r="C668" s="31" t="s">
        <v>296</v>
      </c>
      <c r="D668" s="31" t="s">
        <v>243</v>
      </c>
      <c r="E668" s="31" t="s">
        <v>94</v>
      </c>
      <c r="F668" s="32" t="s">
        <v>93</v>
      </c>
    </row>
    <row r="669" spans="1:6">
      <c r="A669" s="29">
        <v>41349</v>
      </c>
      <c r="B669" s="31" t="s">
        <v>1596</v>
      </c>
      <c r="C669" s="31" t="s">
        <v>296</v>
      </c>
      <c r="D669" s="31" t="s">
        <v>243</v>
      </c>
      <c r="E669" s="31" t="s">
        <v>94</v>
      </c>
      <c r="F669" s="32" t="s">
        <v>93</v>
      </c>
    </row>
    <row r="670" spans="1:6">
      <c r="A670" s="29">
        <v>41357</v>
      </c>
      <c r="B670" s="31" t="s">
        <v>1597</v>
      </c>
      <c r="C670" s="31" t="s">
        <v>296</v>
      </c>
      <c r="D670" s="31" t="s">
        <v>243</v>
      </c>
      <c r="E670" s="31" t="s">
        <v>94</v>
      </c>
      <c r="F670" s="32" t="s">
        <v>93</v>
      </c>
    </row>
    <row r="671" spans="1:6">
      <c r="A671" s="29">
        <v>41359</v>
      </c>
      <c r="B671" s="31" t="s">
        <v>1598</v>
      </c>
      <c r="C671" s="31" t="s">
        <v>296</v>
      </c>
      <c r="D671" s="31" t="s">
        <v>243</v>
      </c>
      <c r="E671" s="31" t="s">
        <v>94</v>
      </c>
      <c r="F671" s="32" t="s">
        <v>129</v>
      </c>
    </row>
    <row r="672" spans="1:6">
      <c r="A672" s="29">
        <v>41378</v>
      </c>
      <c r="B672" s="31" t="s">
        <v>1599</v>
      </c>
      <c r="C672" s="31" t="s">
        <v>296</v>
      </c>
      <c r="D672" s="31" t="s">
        <v>243</v>
      </c>
      <c r="E672" s="31" t="s">
        <v>94</v>
      </c>
      <c r="F672" s="32" t="s">
        <v>178</v>
      </c>
    </row>
    <row r="673" spans="1:6">
      <c r="A673" s="29">
        <v>41396</v>
      </c>
      <c r="B673" s="31" t="s">
        <v>1600</v>
      </c>
      <c r="C673" s="31" t="s">
        <v>296</v>
      </c>
      <c r="D673" s="31" t="s">
        <v>243</v>
      </c>
      <c r="E673" s="31" t="s">
        <v>94</v>
      </c>
      <c r="F673" s="32" t="s">
        <v>178</v>
      </c>
    </row>
    <row r="674" spans="1:6">
      <c r="A674" s="29">
        <v>41483</v>
      </c>
      <c r="B674" s="31" t="s">
        <v>1601</v>
      </c>
      <c r="C674" s="31" t="s">
        <v>296</v>
      </c>
      <c r="D674" s="31" t="s">
        <v>243</v>
      </c>
      <c r="E674" s="31" t="s">
        <v>94</v>
      </c>
      <c r="F674" s="32" t="s">
        <v>178</v>
      </c>
    </row>
    <row r="675" spans="1:6">
      <c r="A675" s="29">
        <v>41001</v>
      </c>
      <c r="B675" s="31" t="s">
        <v>243</v>
      </c>
      <c r="C675" s="31" t="s">
        <v>296</v>
      </c>
      <c r="D675" s="31" t="s">
        <v>243</v>
      </c>
      <c r="E675" s="31" t="s">
        <v>94</v>
      </c>
      <c r="F675" s="32" t="s">
        <v>102</v>
      </c>
    </row>
    <row r="676" spans="1:6">
      <c r="A676" s="29">
        <v>41503</v>
      </c>
      <c r="B676" s="31" t="s">
        <v>1602</v>
      </c>
      <c r="C676" s="31" t="s">
        <v>296</v>
      </c>
      <c r="D676" s="31" t="s">
        <v>243</v>
      </c>
      <c r="E676" s="31" t="s">
        <v>94</v>
      </c>
      <c r="F676" s="32" t="s">
        <v>129</v>
      </c>
    </row>
    <row r="677" spans="1:6">
      <c r="A677" s="29">
        <v>41518</v>
      </c>
      <c r="B677" s="31" t="s">
        <v>1603</v>
      </c>
      <c r="C677" s="31" t="s">
        <v>296</v>
      </c>
      <c r="D677" s="31" t="s">
        <v>243</v>
      </c>
      <c r="E677" s="31" t="s">
        <v>94</v>
      </c>
      <c r="F677" s="32" t="s">
        <v>93</v>
      </c>
    </row>
    <row r="678" spans="1:6">
      <c r="A678" s="29">
        <v>41524</v>
      </c>
      <c r="B678" s="31" t="s">
        <v>1604</v>
      </c>
      <c r="C678" s="31" t="s">
        <v>296</v>
      </c>
      <c r="D678" s="31" t="s">
        <v>243</v>
      </c>
      <c r="E678" s="31" t="s">
        <v>94</v>
      </c>
      <c r="F678" s="32" t="s">
        <v>102</v>
      </c>
    </row>
    <row r="679" spans="1:6">
      <c r="A679" s="29">
        <v>41548</v>
      </c>
      <c r="B679" s="31" t="s">
        <v>1605</v>
      </c>
      <c r="C679" s="31" t="s">
        <v>296</v>
      </c>
      <c r="D679" s="31" t="s">
        <v>243</v>
      </c>
      <c r="E679" s="31" t="s">
        <v>94</v>
      </c>
      <c r="F679" s="32" t="s">
        <v>178</v>
      </c>
    </row>
    <row r="680" spans="1:6">
      <c r="A680" s="29">
        <v>41551</v>
      </c>
      <c r="B680" s="31" t="s">
        <v>459</v>
      </c>
      <c r="C680" s="31" t="s">
        <v>296</v>
      </c>
      <c r="D680" s="31" t="s">
        <v>243</v>
      </c>
      <c r="E680" s="31" t="s">
        <v>94</v>
      </c>
      <c r="F680" s="32" t="s">
        <v>178</v>
      </c>
    </row>
    <row r="681" spans="1:6">
      <c r="A681" s="29">
        <v>41615</v>
      </c>
      <c r="B681" s="31" t="s">
        <v>1606</v>
      </c>
      <c r="C681" s="31" t="s">
        <v>296</v>
      </c>
      <c r="D681" s="31" t="s">
        <v>243</v>
      </c>
      <c r="E681" s="31" t="s">
        <v>94</v>
      </c>
      <c r="F681" s="32" t="s">
        <v>102</v>
      </c>
    </row>
    <row r="682" spans="1:6">
      <c r="A682" s="29">
        <v>41660</v>
      </c>
      <c r="B682" s="31" t="s">
        <v>1607</v>
      </c>
      <c r="C682" s="31" t="s">
        <v>296</v>
      </c>
      <c r="D682" s="31" t="s">
        <v>243</v>
      </c>
      <c r="E682" s="31" t="s">
        <v>94</v>
      </c>
      <c r="F682" s="32" t="s">
        <v>129</v>
      </c>
    </row>
    <row r="683" spans="1:6">
      <c r="A683" s="29">
        <v>41668</v>
      </c>
      <c r="B683" s="31" t="s">
        <v>1608</v>
      </c>
      <c r="C683" s="31" t="s">
        <v>296</v>
      </c>
      <c r="D683" s="31" t="s">
        <v>243</v>
      </c>
      <c r="E683" s="31" t="s">
        <v>94</v>
      </c>
      <c r="F683" s="32" t="s">
        <v>129</v>
      </c>
    </row>
    <row r="684" spans="1:6">
      <c r="A684" s="29">
        <v>41770</v>
      </c>
      <c r="B684" s="31" t="s">
        <v>1609</v>
      </c>
      <c r="C684" s="31" t="s">
        <v>296</v>
      </c>
      <c r="D684" s="31" t="s">
        <v>243</v>
      </c>
      <c r="E684" s="31" t="s">
        <v>94</v>
      </c>
      <c r="F684" s="32" t="s">
        <v>178</v>
      </c>
    </row>
    <row r="685" spans="1:6">
      <c r="A685" s="29">
        <v>41791</v>
      </c>
      <c r="B685" s="31" t="s">
        <v>1610</v>
      </c>
      <c r="C685" s="31" t="s">
        <v>296</v>
      </c>
      <c r="D685" s="31" t="s">
        <v>243</v>
      </c>
      <c r="E685" s="31" t="s">
        <v>94</v>
      </c>
      <c r="F685" s="32" t="s">
        <v>178</v>
      </c>
    </row>
    <row r="686" spans="1:6">
      <c r="A686" s="29">
        <v>41799</v>
      </c>
      <c r="B686" s="31" t="s">
        <v>1611</v>
      </c>
      <c r="C686" s="31" t="s">
        <v>296</v>
      </c>
      <c r="D686" s="31" t="s">
        <v>243</v>
      </c>
      <c r="E686" s="31" t="s">
        <v>94</v>
      </c>
      <c r="F686" s="32" t="s">
        <v>93</v>
      </c>
    </row>
    <row r="687" spans="1:6">
      <c r="A687" s="29">
        <v>41801</v>
      </c>
      <c r="B687" s="31" t="s">
        <v>1612</v>
      </c>
      <c r="C687" s="31" t="s">
        <v>296</v>
      </c>
      <c r="D687" s="31" t="s">
        <v>243</v>
      </c>
      <c r="E687" s="31" t="s">
        <v>94</v>
      </c>
      <c r="F687" s="32" t="s">
        <v>93</v>
      </c>
    </row>
    <row r="688" spans="1:6">
      <c r="A688" s="29">
        <v>41797</v>
      </c>
      <c r="B688" s="31" t="s">
        <v>1613</v>
      </c>
      <c r="C688" s="31" t="s">
        <v>296</v>
      </c>
      <c r="D688" s="31" t="s">
        <v>243</v>
      </c>
      <c r="E688" s="31" t="s">
        <v>94</v>
      </c>
      <c r="F688" s="32" t="s">
        <v>93</v>
      </c>
    </row>
    <row r="689" spans="1:6">
      <c r="A689" s="29">
        <v>41807</v>
      </c>
      <c r="B689" s="31" t="s">
        <v>1614</v>
      </c>
      <c r="C689" s="31" t="s">
        <v>296</v>
      </c>
      <c r="D689" s="31" t="s">
        <v>243</v>
      </c>
      <c r="E689" s="31" t="s">
        <v>94</v>
      </c>
      <c r="F689" s="32" t="s">
        <v>178</v>
      </c>
    </row>
    <row r="690" spans="1:6">
      <c r="A690" s="29">
        <v>41872</v>
      </c>
      <c r="B690" s="31" t="s">
        <v>1615</v>
      </c>
      <c r="C690" s="31" t="s">
        <v>296</v>
      </c>
      <c r="D690" s="31" t="s">
        <v>243</v>
      </c>
      <c r="E690" s="31" t="s">
        <v>94</v>
      </c>
      <c r="F690" s="32" t="s">
        <v>93</v>
      </c>
    </row>
    <row r="691" spans="1:6">
      <c r="A691" s="29">
        <v>41885</v>
      </c>
      <c r="B691" s="31" t="s">
        <v>1616</v>
      </c>
      <c r="C691" s="31" t="s">
        <v>296</v>
      </c>
      <c r="D691" s="31" t="s">
        <v>243</v>
      </c>
      <c r="E691" s="31" t="s">
        <v>94</v>
      </c>
      <c r="F691" s="32" t="s">
        <v>93</v>
      </c>
    </row>
    <row r="692" spans="1:6">
      <c r="A692" s="29">
        <v>44035</v>
      </c>
      <c r="B692" s="30" t="s">
        <v>1334</v>
      </c>
      <c r="C692" s="31" t="s">
        <v>1617</v>
      </c>
      <c r="D692" s="31" t="s">
        <v>649</v>
      </c>
      <c r="E692" s="31" t="s">
        <v>94</v>
      </c>
      <c r="F692" s="32" t="s">
        <v>178</v>
      </c>
    </row>
    <row r="693" spans="1:6">
      <c r="A693" s="29">
        <v>44560</v>
      </c>
      <c r="B693" s="30" t="s">
        <v>1399</v>
      </c>
      <c r="C693" s="31" t="s">
        <v>1617</v>
      </c>
      <c r="D693" s="31" t="s">
        <v>122</v>
      </c>
      <c r="E693" s="31" t="s">
        <v>94</v>
      </c>
      <c r="F693" s="32" t="s">
        <v>129</v>
      </c>
    </row>
    <row r="694" spans="1:6">
      <c r="A694" s="29">
        <v>44874</v>
      </c>
      <c r="B694" s="30" t="s">
        <v>1159</v>
      </c>
      <c r="C694" s="31" t="s">
        <v>1617</v>
      </c>
      <c r="D694" s="31" t="s">
        <v>649</v>
      </c>
      <c r="E694" s="31" t="s">
        <v>94</v>
      </c>
      <c r="F694" s="32" t="s">
        <v>93</v>
      </c>
    </row>
    <row r="695" spans="1:6">
      <c r="A695" s="29">
        <v>44078</v>
      </c>
      <c r="B695" s="31" t="s">
        <v>1618</v>
      </c>
      <c r="C695" s="31" t="s">
        <v>1617</v>
      </c>
      <c r="D695" s="31" t="s">
        <v>649</v>
      </c>
      <c r="E695" s="31" t="s">
        <v>94</v>
      </c>
      <c r="F695" s="32" t="s">
        <v>93</v>
      </c>
    </row>
    <row r="696" spans="1:6">
      <c r="A696" s="29">
        <v>44090</v>
      </c>
      <c r="B696" s="31" t="s">
        <v>1619</v>
      </c>
      <c r="C696" s="31" t="s">
        <v>1617</v>
      </c>
      <c r="D696" s="31" t="s">
        <v>122</v>
      </c>
      <c r="E696" s="31" t="s">
        <v>94</v>
      </c>
      <c r="F696" s="32" t="s">
        <v>178</v>
      </c>
    </row>
    <row r="697" spans="1:6">
      <c r="A697" s="29">
        <v>44098</v>
      </c>
      <c r="B697" s="31" t="s">
        <v>1620</v>
      </c>
      <c r="C697" s="31" t="s">
        <v>1617</v>
      </c>
      <c r="D697" s="31" t="s">
        <v>649</v>
      </c>
      <c r="E697" s="31" t="s">
        <v>94</v>
      </c>
      <c r="F697" s="32" t="s">
        <v>93</v>
      </c>
    </row>
    <row r="698" spans="1:6">
      <c r="A698" s="29">
        <v>44110</v>
      </c>
      <c r="B698" s="31" t="s">
        <v>1621</v>
      </c>
      <c r="C698" s="31" t="s">
        <v>1617</v>
      </c>
      <c r="D698" s="31" t="s">
        <v>649</v>
      </c>
      <c r="E698" s="31" t="s">
        <v>94</v>
      </c>
      <c r="F698" s="32" t="s">
        <v>93</v>
      </c>
    </row>
    <row r="699" spans="1:6">
      <c r="A699" s="29">
        <v>44279</v>
      </c>
      <c r="B699" s="31" t="s">
        <v>1622</v>
      </c>
      <c r="C699" s="31" t="s">
        <v>1617</v>
      </c>
      <c r="D699" s="31" t="s">
        <v>649</v>
      </c>
      <c r="E699" s="31" t="s">
        <v>94</v>
      </c>
      <c r="F699" s="32" t="s">
        <v>93</v>
      </c>
    </row>
    <row r="700" spans="1:6">
      <c r="A700" s="29">
        <v>44378</v>
      </c>
      <c r="B700" s="31" t="s">
        <v>1623</v>
      </c>
      <c r="C700" s="31" t="s">
        <v>1617</v>
      </c>
      <c r="D700" s="31" t="s">
        <v>649</v>
      </c>
      <c r="E700" s="31" t="s">
        <v>94</v>
      </c>
      <c r="F700" s="32" t="s">
        <v>178</v>
      </c>
    </row>
    <row r="701" spans="1:6">
      <c r="A701" s="29">
        <v>44420</v>
      </c>
      <c r="B701" s="31" t="s">
        <v>1624</v>
      </c>
      <c r="C701" s="31" t="s">
        <v>1617</v>
      </c>
      <c r="D701" s="31" t="s">
        <v>649</v>
      </c>
      <c r="E701" s="31" t="s">
        <v>94</v>
      </c>
      <c r="F701" s="32" t="s">
        <v>93</v>
      </c>
    </row>
    <row r="702" spans="1:6">
      <c r="A702" s="29">
        <v>44430</v>
      </c>
      <c r="B702" s="31" t="s">
        <v>1625</v>
      </c>
      <c r="C702" s="31" t="s">
        <v>1617</v>
      </c>
      <c r="D702" s="31" t="s">
        <v>122</v>
      </c>
      <c r="E702" s="31" t="s">
        <v>94</v>
      </c>
      <c r="F702" s="32" t="s">
        <v>129</v>
      </c>
    </row>
    <row r="703" spans="1:6">
      <c r="A703" s="29">
        <v>44001</v>
      </c>
      <c r="B703" s="31" t="s">
        <v>1626</v>
      </c>
      <c r="C703" s="31" t="s">
        <v>1617</v>
      </c>
      <c r="D703" s="31" t="s">
        <v>122</v>
      </c>
      <c r="E703" s="31" t="s">
        <v>94</v>
      </c>
      <c r="F703" s="32" t="s">
        <v>178</v>
      </c>
    </row>
    <row r="704" spans="1:6">
      <c r="A704" s="29">
        <v>44650</v>
      </c>
      <c r="B704" s="31" t="s">
        <v>1627</v>
      </c>
      <c r="C704" s="31" t="s">
        <v>1617</v>
      </c>
      <c r="D704" s="31" t="s">
        <v>649</v>
      </c>
      <c r="E704" s="31" t="s">
        <v>94</v>
      </c>
      <c r="F704" s="32" t="s">
        <v>93</v>
      </c>
    </row>
    <row r="705" spans="1:6">
      <c r="A705" s="29">
        <v>44847</v>
      </c>
      <c r="B705" s="31" t="s">
        <v>1628</v>
      </c>
      <c r="C705" s="31" t="s">
        <v>1617</v>
      </c>
      <c r="D705" s="31" t="s">
        <v>122</v>
      </c>
      <c r="E705" s="31" t="s">
        <v>94</v>
      </c>
      <c r="F705" s="32" t="s">
        <v>129</v>
      </c>
    </row>
    <row r="706" spans="1:6">
      <c r="A706" s="29">
        <v>44855</v>
      </c>
      <c r="B706" s="31" t="s">
        <v>1629</v>
      </c>
      <c r="C706" s="31" t="s">
        <v>1617</v>
      </c>
      <c r="D706" s="31" t="s">
        <v>649</v>
      </c>
      <c r="E706" s="31" t="s">
        <v>94</v>
      </c>
      <c r="F706" s="32" t="s">
        <v>93</v>
      </c>
    </row>
    <row r="707" spans="1:6">
      <c r="A707" s="29">
        <v>47189</v>
      </c>
      <c r="B707" s="30" t="s">
        <v>1197</v>
      </c>
      <c r="C707" s="31" t="s">
        <v>124</v>
      </c>
      <c r="D707" s="31" t="s">
        <v>122</v>
      </c>
      <c r="E707" s="31" t="s">
        <v>94</v>
      </c>
      <c r="F707" s="32" t="s">
        <v>93</v>
      </c>
    </row>
    <row r="708" spans="1:6">
      <c r="A708" s="29">
        <v>47205</v>
      </c>
      <c r="B708" s="30" t="s">
        <v>1024</v>
      </c>
      <c r="C708" s="31" t="s">
        <v>124</v>
      </c>
      <c r="D708" s="31" t="s">
        <v>218</v>
      </c>
      <c r="E708" s="31" t="s">
        <v>94</v>
      </c>
      <c r="F708" s="32" t="s">
        <v>178</v>
      </c>
    </row>
    <row r="709" spans="1:6">
      <c r="A709" s="29">
        <v>47318</v>
      </c>
      <c r="B709" s="30" t="s">
        <v>1630</v>
      </c>
      <c r="C709" s="31" t="s">
        <v>124</v>
      </c>
      <c r="D709" s="31" t="s">
        <v>122</v>
      </c>
      <c r="E709" s="31" t="s">
        <v>94</v>
      </c>
      <c r="F709" s="32" t="s">
        <v>129</v>
      </c>
    </row>
    <row r="710" spans="1:6">
      <c r="A710" s="29">
        <v>47675</v>
      </c>
      <c r="B710" s="30" t="s">
        <v>1312</v>
      </c>
      <c r="C710" s="31" t="s">
        <v>124</v>
      </c>
      <c r="D710" s="31" t="s">
        <v>218</v>
      </c>
      <c r="E710" s="31" t="s">
        <v>94</v>
      </c>
      <c r="F710" s="32" t="s">
        <v>93</v>
      </c>
    </row>
    <row r="711" spans="1:6">
      <c r="A711" s="29">
        <v>47030</v>
      </c>
      <c r="B711" s="31" t="s">
        <v>1631</v>
      </c>
      <c r="C711" s="31" t="s">
        <v>124</v>
      </c>
      <c r="D711" s="31" t="s">
        <v>122</v>
      </c>
      <c r="E711" s="31" t="s">
        <v>94</v>
      </c>
      <c r="F711" s="32" t="s">
        <v>129</v>
      </c>
    </row>
    <row r="712" spans="1:6">
      <c r="A712" s="29">
        <v>47053</v>
      </c>
      <c r="B712" s="31" t="s">
        <v>1632</v>
      </c>
      <c r="C712" s="31" t="s">
        <v>124</v>
      </c>
      <c r="D712" s="31" t="s">
        <v>122</v>
      </c>
      <c r="E712" s="31" t="s">
        <v>94</v>
      </c>
      <c r="F712" s="32" t="s">
        <v>178</v>
      </c>
    </row>
    <row r="713" spans="1:6">
      <c r="A713" s="29">
        <v>47058</v>
      </c>
      <c r="B713" s="31" t="s">
        <v>1633</v>
      </c>
      <c r="C713" s="31" t="s">
        <v>124</v>
      </c>
      <c r="D713" s="31" t="s">
        <v>649</v>
      </c>
      <c r="E713" s="31" t="s">
        <v>94</v>
      </c>
      <c r="F713" s="32" t="s">
        <v>178</v>
      </c>
    </row>
    <row r="714" spans="1:6">
      <c r="A714" s="29">
        <v>47161</v>
      </c>
      <c r="B714" s="31" t="s">
        <v>1634</v>
      </c>
      <c r="C714" s="31" t="s">
        <v>124</v>
      </c>
      <c r="D714" s="31" t="s">
        <v>218</v>
      </c>
      <c r="E714" s="31" t="s">
        <v>94</v>
      </c>
      <c r="F714" s="32" t="s">
        <v>129</v>
      </c>
    </row>
    <row r="715" spans="1:6">
      <c r="A715" s="29">
        <v>47170</v>
      </c>
      <c r="B715" s="31" t="s">
        <v>1635</v>
      </c>
      <c r="C715" s="31" t="s">
        <v>124</v>
      </c>
      <c r="D715" s="31" t="s">
        <v>122</v>
      </c>
      <c r="E715" s="31" t="s">
        <v>94</v>
      </c>
      <c r="F715" s="32" t="s">
        <v>129</v>
      </c>
    </row>
    <row r="716" spans="1:6">
      <c r="A716" s="29">
        <v>47245</v>
      </c>
      <c r="B716" s="31" t="s">
        <v>1636</v>
      </c>
      <c r="C716" s="31" t="s">
        <v>124</v>
      </c>
      <c r="D716" s="31" t="s">
        <v>122</v>
      </c>
      <c r="E716" s="31" t="s">
        <v>94</v>
      </c>
      <c r="F716" s="32" t="s">
        <v>129</v>
      </c>
    </row>
    <row r="717" spans="1:6">
      <c r="A717" s="29">
        <v>47258</v>
      </c>
      <c r="B717" s="31" t="s">
        <v>1637</v>
      </c>
      <c r="C717" s="31" t="s">
        <v>124</v>
      </c>
      <c r="D717" s="31" t="s">
        <v>218</v>
      </c>
      <c r="E717" s="31" t="s">
        <v>94</v>
      </c>
      <c r="F717" s="32" t="s">
        <v>178</v>
      </c>
    </row>
    <row r="718" spans="1:6">
      <c r="A718" s="29">
        <v>47268</v>
      </c>
      <c r="B718" s="31" t="s">
        <v>1638</v>
      </c>
      <c r="C718" s="31" t="s">
        <v>124</v>
      </c>
      <c r="D718" s="31" t="s">
        <v>122</v>
      </c>
      <c r="E718" s="31" t="s">
        <v>94</v>
      </c>
      <c r="F718" s="32" t="s">
        <v>178</v>
      </c>
    </row>
    <row r="719" spans="1:6">
      <c r="A719" s="29">
        <v>47288</v>
      </c>
      <c r="B719" s="31" t="s">
        <v>1639</v>
      </c>
      <c r="C719" s="31" t="s">
        <v>124</v>
      </c>
      <c r="D719" s="31" t="s">
        <v>122</v>
      </c>
      <c r="E719" s="31" t="s">
        <v>94</v>
      </c>
      <c r="F719" s="32" t="s">
        <v>178</v>
      </c>
    </row>
    <row r="720" spans="1:6">
      <c r="A720" s="29">
        <v>47460</v>
      </c>
      <c r="B720" s="31" t="s">
        <v>1640</v>
      </c>
      <c r="C720" s="31" t="s">
        <v>124</v>
      </c>
      <c r="D720" s="31" t="s">
        <v>649</v>
      </c>
      <c r="E720" s="31" t="s">
        <v>94</v>
      </c>
      <c r="F720" s="32" t="s">
        <v>129</v>
      </c>
    </row>
    <row r="721" spans="1:6">
      <c r="A721" s="29">
        <v>47541</v>
      </c>
      <c r="B721" s="31" t="s">
        <v>1641</v>
      </c>
      <c r="C721" s="31" t="s">
        <v>124</v>
      </c>
      <c r="D721" s="31" t="s">
        <v>218</v>
      </c>
      <c r="E721" s="31" t="s">
        <v>94</v>
      </c>
      <c r="F721" s="32" t="s">
        <v>178</v>
      </c>
    </row>
    <row r="722" spans="1:6">
      <c r="A722" s="29">
        <v>47545</v>
      </c>
      <c r="B722" s="31" t="s">
        <v>1642</v>
      </c>
      <c r="C722" s="31" t="s">
        <v>124</v>
      </c>
      <c r="D722" s="31" t="s">
        <v>122</v>
      </c>
      <c r="E722" s="31" t="s">
        <v>94</v>
      </c>
      <c r="F722" s="32" t="s">
        <v>129</v>
      </c>
    </row>
    <row r="723" spans="1:6">
      <c r="A723" s="29">
        <v>47551</v>
      </c>
      <c r="B723" s="31" t="s">
        <v>1643</v>
      </c>
      <c r="C723" s="31" t="s">
        <v>124</v>
      </c>
      <c r="D723" s="31" t="s">
        <v>122</v>
      </c>
      <c r="E723" s="31" t="s">
        <v>94</v>
      </c>
      <c r="F723" s="32" t="s">
        <v>129</v>
      </c>
    </row>
    <row r="724" spans="1:6">
      <c r="A724" s="29">
        <v>47555</v>
      </c>
      <c r="B724" s="31" t="s">
        <v>1644</v>
      </c>
      <c r="C724" s="31" t="s">
        <v>124</v>
      </c>
      <c r="D724" s="31" t="s">
        <v>122</v>
      </c>
      <c r="E724" s="31" t="s">
        <v>94</v>
      </c>
      <c r="F724" s="32" t="s">
        <v>129</v>
      </c>
    </row>
    <row r="725" spans="1:6">
      <c r="A725" s="29">
        <v>47570</v>
      </c>
      <c r="B725" s="31" t="s">
        <v>1645</v>
      </c>
      <c r="C725" s="31" t="s">
        <v>124</v>
      </c>
      <c r="D725" s="31" t="s">
        <v>122</v>
      </c>
      <c r="E725" s="31" t="s">
        <v>94</v>
      </c>
      <c r="F725" s="32" t="s">
        <v>93</v>
      </c>
    </row>
    <row r="726" spans="1:6">
      <c r="A726" s="29">
        <v>47605</v>
      </c>
      <c r="B726" s="31" t="s">
        <v>1646</v>
      </c>
      <c r="C726" s="31" t="s">
        <v>124</v>
      </c>
      <c r="D726" s="31" t="s">
        <v>218</v>
      </c>
      <c r="E726" s="31" t="s">
        <v>94</v>
      </c>
      <c r="F726" s="32" t="s">
        <v>178</v>
      </c>
    </row>
    <row r="727" spans="1:6">
      <c r="A727" s="29">
        <v>47660</v>
      </c>
      <c r="B727" s="31" t="s">
        <v>1647</v>
      </c>
      <c r="C727" s="31" t="s">
        <v>124</v>
      </c>
      <c r="D727" s="31" t="s">
        <v>122</v>
      </c>
      <c r="E727" s="31" t="s">
        <v>94</v>
      </c>
      <c r="F727" s="32" t="s">
        <v>129</v>
      </c>
    </row>
    <row r="728" spans="1:6">
      <c r="A728" s="29">
        <v>47692</v>
      </c>
      <c r="B728" s="31" t="s">
        <v>1648</v>
      </c>
      <c r="C728" s="31" t="s">
        <v>124</v>
      </c>
      <c r="D728" s="31" t="s">
        <v>122</v>
      </c>
      <c r="E728" s="31" t="s">
        <v>94</v>
      </c>
      <c r="F728" s="32" t="s">
        <v>129</v>
      </c>
    </row>
    <row r="729" spans="1:6">
      <c r="A729" s="29">
        <v>47703</v>
      </c>
      <c r="B729" s="31" t="s">
        <v>1649</v>
      </c>
      <c r="C729" s="31" t="s">
        <v>124</v>
      </c>
      <c r="D729" s="31" t="s">
        <v>122</v>
      </c>
      <c r="E729" s="31" t="s">
        <v>94</v>
      </c>
      <c r="F729" s="32" t="s">
        <v>129</v>
      </c>
    </row>
    <row r="730" spans="1:6">
      <c r="A730" s="29">
        <v>47707</v>
      </c>
      <c r="B730" s="31" t="s">
        <v>125</v>
      </c>
      <c r="C730" s="31" t="s">
        <v>124</v>
      </c>
      <c r="D730" s="31" t="s">
        <v>122</v>
      </c>
      <c r="E730" s="31" t="s">
        <v>94</v>
      </c>
      <c r="F730" s="32" t="s">
        <v>129</v>
      </c>
    </row>
    <row r="731" spans="1:6">
      <c r="A731" s="29">
        <v>47720</v>
      </c>
      <c r="B731" s="31" t="s">
        <v>1650</v>
      </c>
      <c r="C731" s="31" t="s">
        <v>124</v>
      </c>
      <c r="D731" s="31" t="s">
        <v>122</v>
      </c>
      <c r="E731" s="31" t="s">
        <v>94</v>
      </c>
      <c r="F731" s="32" t="s">
        <v>129</v>
      </c>
    </row>
    <row r="732" spans="1:6">
      <c r="A732" s="29">
        <v>47001</v>
      </c>
      <c r="B732" s="31" t="s">
        <v>122</v>
      </c>
      <c r="C732" s="31" t="s">
        <v>124</v>
      </c>
      <c r="D732" s="31" t="s">
        <v>122</v>
      </c>
      <c r="E732" s="31" t="s">
        <v>94</v>
      </c>
      <c r="F732" s="32" t="s">
        <v>102</v>
      </c>
    </row>
    <row r="733" spans="1:6">
      <c r="A733" s="29">
        <v>47745</v>
      </c>
      <c r="B733" s="31" t="s">
        <v>1651</v>
      </c>
      <c r="C733" s="31" t="s">
        <v>124</v>
      </c>
      <c r="D733" s="31" t="s">
        <v>218</v>
      </c>
      <c r="E733" s="31" t="s">
        <v>94</v>
      </c>
      <c r="F733" s="32" t="s">
        <v>93</v>
      </c>
    </row>
    <row r="734" spans="1:6">
      <c r="A734" s="29">
        <v>47798</v>
      </c>
      <c r="B734" s="31" t="s">
        <v>1652</v>
      </c>
      <c r="C734" s="31" t="s">
        <v>124</v>
      </c>
      <c r="D734" s="31" t="s">
        <v>122</v>
      </c>
      <c r="E734" s="31" t="s">
        <v>94</v>
      </c>
      <c r="F734" s="32" t="s">
        <v>129</v>
      </c>
    </row>
    <row r="735" spans="1:6">
      <c r="A735" s="29">
        <v>47960</v>
      </c>
      <c r="B735" s="31" t="s">
        <v>1653</v>
      </c>
      <c r="C735" s="31" t="s">
        <v>124</v>
      </c>
      <c r="D735" s="31" t="s">
        <v>218</v>
      </c>
      <c r="E735" s="31" t="s">
        <v>856</v>
      </c>
      <c r="F735" s="32" t="s">
        <v>139</v>
      </c>
    </row>
    <row r="736" spans="1:6">
      <c r="A736" s="29">
        <v>47980</v>
      </c>
      <c r="B736" s="31" t="s">
        <v>1654</v>
      </c>
      <c r="C736" s="31" t="s">
        <v>124</v>
      </c>
      <c r="D736" s="31" t="s">
        <v>122</v>
      </c>
      <c r="E736" s="31" t="s">
        <v>94</v>
      </c>
      <c r="F736" s="32" t="s">
        <v>93</v>
      </c>
    </row>
    <row r="737" spans="1:6">
      <c r="A737" s="29">
        <v>50313</v>
      </c>
      <c r="B737" s="30" t="s">
        <v>261</v>
      </c>
      <c r="C737" s="31" t="s">
        <v>207</v>
      </c>
      <c r="D737" s="31" t="s">
        <v>131</v>
      </c>
      <c r="E737" s="31" t="s">
        <v>94</v>
      </c>
      <c r="F737" s="32" t="s">
        <v>93</v>
      </c>
    </row>
    <row r="738" spans="1:6">
      <c r="A738" s="29">
        <v>50318</v>
      </c>
      <c r="B738" s="30" t="s">
        <v>1630</v>
      </c>
      <c r="C738" s="31" t="s">
        <v>207</v>
      </c>
      <c r="D738" s="31" t="s">
        <v>131</v>
      </c>
      <c r="E738" s="31" t="s">
        <v>94</v>
      </c>
      <c r="F738" s="32" t="s">
        <v>93</v>
      </c>
    </row>
    <row r="739" spans="1:6">
      <c r="A739" s="29">
        <v>50590</v>
      </c>
      <c r="B739" s="30" t="s">
        <v>1335</v>
      </c>
      <c r="C739" s="31" t="s">
        <v>207</v>
      </c>
      <c r="D739" s="31" t="s">
        <v>131</v>
      </c>
      <c r="E739" s="31" t="s">
        <v>94</v>
      </c>
      <c r="F739" s="32" t="s">
        <v>129</v>
      </c>
    </row>
    <row r="740" spans="1:6">
      <c r="A740" s="29">
        <v>50606</v>
      </c>
      <c r="B740" s="30" t="s">
        <v>1655</v>
      </c>
      <c r="C740" s="31" t="s">
        <v>207</v>
      </c>
      <c r="D740" s="31" t="s">
        <v>131</v>
      </c>
      <c r="E740" s="31" t="s">
        <v>94</v>
      </c>
      <c r="F740" s="32" t="s">
        <v>93</v>
      </c>
    </row>
    <row r="741" spans="1:6">
      <c r="A741" s="29">
        <v>50689</v>
      </c>
      <c r="B741" s="30" t="s">
        <v>1400</v>
      </c>
      <c r="C741" s="31" t="s">
        <v>207</v>
      </c>
      <c r="D741" s="31" t="s">
        <v>131</v>
      </c>
      <c r="E741" s="31" t="s">
        <v>94</v>
      </c>
      <c r="F741" s="32" t="s">
        <v>93</v>
      </c>
    </row>
    <row r="742" spans="1:6">
      <c r="A742" s="29">
        <v>50006</v>
      </c>
      <c r="B742" s="31" t="s">
        <v>1656</v>
      </c>
      <c r="C742" s="31" t="s">
        <v>207</v>
      </c>
      <c r="D742" s="31" t="s">
        <v>131</v>
      </c>
      <c r="E742" s="31" t="s">
        <v>94</v>
      </c>
      <c r="F742" s="32" t="s">
        <v>93</v>
      </c>
    </row>
    <row r="743" spans="1:6">
      <c r="A743" s="29">
        <v>50110</v>
      </c>
      <c r="B743" s="31" t="s">
        <v>1657</v>
      </c>
      <c r="C743" s="31" t="s">
        <v>207</v>
      </c>
      <c r="D743" s="31" t="s">
        <v>131</v>
      </c>
      <c r="E743" s="31" t="s">
        <v>94</v>
      </c>
      <c r="F743" s="32" t="s">
        <v>93</v>
      </c>
    </row>
    <row r="744" spans="1:6">
      <c r="A744" s="29">
        <v>50124</v>
      </c>
      <c r="B744" s="31" t="s">
        <v>1658</v>
      </c>
      <c r="C744" s="31" t="s">
        <v>207</v>
      </c>
      <c r="D744" s="31" t="s">
        <v>131</v>
      </c>
      <c r="E744" s="31" t="s">
        <v>94</v>
      </c>
      <c r="F744" s="32" t="s">
        <v>178</v>
      </c>
    </row>
    <row r="745" spans="1:6">
      <c r="A745" s="29">
        <v>50150</v>
      </c>
      <c r="B745" s="31" t="s">
        <v>1659</v>
      </c>
      <c r="C745" s="31" t="s">
        <v>207</v>
      </c>
      <c r="D745" s="31" t="s">
        <v>131</v>
      </c>
      <c r="E745" s="31" t="s">
        <v>94</v>
      </c>
      <c r="F745" s="32" t="s">
        <v>93</v>
      </c>
    </row>
    <row r="746" spans="1:6">
      <c r="A746" s="29">
        <v>50223</v>
      </c>
      <c r="B746" s="31" t="s">
        <v>1660</v>
      </c>
      <c r="C746" s="31" t="s">
        <v>207</v>
      </c>
      <c r="D746" s="31" t="s">
        <v>131</v>
      </c>
      <c r="E746" s="31" t="s">
        <v>94</v>
      </c>
      <c r="F746" s="32" t="s">
        <v>93</v>
      </c>
    </row>
    <row r="747" spans="1:6">
      <c r="A747" s="29">
        <v>50226</v>
      </c>
      <c r="B747" s="31" t="s">
        <v>1661</v>
      </c>
      <c r="C747" s="31" t="s">
        <v>207</v>
      </c>
      <c r="D747" s="31" t="s">
        <v>131</v>
      </c>
      <c r="E747" s="31" t="s">
        <v>94</v>
      </c>
      <c r="F747" s="32" t="s">
        <v>93</v>
      </c>
    </row>
    <row r="748" spans="1:6">
      <c r="A748" s="29">
        <v>50245</v>
      </c>
      <c r="B748" s="31" t="s">
        <v>1662</v>
      </c>
      <c r="C748" s="31" t="s">
        <v>207</v>
      </c>
      <c r="D748" s="31" t="s">
        <v>131</v>
      </c>
      <c r="E748" s="31" t="s">
        <v>94</v>
      </c>
      <c r="F748" s="32" t="s">
        <v>129</v>
      </c>
    </row>
    <row r="749" spans="1:6">
      <c r="A749" s="29">
        <v>50251</v>
      </c>
      <c r="B749" s="31" t="s">
        <v>1663</v>
      </c>
      <c r="C749" s="31" t="s">
        <v>207</v>
      </c>
      <c r="D749" s="31" t="s">
        <v>131</v>
      </c>
      <c r="E749" s="31" t="s">
        <v>94</v>
      </c>
      <c r="F749" s="32" t="s">
        <v>93</v>
      </c>
    </row>
    <row r="750" spans="1:6">
      <c r="A750" s="29">
        <v>50270</v>
      </c>
      <c r="B750" s="31" t="s">
        <v>1664</v>
      </c>
      <c r="C750" s="31" t="s">
        <v>207</v>
      </c>
      <c r="D750" s="31" t="s">
        <v>131</v>
      </c>
      <c r="E750" s="31" t="s">
        <v>94</v>
      </c>
      <c r="F750" s="32" t="s">
        <v>93</v>
      </c>
    </row>
    <row r="751" spans="1:6">
      <c r="A751" s="29">
        <v>50287</v>
      </c>
      <c r="B751" s="31" t="s">
        <v>1665</v>
      </c>
      <c r="C751" s="31" t="s">
        <v>207</v>
      </c>
      <c r="D751" s="31" t="s">
        <v>131</v>
      </c>
      <c r="E751" s="31" t="s">
        <v>94</v>
      </c>
      <c r="F751" s="32" t="s">
        <v>178</v>
      </c>
    </row>
    <row r="752" spans="1:6">
      <c r="A752" s="29">
        <v>50350</v>
      </c>
      <c r="B752" s="31" t="s">
        <v>1666</v>
      </c>
      <c r="C752" s="31" t="s">
        <v>207</v>
      </c>
      <c r="D752" s="31" t="s">
        <v>131</v>
      </c>
      <c r="E752" s="31" t="s">
        <v>140</v>
      </c>
      <c r="F752" s="32" t="s">
        <v>139</v>
      </c>
    </row>
    <row r="753" spans="1:6">
      <c r="A753" s="29">
        <v>50400</v>
      </c>
      <c r="B753" s="31" t="s">
        <v>1667</v>
      </c>
      <c r="C753" s="31" t="s">
        <v>207</v>
      </c>
      <c r="D753" s="31" t="s">
        <v>131</v>
      </c>
      <c r="E753" s="31" t="s">
        <v>94</v>
      </c>
      <c r="F753" s="32" t="s">
        <v>178</v>
      </c>
    </row>
    <row r="754" spans="1:6">
      <c r="A754" s="29">
        <v>50325</v>
      </c>
      <c r="B754" s="31" t="s">
        <v>1668</v>
      </c>
      <c r="C754" s="31" t="s">
        <v>207</v>
      </c>
      <c r="D754" s="31" t="s">
        <v>131</v>
      </c>
      <c r="E754" s="31" t="s">
        <v>140</v>
      </c>
      <c r="F754" s="32" t="s">
        <v>139</v>
      </c>
    </row>
    <row r="755" spans="1:6">
      <c r="A755" s="29">
        <v>50330</v>
      </c>
      <c r="B755" s="31" t="s">
        <v>1669</v>
      </c>
      <c r="C755" s="31" t="s">
        <v>207</v>
      </c>
      <c r="D755" s="31" t="s">
        <v>131</v>
      </c>
      <c r="E755" s="31" t="s">
        <v>94</v>
      </c>
      <c r="F755" s="32" t="s">
        <v>178</v>
      </c>
    </row>
    <row r="756" spans="1:6">
      <c r="A756" s="29">
        <v>50450</v>
      </c>
      <c r="B756" s="31" t="s">
        <v>1670</v>
      </c>
      <c r="C756" s="31" t="s">
        <v>207</v>
      </c>
      <c r="D756" s="31" t="s">
        <v>131</v>
      </c>
      <c r="E756" s="31" t="s">
        <v>94</v>
      </c>
      <c r="F756" s="32" t="s">
        <v>129</v>
      </c>
    </row>
    <row r="757" spans="1:6">
      <c r="A757" s="29">
        <v>50568</v>
      </c>
      <c r="B757" s="31" t="s">
        <v>279</v>
      </c>
      <c r="C757" s="31" t="s">
        <v>207</v>
      </c>
      <c r="D757" s="31" t="s">
        <v>131</v>
      </c>
      <c r="E757" s="31" t="s">
        <v>94</v>
      </c>
      <c r="F757" s="32" t="s">
        <v>178</v>
      </c>
    </row>
    <row r="758" spans="1:6">
      <c r="A758" s="29">
        <v>50577</v>
      </c>
      <c r="B758" s="31" t="s">
        <v>1671</v>
      </c>
      <c r="C758" s="31" t="s">
        <v>207</v>
      </c>
      <c r="D758" s="31" t="s">
        <v>131</v>
      </c>
      <c r="E758" s="31" t="s">
        <v>94</v>
      </c>
      <c r="F758" s="32" t="s">
        <v>178</v>
      </c>
    </row>
    <row r="759" spans="1:6">
      <c r="A759" s="29">
        <v>50573</v>
      </c>
      <c r="B759" s="31" t="s">
        <v>1672</v>
      </c>
      <c r="C759" s="31" t="s">
        <v>207</v>
      </c>
      <c r="D759" s="31" t="s">
        <v>131</v>
      </c>
      <c r="E759" s="31" t="s">
        <v>94</v>
      </c>
      <c r="F759" s="32" t="s">
        <v>93</v>
      </c>
    </row>
    <row r="760" spans="1:6">
      <c r="A760" s="29">
        <v>50680</v>
      </c>
      <c r="B760" s="31" t="s">
        <v>1673</v>
      </c>
      <c r="C760" s="31" t="s">
        <v>207</v>
      </c>
      <c r="D760" s="31" t="s">
        <v>131</v>
      </c>
      <c r="E760" s="31" t="s">
        <v>94</v>
      </c>
      <c r="F760" s="32" t="s">
        <v>93</v>
      </c>
    </row>
    <row r="761" spans="1:6">
      <c r="A761" s="29">
        <v>50683</v>
      </c>
      <c r="B761" s="31" t="s">
        <v>1674</v>
      </c>
      <c r="C761" s="31" t="s">
        <v>207</v>
      </c>
      <c r="D761" s="31" t="s">
        <v>131</v>
      </c>
      <c r="E761" s="31" t="s">
        <v>94</v>
      </c>
      <c r="F761" s="32" t="s">
        <v>178</v>
      </c>
    </row>
    <row r="762" spans="1:6">
      <c r="A762" s="29">
        <v>50686</v>
      </c>
      <c r="B762" s="31" t="s">
        <v>1675</v>
      </c>
      <c r="C762" s="31" t="s">
        <v>207</v>
      </c>
      <c r="D762" s="31" t="s">
        <v>131</v>
      </c>
      <c r="E762" s="31" t="s">
        <v>94</v>
      </c>
      <c r="F762" s="32" t="s">
        <v>129</v>
      </c>
    </row>
    <row r="763" spans="1:6">
      <c r="A763" s="29">
        <v>50370</v>
      </c>
      <c r="B763" s="31" t="s">
        <v>1676</v>
      </c>
      <c r="C763" s="31" t="s">
        <v>207</v>
      </c>
      <c r="D763" s="31" t="s">
        <v>131</v>
      </c>
      <c r="E763" s="31" t="s">
        <v>140</v>
      </c>
      <c r="F763" s="32" t="s">
        <v>139</v>
      </c>
    </row>
    <row r="764" spans="1:6">
      <c r="A764" s="29">
        <v>50001</v>
      </c>
      <c r="B764" s="31" t="s">
        <v>131</v>
      </c>
      <c r="C764" s="31" t="s">
        <v>207</v>
      </c>
      <c r="D764" s="31" t="s">
        <v>131</v>
      </c>
      <c r="E764" s="31" t="s">
        <v>94</v>
      </c>
      <c r="F764" s="32" t="s">
        <v>102</v>
      </c>
    </row>
    <row r="765" spans="1:6">
      <c r="A765" s="29">
        <v>50711</v>
      </c>
      <c r="B765" s="31" t="s">
        <v>1677</v>
      </c>
      <c r="C765" s="31" t="s">
        <v>207</v>
      </c>
      <c r="D765" s="31" t="s">
        <v>131</v>
      </c>
      <c r="E765" s="31" t="s">
        <v>94</v>
      </c>
      <c r="F765" s="32" t="s">
        <v>178</v>
      </c>
    </row>
    <row r="766" spans="1:6">
      <c r="A766" s="29">
        <v>52019</v>
      </c>
      <c r="B766" s="30" t="s">
        <v>1473</v>
      </c>
      <c r="C766" s="31" t="s">
        <v>98</v>
      </c>
      <c r="D766" s="31" t="s">
        <v>96</v>
      </c>
      <c r="E766" s="31" t="s">
        <v>94</v>
      </c>
      <c r="F766" s="32" t="s">
        <v>93</v>
      </c>
    </row>
    <row r="767" spans="1:6">
      <c r="A767" s="29">
        <v>52083</v>
      </c>
      <c r="B767" s="30" t="s">
        <v>1196</v>
      </c>
      <c r="C767" s="31" t="s">
        <v>98</v>
      </c>
      <c r="D767" s="31" t="s">
        <v>96</v>
      </c>
      <c r="E767" s="31" t="s">
        <v>94</v>
      </c>
      <c r="F767" s="32" t="s">
        <v>178</v>
      </c>
    </row>
    <row r="768" spans="1:6">
      <c r="A768" s="29">
        <v>52203</v>
      </c>
      <c r="B768" s="30" t="s">
        <v>1678</v>
      </c>
      <c r="C768" s="31" t="s">
        <v>98</v>
      </c>
      <c r="D768" s="31" t="s">
        <v>96</v>
      </c>
      <c r="E768" s="31" t="s">
        <v>94</v>
      </c>
      <c r="F768" s="32" t="s">
        <v>129</v>
      </c>
    </row>
    <row r="769" spans="1:6">
      <c r="A769" s="29">
        <v>52215</v>
      </c>
      <c r="B769" s="30" t="s">
        <v>115</v>
      </c>
      <c r="C769" s="31" t="s">
        <v>98</v>
      </c>
      <c r="D769" s="31" t="s">
        <v>96</v>
      </c>
      <c r="E769" s="31" t="s">
        <v>94</v>
      </c>
      <c r="F769" s="32" t="s">
        <v>93</v>
      </c>
    </row>
    <row r="770" spans="1:6">
      <c r="A770" s="29">
        <v>52260</v>
      </c>
      <c r="B770" s="30" t="s">
        <v>174</v>
      </c>
      <c r="C770" s="31" t="s">
        <v>98</v>
      </c>
      <c r="D770" s="31" t="s">
        <v>96</v>
      </c>
      <c r="E770" s="31" t="s">
        <v>94</v>
      </c>
      <c r="F770" s="32" t="s">
        <v>93</v>
      </c>
    </row>
    <row r="771" spans="1:6">
      <c r="A771" s="29">
        <v>52399</v>
      </c>
      <c r="B771" s="30" t="s">
        <v>1027</v>
      </c>
      <c r="C771" s="31" t="s">
        <v>98</v>
      </c>
      <c r="D771" s="31" t="s">
        <v>96</v>
      </c>
      <c r="E771" s="31" t="s">
        <v>94</v>
      </c>
      <c r="F771" s="32" t="s">
        <v>178</v>
      </c>
    </row>
    <row r="772" spans="1:6">
      <c r="A772" s="29">
        <v>52473</v>
      </c>
      <c r="B772" s="30" t="s">
        <v>1475</v>
      </c>
      <c r="C772" s="31" t="s">
        <v>98</v>
      </c>
      <c r="D772" s="31" t="s">
        <v>96</v>
      </c>
      <c r="E772" s="31" t="s">
        <v>94</v>
      </c>
      <c r="F772" s="32" t="s">
        <v>129</v>
      </c>
    </row>
    <row r="773" spans="1:6">
      <c r="A773" s="29">
        <v>52480</v>
      </c>
      <c r="B773" s="30" t="s">
        <v>98</v>
      </c>
      <c r="C773" s="31" t="s">
        <v>98</v>
      </c>
      <c r="D773" s="31" t="s">
        <v>96</v>
      </c>
      <c r="E773" s="31" t="s">
        <v>94</v>
      </c>
      <c r="F773" s="32" t="s">
        <v>93</v>
      </c>
    </row>
    <row r="774" spans="1:6">
      <c r="A774" s="29">
        <v>52565</v>
      </c>
      <c r="B774" s="30" t="s">
        <v>1679</v>
      </c>
      <c r="C774" s="31" t="s">
        <v>98</v>
      </c>
      <c r="D774" s="31" t="s">
        <v>96</v>
      </c>
      <c r="E774" s="31" t="s">
        <v>94</v>
      </c>
      <c r="F774" s="32" t="s">
        <v>178</v>
      </c>
    </row>
    <row r="775" spans="1:6">
      <c r="A775" s="29">
        <v>52612</v>
      </c>
      <c r="B775" s="30" t="s">
        <v>1476</v>
      </c>
      <c r="C775" s="31" t="s">
        <v>98</v>
      </c>
      <c r="D775" s="31" t="s">
        <v>96</v>
      </c>
      <c r="E775" s="31" t="s">
        <v>94</v>
      </c>
      <c r="F775" s="32" t="s">
        <v>178</v>
      </c>
    </row>
    <row r="776" spans="1:6">
      <c r="A776" s="29">
        <v>52685</v>
      </c>
      <c r="B776" s="30" t="s">
        <v>1477</v>
      </c>
      <c r="C776" s="31" t="s">
        <v>98</v>
      </c>
      <c r="D776" s="31" t="s">
        <v>96</v>
      </c>
      <c r="E776" s="31" t="s">
        <v>94</v>
      </c>
      <c r="F776" s="32" t="s">
        <v>93</v>
      </c>
    </row>
    <row r="777" spans="1:6">
      <c r="A777" s="29">
        <v>52693</v>
      </c>
      <c r="B777" s="30" t="s">
        <v>1157</v>
      </c>
      <c r="C777" s="31" t="s">
        <v>98</v>
      </c>
      <c r="D777" s="31" t="s">
        <v>96</v>
      </c>
      <c r="E777" s="31" t="s">
        <v>94</v>
      </c>
      <c r="F777" s="32" t="s">
        <v>129</v>
      </c>
    </row>
    <row r="778" spans="1:6">
      <c r="A778" s="29">
        <v>52696</v>
      </c>
      <c r="B778" s="30" t="s">
        <v>1032</v>
      </c>
      <c r="C778" s="31" t="s">
        <v>98</v>
      </c>
      <c r="D778" s="31" t="s">
        <v>96</v>
      </c>
      <c r="E778" s="31" t="s">
        <v>935</v>
      </c>
      <c r="F778" s="32" t="s">
        <v>139</v>
      </c>
    </row>
    <row r="779" spans="1:6">
      <c r="A779" s="29">
        <v>52022</v>
      </c>
      <c r="B779" s="31" t="s">
        <v>1680</v>
      </c>
      <c r="C779" s="31" t="s">
        <v>98</v>
      </c>
      <c r="D779" s="31" t="s">
        <v>96</v>
      </c>
      <c r="E779" s="31" t="s">
        <v>94</v>
      </c>
      <c r="F779" s="32" t="s">
        <v>93</v>
      </c>
    </row>
    <row r="780" spans="1:6">
      <c r="A780" s="29">
        <v>52036</v>
      </c>
      <c r="B780" s="31" t="s">
        <v>1681</v>
      </c>
      <c r="C780" s="31" t="s">
        <v>98</v>
      </c>
      <c r="D780" s="31" t="s">
        <v>96</v>
      </c>
      <c r="E780" s="31" t="s">
        <v>94</v>
      </c>
      <c r="F780" s="32" t="s">
        <v>93</v>
      </c>
    </row>
    <row r="781" spans="1:6">
      <c r="A781" s="29">
        <v>52051</v>
      </c>
      <c r="B781" s="31" t="s">
        <v>1682</v>
      </c>
      <c r="C781" s="31" t="s">
        <v>98</v>
      </c>
      <c r="D781" s="31" t="s">
        <v>96</v>
      </c>
      <c r="E781" s="31" t="s">
        <v>94</v>
      </c>
      <c r="F781" s="32" t="s">
        <v>93</v>
      </c>
    </row>
    <row r="782" spans="1:6">
      <c r="A782" s="29">
        <v>52079</v>
      </c>
      <c r="B782" s="31" t="s">
        <v>793</v>
      </c>
      <c r="C782" s="31" t="s">
        <v>98</v>
      </c>
      <c r="D782" s="31" t="s">
        <v>96</v>
      </c>
      <c r="E782" s="31" t="s">
        <v>94</v>
      </c>
      <c r="F782" s="32" t="s">
        <v>129</v>
      </c>
    </row>
    <row r="783" spans="1:6">
      <c r="A783" s="29">
        <v>52110</v>
      </c>
      <c r="B783" s="31" t="s">
        <v>1683</v>
      </c>
      <c r="C783" s="31" t="s">
        <v>98</v>
      </c>
      <c r="D783" s="31" t="s">
        <v>96</v>
      </c>
      <c r="E783" s="31" t="s">
        <v>94</v>
      </c>
      <c r="F783" s="32" t="s">
        <v>93</v>
      </c>
    </row>
    <row r="784" spans="1:6">
      <c r="A784" s="29">
        <v>52240</v>
      </c>
      <c r="B784" s="31" t="s">
        <v>1684</v>
      </c>
      <c r="C784" s="31" t="s">
        <v>98</v>
      </c>
      <c r="D784" s="31" t="s">
        <v>96</v>
      </c>
      <c r="E784" s="31" t="s">
        <v>94</v>
      </c>
      <c r="F784" s="32" t="s">
        <v>93</v>
      </c>
    </row>
    <row r="785" spans="1:6">
      <c r="A785" s="29">
        <v>52207</v>
      </c>
      <c r="B785" s="31" t="s">
        <v>1685</v>
      </c>
      <c r="C785" s="31" t="s">
        <v>98</v>
      </c>
      <c r="D785" s="31" t="s">
        <v>96</v>
      </c>
      <c r="E785" s="31" t="s">
        <v>94</v>
      </c>
      <c r="F785" s="32" t="s">
        <v>93</v>
      </c>
    </row>
    <row r="786" spans="1:6">
      <c r="A786" s="29">
        <v>52210</v>
      </c>
      <c r="B786" s="31" t="s">
        <v>1686</v>
      </c>
      <c r="C786" s="31" t="s">
        <v>98</v>
      </c>
      <c r="D786" s="31" t="s">
        <v>96</v>
      </c>
      <c r="E786" s="31" t="s">
        <v>94</v>
      </c>
      <c r="F786" s="32" t="s">
        <v>93</v>
      </c>
    </row>
    <row r="787" spans="1:6">
      <c r="A787" s="29">
        <v>52224</v>
      </c>
      <c r="B787" s="31" t="s">
        <v>1687</v>
      </c>
      <c r="C787" s="31" t="s">
        <v>98</v>
      </c>
      <c r="D787" s="31" t="s">
        <v>96</v>
      </c>
      <c r="E787" s="31" t="s">
        <v>94</v>
      </c>
      <c r="F787" s="32" t="s">
        <v>93</v>
      </c>
    </row>
    <row r="788" spans="1:6">
      <c r="A788" s="29">
        <v>52227</v>
      </c>
      <c r="B788" s="31" t="s">
        <v>1688</v>
      </c>
      <c r="C788" s="31" t="s">
        <v>98</v>
      </c>
      <c r="D788" s="31" t="s">
        <v>96</v>
      </c>
      <c r="E788" s="31" t="s">
        <v>94</v>
      </c>
      <c r="F788" s="32" t="s">
        <v>178</v>
      </c>
    </row>
    <row r="789" spans="1:6">
      <c r="A789" s="29">
        <v>52233</v>
      </c>
      <c r="B789" s="31" t="s">
        <v>1689</v>
      </c>
      <c r="C789" s="31" t="s">
        <v>98</v>
      </c>
      <c r="D789" s="31" t="s">
        <v>96</v>
      </c>
      <c r="E789" s="31" t="s">
        <v>94</v>
      </c>
      <c r="F789" s="32" t="s">
        <v>93</v>
      </c>
    </row>
    <row r="790" spans="1:6">
      <c r="A790" s="29">
        <v>52250</v>
      </c>
      <c r="B790" s="31" t="s">
        <v>1690</v>
      </c>
      <c r="C790" s="31" t="s">
        <v>98</v>
      </c>
      <c r="D790" s="31" t="s">
        <v>96</v>
      </c>
      <c r="E790" s="31" t="s">
        <v>856</v>
      </c>
      <c r="F790" s="32" t="s">
        <v>139</v>
      </c>
    </row>
    <row r="791" spans="1:6">
      <c r="A791" s="29">
        <v>52254</v>
      </c>
      <c r="B791" s="31" t="s">
        <v>1691</v>
      </c>
      <c r="C791" s="31" t="s">
        <v>98</v>
      </c>
      <c r="D791" s="31" t="s">
        <v>96</v>
      </c>
      <c r="E791" s="31" t="s">
        <v>94</v>
      </c>
      <c r="F791" s="32" t="s">
        <v>93</v>
      </c>
    </row>
    <row r="792" spans="1:6">
      <c r="A792" s="29">
        <v>52256</v>
      </c>
      <c r="B792" s="31" t="s">
        <v>1692</v>
      </c>
      <c r="C792" s="31" t="s">
        <v>98</v>
      </c>
      <c r="D792" s="31" t="s">
        <v>96</v>
      </c>
      <c r="E792" s="31" t="s">
        <v>94</v>
      </c>
      <c r="F792" s="32" t="s">
        <v>93</v>
      </c>
    </row>
    <row r="793" spans="1:6">
      <c r="A793" s="29">
        <v>52258</v>
      </c>
      <c r="B793" s="31" t="s">
        <v>1693</v>
      </c>
      <c r="C793" s="31" t="s">
        <v>98</v>
      </c>
      <c r="D793" s="31" t="s">
        <v>96</v>
      </c>
      <c r="E793" s="31" t="s">
        <v>94</v>
      </c>
      <c r="F793" s="32" t="s">
        <v>93</v>
      </c>
    </row>
    <row r="794" spans="1:6">
      <c r="A794" s="29">
        <v>52520</v>
      </c>
      <c r="B794" s="31" t="s">
        <v>1694</v>
      </c>
      <c r="C794" s="31" t="s">
        <v>98</v>
      </c>
      <c r="D794" s="31" t="s">
        <v>96</v>
      </c>
      <c r="E794" s="31" t="s">
        <v>856</v>
      </c>
      <c r="F794" s="32" t="s">
        <v>139</v>
      </c>
    </row>
    <row r="795" spans="1:6">
      <c r="A795" s="29">
        <v>52287</v>
      </c>
      <c r="B795" s="31" t="s">
        <v>1695</v>
      </c>
      <c r="C795" s="31" t="s">
        <v>98</v>
      </c>
      <c r="D795" s="31" t="s">
        <v>96</v>
      </c>
      <c r="E795" s="31" t="s">
        <v>94</v>
      </c>
      <c r="F795" s="32" t="s">
        <v>93</v>
      </c>
    </row>
    <row r="796" spans="1:6">
      <c r="A796" s="29">
        <v>52317</v>
      </c>
      <c r="B796" s="31" t="s">
        <v>1696</v>
      </c>
      <c r="C796" s="31" t="s">
        <v>98</v>
      </c>
      <c r="D796" s="31" t="s">
        <v>96</v>
      </c>
      <c r="E796" s="31" t="s">
        <v>94</v>
      </c>
      <c r="F796" s="32" t="s">
        <v>93</v>
      </c>
    </row>
    <row r="797" spans="1:6">
      <c r="A797" s="29">
        <v>52320</v>
      </c>
      <c r="B797" s="31" t="s">
        <v>1697</v>
      </c>
      <c r="C797" s="31" t="s">
        <v>98</v>
      </c>
      <c r="D797" s="31" t="s">
        <v>96</v>
      </c>
      <c r="E797" s="31" t="s">
        <v>94</v>
      </c>
      <c r="F797" s="32" t="s">
        <v>93</v>
      </c>
    </row>
    <row r="798" spans="1:6">
      <c r="A798" s="29">
        <v>52323</v>
      </c>
      <c r="B798" s="31" t="s">
        <v>1698</v>
      </c>
      <c r="C798" s="31" t="s">
        <v>98</v>
      </c>
      <c r="D798" s="31" t="s">
        <v>96</v>
      </c>
      <c r="E798" s="31" t="s">
        <v>94</v>
      </c>
      <c r="F798" s="32" t="s">
        <v>93</v>
      </c>
    </row>
    <row r="799" spans="1:6">
      <c r="A799" s="29">
        <v>52352</v>
      </c>
      <c r="B799" s="31" t="s">
        <v>1699</v>
      </c>
      <c r="C799" s="31" t="s">
        <v>98</v>
      </c>
      <c r="D799" s="31" t="s">
        <v>96</v>
      </c>
      <c r="E799" s="31" t="s">
        <v>94</v>
      </c>
      <c r="F799" s="32" t="s">
        <v>93</v>
      </c>
    </row>
    <row r="800" spans="1:6">
      <c r="A800" s="29">
        <v>52354</v>
      </c>
      <c r="B800" s="31" t="s">
        <v>1700</v>
      </c>
      <c r="C800" s="31" t="s">
        <v>98</v>
      </c>
      <c r="D800" s="31" t="s">
        <v>96</v>
      </c>
      <c r="E800" s="31" t="s">
        <v>94</v>
      </c>
      <c r="F800" s="32" t="s">
        <v>93</v>
      </c>
    </row>
    <row r="801" spans="1:6">
      <c r="A801" s="29">
        <v>52356</v>
      </c>
      <c r="B801" s="31" t="s">
        <v>1701</v>
      </c>
      <c r="C801" s="31" t="s">
        <v>98</v>
      </c>
      <c r="D801" s="31" t="s">
        <v>96</v>
      </c>
      <c r="E801" s="31" t="s">
        <v>94</v>
      </c>
      <c r="F801" s="32" t="s">
        <v>93</v>
      </c>
    </row>
    <row r="802" spans="1:6">
      <c r="A802" s="29">
        <v>52378</v>
      </c>
      <c r="B802" s="31" t="s">
        <v>709</v>
      </c>
      <c r="C802" s="31" t="s">
        <v>98</v>
      </c>
      <c r="D802" s="31" t="s">
        <v>96</v>
      </c>
      <c r="E802" s="31" t="s">
        <v>94</v>
      </c>
      <c r="F802" s="32" t="s">
        <v>178</v>
      </c>
    </row>
    <row r="803" spans="1:6">
      <c r="A803" s="29">
        <v>52381</v>
      </c>
      <c r="B803" s="31" t="s">
        <v>1702</v>
      </c>
      <c r="C803" s="31" t="s">
        <v>98</v>
      </c>
      <c r="D803" s="31" t="s">
        <v>96</v>
      </c>
      <c r="E803" s="31" t="s">
        <v>94</v>
      </c>
      <c r="F803" s="32" t="s">
        <v>93</v>
      </c>
    </row>
    <row r="804" spans="1:6">
      <c r="A804" s="29">
        <v>52385</v>
      </c>
      <c r="B804" s="31" t="s">
        <v>1703</v>
      </c>
      <c r="C804" s="31" t="s">
        <v>98</v>
      </c>
      <c r="D804" s="31" t="s">
        <v>96</v>
      </c>
      <c r="E804" s="31" t="s">
        <v>94</v>
      </c>
      <c r="F804" s="32" t="s">
        <v>129</v>
      </c>
    </row>
    <row r="805" spans="1:6">
      <c r="A805" s="29">
        <v>52390</v>
      </c>
      <c r="B805" s="31" t="s">
        <v>1704</v>
      </c>
      <c r="C805" s="31" t="s">
        <v>98</v>
      </c>
      <c r="D805" s="31" t="s">
        <v>96</v>
      </c>
      <c r="E805" s="31" t="s">
        <v>856</v>
      </c>
      <c r="F805" s="32" t="s">
        <v>139</v>
      </c>
    </row>
    <row r="806" spans="1:6">
      <c r="A806" s="29">
        <v>52405</v>
      </c>
      <c r="B806" s="31" t="s">
        <v>1705</v>
      </c>
      <c r="C806" s="31" t="s">
        <v>98</v>
      </c>
      <c r="D806" s="31" t="s">
        <v>96</v>
      </c>
      <c r="E806" s="31" t="s">
        <v>94</v>
      </c>
      <c r="F806" s="32" t="s">
        <v>178</v>
      </c>
    </row>
    <row r="807" spans="1:6">
      <c r="A807" s="29">
        <v>52411</v>
      </c>
      <c r="B807" s="31" t="s">
        <v>1706</v>
      </c>
      <c r="C807" s="31" t="s">
        <v>98</v>
      </c>
      <c r="D807" s="31" t="s">
        <v>96</v>
      </c>
      <c r="E807" s="31" t="s">
        <v>94</v>
      </c>
      <c r="F807" s="32" t="s">
        <v>178</v>
      </c>
    </row>
    <row r="808" spans="1:6">
      <c r="A808" s="29">
        <v>52418</v>
      </c>
      <c r="B808" s="31" t="s">
        <v>788</v>
      </c>
      <c r="C808" s="31" t="s">
        <v>98</v>
      </c>
      <c r="D808" s="31" t="s">
        <v>96</v>
      </c>
      <c r="E808" s="31" t="s">
        <v>94</v>
      </c>
      <c r="F808" s="32" t="s">
        <v>178</v>
      </c>
    </row>
    <row r="809" spans="1:6">
      <c r="A809" s="29">
        <v>52427</v>
      </c>
      <c r="B809" s="31" t="s">
        <v>1707</v>
      </c>
      <c r="C809" s="31" t="s">
        <v>98</v>
      </c>
      <c r="D809" s="31" t="s">
        <v>96</v>
      </c>
      <c r="E809" s="31" t="s">
        <v>856</v>
      </c>
      <c r="F809" s="32" t="s">
        <v>139</v>
      </c>
    </row>
    <row r="810" spans="1:6">
      <c r="A810" s="29">
        <v>52435</v>
      </c>
      <c r="B810" s="31" t="s">
        <v>1708</v>
      </c>
      <c r="C810" s="31" t="s">
        <v>98</v>
      </c>
      <c r="D810" s="31" t="s">
        <v>96</v>
      </c>
      <c r="E810" s="31" t="s">
        <v>94</v>
      </c>
      <c r="F810" s="32" t="s">
        <v>178</v>
      </c>
    </row>
    <row r="811" spans="1:6">
      <c r="A811" s="29">
        <v>52490</v>
      </c>
      <c r="B811" s="31" t="s">
        <v>1709</v>
      </c>
      <c r="C811" s="31" t="s">
        <v>98</v>
      </c>
      <c r="D811" s="31" t="s">
        <v>96</v>
      </c>
      <c r="E811" s="31" t="s">
        <v>856</v>
      </c>
      <c r="F811" s="32" t="s">
        <v>139</v>
      </c>
    </row>
    <row r="812" spans="1:6">
      <c r="A812" s="29">
        <v>52506</v>
      </c>
      <c r="B812" s="31" t="s">
        <v>1710</v>
      </c>
      <c r="C812" s="31" t="s">
        <v>98</v>
      </c>
      <c r="D812" s="31" t="s">
        <v>96</v>
      </c>
      <c r="E812" s="31" t="s">
        <v>94</v>
      </c>
      <c r="F812" s="32" t="s">
        <v>93</v>
      </c>
    </row>
    <row r="813" spans="1:6">
      <c r="A813" s="29">
        <v>52001</v>
      </c>
      <c r="B813" s="31" t="s">
        <v>96</v>
      </c>
      <c r="C813" s="31" t="s">
        <v>98</v>
      </c>
      <c r="D813" s="31" t="s">
        <v>96</v>
      </c>
      <c r="E813" s="31" t="s">
        <v>94</v>
      </c>
      <c r="F813" s="32" t="s">
        <v>102</v>
      </c>
    </row>
    <row r="814" spans="1:6">
      <c r="A814" s="29">
        <v>52540</v>
      </c>
      <c r="B814" s="31" t="s">
        <v>1711</v>
      </c>
      <c r="C814" s="31" t="s">
        <v>98</v>
      </c>
      <c r="D814" s="31" t="s">
        <v>96</v>
      </c>
      <c r="E814" s="31" t="s">
        <v>94</v>
      </c>
      <c r="F814" s="32" t="s">
        <v>129</v>
      </c>
    </row>
    <row r="815" spans="1:6">
      <c r="A815" s="29">
        <v>52560</v>
      </c>
      <c r="B815" s="31" t="s">
        <v>1712</v>
      </c>
      <c r="C815" s="31" t="s">
        <v>98</v>
      </c>
      <c r="D815" s="31" t="s">
        <v>96</v>
      </c>
      <c r="E815" s="31" t="s">
        <v>94</v>
      </c>
      <c r="F815" s="32" t="s">
        <v>93</v>
      </c>
    </row>
    <row r="816" spans="1:6">
      <c r="A816" s="29">
        <v>52573</v>
      </c>
      <c r="B816" s="31" t="s">
        <v>1713</v>
      </c>
      <c r="C816" s="31" t="s">
        <v>98</v>
      </c>
      <c r="D816" s="31" t="s">
        <v>96</v>
      </c>
      <c r="E816" s="31" t="s">
        <v>94</v>
      </c>
      <c r="F816" s="32" t="s">
        <v>93</v>
      </c>
    </row>
    <row r="817" spans="1:6">
      <c r="A817" s="29">
        <v>52585</v>
      </c>
      <c r="B817" s="31" t="s">
        <v>1714</v>
      </c>
      <c r="C817" s="31" t="s">
        <v>98</v>
      </c>
      <c r="D817" s="31" t="s">
        <v>96</v>
      </c>
      <c r="E817" s="31" t="s">
        <v>94</v>
      </c>
      <c r="F817" s="32" t="s">
        <v>93</v>
      </c>
    </row>
    <row r="818" spans="1:6">
      <c r="A818" s="29">
        <v>52621</v>
      </c>
      <c r="B818" s="31" t="s">
        <v>1715</v>
      </c>
      <c r="C818" s="31" t="s">
        <v>98</v>
      </c>
      <c r="D818" s="31" t="s">
        <v>96</v>
      </c>
      <c r="E818" s="31" t="s">
        <v>856</v>
      </c>
      <c r="F818" s="32" t="s">
        <v>139</v>
      </c>
    </row>
    <row r="819" spans="1:6">
      <c r="A819" s="29">
        <v>52678</v>
      </c>
      <c r="B819" s="31" t="s">
        <v>1716</v>
      </c>
      <c r="C819" s="31" t="s">
        <v>98</v>
      </c>
      <c r="D819" s="31" t="s">
        <v>96</v>
      </c>
      <c r="E819" s="31" t="s">
        <v>94</v>
      </c>
      <c r="F819" s="32" t="s">
        <v>178</v>
      </c>
    </row>
    <row r="820" spans="1:6">
      <c r="A820" s="29">
        <v>52835</v>
      </c>
      <c r="B820" s="31" t="s">
        <v>1717</v>
      </c>
      <c r="C820" s="31" t="s">
        <v>98</v>
      </c>
      <c r="D820" s="31" t="s">
        <v>96</v>
      </c>
      <c r="E820" s="31" t="s">
        <v>94</v>
      </c>
      <c r="F820" s="32" t="s">
        <v>129</v>
      </c>
    </row>
    <row r="821" spans="1:6">
      <c r="A821" s="29">
        <v>52687</v>
      </c>
      <c r="B821" s="31" t="s">
        <v>1718</v>
      </c>
      <c r="C821" s="31" t="s">
        <v>98</v>
      </c>
      <c r="D821" s="31" t="s">
        <v>96</v>
      </c>
      <c r="E821" s="31" t="s">
        <v>94</v>
      </c>
      <c r="F821" s="32" t="s">
        <v>93</v>
      </c>
    </row>
    <row r="822" spans="1:6">
      <c r="A822" s="29">
        <v>52694</v>
      </c>
      <c r="B822" s="31" t="s">
        <v>1719</v>
      </c>
      <c r="C822" s="31" t="s">
        <v>98</v>
      </c>
      <c r="D822" s="31" t="s">
        <v>96</v>
      </c>
      <c r="E822" s="31" t="s">
        <v>94</v>
      </c>
      <c r="F822" s="32" t="s">
        <v>93</v>
      </c>
    </row>
    <row r="823" spans="1:6">
      <c r="A823" s="29">
        <v>52683</v>
      </c>
      <c r="B823" s="31" t="s">
        <v>1720</v>
      </c>
      <c r="C823" s="31" t="s">
        <v>98</v>
      </c>
      <c r="D823" s="31" t="s">
        <v>96</v>
      </c>
      <c r="E823" s="31" t="s">
        <v>94</v>
      </c>
      <c r="F823" s="32" t="s">
        <v>93</v>
      </c>
    </row>
    <row r="824" spans="1:6">
      <c r="A824" s="29">
        <v>52699</v>
      </c>
      <c r="B824" s="31" t="s">
        <v>1721</v>
      </c>
      <c r="C824" s="31" t="s">
        <v>98</v>
      </c>
      <c r="D824" s="31" t="s">
        <v>96</v>
      </c>
      <c r="E824" s="31" t="s">
        <v>94</v>
      </c>
      <c r="F824" s="32" t="s">
        <v>129</v>
      </c>
    </row>
    <row r="825" spans="1:6">
      <c r="A825" s="29">
        <v>52720</v>
      </c>
      <c r="B825" s="31" t="s">
        <v>540</v>
      </c>
      <c r="C825" s="31" t="s">
        <v>98</v>
      </c>
      <c r="D825" s="31" t="s">
        <v>96</v>
      </c>
      <c r="E825" s="31" t="s">
        <v>94</v>
      </c>
      <c r="F825" s="32" t="s">
        <v>93</v>
      </c>
    </row>
    <row r="826" spans="1:6">
      <c r="A826" s="29">
        <v>52786</v>
      </c>
      <c r="B826" s="31" t="s">
        <v>837</v>
      </c>
      <c r="C826" s="31" t="s">
        <v>98</v>
      </c>
      <c r="D826" s="31" t="s">
        <v>96</v>
      </c>
      <c r="E826" s="31" t="s">
        <v>94</v>
      </c>
      <c r="F826" s="32" t="s">
        <v>93</v>
      </c>
    </row>
    <row r="827" spans="1:6">
      <c r="A827" s="29">
        <v>52788</v>
      </c>
      <c r="B827" s="31" t="s">
        <v>1722</v>
      </c>
      <c r="C827" s="31" t="s">
        <v>98</v>
      </c>
      <c r="D827" s="31" t="s">
        <v>96</v>
      </c>
      <c r="E827" s="31" t="s">
        <v>94</v>
      </c>
      <c r="F827" s="32" t="s">
        <v>93</v>
      </c>
    </row>
    <row r="828" spans="1:6">
      <c r="A828" s="29">
        <v>52838</v>
      </c>
      <c r="B828" s="31" t="s">
        <v>495</v>
      </c>
      <c r="C828" s="31" t="s">
        <v>98</v>
      </c>
      <c r="D828" s="31" t="s">
        <v>96</v>
      </c>
      <c r="E828" s="31" t="s">
        <v>94</v>
      </c>
      <c r="F828" s="32" t="s">
        <v>93</v>
      </c>
    </row>
    <row r="829" spans="1:6">
      <c r="A829" s="29">
        <v>52885</v>
      </c>
      <c r="B829" s="31" t="s">
        <v>1723</v>
      </c>
      <c r="C829" s="31" t="s">
        <v>98</v>
      </c>
      <c r="D829" s="31" t="s">
        <v>96</v>
      </c>
      <c r="E829" s="31" t="s">
        <v>94</v>
      </c>
      <c r="F829" s="32" t="s">
        <v>93</v>
      </c>
    </row>
    <row r="830" spans="1:6">
      <c r="A830" s="29">
        <v>54553</v>
      </c>
      <c r="B830" s="30" t="s">
        <v>1009</v>
      </c>
      <c r="C830" s="31" t="s">
        <v>359</v>
      </c>
      <c r="D830" s="31" t="s">
        <v>357</v>
      </c>
      <c r="E830" s="31" t="s">
        <v>94</v>
      </c>
      <c r="F830" s="32" t="s">
        <v>93</v>
      </c>
    </row>
    <row r="831" spans="1:6">
      <c r="A831" s="29">
        <v>54673</v>
      </c>
      <c r="B831" s="30" t="s">
        <v>1478</v>
      </c>
      <c r="C831" s="31" t="s">
        <v>359</v>
      </c>
      <c r="D831" s="31" t="s">
        <v>357</v>
      </c>
      <c r="E831" s="31" t="s">
        <v>94</v>
      </c>
      <c r="F831" s="32" t="s">
        <v>93</v>
      </c>
    </row>
    <row r="832" spans="1:6">
      <c r="A832" s="29">
        <v>54680</v>
      </c>
      <c r="B832" s="30" t="s">
        <v>1724</v>
      </c>
      <c r="C832" s="31" t="s">
        <v>359</v>
      </c>
      <c r="D832" s="31" t="s">
        <v>357</v>
      </c>
      <c r="E832" s="31" t="s">
        <v>94</v>
      </c>
      <c r="F832" s="32" t="s">
        <v>93</v>
      </c>
    </row>
    <row r="833" spans="1:6">
      <c r="A833" s="29">
        <v>54820</v>
      </c>
      <c r="B833" s="30" t="s">
        <v>1033</v>
      </c>
      <c r="C833" s="31" t="s">
        <v>359</v>
      </c>
      <c r="D833" s="31" t="s">
        <v>357</v>
      </c>
      <c r="E833" s="31" t="s">
        <v>94</v>
      </c>
      <c r="F833" s="32" t="s">
        <v>129</v>
      </c>
    </row>
    <row r="834" spans="1:6">
      <c r="A834" s="29">
        <v>54003</v>
      </c>
      <c r="B834" s="31" t="s">
        <v>1725</v>
      </c>
      <c r="C834" s="31" t="s">
        <v>359</v>
      </c>
      <c r="D834" s="31" t="s">
        <v>357</v>
      </c>
      <c r="E834" s="31" t="s">
        <v>94</v>
      </c>
      <c r="F834" s="32" t="s">
        <v>178</v>
      </c>
    </row>
    <row r="835" spans="1:6">
      <c r="A835" s="29">
        <v>54051</v>
      </c>
      <c r="B835" s="31" t="s">
        <v>1726</v>
      </c>
      <c r="C835" s="31" t="s">
        <v>359</v>
      </c>
      <c r="D835" s="31" t="s">
        <v>357</v>
      </c>
      <c r="E835" s="31" t="s">
        <v>94</v>
      </c>
      <c r="F835" s="32" t="s">
        <v>129</v>
      </c>
    </row>
    <row r="836" spans="1:6">
      <c r="A836" s="29">
        <v>54099</v>
      </c>
      <c r="B836" s="31" t="s">
        <v>1727</v>
      </c>
      <c r="C836" s="31" t="s">
        <v>359</v>
      </c>
      <c r="D836" s="31" t="s">
        <v>357</v>
      </c>
      <c r="E836" s="31" t="s">
        <v>94</v>
      </c>
      <c r="F836" s="32" t="s">
        <v>93</v>
      </c>
    </row>
    <row r="837" spans="1:6">
      <c r="A837" s="29">
        <v>54109</v>
      </c>
      <c r="B837" s="31" t="s">
        <v>1728</v>
      </c>
      <c r="C837" s="31" t="s">
        <v>359</v>
      </c>
      <c r="D837" s="31" t="s">
        <v>357</v>
      </c>
      <c r="E837" s="31" t="s">
        <v>94</v>
      </c>
      <c r="F837" s="32" t="s">
        <v>178</v>
      </c>
    </row>
    <row r="838" spans="1:6">
      <c r="A838" s="29">
        <v>54128</v>
      </c>
      <c r="B838" s="31" t="s">
        <v>1729</v>
      </c>
      <c r="C838" s="31" t="s">
        <v>359</v>
      </c>
      <c r="D838" s="31" t="s">
        <v>357</v>
      </c>
      <c r="E838" s="31" t="s">
        <v>94</v>
      </c>
      <c r="F838" s="32" t="s">
        <v>129</v>
      </c>
    </row>
    <row r="839" spans="1:6">
      <c r="A839" s="29">
        <v>54125</v>
      </c>
      <c r="B839" s="31" t="s">
        <v>1730</v>
      </c>
      <c r="C839" s="31" t="s">
        <v>359</v>
      </c>
      <c r="D839" s="31" t="s">
        <v>357</v>
      </c>
      <c r="E839" s="31" t="s">
        <v>94</v>
      </c>
      <c r="F839" s="32" t="s">
        <v>178</v>
      </c>
    </row>
    <row r="840" spans="1:6">
      <c r="A840" s="29">
        <v>54172</v>
      </c>
      <c r="B840" s="31" t="s">
        <v>1731</v>
      </c>
      <c r="C840" s="31" t="s">
        <v>359</v>
      </c>
      <c r="D840" s="31" t="s">
        <v>357</v>
      </c>
      <c r="E840" s="31" t="s">
        <v>94</v>
      </c>
      <c r="F840" s="32" t="s">
        <v>93</v>
      </c>
    </row>
    <row r="841" spans="1:6">
      <c r="A841" s="29">
        <v>54174</v>
      </c>
      <c r="B841" s="31" t="s">
        <v>1732</v>
      </c>
      <c r="C841" s="31" t="s">
        <v>359</v>
      </c>
      <c r="D841" s="31" t="s">
        <v>357</v>
      </c>
      <c r="E841" s="31" t="s">
        <v>94</v>
      </c>
      <c r="F841" s="32" t="s">
        <v>129</v>
      </c>
    </row>
    <row r="842" spans="1:6">
      <c r="A842" s="29">
        <v>54206</v>
      </c>
      <c r="B842" s="31" t="s">
        <v>1733</v>
      </c>
      <c r="C842" s="31" t="s">
        <v>359</v>
      </c>
      <c r="D842" s="31" t="s">
        <v>357</v>
      </c>
      <c r="E842" s="31" t="s">
        <v>94</v>
      </c>
      <c r="F842" s="32" t="s">
        <v>129</v>
      </c>
    </row>
    <row r="843" spans="1:6">
      <c r="A843" s="29">
        <v>54001</v>
      </c>
      <c r="B843" s="31" t="s">
        <v>357</v>
      </c>
      <c r="C843" s="31" t="s">
        <v>359</v>
      </c>
      <c r="D843" s="31" t="s">
        <v>357</v>
      </c>
      <c r="E843" s="31" t="s">
        <v>94</v>
      </c>
      <c r="F843" s="32" t="s">
        <v>102</v>
      </c>
    </row>
    <row r="844" spans="1:6">
      <c r="A844" s="29">
        <v>54223</v>
      </c>
      <c r="B844" s="31" t="s">
        <v>1734</v>
      </c>
      <c r="C844" s="31" t="s">
        <v>359</v>
      </c>
      <c r="D844" s="31" t="s">
        <v>357</v>
      </c>
      <c r="E844" s="31" t="s">
        <v>94</v>
      </c>
      <c r="F844" s="32" t="s">
        <v>129</v>
      </c>
    </row>
    <row r="845" spans="1:6">
      <c r="A845" s="29">
        <v>54239</v>
      </c>
      <c r="B845" s="31" t="s">
        <v>1735</v>
      </c>
      <c r="C845" s="31" t="s">
        <v>359</v>
      </c>
      <c r="D845" s="31" t="s">
        <v>357</v>
      </c>
      <c r="E845" s="31" t="s">
        <v>94</v>
      </c>
      <c r="F845" s="32" t="s">
        <v>93</v>
      </c>
    </row>
    <row r="846" spans="1:6">
      <c r="A846" s="29">
        <v>54245</v>
      </c>
      <c r="B846" s="31" t="s">
        <v>1736</v>
      </c>
      <c r="C846" s="31" t="s">
        <v>359</v>
      </c>
      <c r="D846" s="31" t="s">
        <v>357</v>
      </c>
      <c r="E846" s="31" t="s">
        <v>94</v>
      </c>
      <c r="F846" s="32" t="s">
        <v>129</v>
      </c>
    </row>
    <row r="847" spans="1:6">
      <c r="A847" s="29">
        <v>54250</v>
      </c>
      <c r="B847" s="31" t="s">
        <v>1737</v>
      </c>
      <c r="C847" s="31" t="s">
        <v>359</v>
      </c>
      <c r="D847" s="31" t="s">
        <v>357</v>
      </c>
      <c r="E847" s="31" t="s">
        <v>94</v>
      </c>
      <c r="F847" s="32" t="s">
        <v>129</v>
      </c>
    </row>
    <row r="848" spans="1:6">
      <c r="A848" s="29">
        <v>54261</v>
      </c>
      <c r="B848" s="31" t="s">
        <v>1738</v>
      </c>
      <c r="C848" s="31" t="s">
        <v>359</v>
      </c>
      <c r="D848" s="31" t="s">
        <v>357</v>
      </c>
      <c r="E848" s="31" t="s">
        <v>94</v>
      </c>
      <c r="F848" s="32" t="s">
        <v>93</v>
      </c>
    </row>
    <row r="849" spans="1:6">
      <c r="A849" s="29">
        <v>54313</v>
      </c>
      <c r="B849" s="31" t="s">
        <v>1739</v>
      </c>
      <c r="C849" s="31" t="s">
        <v>359</v>
      </c>
      <c r="D849" s="31" t="s">
        <v>357</v>
      </c>
      <c r="E849" s="31" t="s">
        <v>94</v>
      </c>
      <c r="F849" s="32" t="s">
        <v>93</v>
      </c>
    </row>
    <row r="850" spans="1:6">
      <c r="A850" s="29">
        <v>54344</v>
      </c>
      <c r="B850" s="31" t="s">
        <v>1740</v>
      </c>
      <c r="C850" s="31" t="s">
        <v>359</v>
      </c>
      <c r="D850" s="31" t="s">
        <v>357</v>
      </c>
      <c r="E850" s="31" t="s">
        <v>94</v>
      </c>
      <c r="F850" s="32" t="s">
        <v>129</v>
      </c>
    </row>
    <row r="851" spans="1:6">
      <c r="A851" s="29">
        <v>54347</v>
      </c>
      <c r="B851" s="31" t="s">
        <v>1741</v>
      </c>
      <c r="C851" s="31" t="s">
        <v>359</v>
      </c>
      <c r="D851" s="31" t="s">
        <v>357</v>
      </c>
      <c r="E851" s="31" t="s">
        <v>94</v>
      </c>
      <c r="F851" s="32" t="s">
        <v>178</v>
      </c>
    </row>
    <row r="852" spans="1:6">
      <c r="A852" s="29">
        <v>54385</v>
      </c>
      <c r="B852" s="31" t="s">
        <v>1742</v>
      </c>
      <c r="C852" s="31" t="s">
        <v>359</v>
      </c>
      <c r="D852" s="31" t="s">
        <v>302</v>
      </c>
      <c r="E852" s="31" t="s">
        <v>94</v>
      </c>
      <c r="F852" s="32" t="s">
        <v>178</v>
      </c>
    </row>
    <row r="853" spans="1:6">
      <c r="A853" s="29">
        <v>54398</v>
      </c>
      <c r="B853" s="31" t="s">
        <v>1743</v>
      </c>
      <c r="C853" s="31" t="s">
        <v>359</v>
      </c>
      <c r="D853" s="31" t="s">
        <v>357</v>
      </c>
      <c r="E853" s="31" t="s">
        <v>94</v>
      </c>
      <c r="F853" s="32" t="s">
        <v>129</v>
      </c>
    </row>
    <row r="854" spans="1:6">
      <c r="A854" s="29">
        <v>54377</v>
      </c>
      <c r="B854" s="31" t="s">
        <v>1744</v>
      </c>
      <c r="C854" s="31" t="s">
        <v>359</v>
      </c>
      <c r="D854" s="31" t="s">
        <v>357</v>
      </c>
      <c r="E854" s="31" t="s">
        <v>94</v>
      </c>
      <c r="F854" s="32" t="s">
        <v>129</v>
      </c>
    </row>
    <row r="855" spans="1:6">
      <c r="A855" s="29">
        <v>54405</v>
      </c>
      <c r="B855" s="31" t="s">
        <v>360</v>
      </c>
      <c r="C855" s="31" t="s">
        <v>359</v>
      </c>
      <c r="D855" s="31" t="s">
        <v>357</v>
      </c>
      <c r="E855" s="31" t="s">
        <v>94</v>
      </c>
      <c r="F855" s="32" t="s">
        <v>102</v>
      </c>
    </row>
    <row r="856" spans="1:6">
      <c r="A856" s="29">
        <v>54418</v>
      </c>
      <c r="B856" s="31" t="s">
        <v>1745</v>
      </c>
      <c r="C856" s="31" t="s">
        <v>359</v>
      </c>
      <c r="D856" s="31" t="s">
        <v>357</v>
      </c>
      <c r="E856" s="31" t="s">
        <v>94</v>
      </c>
      <c r="F856" s="32" t="s">
        <v>178</v>
      </c>
    </row>
    <row r="857" spans="1:6">
      <c r="A857" s="29">
        <v>54480</v>
      </c>
      <c r="B857" s="31" t="s">
        <v>1746</v>
      </c>
      <c r="C857" s="31" t="s">
        <v>359</v>
      </c>
      <c r="D857" s="31" t="s">
        <v>357</v>
      </c>
      <c r="E857" s="31" t="s">
        <v>94</v>
      </c>
      <c r="F857" s="32" t="s">
        <v>178</v>
      </c>
    </row>
    <row r="858" spans="1:6">
      <c r="A858" s="29">
        <v>54498</v>
      </c>
      <c r="B858" s="31" t="s">
        <v>1747</v>
      </c>
      <c r="C858" s="31" t="s">
        <v>359</v>
      </c>
      <c r="D858" s="31" t="s">
        <v>357</v>
      </c>
      <c r="E858" s="31" t="s">
        <v>94</v>
      </c>
      <c r="F858" s="32" t="s">
        <v>129</v>
      </c>
    </row>
    <row r="859" spans="1:6">
      <c r="A859" s="29">
        <v>54518</v>
      </c>
      <c r="B859" s="31" t="s">
        <v>1748</v>
      </c>
      <c r="C859" s="31" t="s">
        <v>359</v>
      </c>
      <c r="D859" s="31" t="s">
        <v>357</v>
      </c>
      <c r="E859" s="31" t="s">
        <v>94</v>
      </c>
      <c r="F859" s="32" t="s">
        <v>178</v>
      </c>
    </row>
    <row r="860" spans="1:6">
      <c r="A860" s="29">
        <v>54520</v>
      </c>
      <c r="B860" s="31" t="s">
        <v>1749</v>
      </c>
      <c r="C860" s="31" t="s">
        <v>359</v>
      </c>
      <c r="D860" s="31" t="s">
        <v>357</v>
      </c>
      <c r="E860" s="31" t="s">
        <v>94</v>
      </c>
      <c r="F860" s="32" t="s">
        <v>178</v>
      </c>
    </row>
    <row r="861" spans="1:6">
      <c r="A861" s="29">
        <v>54599</v>
      </c>
      <c r="B861" s="31" t="s">
        <v>1750</v>
      </c>
      <c r="C861" s="31" t="s">
        <v>359</v>
      </c>
      <c r="D861" s="31" t="s">
        <v>357</v>
      </c>
      <c r="E861" s="31" t="s">
        <v>94</v>
      </c>
      <c r="F861" s="32" t="s">
        <v>178</v>
      </c>
    </row>
    <row r="862" spans="1:6">
      <c r="A862" s="29">
        <v>54660</v>
      </c>
      <c r="B862" s="31" t="s">
        <v>1751</v>
      </c>
      <c r="C862" s="31" t="s">
        <v>359</v>
      </c>
      <c r="D862" s="31" t="s">
        <v>357</v>
      </c>
      <c r="E862" s="31" t="s">
        <v>94</v>
      </c>
      <c r="F862" s="32" t="s">
        <v>93</v>
      </c>
    </row>
    <row r="863" spans="1:6">
      <c r="A863" s="29">
        <v>54670</v>
      </c>
      <c r="B863" s="31" t="s">
        <v>1752</v>
      </c>
      <c r="C863" s="31" t="s">
        <v>359</v>
      </c>
      <c r="D863" s="31" t="s">
        <v>357</v>
      </c>
      <c r="E863" s="31" t="s">
        <v>94</v>
      </c>
      <c r="F863" s="32" t="s">
        <v>129</v>
      </c>
    </row>
    <row r="864" spans="1:6">
      <c r="A864" s="29">
        <v>54720</v>
      </c>
      <c r="B864" s="31" t="s">
        <v>1753</v>
      </c>
      <c r="C864" s="31" t="s">
        <v>359</v>
      </c>
      <c r="D864" s="31" t="s">
        <v>357</v>
      </c>
      <c r="E864" s="31" t="s">
        <v>94</v>
      </c>
      <c r="F864" s="32" t="s">
        <v>93</v>
      </c>
    </row>
    <row r="865" spans="1:6">
      <c r="A865" s="29">
        <v>54743</v>
      </c>
      <c r="B865" s="31" t="s">
        <v>1754</v>
      </c>
      <c r="C865" s="31" t="s">
        <v>359</v>
      </c>
      <c r="D865" s="31" t="s">
        <v>357</v>
      </c>
      <c r="E865" s="31" t="s">
        <v>94</v>
      </c>
      <c r="F865" s="32" t="s">
        <v>129</v>
      </c>
    </row>
    <row r="866" spans="1:6">
      <c r="A866" s="29">
        <v>54800</v>
      </c>
      <c r="B866" s="31" t="s">
        <v>1755</v>
      </c>
      <c r="C866" s="31" t="s">
        <v>359</v>
      </c>
      <c r="D866" s="31" t="s">
        <v>357</v>
      </c>
      <c r="E866" s="31" t="s">
        <v>94</v>
      </c>
      <c r="F866" s="32" t="s">
        <v>129</v>
      </c>
    </row>
    <row r="867" spans="1:6">
      <c r="A867" s="29">
        <v>54810</v>
      </c>
      <c r="B867" s="31" t="s">
        <v>435</v>
      </c>
      <c r="C867" s="31" t="s">
        <v>359</v>
      </c>
      <c r="D867" s="31" t="s">
        <v>357</v>
      </c>
      <c r="E867" s="31" t="s">
        <v>94</v>
      </c>
      <c r="F867" s="32" t="s">
        <v>139</v>
      </c>
    </row>
    <row r="868" spans="1:6">
      <c r="A868" s="29">
        <v>54871</v>
      </c>
      <c r="B868" s="31" t="s">
        <v>1756</v>
      </c>
      <c r="C868" s="31" t="s">
        <v>359</v>
      </c>
      <c r="D868" s="31" t="s">
        <v>357</v>
      </c>
      <c r="E868" s="31" t="s">
        <v>94</v>
      </c>
      <c r="F868" s="32" t="s">
        <v>129</v>
      </c>
    </row>
    <row r="869" spans="1:6">
      <c r="A869" s="29">
        <v>54874</v>
      </c>
      <c r="B869" s="31" t="s">
        <v>1757</v>
      </c>
      <c r="C869" s="31" t="s">
        <v>359</v>
      </c>
      <c r="D869" s="31" t="s">
        <v>357</v>
      </c>
      <c r="E869" s="31" t="s">
        <v>94</v>
      </c>
      <c r="F869" s="32" t="s">
        <v>102</v>
      </c>
    </row>
    <row r="870" spans="1:6">
      <c r="A870" s="29">
        <v>86219</v>
      </c>
      <c r="B870" s="30" t="s">
        <v>1678</v>
      </c>
      <c r="C870" s="31" t="s">
        <v>447</v>
      </c>
      <c r="D870" s="31" t="s">
        <v>96</v>
      </c>
      <c r="E870" s="31" t="s">
        <v>94</v>
      </c>
      <c r="F870" s="32" t="s">
        <v>93</v>
      </c>
    </row>
    <row r="871" spans="1:6">
      <c r="A871" s="29">
        <v>86755</v>
      </c>
      <c r="B871" s="30" t="s">
        <v>1029</v>
      </c>
      <c r="C871" s="31" t="s">
        <v>447</v>
      </c>
      <c r="D871" s="31" t="s">
        <v>96</v>
      </c>
      <c r="E871" s="31" t="s">
        <v>94</v>
      </c>
      <c r="F871" s="32" t="s">
        <v>178</v>
      </c>
    </row>
    <row r="872" spans="1:6">
      <c r="A872" s="29">
        <v>86757</v>
      </c>
      <c r="B872" s="30" t="s">
        <v>1758</v>
      </c>
      <c r="C872" s="31" t="s">
        <v>447</v>
      </c>
      <c r="D872" s="31" t="s">
        <v>96</v>
      </c>
      <c r="E872" s="31" t="s">
        <v>94</v>
      </c>
      <c r="F872" s="32" t="s">
        <v>129</v>
      </c>
    </row>
    <row r="873" spans="1:6">
      <c r="A873" s="29">
        <v>86760</v>
      </c>
      <c r="B873" s="30" t="s">
        <v>1724</v>
      </c>
      <c r="C873" s="31" t="s">
        <v>447</v>
      </c>
      <c r="D873" s="31" t="s">
        <v>96</v>
      </c>
      <c r="E873" s="31" t="s">
        <v>94</v>
      </c>
      <c r="F873" s="32" t="s">
        <v>93</v>
      </c>
    </row>
    <row r="874" spans="1:6">
      <c r="A874" s="29">
        <v>86573</v>
      </c>
      <c r="B874" s="31" t="s">
        <v>448</v>
      </c>
      <c r="C874" s="31" t="s">
        <v>447</v>
      </c>
      <c r="D874" s="31" t="s">
        <v>96</v>
      </c>
      <c r="E874" s="33" t="s">
        <v>140</v>
      </c>
      <c r="F874" s="32" t="s">
        <v>129</v>
      </c>
    </row>
    <row r="875" spans="1:6">
      <c r="A875" s="29">
        <v>86001</v>
      </c>
      <c r="B875" s="31" t="s">
        <v>1759</v>
      </c>
      <c r="C875" s="31" t="s">
        <v>447</v>
      </c>
      <c r="D875" s="31" t="s">
        <v>96</v>
      </c>
      <c r="E875" s="31" t="s">
        <v>94</v>
      </c>
      <c r="F875" s="32" t="s">
        <v>129</v>
      </c>
    </row>
    <row r="876" spans="1:6">
      <c r="A876" s="29">
        <v>86320</v>
      </c>
      <c r="B876" s="31" t="s">
        <v>1760</v>
      </c>
      <c r="C876" s="31" t="s">
        <v>447</v>
      </c>
      <c r="D876" s="31" t="s">
        <v>96</v>
      </c>
      <c r="E876" s="31" t="s">
        <v>94</v>
      </c>
      <c r="F876" s="32" t="s">
        <v>129</v>
      </c>
    </row>
    <row r="877" spans="1:6">
      <c r="A877" s="29">
        <v>86568</v>
      </c>
      <c r="B877" s="31" t="s">
        <v>1761</v>
      </c>
      <c r="C877" s="31" t="s">
        <v>447</v>
      </c>
      <c r="D877" s="31" t="s">
        <v>96</v>
      </c>
      <c r="E877" s="31" t="s">
        <v>94</v>
      </c>
      <c r="F877" s="32" t="s">
        <v>129</v>
      </c>
    </row>
    <row r="878" spans="1:6">
      <c r="A878" s="29">
        <v>86569</v>
      </c>
      <c r="B878" s="31" t="s">
        <v>1762</v>
      </c>
      <c r="C878" s="31" t="s">
        <v>447</v>
      </c>
      <c r="D878" s="31" t="s">
        <v>96</v>
      </c>
      <c r="E878" s="31" t="s">
        <v>94</v>
      </c>
      <c r="F878" s="32" t="s">
        <v>129</v>
      </c>
    </row>
    <row r="879" spans="1:6">
      <c r="A879" s="29">
        <v>86571</v>
      </c>
      <c r="B879" s="31" t="s">
        <v>1763</v>
      </c>
      <c r="C879" s="31" t="s">
        <v>447</v>
      </c>
      <c r="D879" s="31" t="s">
        <v>96</v>
      </c>
      <c r="E879" s="31" t="s">
        <v>94</v>
      </c>
      <c r="F879" s="32" t="s">
        <v>129</v>
      </c>
    </row>
    <row r="880" spans="1:6">
      <c r="A880" s="29">
        <v>86749</v>
      </c>
      <c r="B880" s="31" t="s">
        <v>1764</v>
      </c>
      <c r="C880" s="31" t="s">
        <v>447</v>
      </c>
      <c r="D880" s="31" t="s">
        <v>96</v>
      </c>
      <c r="E880" s="31" t="s">
        <v>94</v>
      </c>
      <c r="F880" s="32" t="s">
        <v>178</v>
      </c>
    </row>
    <row r="881" spans="1:6">
      <c r="A881" s="29">
        <v>86865</v>
      </c>
      <c r="B881" s="31" t="s">
        <v>1765</v>
      </c>
      <c r="C881" s="31" t="s">
        <v>447</v>
      </c>
      <c r="D881" s="31" t="s">
        <v>96</v>
      </c>
      <c r="E881" s="31" t="s">
        <v>94</v>
      </c>
      <c r="F881" s="32" t="s">
        <v>129</v>
      </c>
    </row>
    <row r="882" spans="1:6">
      <c r="A882" s="29">
        <v>86885</v>
      </c>
      <c r="B882" s="31" t="s">
        <v>1766</v>
      </c>
      <c r="C882" s="31" t="s">
        <v>447</v>
      </c>
      <c r="D882" s="31" t="s">
        <v>96</v>
      </c>
      <c r="E882" s="31" t="s">
        <v>94</v>
      </c>
      <c r="F882" s="32" t="s">
        <v>129</v>
      </c>
    </row>
    <row r="883" spans="1:6">
      <c r="A883" s="29">
        <v>63001</v>
      </c>
      <c r="B883" s="30" t="s">
        <v>413</v>
      </c>
      <c r="C883" s="31" t="s">
        <v>412</v>
      </c>
      <c r="D883" s="31" t="s">
        <v>142</v>
      </c>
      <c r="E883" s="31" t="s">
        <v>94</v>
      </c>
      <c r="F883" s="32" t="s">
        <v>93</v>
      </c>
    </row>
    <row r="884" spans="1:6">
      <c r="A884" s="29">
        <v>63111</v>
      </c>
      <c r="B884" s="30" t="s">
        <v>339</v>
      </c>
      <c r="C884" s="31" t="s">
        <v>412</v>
      </c>
      <c r="D884" s="31" t="s">
        <v>142</v>
      </c>
      <c r="E884" s="31" t="s">
        <v>94</v>
      </c>
      <c r="F884" s="32" t="s">
        <v>93</v>
      </c>
    </row>
    <row r="885" spans="1:6">
      <c r="A885" s="29">
        <v>63212</v>
      </c>
      <c r="B885" s="30" t="s">
        <v>115</v>
      </c>
      <c r="C885" s="31" t="s">
        <v>412</v>
      </c>
      <c r="D885" s="31" t="s">
        <v>142</v>
      </c>
      <c r="E885" s="31" t="s">
        <v>94</v>
      </c>
      <c r="F885" s="32" t="s">
        <v>93</v>
      </c>
    </row>
    <row r="886" spans="1:6">
      <c r="A886" s="29">
        <v>63130</v>
      </c>
      <c r="B886" s="31" t="s">
        <v>870</v>
      </c>
      <c r="C886" s="31" t="s">
        <v>412</v>
      </c>
      <c r="D886" s="31" t="s">
        <v>142</v>
      </c>
      <c r="E886" s="31" t="s">
        <v>94</v>
      </c>
      <c r="F886" s="32" t="s">
        <v>93</v>
      </c>
    </row>
    <row r="887" spans="1:6">
      <c r="A887" s="29">
        <v>63190</v>
      </c>
      <c r="B887" s="31" t="s">
        <v>1767</v>
      </c>
      <c r="C887" s="31" t="s">
        <v>412</v>
      </c>
      <c r="D887" s="31" t="s">
        <v>142</v>
      </c>
      <c r="E887" s="31" t="s">
        <v>94</v>
      </c>
      <c r="F887" s="32" t="s">
        <v>93</v>
      </c>
    </row>
    <row r="888" spans="1:6">
      <c r="A888" s="29">
        <v>63272</v>
      </c>
      <c r="B888" s="31" t="s">
        <v>1768</v>
      </c>
      <c r="C888" s="31" t="s">
        <v>412</v>
      </c>
      <c r="D888" s="31" t="s">
        <v>142</v>
      </c>
      <c r="E888" s="31" t="s">
        <v>94</v>
      </c>
      <c r="F888" s="32" t="s">
        <v>93</v>
      </c>
    </row>
    <row r="889" spans="1:6">
      <c r="A889" s="29">
        <v>63302</v>
      </c>
      <c r="B889" s="31" t="s">
        <v>1769</v>
      </c>
      <c r="C889" s="31" t="s">
        <v>412</v>
      </c>
      <c r="D889" s="31" t="s">
        <v>142</v>
      </c>
      <c r="E889" s="31" t="s">
        <v>94</v>
      </c>
      <c r="F889" s="32" t="s">
        <v>178</v>
      </c>
    </row>
    <row r="890" spans="1:6">
      <c r="A890" s="29">
        <v>63401</v>
      </c>
      <c r="B890" s="31" t="s">
        <v>1770</v>
      </c>
      <c r="C890" s="31" t="s">
        <v>412</v>
      </c>
      <c r="D890" s="31" t="s">
        <v>142</v>
      </c>
      <c r="E890" s="31" t="s">
        <v>94</v>
      </c>
      <c r="F890" s="32" t="s">
        <v>93</v>
      </c>
    </row>
    <row r="891" spans="1:6">
      <c r="A891" s="29">
        <v>63470</v>
      </c>
      <c r="B891" s="31" t="s">
        <v>1771</v>
      </c>
      <c r="C891" s="31" t="s">
        <v>412</v>
      </c>
      <c r="D891" s="31" t="s">
        <v>142</v>
      </c>
      <c r="E891" s="31" t="s">
        <v>94</v>
      </c>
      <c r="F891" s="32" t="s">
        <v>93</v>
      </c>
    </row>
    <row r="892" spans="1:6">
      <c r="A892" s="29">
        <v>63548</v>
      </c>
      <c r="B892" s="31" t="s">
        <v>1772</v>
      </c>
      <c r="C892" s="31" t="s">
        <v>412</v>
      </c>
      <c r="D892" s="31" t="s">
        <v>142</v>
      </c>
      <c r="E892" s="31" t="s">
        <v>94</v>
      </c>
      <c r="F892" s="32" t="s">
        <v>178</v>
      </c>
    </row>
    <row r="893" spans="1:6">
      <c r="A893" s="29">
        <v>63594</v>
      </c>
      <c r="B893" s="31" t="s">
        <v>1773</v>
      </c>
      <c r="C893" s="31" t="s">
        <v>412</v>
      </c>
      <c r="D893" s="31" t="s">
        <v>142</v>
      </c>
      <c r="E893" s="31" t="s">
        <v>94</v>
      </c>
      <c r="F893" s="32" t="s">
        <v>93</v>
      </c>
    </row>
    <row r="894" spans="1:6">
      <c r="A894" s="29">
        <v>63690</v>
      </c>
      <c r="B894" s="31" t="s">
        <v>1774</v>
      </c>
      <c r="C894" s="31" t="s">
        <v>412</v>
      </c>
      <c r="D894" s="31" t="s">
        <v>142</v>
      </c>
      <c r="E894" s="31" t="s">
        <v>94</v>
      </c>
      <c r="F894" s="32" t="s">
        <v>93</v>
      </c>
    </row>
    <row r="895" spans="1:6">
      <c r="A895" s="29">
        <v>66075</v>
      </c>
      <c r="B895" s="30" t="s">
        <v>1365</v>
      </c>
      <c r="C895" s="31" t="s">
        <v>213</v>
      </c>
      <c r="D895" s="31" t="s">
        <v>142</v>
      </c>
      <c r="E895" s="31" t="s">
        <v>94</v>
      </c>
      <c r="F895" s="32" t="s">
        <v>93</v>
      </c>
    </row>
    <row r="896" spans="1:6">
      <c r="A896" s="29">
        <v>66045</v>
      </c>
      <c r="B896" s="31" t="s">
        <v>1775</v>
      </c>
      <c r="C896" s="31" t="s">
        <v>213</v>
      </c>
      <c r="D896" s="31" t="s">
        <v>142</v>
      </c>
      <c r="E896" s="31" t="s">
        <v>94</v>
      </c>
      <c r="F896" s="32" t="s">
        <v>93</v>
      </c>
    </row>
    <row r="897" spans="1:6">
      <c r="A897" s="29">
        <v>66088</v>
      </c>
      <c r="B897" s="31" t="s">
        <v>1776</v>
      </c>
      <c r="C897" s="31" t="s">
        <v>213</v>
      </c>
      <c r="D897" s="31" t="s">
        <v>142</v>
      </c>
      <c r="E897" s="31" t="s">
        <v>94</v>
      </c>
      <c r="F897" s="32" t="s">
        <v>93</v>
      </c>
    </row>
    <row r="898" spans="1:6">
      <c r="A898" s="29">
        <v>66170</v>
      </c>
      <c r="B898" s="31" t="s">
        <v>429</v>
      </c>
      <c r="C898" s="31" t="s">
        <v>213</v>
      </c>
      <c r="D898" s="31" t="s">
        <v>142</v>
      </c>
      <c r="E898" s="31" t="s">
        <v>94</v>
      </c>
      <c r="F898" s="32" t="s">
        <v>102</v>
      </c>
    </row>
    <row r="899" spans="1:6">
      <c r="A899" s="29">
        <v>66318</v>
      </c>
      <c r="B899" s="31" t="s">
        <v>1777</v>
      </c>
      <c r="C899" s="31" t="s">
        <v>213</v>
      </c>
      <c r="D899" s="31" t="s">
        <v>142</v>
      </c>
      <c r="E899" s="31" t="s">
        <v>94</v>
      </c>
      <c r="F899" s="32" t="s">
        <v>93</v>
      </c>
    </row>
    <row r="900" spans="1:6">
      <c r="A900" s="29">
        <v>66383</v>
      </c>
      <c r="B900" s="31" t="s">
        <v>1778</v>
      </c>
      <c r="C900" s="31" t="s">
        <v>213</v>
      </c>
      <c r="D900" s="31" t="s">
        <v>142</v>
      </c>
      <c r="E900" s="31" t="s">
        <v>94</v>
      </c>
      <c r="F900" s="32" t="s">
        <v>93</v>
      </c>
    </row>
    <row r="901" spans="1:6">
      <c r="A901" s="29">
        <v>66400</v>
      </c>
      <c r="B901" s="31" t="s">
        <v>1779</v>
      </c>
      <c r="C901" s="31" t="s">
        <v>213</v>
      </c>
      <c r="D901" s="31" t="s">
        <v>142</v>
      </c>
      <c r="E901" s="31" t="s">
        <v>94</v>
      </c>
      <c r="F901" s="32" t="s">
        <v>102</v>
      </c>
    </row>
    <row r="902" spans="1:6">
      <c r="A902" s="29">
        <v>66440</v>
      </c>
      <c r="B902" s="31" t="s">
        <v>1780</v>
      </c>
      <c r="C902" s="31" t="s">
        <v>213</v>
      </c>
      <c r="D902" s="31" t="s">
        <v>142</v>
      </c>
      <c r="E902" s="31" t="s">
        <v>94</v>
      </c>
      <c r="F902" s="32" t="s">
        <v>93</v>
      </c>
    </row>
    <row r="903" spans="1:6">
      <c r="A903" s="29">
        <v>66456</v>
      </c>
      <c r="B903" s="31" t="s">
        <v>1781</v>
      </c>
      <c r="C903" s="31" t="s">
        <v>213</v>
      </c>
      <c r="D903" s="31" t="s">
        <v>142</v>
      </c>
      <c r="E903" s="31" t="s">
        <v>94</v>
      </c>
      <c r="F903" s="32" t="s">
        <v>93</v>
      </c>
    </row>
    <row r="904" spans="1:6">
      <c r="A904" s="29">
        <v>66001</v>
      </c>
      <c r="B904" s="31" t="s">
        <v>142</v>
      </c>
      <c r="C904" s="31" t="s">
        <v>213</v>
      </c>
      <c r="D904" s="31" t="s">
        <v>142</v>
      </c>
      <c r="E904" s="31" t="s">
        <v>94</v>
      </c>
      <c r="F904" s="32" t="s">
        <v>102</v>
      </c>
    </row>
    <row r="905" spans="1:6">
      <c r="A905" s="29">
        <v>66572</v>
      </c>
      <c r="B905" s="31" t="s">
        <v>1782</v>
      </c>
      <c r="C905" s="31" t="s">
        <v>213</v>
      </c>
      <c r="D905" s="31" t="s">
        <v>142</v>
      </c>
      <c r="E905" s="31" t="s">
        <v>94</v>
      </c>
      <c r="F905" s="32" t="s">
        <v>93</v>
      </c>
    </row>
    <row r="906" spans="1:6">
      <c r="A906" s="29">
        <v>66594</v>
      </c>
      <c r="B906" s="31" t="s">
        <v>1783</v>
      </c>
      <c r="C906" s="31" t="s">
        <v>213</v>
      </c>
      <c r="D906" s="31" t="s">
        <v>142</v>
      </c>
      <c r="E906" s="31" t="s">
        <v>94</v>
      </c>
      <c r="F906" s="32" t="s">
        <v>93</v>
      </c>
    </row>
    <row r="907" spans="1:6">
      <c r="A907" s="29">
        <v>66682</v>
      </c>
      <c r="B907" s="31" t="s">
        <v>1784</v>
      </c>
      <c r="C907" s="31" t="s">
        <v>213</v>
      </c>
      <c r="D907" s="31" t="s">
        <v>142</v>
      </c>
      <c r="E907" s="31" t="s">
        <v>94</v>
      </c>
      <c r="F907" s="32" t="s">
        <v>102</v>
      </c>
    </row>
    <row r="908" spans="1:6">
      <c r="A908" s="29">
        <v>66687</v>
      </c>
      <c r="B908" s="31" t="s">
        <v>1785</v>
      </c>
      <c r="C908" s="31" t="s">
        <v>213</v>
      </c>
      <c r="D908" s="31" t="s">
        <v>142</v>
      </c>
      <c r="E908" s="31" t="s">
        <v>94</v>
      </c>
      <c r="F908" s="32" t="s">
        <v>93</v>
      </c>
    </row>
    <row r="909" spans="1:6">
      <c r="A909" s="29">
        <v>88564</v>
      </c>
      <c r="B909" s="30" t="s">
        <v>1679</v>
      </c>
      <c r="C909" s="31" t="s">
        <v>1786</v>
      </c>
      <c r="D909" s="31" t="s">
        <v>218</v>
      </c>
      <c r="E909" s="31" t="s">
        <v>140</v>
      </c>
      <c r="F909" s="32" t="s">
        <v>139</v>
      </c>
    </row>
    <row r="910" spans="1:6">
      <c r="A910" s="29">
        <v>88001</v>
      </c>
      <c r="B910" s="30" t="s">
        <v>1787</v>
      </c>
      <c r="C910" s="31" t="s">
        <v>1786</v>
      </c>
      <c r="D910" s="31" t="s">
        <v>218</v>
      </c>
      <c r="E910" s="31" t="s">
        <v>140</v>
      </c>
      <c r="F910" s="32" t="s">
        <v>139</v>
      </c>
    </row>
    <row r="911" spans="1:6">
      <c r="A911" s="29">
        <v>68020</v>
      </c>
      <c r="B911" s="30" t="s">
        <v>1334</v>
      </c>
      <c r="C911" s="31" t="s">
        <v>304</v>
      </c>
      <c r="D911" s="31" t="s">
        <v>186</v>
      </c>
      <c r="E911" s="31" t="s">
        <v>94</v>
      </c>
      <c r="F911" s="32" t="s">
        <v>178</v>
      </c>
    </row>
    <row r="912" spans="1:6">
      <c r="A912" s="29">
        <v>68077</v>
      </c>
      <c r="B912" s="30" t="s">
        <v>1020</v>
      </c>
      <c r="C912" s="31" t="s">
        <v>304</v>
      </c>
      <c r="D912" s="31" t="s">
        <v>186</v>
      </c>
      <c r="E912" s="31" t="s">
        <v>94</v>
      </c>
      <c r="F912" s="32" t="s">
        <v>93</v>
      </c>
    </row>
    <row r="913" spans="1:6">
      <c r="A913" s="29">
        <v>68092</v>
      </c>
      <c r="B913" s="30" t="s">
        <v>1021</v>
      </c>
      <c r="C913" s="31" t="s">
        <v>304</v>
      </c>
      <c r="D913" s="31" t="s">
        <v>302</v>
      </c>
      <c r="E913" s="31" t="s">
        <v>94</v>
      </c>
      <c r="F913" s="32" t="s">
        <v>129</v>
      </c>
    </row>
    <row r="914" spans="1:6">
      <c r="A914" s="29">
        <v>68101</v>
      </c>
      <c r="B914" s="30" t="s">
        <v>651</v>
      </c>
      <c r="C914" s="31" t="s">
        <v>304</v>
      </c>
      <c r="D914" s="31" t="s">
        <v>186</v>
      </c>
      <c r="E914" s="31" t="s">
        <v>94</v>
      </c>
      <c r="F914" s="32" t="s">
        <v>178</v>
      </c>
    </row>
    <row r="915" spans="1:6">
      <c r="A915" s="29">
        <v>68121</v>
      </c>
      <c r="B915" s="30" t="s">
        <v>1474</v>
      </c>
      <c r="C915" s="31" t="s">
        <v>304</v>
      </c>
      <c r="D915" s="31" t="s">
        <v>302</v>
      </c>
      <c r="E915" s="31" t="s">
        <v>94</v>
      </c>
      <c r="F915" s="32" t="s">
        <v>178</v>
      </c>
    </row>
    <row r="916" spans="1:6">
      <c r="A916" s="29">
        <v>68176</v>
      </c>
      <c r="B916" s="30" t="s">
        <v>1451</v>
      </c>
      <c r="C916" s="31" t="s">
        <v>304</v>
      </c>
      <c r="D916" s="31" t="s">
        <v>302</v>
      </c>
      <c r="E916" s="31" t="s">
        <v>94</v>
      </c>
      <c r="F916" s="32" t="s">
        <v>129</v>
      </c>
    </row>
    <row r="917" spans="1:6">
      <c r="A917" s="29">
        <v>68207</v>
      </c>
      <c r="B917" s="30" t="s">
        <v>1023</v>
      </c>
      <c r="C917" s="31" t="s">
        <v>304</v>
      </c>
      <c r="D917" s="31" t="s">
        <v>302</v>
      </c>
      <c r="E917" s="31" t="s">
        <v>94</v>
      </c>
      <c r="F917" s="32" t="s">
        <v>129</v>
      </c>
    </row>
    <row r="918" spans="1:6">
      <c r="A918" s="29">
        <v>68250</v>
      </c>
      <c r="B918" s="30" t="s">
        <v>1155</v>
      </c>
      <c r="C918" s="31" t="s">
        <v>304</v>
      </c>
      <c r="D918" s="31" t="s">
        <v>302</v>
      </c>
      <c r="E918" s="31" t="s">
        <v>94</v>
      </c>
      <c r="F918" s="32" t="s">
        <v>129</v>
      </c>
    </row>
    <row r="919" spans="1:6">
      <c r="A919" s="29">
        <v>68320</v>
      </c>
      <c r="B919" s="30" t="s">
        <v>1025</v>
      </c>
      <c r="C919" s="31" t="s">
        <v>304</v>
      </c>
      <c r="D919" s="31" t="s">
        <v>302</v>
      </c>
      <c r="E919" s="31" t="s">
        <v>94</v>
      </c>
      <c r="F919" s="32" t="s">
        <v>129</v>
      </c>
    </row>
    <row r="920" spans="1:6">
      <c r="A920" s="29">
        <v>68397</v>
      </c>
      <c r="B920" s="30" t="s">
        <v>1397</v>
      </c>
      <c r="C920" s="31" t="s">
        <v>304</v>
      </c>
      <c r="D920" s="31" t="s">
        <v>302</v>
      </c>
      <c r="E920" s="31" t="s">
        <v>94</v>
      </c>
      <c r="F920" s="32" t="s">
        <v>129</v>
      </c>
    </row>
    <row r="921" spans="1:6">
      <c r="A921" s="29">
        <v>68615</v>
      </c>
      <c r="B921" s="30" t="s">
        <v>682</v>
      </c>
      <c r="C921" s="31" t="s">
        <v>304</v>
      </c>
      <c r="D921" s="31" t="s">
        <v>302</v>
      </c>
      <c r="E921" s="31" t="s">
        <v>94</v>
      </c>
      <c r="F921" s="32" t="s">
        <v>93</v>
      </c>
    </row>
    <row r="922" spans="1:6">
      <c r="A922" s="29">
        <v>68669</v>
      </c>
      <c r="B922" s="30" t="s">
        <v>1787</v>
      </c>
      <c r="C922" s="31" t="s">
        <v>304</v>
      </c>
      <c r="D922" s="31" t="s">
        <v>302</v>
      </c>
      <c r="E922" s="31" t="s">
        <v>94</v>
      </c>
      <c r="F922" s="32" t="s">
        <v>178</v>
      </c>
    </row>
    <row r="923" spans="1:6">
      <c r="A923" s="29">
        <v>68686</v>
      </c>
      <c r="B923" s="30" t="s">
        <v>1758</v>
      </c>
      <c r="C923" s="31" t="s">
        <v>304</v>
      </c>
      <c r="D923" s="31" t="s">
        <v>186</v>
      </c>
      <c r="E923" s="31" t="s">
        <v>94</v>
      </c>
      <c r="F923" s="32" t="s">
        <v>129</v>
      </c>
    </row>
    <row r="924" spans="1:6">
      <c r="A924" s="29">
        <v>68705</v>
      </c>
      <c r="B924" s="30" t="s">
        <v>1032</v>
      </c>
      <c r="C924" s="31" t="s">
        <v>304</v>
      </c>
      <c r="D924" s="31" t="s">
        <v>302</v>
      </c>
      <c r="E924" s="31" t="s">
        <v>94</v>
      </c>
      <c r="F924" s="32" t="s">
        <v>93</v>
      </c>
    </row>
    <row r="925" spans="1:6">
      <c r="A925" s="29">
        <v>68773</v>
      </c>
      <c r="B925" s="30" t="s">
        <v>850</v>
      </c>
      <c r="C925" s="31" t="s">
        <v>304</v>
      </c>
      <c r="D925" s="31" t="s">
        <v>186</v>
      </c>
      <c r="E925" s="31" t="s">
        <v>94</v>
      </c>
      <c r="F925" s="32" t="s">
        <v>178</v>
      </c>
    </row>
    <row r="926" spans="1:6">
      <c r="A926" s="29">
        <v>68872</v>
      </c>
      <c r="B926" s="30" t="s">
        <v>1159</v>
      </c>
      <c r="C926" s="31" t="s">
        <v>304</v>
      </c>
      <c r="D926" s="31" t="s">
        <v>302</v>
      </c>
      <c r="E926" s="31" t="s">
        <v>94</v>
      </c>
      <c r="F926" s="32" t="s">
        <v>178</v>
      </c>
    </row>
    <row r="927" spans="1:6">
      <c r="A927" s="29">
        <v>68013</v>
      </c>
      <c r="B927" s="31" t="s">
        <v>1788</v>
      </c>
      <c r="C927" s="31" t="s">
        <v>304</v>
      </c>
      <c r="D927" s="31" t="s">
        <v>302</v>
      </c>
      <c r="E927" s="31" t="s">
        <v>94</v>
      </c>
      <c r="F927" s="32" t="s">
        <v>129</v>
      </c>
    </row>
    <row r="928" spans="1:6">
      <c r="A928" s="29">
        <v>68051</v>
      </c>
      <c r="B928" s="31" t="s">
        <v>1789</v>
      </c>
      <c r="C928" s="31" t="s">
        <v>304</v>
      </c>
      <c r="D928" s="31" t="s">
        <v>302</v>
      </c>
      <c r="E928" s="31" t="s">
        <v>94</v>
      </c>
      <c r="F928" s="32" t="s">
        <v>93</v>
      </c>
    </row>
    <row r="929" spans="1:6">
      <c r="A929" s="29">
        <v>68079</v>
      </c>
      <c r="B929" s="31" t="s">
        <v>1790</v>
      </c>
      <c r="C929" s="31" t="s">
        <v>304</v>
      </c>
      <c r="D929" s="31" t="s">
        <v>302</v>
      </c>
      <c r="E929" s="31" t="s">
        <v>94</v>
      </c>
      <c r="F929" s="32" t="s">
        <v>178</v>
      </c>
    </row>
    <row r="930" spans="1:6">
      <c r="A930" s="29">
        <v>68081</v>
      </c>
      <c r="B930" s="31" t="s">
        <v>687</v>
      </c>
      <c r="C930" s="31" t="s">
        <v>304</v>
      </c>
      <c r="D930" s="31" t="s">
        <v>302</v>
      </c>
      <c r="E930" s="31" t="s">
        <v>94</v>
      </c>
      <c r="F930" s="32" t="s">
        <v>178</v>
      </c>
    </row>
    <row r="931" spans="1:6">
      <c r="A931" s="29">
        <v>68001</v>
      </c>
      <c r="B931" s="31" t="s">
        <v>302</v>
      </c>
      <c r="C931" s="31" t="s">
        <v>304</v>
      </c>
      <c r="D931" s="31" t="s">
        <v>302</v>
      </c>
      <c r="E931" s="31" t="s">
        <v>94</v>
      </c>
      <c r="F931" s="32" t="s">
        <v>102</v>
      </c>
    </row>
    <row r="932" spans="1:6">
      <c r="A932" s="29">
        <v>68132</v>
      </c>
      <c r="B932" s="31" t="s">
        <v>1791</v>
      </c>
      <c r="C932" s="31" t="s">
        <v>304</v>
      </c>
      <c r="D932" s="31" t="s">
        <v>302</v>
      </c>
      <c r="E932" s="31" t="s">
        <v>94</v>
      </c>
      <c r="F932" s="32" t="s">
        <v>178</v>
      </c>
    </row>
    <row r="933" spans="1:6">
      <c r="A933" s="29">
        <v>68147</v>
      </c>
      <c r="B933" s="31" t="s">
        <v>1792</v>
      </c>
      <c r="C933" s="31" t="s">
        <v>304</v>
      </c>
      <c r="D933" s="31" t="s">
        <v>302</v>
      </c>
      <c r="E933" s="31" t="s">
        <v>94</v>
      </c>
      <c r="F933" s="32" t="s">
        <v>129</v>
      </c>
    </row>
    <row r="934" spans="1:6">
      <c r="A934" s="29">
        <v>68152</v>
      </c>
      <c r="B934" s="31" t="s">
        <v>1793</v>
      </c>
      <c r="C934" s="31" t="s">
        <v>304</v>
      </c>
      <c r="D934" s="31" t="s">
        <v>302</v>
      </c>
      <c r="E934" s="31" t="s">
        <v>94</v>
      </c>
      <c r="F934" s="32" t="s">
        <v>129</v>
      </c>
    </row>
    <row r="935" spans="1:6">
      <c r="A935" s="29">
        <v>68160</v>
      </c>
      <c r="B935" s="31" t="s">
        <v>1794</v>
      </c>
      <c r="C935" s="31" t="s">
        <v>304</v>
      </c>
      <c r="D935" s="31" t="s">
        <v>302</v>
      </c>
      <c r="E935" s="31" t="s">
        <v>94</v>
      </c>
      <c r="F935" s="32" t="s">
        <v>178</v>
      </c>
    </row>
    <row r="936" spans="1:6">
      <c r="A936" s="29">
        <v>68162</v>
      </c>
      <c r="B936" s="31" t="s">
        <v>1795</v>
      </c>
      <c r="C936" s="31" t="s">
        <v>304</v>
      </c>
      <c r="D936" s="31" t="s">
        <v>302</v>
      </c>
      <c r="E936" s="31" t="s">
        <v>94</v>
      </c>
      <c r="F936" s="32" t="s">
        <v>129</v>
      </c>
    </row>
    <row r="937" spans="1:6">
      <c r="A937" s="29">
        <v>68167</v>
      </c>
      <c r="B937" s="31" t="s">
        <v>1796</v>
      </c>
      <c r="C937" s="31" t="s">
        <v>304</v>
      </c>
      <c r="D937" s="31" t="s">
        <v>302</v>
      </c>
      <c r="E937" s="31" t="s">
        <v>94</v>
      </c>
      <c r="F937" s="32" t="s">
        <v>129</v>
      </c>
    </row>
    <row r="938" spans="1:6">
      <c r="A938" s="29">
        <v>68169</v>
      </c>
      <c r="B938" s="31" t="s">
        <v>1797</v>
      </c>
      <c r="C938" s="31" t="s">
        <v>304</v>
      </c>
      <c r="D938" s="31" t="s">
        <v>302</v>
      </c>
      <c r="E938" s="31" t="s">
        <v>94</v>
      </c>
      <c r="F938" s="32" t="s">
        <v>93</v>
      </c>
    </row>
    <row r="939" spans="1:6">
      <c r="A939" s="29">
        <v>68179</v>
      </c>
      <c r="B939" s="31" t="s">
        <v>1798</v>
      </c>
      <c r="C939" s="31" t="s">
        <v>304</v>
      </c>
      <c r="D939" s="31" t="s">
        <v>186</v>
      </c>
      <c r="E939" s="31" t="s">
        <v>94</v>
      </c>
      <c r="F939" s="32" t="s">
        <v>129</v>
      </c>
    </row>
    <row r="940" spans="1:6">
      <c r="A940" s="29">
        <v>68190</v>
      </c>
      <c r="B940" s="31" t="s">
        <v>1799</v>
      </c>
      <c r="C940" s="31" t="s">
        <v>304</v>
      </c>
      <c r="D940" s="31" t="s">
        <v>302</v>
      </c>
      <c r="E940" s="31" t="s">
        <v>94</v>
      </c>
      <c r="F940" s="32" t="s">
        <v>129</v>
      </c>
    </row>
    <row r="941" spans="1:6">
      <c r="A941" s="29">
        <v>68209</v>
      </c>
      <c r="B941" s="31" t="s">
        <v>1800</v>
      </c>
      <c r="C941" s="31" t="s">
        <v>304</v>
      </c>
      <c r="D941" s="31" t="s">
        <v>302</v>
      </c>
      <c r="E941" s="31" t="s">
        <v>94</v>
      </c>
      <c r="F941" s="32" t="s">
        <v>178</v>
      </c>
    </row>
    <row r="942" spans="1:6">
      <c r="A942" s="29">
        <v>68211</v>
      </c>
      <c r="B942" s="31" t="s">
        <v>1801</v>
      </c>
      <c r="C942" s="31" t="s">
        <v>304</v>
      </c>
      <c r="D942" s="31" t="s">
        <v>302</v>
      </c>
      <c r="E942" s="31" t="s">
        <v>94</v>
      </c>
      <c r="F942" s="32" t="s">
        <v>129</v>
      </c>
    </row>
    <row r="943" spans="1:6">
      <c r="A943" s="29">
        <v>68217</v>
      </c>
      <c r="B943" s="31" t="s">
        <v>1802</v>
      </c>
      <c r="C943" s="31" t="s">
        <v>304</v>
      </c>
      <c r="D943" s="31" t="s">
        <v>302</v>
      </c>
      <c r="E943" s="31" t="s">
        <v>94</v>
      </c>
      <c r="F943" s="32" t="s">
        <v>129</v>
      </c>
    </row>
    <row r="944" spans="1:6">
      <c r="A944" s="29">
        <v>68229</v>
      </c>
      <c r="B944" s="31" t="s">
        <v>1803</v>
      </c>
      <c r="C944" s="31" t="s">
        <v>304</v>
      </c>
      <c r="D944" s="31" t="s">
        <v>302</v>
      </c>
      <c r="E944" s="31" t="s">
        <v>94</v>
      </c>
      <c r="F944" s="32" t="s">
        <v>93</v>
      </c>
    </row>
    <row r="945" spans="1:6">
      <c r="A945" s="29">
        <v>68235</v>
      </c>
      <c r="B945" s="31" t="s">
        <v>1804</v>
      </c>
      <c r="C945" s="31" t="s">
        <v>304</v>
      </c>
      <c r="D945" s="31" t="s">
        <v>302</v>
      </c>
      <c r="E945" s="31" t="s">
        <v>94</v>
      </c>
      <c r="F945" s="32" t="s">
        <v>129</v>
      </c>
    </row>
    <row r="946" spans="1:6">
      <c r="A946" s="29">
        <v>68245</v>
      </c>
      <c r="B946" s="31" t="s">
        <v>1805</v>
      </c>
      <c r="C946" s="31" t="s">
        <v>304</v>
      </c>
      <c r="D946" s="31" t="s">
        <v>302</v>
      </c>
      <c r="E946" s="31" t="s">
        <v>94</v>
      </c>
      <c r="F946" s="32" t="s">
        <v>129</v>
      </c>
    </row>
    <row r="947" spans="1:6">
      <c r="A947" s="29">
        <v>68255</v>
      </c>
      <c r="B947" s="31" t="s">
        <v>1806</v>
      </c>
      <c r="C947" s="31" t="s">
        <v>304</v>
      </c>
      <c r="D947" s="31" t="s">
        <v>302</v>
      </c>
      <c r="E947" s="31" t="s">
        <v>94</v>
      </c>
      <c r="F947" s="32" t="s">
        <v>93</v>
      </c>
    </row>
    <row r="948" spans="1:6">
      <c r="A948" s="29">
        <v>68264</v>
      </c>
      <c r="B948" s="31" t="s">
        <v>1807</v>
      </c>
      <c r="C948" s="31" t="s">
        <v>304</v>
      </c>
      <c r="D948" s="31" t="s">
        <v>302</v>
      </c>
      <c r="E948" s="31" t="s">
        <v>94</v>
      </c>
      <c r="F948" s="32" t="s">
        <v>129</v>
      </c>
    </row>
    <row r="949" spans="1:6">
      <c r="A949" s="29">
        <v>68266</v>
      </c>
      <c r="B949" s="31" t="s">
        <v>1808</v>
      </c>
      <c r="C949" s="31" t="s">
        <v>304</v>
      </c>
      <c r="D949" s="31" t="s">
        <v>302</v>
      </c>
      <c r="E949" s="31" t="s">
        <v>94</v>
      </c>
      <c r="F949" s="32" t="s">
        <v>129</v>
      </c>
    </row>
    <row r="950" spans="1:6">
      <c r="A950" s="29">
        <v>68271</v>
      </c>
      <c r="B950" s="31" t="s">
        <v>1809</v>
      </c>
      <c r="C950" s="31" t="s">
        <v>304</v>
      </c>
      <c r="D950" s="31" t="s">
        <v>186</v>
      </c>
      <c r="E950" s="31" t="s">
        <v>94</v>
      </c>
      <c r="F950" s="32" t="s">
        <v>129</v>
      </c>
    </row>
    <row r="951" spans="1:6">
      <c r="A951" s="29">
        <v>68276</v>
      </c>
      <c r="B951" s="31" t="s">
        <v>1810</v>
      </c>
      <c r="C951" s="31" t="s">
        <v>304</v>
      </c>
      <c r="D951" s="31" t="s">
        <v>302</v>
      </c>
      <c r="E951" s="31" t="s">
        <v>94</v>
      </c>
      <c r="F951" s="32" t="s">
        <v>102</v>
      </c>
    </row>
    <row r="952" spans="1:6">
      <c r="A952" s="29">
        <v>68296</v>
      </c>
      <c r="B952" s="31" t="s">
        <v>1811</v>
      </c>
      <c r="C952" s="31" t="s">
        <v>304</v>
      </c>
      <c r="D952" s="31" t="s">
        <v>302</v>
      </c>
      <c r="E952" s="31" t="s">
        <v>94</v>
      </c>
      <c r="F952" s="32" t="s">
        <v>178</v>
      </c>
    </row>
    <row r="953" spans="1:6">
      <c r="A953" s="29">
        <v>68298</v>
      </c>
      <c r="B953" s="31" t="s">
        <v>1812</v>
      </c>
      <c r="C953" s="31" t="s">
        <v>304</v>
      </c>
      <c r="D953" s="31" t="s">
        <v>302</v>
      </c>
      <c r="E953" s="31" t="s">
        <v>94</v>
      </c>
      <c r="F953" s="32" t="s">
        <v>129</v>
      </c>
    </row>
    <row r="954" spans="1:6">
      <c r="A954" s="29">
        <v>68307</v>
      </c>
      <c r="B954" s="31" t="s">
        <v>1813</v>
      </c>
      <c r="C954" s="31" t="s">
        <v>304</v>
      </c>
      <c r="D954" s="31" t="s">
        <v>302</v>
      </c>
      <c r="E954" s="31" t="s">
        <v>94</v>
      </c>
      <c r="F954" s="32" t="s">
        <v>102</v>
      </c>
    </row>
    <row r="955" spans="1:6">
      <c r="A955" s="29">
        <v>68318</v>
      </c>
      <c r="B955" s="31" t="s">
        <v>1814</v>
      </c>
      <c r="C955" s="31" t="s">
        <v>304</v>
      </c>
      <c r="D955" s="31" t="s">
        <v>302</v>
      </c>
      <c r="E955" s="31" t="s">
        <v>94</v>
      </c>
      <c r="F955" s="32" t="s">
        <v>178</v>
      </c>
    </row>
    <row r="956" spans="1:6">
      <c r="A956" s="29">
        <v>68322</v>
      </c>
      <c r="B956" s="31" t="s">
        <v>1815</v>
      </c>
      <c r="C956" s="31" t="s">
        <v>304</v>
      </c>
      <c r="D956" s="31" t="s">
        <v>302</v>
      </c>
      <c r="E956" s="31" t="s">
        <v>94</v>
      </c>
      <c r="F956" s="32" t="s">
        <v>129</v>
      </c>
    </row>
    <row r="957" spans="1:6">
      <c r="A957" s="29">
        <v>68324</v>
      </c>
      <c r="B957" s="31" t="s">
        <v>1816</v>
      </c>
      <c r="C957" s="31" t="s">
        <v>304</v>
      </c>
      <c r="D957" s="31" t="s">
        <v>302</v>
      </c>
      <c r="E957" s="31" t="s">
        <v>94</v>
      </c>
      <c r="F957" s="32" t="s">
        <v>129</v>
      </c>
    </row>
    <row r="958" spans="1:6">
      <c r="A958" s="29">
        <v>68327</v>
      </c>
      <c r="B958" s="31" t="s">
        <v>1817</v>
      </c>
      <c r="C958" s="31" t="s">
        <v>304</v>
      </c>
      <c r="D958" s="31" t="s">
        <v>302</v>
      </c>
      <c r="E958" s="31" t="s">
        <v>94</v>
      </c>
      <c r="F958" s="32" t="s">
        <v>178</v>
      </c>
    </row>
    <row r="959" spans="1:6">
      <c r="A959" s="29">
        <v>68344</v>
      </c>
      <c r="B959" s="31" t="s">
        <v>1818</v>
      </c>
      <c r="C959" s="31" t="s">
        <v>304</v>
      </c>
      <c r="D959" s="31" t="s">
        <v>302</v>
      </c>
      <c r="E959" s="31" t="s">
        <v>94</v>
      </c>
      <c r="F959" s="32" t="s">
        <v>178</v>
      </c>
    </row>
    <row r="960" spans="1:6">
      <c r="A960" s="29">
        <v>68368</v>
      </c>
      <c r="B960" s="31" t="s">
        <v>1819</v>
      </c>
      <c r="C960" s="31" t="s">
        <v>304</v>
      </c>
      <c r="D960" s="31" t="s">
        <v>186</v>
      </c>
      <c r="E960" s="31" t="s">
        <v>94</v>
      </c>
      <c r="F960" s="32" t="s">
        <v>129</v>
      </c>
    </row>
    <row r="961" spans="1:6">
      <c r="A961" s="29">
        <v>68370</v>
      </c>
      <c r="B961" s="31" t="s">
        <v>1820</v>
      </c>
      <c r="C961" s="31" t="s">
        <v>304</v>
      </c>
      <c r="D961" s="31" t="s">
        <v>302</v>
      </c>
      <c r="E961" s="31" t="s">
        <v>94</v>
      </c>
      <c r="F961" s="32" t="s">
        <v>178</v>
      </c>
    </row>
    <row r="962" spans="1:6">
      <c r="A962" s="29">
        <v>68377</v>
      </c>
      <c r="B962" s="31" t="s">
        <v>1821</v>
      </c>
      <c r="C962" s="31" t="s">
        <v>304</v>
      </c>
      <c r="D962" s="31" t="s">
        <v>186</v>
      </c>
      <c r="E962" s="31" t="s">
        <v>94</v>
      </c>
      <c r="F962" s="32" t="s">
        <v>129</v>
      </c>
    </row>
    <row r="963" spans="1:6">
      <c r="A963" s="29">
        <v>68385</v>
      </c>
      <c r="B963" s="31" t="s">
        <v>1822</v>
      </c>
      <c r="C963" s="31" t="s">
        <v>304</v>
      </c>
      <c r="D963" s="31" t="s">
        <v>186</v>
      </c>
      <c r="E963" s="31" t="s">
        <v>94</v>
      </c>
      <c r="F963" s="32" t="s">
        <v>178</v>
      </c>
    </row>
    <row r="964" spans="1:6">
      <c r="A964" s="29">
        <v>68406</v>
      </c>
      <c r="B964" s="31" t="s">
        <v>1823</v>
      </c>
      <c r="C964" s="31" t="s">
        <v>304</v>
      </c>
      <c r="D964" s="31" t="s">
        <v>302</v>
      </c>
      <c r="E964" s="31" t="s">
        <v>94</v>
      </c>
      <c r="F964" s="32" t="s">
        <v>93</v>
      </c>
    </row>
    <row r="965" spans="1:6">
      <c r="A965" s="29">
        <v>68418</v>
      </c>
      <c r="B965" s="31" t="s">
        <v>1824</v>
      </c>
      <c r="C965" s="31" t="s">
        <v>304</v>
      </c>
      <c r="D965" s="31" t="s">
        <v>302</v>
      </c>
      <c r="E965" s="31" t="s">
        <v>94</v>
      </c>
      <c r="F965" s="32" t="s">
        <v>93</v>
      </c>
    </row>
    <row r="966" spans="1:6">
      <c r="A966" s="29">
        <v>68425</v>
      </c>
      <c r="B966" s="31" t="s">
        <v>1825</v>
      </c>
      <c r="C966" s="31" t="s">
        <v>304</v>
      </c>
      <c r="D966" s="31" t="s">
        <v>302</v>
      </c>
      <c r="E966" s="31" t="s">
        <v>94</v>
      </c>
      <c r="F966" s="32" t="s">
        <v>129</v>
      </c>
    </row>
    <row r="967" spans="1:6">
      <c r="A967" s="29">
        <v>68432</v>
      </c>
      <c r="B967" s="31" t="s">
        <v>1826</v>
      </c>
      <c r="C967" s="31" t="s">
        <v>304</v>
      </c>
      <c r="D967" s="31" t="s">
        <v>302</v>
      </c>
      <c r="E967" s="31" t="s">
        <v>94</v>
      </c>
      <c r="F967" s="32" t="s">
        <v>129</v>
      </c>
    </row>
    <row r="968" spans="1:6">
      <c r="A968" s="29">
        <v>68444</v>
      </c>
      <c r="B968" s="31" t="s">
        <v>1827</v>
      </c>
      <c r="C968" s="31" t="s">
        <v>304</v>
      </c>
      <c r="D968" s="31" t="s">
        <v>302</v>
      </c>
      <c r="E968" s="31" t="s">
        <v>94</v>
      </c>
      <c r="F968" s="32" t="s">
        <v>178</v>
      </c>
    </row>
    <row r="969" spans="1:6">
      <c r="A969" s="29">
        <v>68464</v>
      </c>
      <c r="B969" s="31" t="s">
        <v>1828</v>
      </c>
      <c r="C969" s="31" t="s">
        <v>304</v>
      </c>
      <c r="D969" s="31" t="s">
        <v>302</v>
      </c>
      <c r="E969" s="31" t="s">
        <v>94</v>
      </c>
      <c r="F969" s="32" t="s">
        <v>178</v>
      </c>
    </row>
    <row r="970" spans="1:6">
      <c r="A970" s="29">
        <v>68468</v>
      </c>
      <c r="B970" s="31" t="s">
        <v>1829</v>
      </c>
      <c r="C970" s="31" t="s">
        <v>304</v>
      </c>
      <c r="D970" s="31" t="s">
        <v>302</v>
      </c>
      <c r="E970" s="31" t="s">
        <v>94</v>
      </c>
      <c r="F970" s="32" t="s">
        <v>129</v>
      </c>
    </row>
    <row r="971" spans="1:6">
      <c r="A971" s="29">
        <v>68498</v>
      </c>
      <c r="B971" s="31" t="s">
        <v>1830</v>
      </c>
      <c r="C971" s="31" t="s">
        <v>304</v>
      </c>
      <c r="D971" s="31" t="s">
        <v>302</v>
      </c>
      <c r="E971" s="31" t="s">
        <v>94</v>
      </c>
      <c r="F971" s="32" t="s">
        <v>129</v>
      </c>
    </row>
    <row r="972" spans="1:6">
      <c r="A972" s="29">
        <v>68500</v>
      </c>
      <c r="B972" s="31" t="s">
        <v>1831</v>
      </c>
      <c r="C972" s="31" t="s">
        <v>304</v>
      </c>
      <c r="D972" s="31" t="s">
        <v>302</v>
      </c>
      <c r="E972" s="31" t="s">
        <v>94</v>
      </c>
      <c r="F972" s="32" t="s">
        <v>178</v>
      </c>
    </row>
    <row r="973" spans="1:6">
      <c r="A973" s="29">
        <v>68502</v>
      </c>
      <c r="B973" s="31" t="s">
        <v>1832</v>
      </c>
      <c r="C973" s="31" t="s">
        <v>304</v>
      </c>
      <c r="D973" s="31" t="s">
        <v>302</v>
      </c>
      <c r="E973" s="31" t="s">
        <v>94</v>
      </c>
      <c r="F973" s="32" t="s">
        <v>129</v>
      </c>
    </row>
    <row r="974" spans="1:6">
      <c r="A974" s="29">
        <v>68522</v>
      </c>
      <c r="B974" s="31" t="s">
        <v>1833</v>
      </c>
      <c r="C974" s="31" t="s">
        <v>304</v>
      </c>
      <c r="D974" s="31" t="s">
        <v>302</v>
      </c>
      <c r="E974" s="31" t="s">
        <v>94</v>
      </c>
      <c r="F974" s="32" t="s">
        <v>178</v>
      </c>
    </row>
    <row r="975" spans="1:6">
      <c r="A975" s="29">
        <v>68524</v>
      </c>
      <c r="B975" s="31" t="s">
        <v>1834</v>
      </c>
      <c r="C975" s="31" t="s">
        <v>304</v>
      </c>
      <c r="D975" s="31" t="s">
        <v>302</v>
      </c>
      <c r="E975" s="31" t="s">
        <v>94</v>
      </c>
      <c r="F975" s="32" t="s">
        <v>178</v>
      </c>
    </row>
    <row r="976" spans="1:6">
      <c r="A976" s="29">
        <v>68533</v>
      </c>
      <c r="B976" s="31" t="s">
        <v>1835</v>
      </c>
      <c r="C976" s="31" t="s">
        <v>304</v>
      </c>
      <c r="D976" s="31" t="s">
        <v>302</v>
      </c>
      <c r="E976" s="31" t="s">
        <v>94</v>
      </c>
      <c r="F976" s="32" t="s">
        <v>178</v>
      </c>
    </row>
    <row r="977" spans="1:6">
      <c r="A977" s="29">
        <v>68547</v>
      </c>
      <c r="B977" s="31" t="s">
        <v>781</v>
      </c>
      <c r="C977" s="31" t="s">
        <v>304</v>
      </c>
      <c r="D977" s="31" t="s">
        <v>302</v>
      </c>
      <c r="E977" s="31" t="s">
        <v>94</v>
      </c>
      <c r="F977" s="32" t="s">
        <v>93</v>
      </c>
    </row>
    <row r="978" spans="1:6">
      <c r="A978" s="29">
        <v>68549</v>
      </c>
      <c r="B978" s="31" t="s">
        <v>1836</v>
      </c>
      <c r="C978" s="31" t="s">
        <v>304</v>
      </c>
      <c r="D978" s="31" t="s">
        <v>302</v>
      </c>
      <c r="E978" s="31" t="s">
        <v>94</v>
      </c>
      <c r="F978" s="32" t="s">
        <v>178</v>
      </c>
    </row>
    <row r="979" spans="1:6">
      <c r="A979" s="29">
        <v>68572</v>
      </c>
      <c r="B979" s="31" t="s">
        <v>1837</v>
      </c>
      <c r="C979" s="31" t="s">
        <v>304</v>
      </c>
      <c r="D979" s="31" t="s">
        <v>186</v>
      </c>
      <c r="E979" s="31" t="s">
        <v>94</v>
      </c>
      <c r="F979" s="32" t="s">
        <v>93</v>
      </c>
    </row>
    <row r="980" spans="1:6">
      <c r="A980" s="29">
        <v>68573</v>
      </c>
      <c r="B980" s="31" t="s">
        <v>1838</v>
      </c>
      <c r="C980" s="31" t="s">
        <v>304</v>
      </c>
      <c r="D980" s="31" t="s">
        <v>302</v>
      </c>
      <c r="E980" s="31" t="s">
        <v>94</v>
      </c>
      <c r="F980" s="32" t="s">
        <v>178</v>
      </c>
    </row>
    <row r="981" spans="1:6">
      <c r="A981" s="29">
        <v>68575</v>
      </c>
      <c r="B981" s="31" t="s">
        <v>1839</v>
      </c>
      <c r="C981" s="31" t="s">
        <v>304</v>
      </c>
      <c r="D981" s="31" t="s">
        <v>302</v>
      </c>
      <c r="E981" s="31" t="s">
        <v>94</v>
      </c>
      <c r="F981" s="32" t="s">
        <v>129</v>
      </c>
    </row>
    <row r="982" spans="1:6">
      <c r="A982" s="29">
        <v>68655</v>
      </c>
      <c r="B982" s="31" t="s">
        <v>1840</v>
      </c>
      <c r="C982" s="31" t="s">
        <v>304</v>
      </c>
      <c r="D982" s="31" t="s">
        <v>302</v>
      </c>
      <c r="E982" s="31" t="s">
        <v>94</v>
      </c>
      <c r="F982" s="32" t="s">
        <v>178</v>
      </c>
    </row>
    <row r="983" spans="1:6">
      <c r="A983" s="29">
        <v>68673</v>
      </c>
      <c r="B983" s="31" t="s">
        <v>1841</v>
      </c>
      <c r="C983" s="31" t="s">
        <v>304</v>
      </c>
      <c r="D983" s="31" t="s">
        <v>302</v>
      </c>
      <c r="E983" s="31" t="s">
        <v>94</v>
      </c>
      <c r="F983" s="32" t="s">
        <v>129</v>
      </c>
    </row>
    <row r="984" spans="1:6">
      <c r="A984" s="29">
        <v>68679</v>
      </c>
      <c r="B984" s="31" t="s">
        <v>1842</v>
      </c>
      <c r="C984" s="31" t="s">
        <v>304</v>
      </c>
      <c r="D984" s="31" t="s">
        <v>302</v>
      </c>
      <c r="E984" s="31" t="s">
        <v>94</v>
      </c>
      <c r="F984" s="32" t="s">
        <v>93</v>
      </c>
    </row>
    <row r="985" spans="1:6">
      <c r="A985" s="29">
        <v>68682</v>
      </c>
      <c r="B985" s="31" t="s">
        <v>1843</v>
      </c>
      <c r="C985" s="31" t="s">
        <v>304</v>
      </c>
      <c r="D985" s="31" t="s">
        <v>302</v>
      </c>
      <c r="E985" s="31" t="s">
        <v>94</v>
      </c>
      <c r="F985" s="32" t="s">
        <v>129</v>
      </c>
    </row>
    <row r="986" spans="1:6">
      <c r="A986" s="29">
        <v>68684</v>
      </c>
      <c r="B986" s="31" t="s">
        <v>1844</v>
      </c>
      <c r="C986" s="31" t="s">
        <v>304</v>
      </c>
      <c r="D986" s="31" t="s">
        <v>302</v>
      </c>
      <c r="E986" s="31" t="s">
        <v>94</v>
      </c>
      <c r="F986" s="32" t="s">
        <v>129</v>
      </c>
    </row>
    <row r="987" spans="1:6">
      <c r="A987" s="29">
        <v>68689</v>
      </c>
      <c r="B987" s="31" t="s">
        <v>1845</v>
      </c>
      <c r="C987" s="31" t="s">
        <v>304</v>
      </c>
      <c r="D987" s="31" t="s">
        <v>302</v>
      </c>
      <c r="E987" s="31" t="s">
        <v>94</v>
      </c>
      <c r="F987" s="32" t="s">
        <v>178</v>
      </c>
    </row>
    <row r="988" spans="1:6">
      <c r="A988" s="29">
        <v>68720</v>
      </c>
      <c r="B988" s="31" t="s">
        <v>1846</v>
      </c>
      <c r="C988" s="31" t="s">
        <v>304</v>
      </c>
      <c r="D988" s="31" t="s">
        <v>302</v>
      </c>
      <c r="E988" s="31" t="s">
        <v>94</v>
      </c>
      <c r="F988" s="32" t="s">
        <v>129</v>
      </c>
    </row>
    <row r="989" spans="1:6">
      <c r="A989" s="29">
        <v>68745</v>
      </c>
      <c r="B989" s="31" t="s">
        <v>1847</v>
      </c>
      <c r="C989" s="31" t="s">
        <v>304</v>
      </c>
      <c r="D989" s="31" t="s">
        <v>302</v>
      </c>
      <c r="E989" s="31" t="s">
        <v>94</v>
      </c>
      <c r="F989" s="32" t="s">
        <v>178</v>
      </c>
    </row>
    <row r="990" spans="1:6">
      <c r="A990" s="29">
        <v>68755</v>
      </c>
      <c r="B990" s="31" t="s">
        <v>305</v>
      </c>
      <c r="C990" s="31" t="s">
        <v>304</v>
      </c>
      <c r="D990" s="31" t="s">
        <v>302</v>
      </c>
      <c r="E990" s="31" t="s">
        <v>94</v>
      </c>
      <c r="F990" s="32" t="s">
        <v>178</v>
      </c>
    </row>
    <row r="991" spans="1:6">
      <c r="A991" s="29">
        <v>68770</v>
      </c>
      <c r="B991" s="31" t="s">
        <v>1848</v>
      </c>
      <c r="C991" s="31" t="s">
        <v>304</v>
      </c>
      <c r="D991" s="31" t="s">
        <v>302</v>
      </c>
      <c r="E991" s="31" t="s">
        <v>94</v>
      </c>
      <c r="F991" s="32" t="s">
        <v>178</v>
      </c>
    </row>
    <row r="992" spans="1:6">
      <c r="A992" s="29">
        <v>68780</v>
      </c>
      <c r="B992" s="31" t="s">
        <v>1849</v>
      </c>
      <c r="C992" s="31" t="s">
        <v>304</v>
      </c>
      <c r="D992" s="31" t="s">
        <v>302</v>
      </c>
      <c r="E992" s="31" t="s">
        <v>94</v>
      </c>
      <c r="F992" s="32" t="s">
        <v>178</v>
      </c>
    </row>
    <row r="993" spans="1:6">
      <c r="A993" s="29">
        <v>68820</v>
      </c>
      <c r="B993" s="31" t="s">
        <v>1850</v>
      </c>
      <c r="C993" s="31" t="s">
        <v>304</v>
      </c>
      <c r="D993" s="31" t="s">
        <v>302</v>
      </c>
      <c r="E993" s="31" t="s">
        <v>94</v>
      </c>
      <c r="F993" s="32" t="s">
        <v>93</v>
      </c>
    </row>
    <row r="994" spans="1:6">
      <c r="A994" s="29">
        <v>68855</v>
      </c>
      <c r="B994" s="31" t="s">
        <v>1851</v>
      </c>
      <c r="C994" s="31" t="s">
        <v>304</v>
      </c>
      <c r="D994" s="31" t="s">
        <v>302</v>
      </c>
      <c r="E994" s="31" t="s">
        <v>94</v>
      </c>
      <c r="F994" s="32" t="s">
        <v>178</v>
      </c>
    </row>
    <row r="995" spans="1:6">
      <c r="A995" s="29">
        <v>68861</v>
      </c>
      <c r="B995" s="31" t="s">
        <v>1852</v>
      </c>
      <c r="C995" s="31" t="s">
        <v>304</v>
      </c>
      <c r="D995" s="31" t="s">
        <v>186</v>
      </c>
      <c r="E995" s="31" t="s">
        <v>94</v>
      </c>
      <c r="F995" s="32" t="s">
        <v>93</v>
      </c>
    </row>
    <row r="996" spans="1:6">
      <c r="A996" s="29">
        <v>68867</v>
      </c>
      <c r="B996" s="31" t="s">
        <v>1853</v>
      </c>
      <c r="C996" s="31" t="s">
        <v>304</v>
      </c>
      <c r="D996" s="31" t="s">
        <v>357</v>
      </c>
      <c r="E996" s="31" t="s">
        <v>94</v>
      </c>
      <c r="F996" s="32" t="s">
        <v>129</v>
      </c>
    </row>
    <row r="997" spans="1:6">
      <c r="A997" s="29">
        <v>68895</v>
      </c>
      <c r="B997" s="31" t="s">
        <v>1854</v>
      </c>
      <c r="C997" s="31" t="s">
        <v>304</v>
      </c>
      <c r="D997" s="31" t="s">
        <v>302</v>
      </c>
      <c r="E997" s="31" t="s">
        <v>94</v>
      </c>
      <c r="F997" s="32" t="s">
        <v>178</v>
      </c>
    </row>
    <row r="998" spans="1:6">
      <c r="A998" s="29">
        <v>70110</v>
      </c>
      <c r="B998" s="30" t="s">
        <v>339</v>
      </c>
      <c r="C998" s="31" t="s">
        <v>850</v>
      </c>
      <c r="D998" s="31" t="s">
        <v>848</v>
      </c>
      <c r="E998" s="31" t="s">
        <v>94</v>
      </c>
      <c r="F998" s="32" t="s">
        <v>93</v>
      </c>
    </row>
    <row r="999" spans="1:6">
      <c r="A999" s="29">
        <v>70400</v>
      </c>
      <c r="B999" s="30" t="s">
        <v>1027</v>
      </c>
      <c r="C999" s="31" t="s">
        <v>850</v>
      </c>
      <c r="D999" s="31" t="s">
        <v>848</v>
      </c>
      <c r="E999" s="31" t="s">
        <v>94</v>
      </c>
      <c r="F999" s="32" t="s">
        <v>93</v>
      </c>
    </row>
    <row r="1000" spans="1:6">
      <c r="A1000" s="29">
        <v>70717</v>
      </c>
      <c r="B1000" s="30" t="s">
        <v>1855</v>
      </c>
      <c r="C1000" s="31" t="s">
        <v>850</v>
      </c>
      <c r="D1000" s="31" t="s">
        <v>848</v>
      </c>
      <c r="E1000" s="31" t="s">
        <v>94</v>
      </c>
      <c r="F1000" s="32" t="s">
        <v>93</v>
      </c>
    </row>
    <row r="1001" spans="1:6">
      <c r="A1001" s="29">
        <v>70771</v>
      </c>
      <c r="B1001" s="30" t="s">
        <v>850</v>
      </c>
      <c r="C1001" s="31" t="s">
        <v>850</v>
      </c>
      <c r="D1001" s="31" t="s">
        <v>848</v>
      </c>
      <c r="E1001" s="31" t="s">
        <v>94</v>
      </c>
      <c r="F1001" s="32" t="s">
        <v>139</v>
      </c>
    </row>
    <row r="1002" spans="1:6">
      <c r="A1002" s="29">
        <v>70124</v>
      </c>
      <c r="B1002" s="31" t="s">
        <v>1856</v>
      </c>
      <c r="C1002" s="31" t="s">
        <v>850</v>
      </c>
      <c r="D1002" s="31" t="s">
        <v>848</v>
      </c>
      <c r="E1002" s="31" t="s">
        <v>94</v>
      </c>
      <c r="F1002" s="32" t="s">
        <v>129</v>
      </c>
    </row>
    <row r="1003" spans="1:6">
      <c r="A1003" s="29">
        <v>70230</v>
      </c>
      <c r="B1003" s="31" t="s">
        <v>1857</v>
      </c>
      <c r="C1003" s="31" t="s">
        <v>850</v>
      </c>
      <c r="D1003" s="31" t="s">
        <v>848</v>
      </c>
      <c r="E1003" s="31" t="s">
        <v>94</v>
      </c>
      <c r="F1003" s="32" t="s">
        <v>178</v>
      </c>
    </row>
    <row r="1004" spans="1:6">
      <c r="A1004" s="29">
        <v>70204</v>
      </c>
      <c r="B1004" s="31" t="s">
        <v>1858</v>
      </c>
      <c r="C1004" s="31" t="s">
        <v>850</v>
      </c>
      <c r="D1004" s="31" t="s">
        <v>848</v>
      </c>
      <c r="E1004" s="31" t="s">
        <v>94</v>
      </c>
      <c r="F1004" s="32" t="s">
        <v>178</v>
      </c>
    </row>
    <row r="1005" spans="1:6">
      <c r="A1005" s="29">
        <v>70215</v>
      </c>
      <c r="B1005" s="31" t="s">
        <v>1859</v>
      </c>
      <c r="C1005" s="31" t="s">
        <v>850</v>
      </c>
      <c r="D1005" s="31" t="s">
        <v>848</v>
      </c>
      <c r="E1005" s="31" t="s">
        <v>94</v>
      </c>
      <c r="F1005" s="32" t="s">
        <v>93</v>
      </c>
    </row>
    <row r="1006" spans="1:6">
      <c r="A1006" s="29">
        <v>70221</v>
      </c>
      <c r="B1006" s="31" t="s">
        <v>1860</v>
      </c>
      <c r="C1006" s="31" t="s">
        <v>850</v>
      </c>
      <c r="D1006" s="31" t="s">
        <v>848</v>
      </c>
      <c r="E1006" s="31" t="s">
        <v>94</v>
      </c>
      <c r="F1006" s="32" t="s">
        <v>93</v>
      </c>
    </row>
    <row r="1007" spans="1:6">
      <c r="A1007" s="29">
        <v>70233</v>
      </c>
      <c r="B1007" s="31" t="s">
        <v>1861</v>
      </c>
      <c r="C1007" s="31" t="s">
        <v>850</v>
      </c>
      <c r="D1007" s="31" t="s">
        <v>848</v>
      </c>
      <c r="E1007" s="31" t="s">
        <v>94</v>
      </c>
      <c r="F1007" s="32" t="s">
        <v>93</v>
      </c>
    </row>
    <row r="1008" spans="1:6">
      <c r="A1008" s="29">
        <v>70235</v>
      </c>
      <c r="B1008" s="31" t="s">
        <v>1862</v>
      </c>
      <c r="C1008" s="31" t="s">
        <v>850</v>
      </c>
      <c r="D1008" s="31" t="s">
        <v>848</v>
      </c>
      <c r="E1008" s="31" t="s">
        <v>94</v>
      </c>
      <c r="F1008" s="32" t="s">
        <v>93</v>
      </c>
    </row>
    <row r="1009" spans="1:6">
      <c r="A1009" s="29">
        <v>70265</v>
      </c>
      <c r="B1009" s="31" t="s">
        <v>1863</v>
      </c>
      <c r="C1009" s="31" t="s">
        <v>850</v>
      </c>
      <c r="D1009" s="31" t="s">
        <v>848</v>
      </c>
      <c r="E1009" s="31" t="s">
        <v>94</v>
      </c>
      <c r="F1009" s="32" t="s">
        <v>129</v>
      </c>
    </row>
    <row r="1010" spans="1:6">
      <c r="A1010" s="29">
        <v>70418</v>
      </c>
      <c r="B1010" s="31" t="s">
        <v>1864</v>
      </c>
      <c r="C1010" s="31" t="s">
        <v>850</v>
      </c>
      <c r="D1010" s="31" t="s">
        <v>848</v>
      </c>
      <c r="E1010" s="31" t="s">
        <v>94</v>
      </c>
      <c r="F1010" s="32" t="s">
        <v>93</v>
      </c>
    </row>
    <row r="1011" spans="1:6">
      <c r="A1011" s="29">
        <v>70429</v>
      </c>
      <c r="B1011" s="31" t="s">
        <v>851</v>
      </c>
      <c r="C1011" s="31" t="s">
        <v>850</v>
      </c>
      <c r="D1011" s="31" t="s">
        <v>848</v>
      </c>
      <c r="E1011" s="31" t="s">
        <v>856</v>
      </c>
      <c r="F1011" s="32" t="s">
        <v>129</v>
      </c>
    </row>
    <row r="1012" spans="1:6">
      <c r="A1012" s="29">
        <v>70473</v>
      </c>
      <c r="B1012" s="31" t="s">
        <v>1865</v>
      </c>
      <c r="C1012" s="31" t="s">
        <v>850</v>
      </c>
      <c r="D1012" s="31" t="s">
        <v>848</v>
      </c>
      <c r="E1012" s="31" t="s">
        <v>94</v>
      </c>
      <c r="F1012" s="32" t="s">
        <v>93</v>
      </c>
    </row>
    <row r="1013" spans="1:6">
      <c r="A1013" s="29">
        <v>70508</v>
      </c>
      <c r="B1013" s="31" t="s">
        <v>1866</v>
      </c>
      <c r="C1013" s="31" t="s">
        <v>850</v>
      </c>
      <c r="D1013" s="31" t="s">
        <v>848</v>
      </c>
      <c r="E1013" s="31" t="s">
        <v>94</v>
      </c>
      <c r="F1013" s="32" t="s">
        <v>93</v>
      </c>
    </row>
    <row r="1014" spans="1:6">
      <c r="A1014" s="29">
        <v>70523</v>
      </c>
      <c r="B1014" s="31" t="s">
        <v>1867</v>
      </c>
      <c r="C1014" s="31" t="s">
        <v>850</v>
      </c>
      <c r="D1014" s="31" t="s">
        <v>848</v>
      </c>
      <c r="E1014" s="31" t="s">
        <v>94</v>
      </c>
      <c r="F1014" s="32" t="s">
        <v>93</v>
      </c>
    </row>
    <row r="1015" spans="1:6">
      <c r="A1015" s="29">
        <v>70670</v>
      </c>
      <c r="B1015" s="31" t="s">
        <v>1868</v>
      </c>
      <c r="C1015" s="31" t="s">
        <v>850</v>
      </c>
      <c r="D1015" s="31" t="s">
        <v>848</v>
      </c>
      <c r="E1015" s="31" t="s">
        <v>94</v>
      </c>
      <c r="F1015" s="32" t="s">
        <v>93</v>
      </c>
    </row>
    <row r="1016" spans="1:6">
      <c r="A1016" s="29">
        <v>70678</v>
      </c>
      <c r="B1016" s="31" t="s">
        <v>1869</v>
      </c>
      <c r="C1016" s="31" t="s">
        <v>850</v>
      </c>
      <c r="D1016" s="31" t="s">
        <v>848</v>
      </c>
      <c r="E1016" s="31" t="s">
        <v>94</v>
      </c>
      <c r="F1016" s="32" t="s">
        <v>93</v>
      </c>
    </row>
    <row r="1017" spans="1:6">
      <c r="A1017" s="29">
        <v>70702</v>
      </c>
      <c r="B1017" s="31" t="s">
        <v>1870</v>
      </c>
      <c r="C1017" s="31" t="s">
        <v>850</v>
      </c>
      <c r="D1017" s="31" t="s">
        <v>848</v>
      </c>
      <c r="E1017" s="31" t="s">
        <v>94</v>
      </c>
      <c r="F1017" s="32" t="s">
        <v>93</v>
      </c>
    </row>
    <row r="1018" spans="1:6">
      <c r="A1018" s="29">
        <v>70742</v>
      </c>
      <c r="B1018" s="31" t="s">
        <v>1871</v>
      </c>
      <c r="C1018" s="31" t="s">
        <v>850</v>
      </c>
      <c r="D1018" s="31" t="s">
        <v>848</v>
      </c>
      <c r="E1018" s="31" t="s">
        <v>94</v>
      </c>
      <c r="F1018" s="32" t="s">
        <v>93</v>
      </c>
    </row>
    <row r="1019" spans="1:6">
      <c r="A1019" s="29">
        <v>70708</v>
      </c>
      <c r="B1019" s="31" t="s">
        <v>1872</v>
      </c>
      <c r="C1019" s="31" t="s">
        <v>850</v>
      </c>
      <c r="D1019" s="31" t="s">
        <v>848</v>
      </c>
      <c r="E1019" s="31" t="s">
        <v>94</v>
      </c>
      <c r="F1019" s="32" t="s">
        <v>178</v>
      </c>
    </row>
    <row r="1020" spans="1:6">
      <c r="A1020" s="29">
        <v>70713</v>
      </c>
      <c r="B1020" s="31" t="s">
        <v>1873</v>
      </c>
      <c r="C1020" s="31" t="s">
        <v>850</v>
      </c>
      <c r="D1020" s="31" t="s">
        <v>848</v>
      </c>
      <c r="E1020" s="31" t="s">
        <v>94</v>
      </c>
      <c r="F1020" s="32" t="s">
        <v>93</v>
      </c>
    </row>
    <row r="1021" spans="1:6">
      <c r="A1021" s="29">
        <v>70820</v>
      </c>
      <c r="B1021" s="31" t="s">
        <v>1874</v>
      </c>
      <c r="C1021" s="31" t="s">
        <v>850</v>
      </c>
      <c r="D1021" s="31" t="s">
        <v>848</v>
      </c>
      <c r="E1021" s="31" t="s">
        <v>94</v>
      </c>
      <c r="F1021" s="32" t="s">
        <v>93</v>
      </c>
    </row>
    <row r="1022" spans="1:6">
      <c r="A1022" s="29">
        <v>70001</v>
      </c>
      <c r="B1022" s="31" t="s">
        <v>848</v>
      </c>
      <c r="C1022" s="31" t="s">
        <v>850</v>
      </c>
      <c r="D1022" s="31" t="s">
        <v>848</v>
      </c>
      <c r="E1022" s="31" t="s">
        <v>94</v>
      </c>
      <c r="F1022" s="32" t="s">
        <v>102</v>
      </c>
    </row>
    <row r="1023" spans="1:6">
      <c r="A1023" s="29">
        <v>70823</v>
      </c>
      <c r="B1023" s="31" t="s">
        <v>1875</v>
      </c>
      <c r="C1023" s="31" t="s">
        <v>850</v>
      </c>
      <c r="D1023" s="31" t="s">
        <v>848</v>
      </c>
      <c r="E1023" s="31" t="s">
        <v>94</v>
      </c>
      <c r="F1023" s="32" t="s">
        <v>93</v>
      </c>
    </row>
    <row r="1024" spans="1:6">
      <c r="A1024" s="29">
        <v>73678</v>
      </c>
      <c r="B1024" s="30" t="s">
        <v>1030</v>
      </c>
      <c r="C1024" s="31" t="s">
        <v>196</v>
      </c>
      <c r="D1024" s="31" t="s">
        <v>194</v>
      </c>
      <c r="E1024" s="31" t="s">
        <v>94</v>
      </c>
      <c r="F1024" s="32" t="s">
        <v>93</v>
      </c>
    </row>
    <row r="1025" spans="1:6">
      <c r="A1025" s="29">
        <v>73770</v>
      </c>
      <c r="B1025" s="30" t="s">
        <v>1367</v>
      </c>
      <c r="C1025" s="31" t="s">
        <v>196</v>
      </c>
      <c r="D1025" s="31" t="s">
        <v>194</v>
      </c>
      <c r="E1025" s="31" t="s">
        <v>94</v>
      </c>
      <c r="F1025" s="32" t="s">
        <v>93</v>
      </c>
    </row>
    <row r="1026" spans="1:6">
      <c r="A1026" s="29">
        <v>73024</v>
      </c>
      <c r="B1026" s="31" t="s">
        <v>1876</v>
      </c>
      <c r="C1026" s="31" t="s">
        <v>196</v>
      </c>
      <c r="D1026" s="31" t="s">
        <v>194</v>
      </c>
      <c r="E1026" s="31" t="s">
        <v>94</v>
      </c>
      <c r="F1026" s="32" t="s">
        <v>129</v>
      </c>
    </row>
    <row r="1027" spans="1:6">
      <c r="A1027" s="29">
        <v>73026</v>
      </c>
      <c r="B1027" s="31" t="s">
        <v>1877</v>
      </c>
      <c r="C1027" s="31" t="s">
        <v>196</v>
      </c>
      <c r="D1027" s="31" t="s">
        <v>194</v>
      </c>
      <c r="E1027" s="31" t="s">
        <v>94</v>
      </c>
      <c r="F1027" s="32" t="s">
        <v>93</v>
      </c>
    </row>
    <row r="1028" spans="1:6">
      <c r="A1028" s="29">
        <v>73030</v>
      </c>
      <c r="B1028" s="31" t="s">
        <v>1878</v>
      </c>
      <c r="C1028" s="31" t="s">
        <v>196</v>
      </c>
      <c r="D1028" s="31" t="s">
        <v>194</v>
      </c>
      <c r="E1028" s="31" t="s">
        <v>94</v>
      </c>
      <c r="F1028" s="32" t="s">
        <v>93</v>
      </c>
    </row>
    <row r="1029" spans="1:6">
      <c r="A1029" s="29">
        <v>73043</v>
      </c>
      <c r="B1029" s="31" t="s">
        <v>1879</v>
      </c>
      <c r="C1029" s="31" t="s">
        <v>196</v>
      </c>
      <c r="D1029" s="31" t="s">
        <v>194</v>
      </c>
      <c r="E1029" s="31" t="s">
        <v>94</v>
      </c>
      <c r="F1029" s="32" t="s">
        <v>93</v>
      </c>
    </row>
    <row r="1030" spans="1:6">
      <c r="A1030" s="29">
        <v>73055</v>
      </c>
      <c r="B1030" s="31" t="s">
        <v>1880</v>
      </c>
      <c r="C1030" s="31" t="s">
        <v>196</v>
      </c>
      <c r="D1030" s="31" t="s">
        <v>194</v>
      </c>
      <c r="E1030" s="31" t="s">
        <v>94</v>
      </c>
      <c r="F1030" s="32" t="s">
        <v>93</v>
      </c>
    </row>
    <row r="1031" spans="1:6">
      <c r="A1031" s="29">
        <v>73067</v>
      </c>
      <c r="B1031" s="31" t="s">
        <v>1881</v>
      </c>
      <c r="C1031" s="31" t="s">
        <v>196</v>
      </c>
      <c r="D1031" s="31" t="s">
        <v>194</v>
      </c>
      <c r="E1031" s="31" t="s">
        <v>94</v>
      </c>
      <c r="F1031" s="32" t="s">
        <v>178</v>
      </c>
    </row>
    <row r="1032" spans="1:6">
      <c r="A1032" s="29">
        <v>73124</v>
      </c>
      <c r="B1032" s="31" t="s">
        <v>1882</v>
      </c>
      <c r="C1032" s="31" t="s">
        <v>196</v>
      </c>
      <c r="D1032" s="31" t="s">
        <v>194</v>
      </c>
      <c r="E1032" s="31" t="s">
        <v>94</v>
      </c>
      <c r="F1032" s="32" t="s">
        <v>93</v>
      </c>
    </row>
    <row r="1033" spans="1:6">
      <c r="A1033" s="29">
        <v>73148</v>
      </c>
      <c r="B1033" s="31" t="s">
        <v>1883</v>
      </c>
      <c r="C1033" s="31" t="s">
        <v>196</v>
      </c>
      <c r="D1033" s="31" t="s">
        <v>78</v>
      </c>
      <c r="E1033" s="31" t="s">
        <v>94</v>
      </c>
      <c r="F1033" s="32" t="s">
        <v>93</v>
      </c>
    </row>
    <row r="1034" spans="1:6">
      <c r="A1034" s="29">
        <v>73152</v>
      </c>
      <c r="B1034" s="31" t="s">
        <v>1884</v>
      </c>
      <c r="C1034" s="31" t="s">
        <v>196</v>
      </c>
      <c r="D1034" s="31" t="s">
        <v>194</v>
      </c>
      <c r="E1034" s="31" t="s">
        <v>94</v>
      </c>
      <c r="F1034" s="32" t="s">
        <v>178</v>
      </c>
    </row>
    <row r="1035" spans="1:6">
      <c r="A1035" s="29">
        <v>73168</v>
      </c>
      <c r="B1035" s="31" t="s">
        <v>660</v>
      </c>
      <c r="C1035" s="31" t="s">
        <v>196</v>
      </c>
      <c r="D1035" s="31" t="s">
        <v>194</v>
      </c>
      <c r="E1035" s="31" t="s">
        <v>94</v>
      </c>
      <c r="F1035" s="32" t="s">
        <v>178</v>
      </c>
    </row>
    <row r="1036" spans="1:6">
      <c r="A1036" s="29">
        <v>73200</v>
      </c>
      <c r="B1036" s="31" t="s">
        <v>1885</v>
      </c>
      <c r="C1036" s="31" t="s">
        <v>196</v>
      </c>
      <c r="D1036" s="31" t="s">
        <v>194</v>
      </c>
      <c r="E1036" s="31" t="s">
        <v>94</v>
      </c>
      <c r="F1036" s="32" t="s">
        <v>93</v>
      </c>
    </row>
    <row r="1037" spans="1:6">
      <c r="A1037" s="29">
        <v>73217</v>
      </c>
      <c r="B1037" s="31" t="s">
        <v>1886</v>
      </c>
      <c r="C1037" s="31" t="s">
        <v>196</v>
      </c>
      <c r="D1037" s="31" t="s">
        <v>194</v>
      </c>
      <c r="E1037" s="31" t="s">
        <v>94</v>
      </c>
      <c r="F1037" s="32" t="s">
        <v>178</v>
      </c>
    </row>
    <row r="1038" spans="1:6">
      <c r="A1038" s="29">
        <v>73226</v>
      </c>
      <c r="B1038" s="31" t="s">
        <v>1887</v>
      </c>
      <c r="C1038" s="31" t="s">
        <v>196</v>
      </c>
      <c r="D1038" s="31" t="s">
        <v>194</v>
      </c>
      <c r="E1038" s="31" t="s">
        <v>94</v>
      </c>
      <c r="F1038" s="32" t="s">
        <v>93</v>
      </c>
    </row>
    <row r="1039" spans="1:6">
      <c r="A1039" s="29">
        <v>73236</v>
      </c>
      <c r="B1039" s="31" t="s">
        <v>1888</v>
      </c>
      <c r="C1039" s="31" t="s">
        <v>196</v>
      </c>
      <c r="D1039" s="31" t="s">
        <v>194</v>
      </c>
      <c r="E1039" s="31" t="s">
        <v>94</v>
      </c>
      <c r="F1039" s="32" t="s">
        <v>129</v>
      </c>
    </row>
    <row r="1040" spans="1:6">
      <c r="A1040" s="29">
        <v>73268</v>
      </c>
      <c r="B1040" s="31" t="s">
        <v>1889</v>
      </c>
      <c r="C1040" s="31" t="s">
        <v>196</v>
      </c>
      <c r="D1040" s="31" t="s">
        <v>194</v>
      </c>
      <c r="E1040" s="31" t="s">
        <v>94</v>
      </c>
      <c r="F1040" s="32" t="s">
        <v>93</v>
      </c>
    </row>
    <row r="1041" spans="1:6">
      <c r="A1041" s="29">
        <v>73270</v>
      </c>
      <c r="B1041" s="31" t="s">
        <v>1890</v>
      </c>
      <c r="C1041" s="31" t="s">
        <v>196</v>
      </c>
      <c r="D1041" s="31" t="s">
        <v>194</v>
      </c>
      <c r="E1041" s="31" t="s">
        <v>94</v>
      </c>
      <c r="F1041" s="32" t="s">
        <v>178</v>
      </c>
    </row>
    <row r="1042" spans="1:6">
      <c r="A1042" s="29">
        <v>73275</v>
      </c>
      <c r="B1042" s="31" t="s">
        <v>1891</v>
      </c>
      <c r="C1042" s="31" t="s">
        <v>196</v>
      </c>
      <c r="D1042" s="31" t="s">
        <v>194</v>
      </c>
      <c r="E1042" s="31" t="s">
        <v>94</v>
      </c>
      <c r="F1042" s="32" t="s">
        <v>93</v>
      </c>
    </row>
    <row r="1043" spans="1:6">
      <c r="A1043" s="29">
        <v>73283</v>
      </c>
      <c r="B1043" s="31" t="s">
        <v>1892</v>
      </c>
      <c r="C1043" s="31" t="s">
        <v>196</v>
      </c>
      <c r="D1043" s="31" t="s">
        <v>194</v>
      </c>
      <c r="E1043" s="31" t="s">
        <v>94</v>
      </c>
      <c r="F1043" s="32" t="s">
        <v>178</v>
      </c>
    </row>
    <row r="1044" spans="1:6">
      <c r="A1044" s="29">
        <v>73319</v>
      </c>
      <c r="B1044" s="31" t="s">
        <v>1893</v>
      </c>
      <c r="C1044" s="31" t="s">
        <v>196</v>
      </c>
      <c r="D1044" s="31" t="s">
        <v>194</v>
      </c>
      <c r="E1044" s="31" t="s">
        <v>94</v>
      </c>
      <c r="F1044" s="32" t="s">
        <v>93</v>
      </c>
    </row>
    <row r="1045" spans="1:6">
      <c r="A1045" s="29">
        <v>73347</v>
      </c>
      <c r="B1045" s="31" t="s">
        <v>1894</v>
      </c>
      <c r="C1045" s="31" t="s">
        <v>196</v>
      </c>
      <c r="D1045" s="31" t="s">
        <v>1310</v>
      </c>
      <c r="E1045" s="31" t="s">
        <v>94</v>
      </c>
      <c r="F1045" s="32" t="s">
        <v>178</v>
      </c>
    </row>
    <row r="1046" spans="1:6">
      <c r="A1046" s="29">
        <v>73349</v>
      </c>
      <c r="B1046" s="31" t="s">
        <v>1895</v>
      </c>
      <c r="C1046" s="31" t="s">
        <v>196</v>
      </c>
      <c r="D1046" s="31" t="s">
        <v>194</v>
      </c>
      <c r="E1046" s="31" t="s">
        <v>94</v>
      </c>
      <c r="F1046" s="32" t="s">
        <v>178</v>
      </c>
    </row>
    <row r="1047" spans="1:6">
      <c r="A1047" s="29">
        <v>73001</v>
      </c>
      <c r="B1047" s="31" t="s">
        <v>194</v>
      </c>
      <c r="C1047" s="31" t="s">
        <v>196</v>
      </c>
      <c r="D1047" s="31" t="s">
        <v>194</v>
      </c>
      <c r="E1047" s="31" t="s">
        <v>94</v>
      </c>
      <c r="F1047" s="32" t="s">
        <v>102</v>
      </c>
    </row>
    <row r="1048" spans="1:6">
      <c r="A1048" s="29">
        <v>73352</v>
      </c>
      <c r="B1048" s="31" t="s">
        <v>1896</v>
      </c>
      <c r="C1048" s="31" t="s">
        <v>196</v>
      </c>
      <c r="D1048" s="31" t="s">
        <v>194</v>
      </c>
      <c r="E1048" s="31" t="s">
        <v>94</v>
      </c>
      <c r="F1048" s="32" t="s">
        <v>178</v>
      </c>
    </row>
    <row r="1049" spans="1:6">
      <c r="A1049" s="29">
        <v>73408</v>
      </c>
      <c r="B1049" s="31" t="s">
        <v>1897</v>
      </c>
      <c r="C1049" s="31" t="s">
        <v>196</v>
      </c>
      <c r="D1049" s="31" t="s">
        <v>194</v>
      </c>
      <c r="E1049" s="31" t="s">
        <v>94</v>
      </c>
      <c r="F1049" s="32" t="s">
        <v>93</v>
      </c>
    </row>
    <row r="1050" spans="1:6">
      <c r="A1050" s="29">
        <v>73411</v>
      </c>
      <c r="B1050" s="31" t="s">
        <v>1898</v>
      </c>
      <c r="C1050" s="31" t="s">
        <v>196</v>
      </c>
      <c r="D1050" s="31" t="s">
        <v>194</v>
      </c>
      <c r="E1050" s="31" t="s">
        <v>94</v>
      </c>
      <c r="F1050" s="32" t="s">
        <v>178</v>
      </c>
    </row>
    <row r="1051" spans="1:6">
      <c r="A1051" s="29">
        <v>73443</v>
      </c>
      <c r="B1051" s="31" t="s">
        <v>1899</v>
      </c>
      <c r="C1051" s="31" t="s">
        <v>196</v>
      </c>
      <c r="D1051" s="31" t="s">
        <v>194</v>
      </c>
      <c r="E1051" s="31" t="s">
        <v>94</v>
      </c>
      <c r="F1051" s="32" t="s">
        <v>178</v>
      </c>
    </row>
    <row r="1052" spans="1:6">
      <c r="A1052" s="29">
        <v>73449</v>
      </c>
      <c r="B1052" s="31" t="s">
        <v>1900</v>
      </c>
      <c r="C1052" s="31" t="s">
        <v>196</v>
      </c>
      <c r="D1052" s="31" t="s">
        <v>78</v>
      </c>
      <c r="E1052" s="31" t="s">
        <v>94</v>
      </c>
      <c r="F1052" s="32" t="s">
        <v>93</v>
      </c>
    </row>
    <row r="1053" spans="1:6">
      <c r="A1053" s="29">
        <v>73461</v>
      </c>
      <c r="B1053" s="31" t="s">
        <v>1901</v>
      </c>
      <c r="C1053" s="31" t="s">
        <v>196</v>
      </c>
      <c r="D1053" s="31" t="s">
        <v>194</v>
      </c>
      <c r="E1053" s="31" t="s">
        <v>94</v>
      </c>
      <c r="F1053" s="32" t="s">
        <v>129</v>
      </c>
    </row>
    <row r="1054" spans="1:6">
      <c r="A1054" s="29">
        <v>73483</v>
      </c>
      <c r="B1054" s="31" t="s">
        <v>1902</v>
      </c>
      <c r="C1054" s="31" t="s">
        <v>196</v>
      </c>
      <c r="D1054" s="31" t="s">
        <v>243</v>
      </c>
      <c r="E1054" s="31" t="s">
        <v>94</v>
      </c>
      <c r="F1054" s="32" t="s">
        <v>93</v>
      </c>
    </row>
    <row r="1055" spans="1:6">
      <c r="A1055" s="29">
        <v>73504</v>
      </c>
      <c r="B1055" s="31" t="s">
        <v>1903</v>
      </c>
      <c r="C1055" s="31" t="s">
        <v>196</v>
      </c>
      <c r="D1055" s="31" t="s">
        <v>194</v>
      </c>
      <c r="E1055" s="31" t="s">
        <v>94</v>
      </c>
      <c r="F1055" s="32" t="s">
        <v>178</v>
      </c>
    </row>
    <row r="1056" spans="1:6">
      <c r="A1056" s="29">
        <v>73520</v>
      </c>
      <c r="B1056" s="31" t="s">
        <v>729</v>
      </c>
      <c r="C1056" s="31" t="s">
        <v>196</v>
      </c>
      <c r="D1056" s="31" t="s">
        <v>194</v>
      </c>
      <c r="E1056" s="31" t="s">
        <v>94</v>
      </c>
      <c r="F1056" s="32" t="s">
        <v>178</v>
      </c>
    </row>
    <row r="1057" spans="1:6">
      <c r="A1057" s="29">
        <v>73547</v>
      </c>
      <c r="B1057" s="31" t="s">
        <v>1904</v>
      </c>
      <c r="C1057" s="31" t="s">
        <v>196</v>
      </c>
      <c r="D1057" s="31" t="s">
        <v>194</v>
      </c>
      <c r="E1057" s="31" t="s">
        <v>94</v>
      </c>
      <c r="F1057" s="32" t="s">
        <v>93</v>
      </c>
    </row>
    <row r="1058" spans="1:6">
      <c r="A1058" s="29">
        <v>73555</v>
      </c>
      <c r="B1058" s="31" t="s">
        <v>1905</v>
      </c>
      <c r="C1058" s="31" t="s">
        <v>196</v>
      </c>
      <c r="D1058" s="31" t="s">
        <v>194</v>
      </c>
      <c r="E1058" s="31" t="s">
        <v>94</v>
      </c>
      <c r="F1058" s="32" t="s">
        <v>129</v>
      </c>
    </row>
    <row r="1059" spans="1:6">
      <c r="A1059" s="29">
        <v>73563</v>
      </c>
      <c r="B1059" s="31" t="s">
        <v>1906</v>
      </c>
      <c r="C1059" s="31" t="s">
        <v>196</v>
      </c>
      <c r="D1059" s="31" t="s">
        <v>194</v>
      </c>
      <c r="E1059" s="31" t="s">
        <v>94</v>
      </c>
      <c r="F1059" s="32" t="s">
        <v>178</v>
      </c>
    </row>
    <row r="1060" spans="1:6">
      <c r="A1060" s="29">
        <v>73585</v>
      </c>
      <c r="B1060" s="31" t="s">
        <v>1907</v>
      </c>
      <c r="C1060" s="31" t="s">
        <v>196</v>
      </c>
      <c r="D1060" s="31" t="s">
        <v>194</v>
      </c>
      <c r="E1060" s="31" t="s">
        <v>94</v>
      </c>
      <c r="F1060" s="32" t="s">
        <v>93</v>
      </c>
    </row>
    <row r="1061" spans="1:6">
      <c r="A1061" s="29">
        <v>73616</v>
      </c>
      <c r="B1061" s="31" t="s">
        <v>1908</v>
      </c>
      <c r="C1061" s="31" t="s">
        <v>196</v>
      </c>
      <c r="D1061" s="31" t="s">
        <v>194</v>
      </c>
      <c r="E1061" s="31" t="s">
        <v>94</v>
      </c>
      <c r="F1061" s="32" t="s">
        <v>129</v>
      </c>
    </row>
    <row r="1062" spans="1:6">
      <c r="A1062" s="29">
        <v>73622</v>
      </c>
      <c r="B1062" s="31" t="s">
        <v>1909</v>
      </c>
      <c r="C1062" s="31" t="s">
        <v>196</v>
      </c>
      <c r="D1062" s="31" t="s">
        <v>194</v>
      </c>
      <c r="E1062" s="31" t="s">
        <v>94</v>
      </c>
      <c r="F1062" s="32" t="s">
        <v>129</v>
      </c>
    </row>
    <row r="1063" spans="1:6">
      <c r="A1063" s="29">
        <v>73624</v>
      </c>
      <c r="B1063" s="31" t="s">
        <v>1910</v>
      </c>
      <c r="C1063" s="31" t="s">
        <v>196</v>
      </c>
      <c r="D1063" s="31" t="s">
        <v>194</v>
      </c>
      <c r="E1063" s="31" t="s">
        <v>94</v>
      </c>
      <c r="F1063" s="32" t="s">
        <v>178</v>
      </c>
    </row>
    <row r="1064" spans="1:6">
      <c r="A1064" s="29">
        <v>73671</v>
      </c>
      <c r="B1064" s="31" t="s">
        <v>1911</v>
      </c>
      <c r="C1064" s="31" t="s">
        <v>196</v>
      </c>
      <c r="D1064" s="31" t="s">
        <v>194</v>
      </c>
      <c r="E1064" s="31" t="s">
        <v>94</v>
      </c>
      <c r="F1064" s="32" t="s">
        <v>93</v>
      </c>
    </row>
    <row r="1065" spans="1:6">
      <c r="A1065" s="29">
        <v>73675</v>
      </c>
      <c r="B1065" s="31" t="s">
        <v>1912</v>
      </c>
      <c r="C1065" s="31" t="s">
        <v>196</v>
      </c>
      <c r="D1065" s="31" t="s">
        <v>194</v>
      </c>
      <c r="E1065" s="31" t="s">
        <v>94</v>
      </c>
      <c r="F1065" s="32" t="s">
        <v>129</v>
      </c>
    </row>
    <row r="1066" spans="1:6">
      <c r="A1066" s="29">
        <v>73686</v>
      </c>
      <c r="B1066" s="31" t="s">
        <v>1913</v>
      </c>
      <c r="C1066" s="31" t="s">
        <v>196</v>
      </c>
      <c r="D1066" s="31" t="s">
        <v>194</v>
      </c>
      <c r="E1066" s="31" t="s">
        <v>94</v>
      </c>
      <c r="F1066" s="32" t="s">
        <v>178</v>
      </c>
    </row>
    <row r="1067" spans="1:6">
      <c r="A1067" s="29">
        <v>73854</v>
      </c>
      <c r="B1067" s="31" t="s">
        <v>1914</v>
      </c>
      <c r="C1067" s="31" t="s">
        <v>196</v>
      </c>
      <c r="D1067" s="31" t="s">
        <v>194</v>
      </c>
      <c r="E1067" s="31" t="s">
        <v>94</v>
      </c>
      <c r="F1067" s="32" t="s">
        <v>93</v>
      </c>
    </row>
    <row r="1068" spans="1:6">
      <c r="A1068" s="29">
        <v>73861</v>
      </c>
      <c r="B1068" s="31" t="s">
        <v>1915</v>
      </c>
      <c r="C1068" s="31" t="s">
        <v>196</v>
      </c>
      <c r="D1068" s="31" t="s">
        <v>194</v>
      </c>
      <c r="E1068" s="31" t="s">
        <v>94</v>
      </c>
      <c r="F1068" s="32" t="s">
        <v>93</v>
      </c>
    </row>
    <row r="1069" spans="1:6">
      <c r="A1069" s="29">
        <v>73870</v>
      </c>
      <c r="B1069" s="31" t="s">
        <v>1916</v>
      </c>
      <c r="C1069" s="31" t="s">
        <v>196</v>
      </c>
      <c r="D1069" s="31" t="s">
        <v>194</v>
      </c>
      <c r="E1069" s="31" t="s">
        <v>94</v>
      </c>
      <c r="F1069" s="32" t="s">
        <v>178</v>
      </c>
    </row>
    <row r="1070" spans="1:6">
      <c r="A1070" s="29">
        <v>73873</v>
      </c>
      <c r="B1070" s="31" t="s">
        <v>1917</v>
      </c>
      <c r="C1070" s="31" t="s">
        <v>196</v>
      </c>
      <c r="D1070" s="31" t="s">
        <v>194</v>
      </c>
      <c r="E1070" s="31" t="s">
        <v>94</v>
      </c>
      <c r="F1070" s="32" t="s">
        <v>178</v>
      </c>
    </row>
    <row r="1071" spans="1:6">
      <c r="A1071" s="29">
        <v>76054</v>
      </c>
      <c r="B1071" s="30" t="s">
        <v>1019</v>
      </c>
      <c r="C1071" s="31" t="s">
        <v>144</v>
      </c>
      <c r="D1071" s="31" t="s">
        <v>142</v>
      </c>
      <c r="E1071" s="31" t="s">
        <v>94</v>
      </c>
      <c r="F1071" s="32" t="s">
        <v>178</v>
      </c>
    </row>
    <row r="1072" spans="1:6">
      <c r="A1072" s="29">
        <v>76100</v>
      </c>
      <c r="B1072" s="30" t="s">
        <v>651</v>
      </c>
      <c r="C1072" s="31" t="s">
        <v>144</v>
      </c>
      <c r="D1072" s="31" t="s">
        <v>142</v>
      </c>
      <c r="E1072" s="31" t="s">
        <v>94</v>
      </c>
      <c r="F1072" s="32" t="s">
        <v>93</v>
      </c>
    </row>
    <row r="1073" spans="1:6">
      <c r="A1073" s="29">
        <v>76130</v>
      </c>
      <c r="B1073" s="30" t="s">
        <v>274</v>
      </c>
      <c r="C1073" s="31" t="s">
        <v>144</v>
      </c>
      <c r="D1073" s="31" t="s">
        <v>104</v>
      </c>
      <c r="E1073" s="31" t="s">
        <v>94</v>
      </c>
      <c r="F1073" s="32" t="s">
        <v>93</v>
      </c>
    </row>
    <row r="1074" spans="1:6">
      <c r="A1074" s="29">
        <v>76400</v>
      </c>
      <c r="B1074" s="30" t="s">
        <v>1027</v>
      </c>
      <c r="C1074" s="31" t="s">
        <v>144</v>
      </c>
      <c r="D1074" s="31" t="s">
        <v>142</v>
      </c>
      <c r="E1074" s="31" t="s">
        <v>94</v>
      </c>
      <c r="F1074" s="32" t="s">
        <v>93</v>
      </c>
    </row>
    <row r="1075" spans="1:6">
      <c r="A1075" s="29">
        <v>76403</v>
      </c>
      <c r="B1075" s="30" t="s">
        <v>1007</v>
      </c>
      <c r="C1075" s="31" t="s">
        <v>144</v>
      </c>
      <c r="D1075" s="31" t="s">
        <v>142</v>
      </c>
      <c r="E1075" s="31" t="s">
        <v>94</v>
      </c>
      <c r="F1075" s="32" t="s">
        <v>93</v>
      </c>
    </row>
    <row r="1076" spans="1:6">
      <c r="A1076" s="29">
        <v>76606</v>
      </c>
      <c r="B1076" s="30" t="s">
        <v>1655</v>
      </c>
      <c r="C1076" s="31" t="s">
        <v>144</v>
      </c>
      <c r="D1076" s="31" t="s">
        <v>104</v>
      </c>
      <c r="E1076" s="31" t="s">
        <v>94</v>
      </c>
      <c r="F1076" s="32" t="s">
        <v>93</v>
      </c>
    </row>
    <row r="1077" spans="1:6">
      <c r="A1077" s="29">
        <v>76670</v>
      </c>
      <c r="B1077" s="30" t="s">
        <v>1855</v>
      </c>
      <c r="C1077" s="31" t="s">
        <v>144</v>
      </c>
      <c r="D1077" s="31" t="s">
        <v>104</v>
      </c>
      <c r="E1077" s="31" t="s">
        <v>94</v>
      </c>
      <c r="F1077" s="32" t="s">
        <v>93</v>
      </c>
    </row>
    <row r="1078" spans="1:6">
      <c r="A1078" s="29">
        <v>76020</v>
      </c>
      <c r="B1078" s="31" t="s">
        <v>1918</v>
      </c>
      <c r="C1078" s="31" t="s">
        <v>144</v>
      </c>
      <c r="D1078" s="31" t="s">
        <v>142</v>
      </c>
      <c r="E1078" s="31" t="s">
        <v>94</v>
      </c>
      <c r="F1078" s="32" t="s">
        <v>93</v>
      </c>
    </row>
    <row r="1079" spans="1:6">
      <c r="A1079" s="29">
        <v>76036</v>
      </c>
      <c r="B1079" s="31" t="s">
        <v>1919</v>
      </c>
      <c r="C1079" s="31" t="s">
        <v>144</v>
      </c>
      <c r="D1079" s="31" t="s">
        <v>104</v>
      </c>
      <c r="E1079" s="31" t="s">
        <v>94</v>
      </c>
      <c r="F1079" s="32" t="s">
        <v>93</v>
      </c>
    </row>
    <row r="1080" spans="1:6">
      <c r="A1080" s="29">
        <v>76041</v>
      </c>
      <c r="B1080" s="31" t="s">
        <v>1920</v>
      </c>
      <c r="C1080" s="31" t="s">
        <v>144</v>
      </c>
      <c r="D1080" s="31" t="s">
        <v>142</v>
      </c>
      <c r="E1080" s="31" t="s">
        <v>94</v>
      </c>
      <c r="F1080" s="32" t="s">
        <v>93</v>
      </c>
    </row>
    <row r="1081" spans="1:6">
      <c r="A1081" s="29">
        <v>76109</v>
      </c>
      <c r="B1081" s="31" t="s">
        <v>1921</v>
      </c>
      <c r="C1081" s="31" t="s">
        <v>144</v>
      </c>
      <c r="D1081" s="31" t="s">
        <v>104</v>
      </c>
      <c r="E1081" s="31" t="s">
        <v>94</v>
      </c>
      <c r="F1081" s="32" t="s">
        <v>178</v>
      </c>
    </row>
    <row r="1082" spans="1:6">
      <c r="A1082" s="29">
        <v>76113</v>
      </c>
      <c r="B1082" s="31" t="s">
        <v>1922</v>
      </c>
      <c r="C1082" s="31" t="s">
        <v>144</v>
      </c>
      <c r="D1082" s="31" t="s">
        <v>104</v>
      </c>
      <c r="E1082" s="31" t="s">
        <v>94</v>
      </c>
      <c r="F1082" s="32" t="s">
        <v>93</v>
      </c>
    </row>
    <row r="1083" spans="1:6">
      <c r="A1083" s="29">
        <v>76122</v>
      </c>
      <c r="B1083" s="31" t="s">
        <v>1923</v>
      </c>
      <c r="C1083" s="31" t="s">
        <v>144</v>
      </c>
      <c r="D1083" s="31" t="s">
        <v>142</v>
      </c>
      <c r="E1083" s="31" t="s">
        <v>94</v>
      </c>
      <c r="F1083" s="32" t="s">
        <v>93</v>
      </c>
    </row>
    <row r="1084" spans="1:6">
      <c r="A1084" s="29">
        <v>76001</v>
      </c>
      <c r="B1084" s="31" t="s">
        <v>104</v>
      </c>
      <c r="C1084" s="31" t="s">
        <v>144</v>
      </c>
      <c r="D1084" s="31" t="s">
        <v>104</v>
      </c>
      <c r="E1084" s="31" t="s">
        <v>94</v>
      </c>
      <c r="F1084" s="32" t="s">
        <v>102</v>
      </c>
    </row>
    <row r="1085" spans="1:6">
      <c r="A1085" s="29">
        <v>76126</v>
      </c>
      <c r="B1085" s="31" t="s">
        <v>1924</v>
      </c>
      <c r="C1085" s="31" t="s">
        <v>144</v>
      </c>
      <c r="D1085" s="31" t="s">
        <v>104</v>
      </c>
      <c r="E1085" s="31" t="s">
        <v>94</v>
      </c>
      <c r="F1085" s="32" t="s">
        <v>93</v>
      </c>
    </row>
    <row r="1086" spans="1:6">
      <c r="A1086" s="29">
        <v>76147</v>
      </c>
      <c r="B1086" s="31" t="s">
        <v>145</v>
      </c>
      <c r="C1086" s="31" t="s">
        <v>144</v>
      </c>
      <c r="D1086" s="31" t="s">
        <v>142</v>
      </c>
      <c r="E1086" s="31" t="s">
        <v>94</v>
      </c>
      <c r="F1086" s="32" t="s">
        <v>102</v>
      </c>
    </row>
    <row r="1087" spans="1:6">
      <c r="A1087" s="29">
        <v>76233</v>
      </c>
      <c r="B1087" s="31" t="s">
        <v>1925</v>
      </c>
      <c r="C1087" s="31" t="s">
        <v>144</v>
      </c>
      <c r="D1087" s="31" t="s">
        <v>104</v>
      </c>
      <c r="E1087" s="31" t="s">
        <v>94</v>
      </c>
      <c r="F1087" s="32" t="s">
        <v>93</v>
      </c>
    </row>
    <row r="1088" spans="1:6">
      <c r="A1088" s="29">
        <v>76243</v>
      </c>
      <c r="B1088" s="31" t="s">
        <v>1926</v>
      </c>
      <c r="C1088" s="31" t="s">
        <v>144</v>
      </c>
      <c r="D1088" s="31" t="s">
        <v>142</v>
      </c>
      <c r="E1088" s="31" t="s">
        <v>94</v>
      </c>
      <c r="F1088" s="32" t="s">
        <v>178</v>
      </c>
    </row>
    <row r="1089" spans="1:6">
      <c r="A1089" s="29">
        <v>76246</v>
      </c>
      <c r="B1089" s="31" t="s">
        <v>1927</v>
      </c>
      <c r="C1089" s="31" t="s">
        <v>144</v>
      </c>
      <c r="D1089" s="31" t="s">
        <v>142</v>
      </c>
      <c r="E1089" s="31" t="s">
        <v>94</v>
      </c>
      <c r="F1089" s="32" t="s">
        <v>178</v>
      </c>
    </row>
    <row r="1090" spans="1:6">
      <c r="A1090" s="29">
        <v>76248</v>
      </c>
      <c r="B1090" s="31" t="s">
        <v>1928</v>
      </c>
      <c r="C1090" s="31" t="s">
        <v>144</v>
      </c>
      <c r="D1090" s="31" t="s">
        <v>104</v>
      </c>
      <c r="E1090" s="31" t="s">
        <v>94</v>
      </c>
      <c r="F1090" s="32" t="s">
        <v>93</v>
      </c>
    </row>
    <row r="1091" spans="1:6">
      <c r="A1091" s="29">
        <v>76250</v>
      </c>
      <c r="B1091" s="31" t="s">
        <v>1929</v>
      </c>
      <c r="C1091" s="31" t="s">
        <v>144</v>
      </c>
      <c r="D1091" s="31" t="s">
        <v>142</v>
      </c>
      <c r="E1091" s="31" t="s">
        <v>94</v>
      </c>
      <c r="F1091" s="32" t="s">
        <v>93</v>
      </c>
    </row>
    <row r="1092" spans="1:6">
      <c r="A1092" s="29">
        <v>76275</v>
      </c>
      <c r="B1092" s="31" t="s">
        <v>1930</v>
      </c>
      <c r="C1092" s="31" t="s">
        <v>144</v>
      </c>
      <c r="D1092" s="31" t="s">
        <v>104</v>
      </c>
      <c r="E1092" s="31" t="s">
        <v>94</v>
      </c>
      <c r="F1092" s="32" t="s">
        <v>93</v>
      </c>
    </row>
    <row r="1093" spans="1:6">
      <c r="A1093" s="29">
        <v>76306</v>
      </c>
      <c r="B1093" s="31" t="s">
        <v>1931</v>
      </c>
      <c r="C1093" s="31" t="s">
        <v>144</v>
      </c>
      <c r="D1093" s="31" t="s">
        <v>104</v>
      </c>
      <c r="E1093" s="31" t="s">
        <v>94</v>
      </c>
      <c r="F1093" s="32" t="s">
        <v>93</v>
      </c>
    </row>
    <row r="1094" spans="1:6">
      <c r="A1094" s="29">
        <v>76318</v>
      </c>
      <c r="B1094" s="31" t="s">
        <v>1932</v>
      </c>
      <c r="C1094" s="31" t="s">
        <v>144</v>
      </c>
      <c r="D1094" s="31" t="s">
        <v>104</v>
      </c>
      <c r="E1094" s="31" t="s">
        <v>94</v>
      </c>
      <c r="F1094" s="32" t="s">
        <v>93</v>
      </c>
    </row>
    <row r="1095" spans="1:6">
      <c r="A1095" s="29">
        <v>76111</v>
      </c>
      <c r="B1095" s="31" t="s">
        <v>1933</v>
      </c>
      <c r="C1095" s="31" t="s">
        <v>144</v>
      </c>
      <c r="D1095" s="31" t="s">
        <v>104</v>
      </c>
      <c r="E1095" s="31" t="s">
        <v>94</v>
      </c>
      <c r="F1095" s="32" t="s">
        <v>93</v>
      </c>
    </row>
    <row r="1096" spans="1:6">
      <c r="A1096" s="29">
        <v>76364</v>
      </c>
      <c r="B1096" s="31" t="s">
        <v>1934</v>
      </c>
      <c r="C1096" s="31" t="s">
        <v>144</v>
      </c>
      <c r="D1096" s="31" t="s">
        <v>104</v>
      </c>
      <c r="E1096" s="31" t="s">
        <v>94</v>
      </c>
      <c r="F1096" s="32" t="s">
        <v>93</v>
      </c>
    </row>
    <row r="1097" spans="1:6">
      <c r="A1097" s="29">
        <v>76377</v>
      </c>
      <c r="B1097" s="31" t="s">
        <v>1935</v>
      </c>
      <c r="C1097" s="31" t="s">
        <v>144</v>
      </c>
      <c r="D1097" s="31" t="s">
        <v>104</v>
      </c>
      <c r="E1097" s="31" t="s">
        <v>94</v>
      </c>
      <c r="F1097" s="32" t="s">
        <v>93</v>
      </c>
    </row>
    <row r="1098" spans="1:6">
      <c r="A1098" s="29">
        <v>76497</v>
      </c>
      <c r="B1098" s="31" t="s">
        <v>1936</v>
      </c>
      <c r="C1098" s="31" t="s">
        <v>144</v>
      </c>
      <c r="D1098" s="31" t="s">
        <v>142</v>
      </c>
      <c r="E1098" s="31" t="s">
        <v>94</v>
      </c>
      <c r="F1098" s="32" t="s">
        <v>93</v>
      </c>
    </row>
    <row r="1099" spans="1:6">
      <c r="A1099" s="29">
        <v>76520</v>
      </c>
      <c r="B1099" s="31" t="s">
        <v>1937</v>
      </c>
      <c r="C1099" s="31" t="s">
        <v>144</v>
      </c>
      <c r="D1099" s="31" t="s">
        <v>104</v>
      </c>
      <c r="E1099" s="31" t="s">
        <v>94</v>
      </c>
      <c r="F1099" s="32" t="s">
        <v>102</v>
      </c>
    </row>
    <row r="1100" spans="1:6">
      <c r="A1100" s="29">
        <v>76563</v>
      </c>
      <c r="B1100" s="31" t="s">
        <v>1938</v>
      </c>
      <c r="C1100" s="31" t="s">
        <v>144</v>
      </c>
      <c r="D1100" s="31" t="s">
        <v>104</v>
      </c>
      <c r="E1100" s="31" t="s">
        <v>94</v>
      </c>
      <c r="F1100" s="32" t="s">
        <v>93</v>
      </c>
    </row>
    <row r="1101" spans="1:6">
      <c r="A1101" s="29">
        <v>76616</v>
      </c>
      <c r="B1101" s="31" t="s">
        <v>1939</v>
      </c>
      <c r="C1101" s="31" t="s">
        <v>144</v>
      </c>
      <c r="D1101" s="31" t="s">
        <v>104</v>
      </c>
      <c r="E1101" s="31" t="s">
        <v>94</v>
      </c>
      <c r="F1101" s="32" t="s">
        <v>93</v>
      </c>
    </row>
    <row r="1102" spans="1:6">
      <c r="A1102" s="29">
        <v>76622</v>
      </c>
      <c r="B1102" s="31" t="s">
        <v>1940</v>
      </c>
      <c r="C1102" s="31" t="s">
        <v>144</v>
      </c>
      <c r="D1102" s="31" t="s">
        <v>142</v>
      </c>
      <c r="E1102" s="31" t="s">
        <v>94</v>
      </c>
      <c r="F1102" s="32" t="s">
        <v>178</v>
      </c>
    </row>
    <row r="1103" spans="1:6">
      <c r="A1103" s="29">
        <v>76736</v>
      </c>
      <c r="B1103" s="31" t="s">
        <v>1941</v>
      </c>
      <c r="C1103" s="31" t="s">
        <v>144</v>
      </c>
      <c r="D1103" s="31" t="s">
        <v>142</v>
      </c>
      <c r="E1103" s="31" t="s">
        <v>94</v>
      </c>
      <c r="F1103" s="32" t="s">
        <v>93</v>
      </c>
    </row>
    <row r="1104" spans="1:6">
      <c r="A1104" s="29">
        <v>76823</v>
      </c>
      <c r="B1104" s="31" t="s">
        <v>1942</v>
      </c>
      <c r="C1104" s="31" t="s">
        <v>144</v>
      </c>
      <c r="D1104" s="31" t="s">
        <v>142</v>
      </c>
      <c r="E1104" s="31" t="s">
        <v>94</v>
      </c>
      <c r="F1104" s="32" t="s">
        <v>93</v>
      </c>
    </row>
    <row r="1105" spans="1:6">
      <c r="A1105" s="29">
        <v>76828</v>
      </c>
      <c r="B1105" s="31" t="s">
        <v>1943</v>
      </c>
      <c r="C1105" s="31" t="s">
        <v>144</v>
      </c>
      <c r="D1105" s="31" t="s">
        <v>142</v>
      </c>
      <c r="E1105" s="31" t="s">
        <v>94</v>
      </c>
      <c r="F1105" s="32" t="s">
        <v>93</v>
      </c>
    </row>
    <row r="1106" spans="1:6">
      <c r="A1106" s="29">
        <v>76834</v>
      </c>
      <c r="B1106" s="31" t="s">
        <v>886</v>
      </c>
      <c r="C1106" s="31" t="s">
        <v>144</v>
      </c>
      <c r="D1106" s="31" t="s">
        <v>104</v>
      </c>
      <c r="E1106" s="31" t="s">
        <v>94</v>
      </c>
      <c r="F1106" s="32" t="s">
        <v>93</v>
      </c>
    </row>
    <row r="1107" spans="1:6">
      <c r="A1107" s="29">
        <v>76845</v>
      </c>
      <c r="B1107" s="31" t="s">
        <v>1944</v>
      </c>
      <c r="C1107" s="31" t="s">
        <v>144</v>
      </c>
      <c r="D1107" s="31" t="s">
        <v>142</v>
      </c>
      <c r="E1107" s="31" t="s">
        <v>94</v>
      </c>
      <c r="F1107" s="32" t="s">
        <v>93</v>
      </c>
    </row>
    <row r="1108" spans="1:6">
      <c r="A1108" s="29">
        <v>76863</v>
      </c>
      <c r="B1108" s="31" t="s">
        <v>1945</v>
      </c>
      <c r="C1108" s="31" t="s">
        <v>144</v>
      </c>
      <c r="D1108" s="31" t="s">
        <v>142</v>
      </c>
      <c r="E1108" s="31" t="s">
        <v>94</v>
      </c>
      <c r="F1108" s="32" t="s">
        <v>178</v>
      </c>
    </row>
    <row r="1109" spans="1:6">
      <c r="A1109" s="29">
        <v>76869</v>
      </c>
      <c r="B1109" s="31" t="s">
        <v>1946</v>
      </c>
      <c r="C1109" s="31" t="s">
        <v>144</v>
      </c>
      <c r="D1109" s="31" t="s">
        <v>104</v>
      </c>
      <c r="E1109" s="31" t="s">
        <v>94</v>
      </c>
      <c r="F1109" s="32" t="s">
        <v>93</v>
      </c>
    </row>
    <row r="1110" spans="1:6">
      <c r="A1110" s="29">
        <v>76890</v>
      </c>
      <c r="B1110" s="31" t="s">
        <v>1947</v>
      </c>
      <c r="C1110" s="31" t="s">
        <v>144</v>
      </c>
      <c r="D1110" s="31" t="s">
        <v>104</v>
      </c>
      <c r="E1110" s="31" t="s">
        <v>94</v>
      </c>
      <c r="F1110" s="32" t="s">
        <v>93</v>
      </c>
    </row>
    <row r="1111" spans="1:6">
      <c r="A1111" s="29">
        <v>76892</v>
      </c>
      <c r="B1111" s="31" t="s">
        <v>817</v>
      </c>
      <c r="C1111" s="31" t="s">
        <v>144</v>
      </c>
      <c r="D1111" s="31" t="s">
        <v>104</v>
      </c>
      <c r="E1111" s="31" t="s">
        <v>94</v>
      </c>
      <c r="F1111" s="32" t="s">
        <v>102</v>
      </c>
    </row>
    <row r="1112" spans="1:6">
      <c r="A1112" s="29">
        <v>76895</v>
      </c>
      <c r="B1112" s="31" t="s">
        <v>1948</v>
      </c>
      <c r="C1112" s="31" t="s">
        <v>144</v>
      </c>
      <c r="D1112" s="31" t="s">
        <v>142</v>
      </c>
      <c r="E1112" s="31" t="s">
        <v>94</v>
      </c>
      <c r="F1112" s="32" t="s">
        <v>178</v>
      </c>
    </row>
    <row r="1113" spans="1:6">
      <c r="A1113" s="29">
        <v>97161</v>
      </c>
      <c r="B1113" s="31" t="s">
        <v>1949</v>
      </c>
      <c r="C1113" s="31" t="s">
        <v>1950</v>
      </c>
      <c r="D1113" s="31" t="s">
        <v>131</v>
      </c>
      <c r="E1113" s="31" t="s">
        <v>140</v>
      </c>
      <c r="F1113" s="32" t="s">
        <v>139</v>
      </c>
    </row>
    <row r="1114" spans="1:6">
      <c r="A1114" s="29">
        <v>97001</v>
      </c>
      <c r="B1114" s="31" t="s">
        <v>1951</v>
      </c>
      <c r="C1114" s="31" t="s">
        <v>1950</v>
      </c>
      <c r="D1114" s="31" t="s">
        <v>78</v>
      </c>
      <c r="E1114" s="31" t="s">
        <v>140</v>
      </c>
      <c r="F1114" s="32" t="s">
        <v>139</v>
      </c>
    </row>
    <row r="1115" spans="1:6">
      <c r="A1115" s="29">
        <v>97511</v>
      </c>
      <c r="B1115" s="31" t="s">
        <v>1952</v>
      </c>
      <c r="C1115" s="31" t="s">
        <v>1950</v>
      </c>
      <c r="D1115" s="31" t="s">
        <v>131</v>
      </c>
      <c r="E1115" s="31" t="s">
        <v>140</v>
      </c>
      <c r="F1115" s="32" t="s">
        <v>139</v>
      </c>
    </row>
    <row r="1116" spans="1:6">
      <c r="A1116" s="29">
        <v>97777</v>
      </c>
      <c r="B1116" s="31" t="s">
        <v>1953</v>
      </c>
      <c r="C1116" s="31" t="s">
        <v>1950</v>
      </c>
      <c r="D1116" s="31" t="s">
        <v>131</v>
      </c>
      <c r="E1116" s="31" t="s">
        <v>140</v>
      </c>
      <c r="F1116" s="32" t="s">
        <v>139</v>
      </c>
    </row>
    <row r="1117" spans="1:6">
      <c r="A1117" s="29">
        <v>97666</v>
      </c>
      <c r="B1117" s="31" t="s">
        <v>1954</v>
      </c>
      <c r="C1117" s="31" t="s">
        <v>1950</v>
      </c>
      <c r="D1117" s="31" t="s">
        <v>131</v>
      </c>
      <c r="E1117" s="31" t="s">
        <v>140</v>
      </c>
      <c r="F1117" s="32" t="s">
        <v>139</v>
      </c>
    </row>
    <row r="1118" spans="1:6">
      <c r="A1118" s="29">
        <v>97889</v>
      </c>
      <c r="B1118" s="31" t="s">
        <v>1955</v>
      </c>
      <c r="C1118" s="31" t="s">
        <v>1950</v>
      </c>
      <c r="D1118" s="31" t="s">
        <v>131</v>
      </c>
      <c r="E1118" s="31" t="s">
        <v>140</v>
      </c>
      <c r="F1118" s="32" t="s">
        <v>139</v>
      </c>
    </row>
    <row r="1119" spans="1:6">
      <c r="A1119" s="29">
        <v>99773</v>
      </c>
      <c r="B1119" s="31" t="s">
        <v>1956</v>
      </c>
      <c r="C1119" s="31" t="s">
        <v>1957</v>
      </c>
      <c r="D1119" s="31" t="s">
        <v>131</v>
      </c>
      <c r="E1119" s="31" t="s">
        <v>140</v>
      </c>
      <c r="F1119" s="32" t="s">
        <v>139</v>
      </c>
    </row>
    <row r="1120" spans="1:6">
      <c r="A1120" s="29">
        <v>99524</v>
      </c>
      <c r="B1120" s="31" t="s">
        <v>1958</v>
      </c>
      <c r="C1120" s="31" t="s">
        <v>1957</v>
      </c>
      <c r="D1120" s="31" t="s">
        <v>131</v>
      </c>
      <c r="E1120" s="31" t="s">
        <v>140</v>
      </c>
      <c r="F1120" s="32" t="s">
        <v>139</v>
      </c>
    </row>
    <row r="1121" spans="1:6">
      <c r="A1121" s="29">
        <v>99001</v>
      </c>
      <c r="B1121" s="31" t="s">
        <v>1959</v>
      </c>
      <c r="C1121" s="31" t="s">
        <v>1957</v>
      </c>
      <c r="D1121" s="31" t="s">
        <v>78</v>
      </c>
      <c r="E1121" s="31" t="s">
        <v>140</v>
      </c>
      <c r="F1121" s="32" t="s">
        <v>139</v>
      </c>
    </row>
    <row r="1122" spans="1:6">
      <c r="A1122" s="29">
        <v>99624</v>
      </c>
      <c r="B1122" s="31" t="s">
        <v>1960</v>
      </c>
      <c r="C1122" s="31" t="s">
        <v>1957</v>
      </c>
      <c r="D1122" s="31" t="s">
        <v>131</v>
      </c>
      <c r="E1122" s="31" t="s">
        <v>140</v>
      </c>
      <c r="F1122" s="32" t="s">
        <v>139</v>
      </c>
    </row>
    <row r="1123" spans="1:6">
      <c r="A1123" s="29">
        <v>23815</v>
      </c>
      <c r="B1123" s="31" t="s">
        <v>1961</v>
      </c>
      <c r="C1123" s="31" t="s">
        <v>115</v>
      </c>
      <c r="D1123" s="31" t="s">
        <v>113</v>
      </c>
      <c r="E1123" s="31" t="s">
        <v>94</v>
      </c>
      <c r="F1123" s="32" t="s">
        <v>178</v>
      </c>
    </row>
    <row r="1124" spans="1:6">
      <c r="A1124" s="29">
        <v>23682</v>
      </c>
      <c r="B1124" s="31" t="s">
        <v>1962</v>
      </c>
      <c r="C1124" s="31" t="s">
        <v>115</v>
      </c>
      <c r="D1124" s="31" t="s">
        <v>113</v>
      </c>
      <c r="E1124" s="31" t="s">
        <v>94</v>
      </c>
      <c r="F1124" s="32" t="s">
        <v>178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972C-EFDE-4E2F-A236-33A355414275}">
  <dimension ref="A1:D23"/>
  <sheetViews>
    <sheetView topLeftCell="A7" workbookViewId="0">
      <selection activeCell="E17" sqref="E17"/>
    </sheetView>
  </sheetViews>
  <sheetFormatPr defaultColWidth="11.42578125" defaultRowHeight="14.45"/>
  <cols>
    <col min="1" max="1" width="15.28515625" bestFit="1" customWidth="1"/>
    <col min="2" max="2" width="18.28515625" bestFit="1" customWidth="1"/>
    <col min="3" max="3" width="30.28515625" bestFit="1" customWidth="1"/>
    <col min="4" max="4" width="34.140625" bestFit="1" customWidth="1"/>
  </cols>
  <sheetData>
    <row r="1" spans="1:4">
      <c r="A1" s="17" t="s">
        <v>56</v>
      </c>
      <c r="B1" s="17" t="s">
        <v>1963</v>
      </c>
      <c r="C1" s="17" t="s">
        <v>1964</v>
      </c>
      <c r="D1" s="22" t="s">
        <v>31</v>
      </c>
    </row>
    <row r="2" spans="1:4">
      <c r="A2" s="34" t="s">
        <v>664</v>
      </c>
      <c r="B2" s="35" t="s">
        <v>42</v>
      </c>
      <c r="C2" s="35" t="s">
        <v>1965</v>
      </c>
      <c r="D2" s="35" t="s">
        <v>41</v>
      </c>
    </row>
    <row r="3" spans="1:4">
      <c r="A3" s="36" t="s">
        <v>218</v>
      </c>
      <c r="B3" s="37" t="s">
        <v>40</v>
      </c>
      <c r="C3" s="37" t="s">
        <v>1966</v>
      </c>
      <c r="D3" s="37" t="s">
        <v>39</v>
      </c>
    </row>
    <row r="4" spans="1:4">
      <c r="A4" s="36" t="s">
        <v>78</v>
      </c>
      <c r="B4" s="37" t="s">
        <v>48</v>
      </c>
      <c r="C4" s="37" t="s">
        <v>1967</v>
      </c>
      <c r="D4" s="37" t="s">
        <v>47</v>
      </c>
    </row>
    <row r="5" spans="1:4">
      <c r="A5" s="36" t="s">
        <v>302</v>
      </c>
      <c r="B5" s="37" t="s">
        <v>46</v>
      </c>
      <c r="C5" s="37" t="s">
        <v>1968</v>
      </c>
      <c r="D5" s="37" t="s">
        <v>45</v>
      </c>
    </row>
    <row r="6" spans="1:4">
      <c r="A6" s="36" t="s">
        <v>104</v>
      </c>
      <c r="B6" s="37" t="s">
        <v>38</v>
      </c>
      <c r="C6" s="37" t="s">
        <v>1969</v>
      </c>
      <c r="D6" s="37" t="s">
        <v>36</v>
      </c>
    </row>
    <row r="7" spans="1:4">
      <c r="A7" s="36" t="s">
        <v>1154</v>
      </c>
      <c r="B7" s="37" t="s">
        <v>40</v>
      </c>
      <c r="C7" s="37" t="s">
        <v>1966</v>
      </c>
      <c r="D7" s="37" t="s">
        <v>39</v>
      </c>
    </row>
    <row r="8" spans="1:4">
      <c r="A8" s="36" t="s">
        <v>357</v>
      </c>
      <c r="B8" s="37" t="s">
        <v>46</v>
      </c>
      <c r="C8" s="37" t="s">
        <v>1968</v>
      </c>
      <c r="D8" s="37" t="s">
        <v>45</v>
      </c>
    </row>
    <row r="9" spans="1:4">
      <c r="A9" s="36" t="s">
        <v>246</v>
      </c>
      <c r="B9" s="37" t="s">
        <v>44</v>
      </c>
      <c r="C9" s="37" t="s">
        <v>1970</v>
      </c>
      <c r="D9" s="37" t="s">
        <v>43</v>
      </c>
    </row>
    <row r="10" spans="1:4">
      <c r="A10" s="36" t="s">
        <v>194</v>
      </c>
      <c r="B10" s="37" t="s">
        <v>44</v>
      </c>
      <c r="C10" s="37" t="s">
        <v>1970</v>
      </c>
      <c r="D10" s="37" t="s">
        <v>43</v>
      </c>
    </row>
    <row r="11" spans="1:4">
      <c r="A11" s="36" t="s">
        <v>1310</v>
      </c>
      <c r="B11" s="37" t="s">
        <v>37</v>
      </c>
      <c r="C11" s="37" t="s">
        <v>1971</v>
      </c>
      <c r="D11" s="37" t="s">
        <v>36</v>
      </c>
    </row>
    <row r="12" spans="1:4">
      <c r="A12" s="36" t="s">
        <v>159</v>
      </c>
      <c r="B12" s="37" t="s">
        <v>42</v>
      </c>
      <c r="C12" s="37" t="s">
        <v>1965</v>
      </c>
      <c r="D12" s="37" t="s">
        <v>41</v>
      </c>
    </row>
    <row r="13" spans="1:4">
      <c r="A13" s="36" t="s">
        <v>113</v>
      </c>
      <c r="B13" s="37" t="s">
        <v>40</v>
      </c>
      <c r="C13" s="37" t="s">
        <v>1966</v>
      </c>
      <c r="D13" s="37" t="s">
        <v>39</v>
      </c>
    </row>
    <row r="14" spans="1:4">
      <c r="A14" s="36" t="s">
        <v>243</v>
      </c>
      <c r="B14" s="37" t="s">
        <v>44</v>
      </c>
      <c r="C14" s="37" t="s">
        <v>1970</v>
      </c>
      <c r="D14" s="37" t="s">
        <v>43</v>
      </c>
    </row>
    <row r="15" spans="1:4">
      <c r="A15" s="36" t="s">
        <v>96</v>
      </c>
      <c r="B15" s="37" t="s">
        <v>38</v>
      </c>
      <c r="C15" s="37" t="s">
        <v>1969</v>
      </c>
      <c r="D15" s="37" t="s">
        <v>36</v>
      </c>
    </row>
    <row r="16" spans="1:4">
      <c r="A16" s="36" t="s">
        <v>142</v>
      </c>
      <c r="B16" s="37" t="s">
        <v>37</v>
      </c>
      <c r="C16" s="37" t="s">
        <v>1971</v>
      </c>
      <c r="D16" s="37" t="s">
        <v>36</v>
      </c>
    </row>
    <row r="17" spans="1:4">
      <c r="A17" s="36" t="s">
        <v>202</v>
      </c>
      <c r="B17" s="37" t="s">
        <v>38</v>
      </c>
      <c r="C17" s="37" t="s">
        <v>1969</v>
      </c>
      <c r="D17" s="37" t="s">
        <v>36</v>
      </c>
    </row>
    <row r="18" spans="1:4">
      <c r="A18" s="36" t="s">
        <v>122</v>
      </c>
      <c r="B18" s="37" t="s">
        <v>40</v>
      </c>
      <c r="C18" s="37" t="s">
        <v>1966</v>
      </c>
      <c r="D18" s="37" t="s">
        <v>39</v>
      </c>
    </row>
    <row r="19" spans="1:4">
      <c r="A19" s="36" t="s">
        <v>848</v>
      </c>
      <c r="B19" s="37" t="s">
        <v>40</v>
      </c>
      <c r="C19" s="37" t="s">
        <v>1966</v>
      </c>
      <c r="D19" s="37" t="s">
        <v>39</v>
      </c>
    </row>
    <row r="20" spans="1:4">
      <c r="A20" s="36" t="s">
        <v>186</v>
      </c>
      <c r="B20" s="37" t="s">
        <v>46</v>
      </c>
      <c r="C20" s="37" t="s">
        <v>1968</v>
      </c>
      <c r="D20" s="37" t="s">
        <v>45</v>
      </c>
    </row>
    <row r="21" spans="1:4">
      <c r="A21" s="36" t="s">
        <v>649</v>
      </c>
      <c r="B21" s="37" t="s">
        <v>40</v>
      </c>
      <c r="C21" s="37" t="s">
        <v>1966</v>
      </c>
      <c r="D21" s="37" t="s">
        <v>39</v>
      </c>
    </row>
    <row r="22" spans="1:4">
      <c r="A22" s="36" t="s">
        <v>131</v>
      </c>
      <c r="B22" s="37" t="s">
        <v>44</v>
      </c>
      <c r="C22" s="37" t="s">
        <v>1970</v>
      </c>
      <c r="D22" s="37" t="s">
        <v>43</v>
      </c>
    </row>
    <row r="23" spans="1:4">
      <c r="A23" s="36" t="s">
        <v>317</v>
      </c>
      <c r="B23" s="37" t="s">
        <v>44</v>
      </c>
      <c r="C23" s="37" t="s">
        <v>1970</v>
      </c>
      <c r="D23" s="37" t="s">
        <v>43</v>
      </c>
    </row>
  </sheetData>
  <autoFilter ref="A1:D23" xr:uid="{72E9972C-EFDE-4E2F-A236-33A35541427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6" ma:contentTypeDescription="Create a new document." ma:contentTypeScope="" ma:versionID="1af35ee29490cb16462bfe4830e440c0">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41995a57b18272937ca9dd89fffb3d1b"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Props1.xml><?xml version="1.0" encoding="utf-8"?>
<ds:datastoreItem xmlns:ds="http://schemas.openxmlformats.org/officeDocument/2006/customXml" ds:itemID="{690AF1CE-8F39-4AE7-8649-5969BF5C95CF}"/>
</file>

<file path=customXml/itemProps2.xml><?xml version="1.0" encoding="utf-8"?>
<ds:datastoreItem xmlns:ds="http://schemas.openxmlformats.org/officeDocument/2006/customXml" ds:itemID="{21C6487B-DCBF-4D25-BF7C-59E074A2B6B0}"/>
</file>

<file path=customXml/itemProps3.xml><?xml version="1.0" encoding="utf-8"?>
<ds:datastoreItem xmlns:ds="http://schemas.openxmlformats.org/officeDocument/2006/customXml" ds:itemID="{0866F74B-519F-4C27-B544-8E91289FDD7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Adriana</dc:creator>
  <cp:keywords/>
  <dc:description/>
  <cp:lastModifiedBy>Lini Jhojana Hernandez Mora</cp:lastModifiedBy>
  <cp:revision/>
  <dcterms:created xsi:type="dcterms:W3CDTF">2015-11-09T13:46:27Z</dcterms:created>
  <dcterms:modified xsi:type="dcterms:W3CDTF">2025-08-06T03:26:19Z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